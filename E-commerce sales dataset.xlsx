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unl\Downloads\"/>
    </mc:Choice>
  </mc:AlternateContent>
  <xr:revisionPtr revIDLastSave="0" documentId="8_{7D4B57FA-E5A8-427D-80AF-25E272C2EA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_data" sheetId="3" r:id="rId1"/>
    <sheet name="EDA" sheetId="5" r:id="rId2"/>
    <sheet name="cleaned_data" sheetId="1" r:id="rId3"/>
    <sheet name="change summary" sheetId="2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D27" i="5"/>
  <c r="D26" i="5"/>
  <c r="D17" i="5"/>
  <c r="B16" i="5"/>
  <c r="B15" i="5"/>
  <c r="O1201" i="3"/>
  <c r="O1200" i="3"/>
  <c r="O1199" i="3"/>
  <c r="O1198" i="3"/>
  <c r="O1197" i="3"/>
  <c r="O1196" i="3"/>
  <c r="O1195" i="3"/>
  <c r="O1194" i="3"/>
  <c r="O1193" i="3"/>
  <c r="O1192" i="3"/>
  <c r="O1191" i="3"/>
  <c r="O1190" i="3"/>
  <c r="O1189" i="3"/>
  <c r="O1188" i="3"/>
  <c r="O1187" i="3"/>
  <c r="O1186" i="3"/>
  <c r="O1185" i="3"/>
  <c r="O1184" i="3"/>
  <c r="O1183" i="3"/>
  <c r="O1182" i="3"/>
  <c r="O1181" i="3"/>
  <c r="O1180" i="3"/>
  <c r="O1179" i="3"/>
  <c r="O1178" i="3"/>
  <c r="O1177" i="3"/>
  <c r="O1176" i="3"/>
  <c r="O1175" i="3"/>
  <c r="O1174" i="3"/>
  <c r="O1173" i="3"/>
  <c r="O1172" i="3"/>
  <c r="O1171" i="3"/>
  <c r="O1170" i="3"/>
  <c r="O1169" i="3"/>
  <c r="O1168" i="3"/>
  <c r="O1167" i="3"/>
  <c r="O1166" i="3"/>
  <c r="O1165" i="3"/>
  <c r="O1164" i="3"/>
  <c r="O1163" i="3"/>
  <c r="O1162" i="3"/>
  <c r="O1161" i="3"/>
  <c r="O1160" i="3"/>
  <c r="O1159" i="3"/>
  <c r="O1158" i="3"/>
  <c r="O1157" i="3"/>
  <c r="O1156" i="3"/>
  <c r="O1155" i="3"/>
  <c r="O1154" i="3"/>
  <c r="O1153" i="3"/>
  <c r="O1152" i="3"/>
  <c r="O1151" i="3"/>
  <c r="O1150" i="3"/>
  <c r="O1149" i="3"/>
  <c r="O1148" i="3"/>
  <c r="O1147" i="3"/>
  <c r="O1146" i="3"/>
  <c r="O1145" i="3"/>
  <c r="O1144" i="3"/>
  <c r="O1143" i="3"/>
  <c r="O1142" i="3"/>
  <c r="O1141" i="3"/>
  <c r="O1140" i="3"/>
  <c r="O1139" i="3"/>
  <c r="O1138" i="3"/>
  <c r="O1137" i="3"/>
  <c r="O1136" i="3"/>
  <c r="O1135" i="3"/>
  <c r="O1134" i="3"/>
  <c r="O1133" i="3"/>
  <c r="O1132" i="3"/>
  <c r="O1131" i="3"/>
  <c r="O1130" i="3"/>
  <c r="O1129" i="3"/>
  <c r="O1128" i="3"/>
  <c r="O1127" i="3"/>
  <c r="O1126" i="3"/>
  <c r="O1125" i="3"/>
  <c r="O1124" i="3"/>
  <c r="O1123" i="3"/>
  <c r="O1122" i="3"/>
  <c r="O1121" i="3"/>
  <c r="O1120" i="3"/>
  <c r="O1119" i="3"/>
  <c r="O1118" i="3"/>
  <c r="O1117" i="3"/>
  <c r="O1116" i="3"/>
  <c r="O1115" i="3"/>
  <c r="O1114" i="3"/>
  <c r="O1113" i="3"/>
  <c r="O1112" i="3"/>
  <c r="O1111" i="3"/>
  <c r="O1110" i="3"/>
  <c r="O1109" i="3"/>
  <c r="O1108" i="3"/>
  <c r="O1107" i="3"/>
  <c r="O1106" i="3"/>
  <c r="O1105" i="3"/>
  <c r="O1104" i="3"/>
  <c r="O1103" i="3"/>
  <c r="O1102" i="3"/>
  <c r="O1101" i="3"/>
  <c r="O1100" i="3"/>
  <c r="O1099" i="3"/>
  <c r="O1098" i="3"/>
  <c r="O1097" i="3"/>
  <c r="O1096" i="3"/>
  <c r="O1095" i="3"/>
  <c r="O1094" i="3"/>
  <c r="O1093" i="3"/>
  <c r="O1092" i="3"/>
  <c r="O1091" i="3"/>
  <c r="O1090" i="3"/>
  <c r="O1089" i="3"/>
  <c r="O1088" i="3"/>
  <c r="O1087" i="3"/>
  <c r="O1086" i="3"/>
  <c r="O1085" i="3"/>
  <c r="O1084" i="3"/>
  <c r="O1083" i="3"/>
  <c r="O1082" i="3"/>
  <c r="O1081" i="3"/>
  <c r="O1080" i="3"/>
  <c r="O1079" i="3"/>
  <c r="O1078" i="3"/>
  <c r="O1077" i="3"/>
  <c r="O1076" i="3"/>
  <c r="O1075" i="3"/>
  <c r="O1074" i="3"/>
  <c r="O1073" i="3"/>
  <c r="O1072" i="3"/>
  <c r="O1071" i="3"/>
  <c r="O1070" i="3"/>
  <c r="O1069" i="3"/>
  <c r="O1068" i="3"/>
  <c r="O1067" i="3"/>
  <c r="O1066" i="3"/>
  <c r="O1065" i="3"/>
  <c r="O1064" i="3"/>
  <c r="O1063" i="3"/>
  <c r="O1062" i="3"/>
  <c r="O1061" i="3"/>
  <c r="O1060" i="3"/>
  <c r="O1059" i="3"/>
  <c r="O1058" i="3"/>
  <c r="O1057" i="3"/>
  <c r="O1056" i="3"/>
  <c r="O1055" i="3"/>
  <c r="O1054" i="3"/>
  <c r="O1053" i="3"/>
  <c r="O1052" i="3"/>
  <c r="O1051" i="3"/>
  <c r="O1050" i="3"/>
  <c r="O1049" i="3"/>
  <c r="O1048" i="3"/>
  <c r="O1047" i="3"/>
  <c r="O1046" i="3"/>
  <c r="O1045" i="3"/>
  <c r="O1044" i="3"/>
  <c r="O1043" i="3"/>
  <c r="O1042" i="3"/>
  <c r="O1041" i="3"/>
  <c r="O1040" i="3"/>
  <c r="O1039" i="3"/>
  <c r="O1038" i="3"/>
  <c r="O1037" i="3"/>
  <c r="O1036" i="3"/>
  <c r="O1035" i="3"/>
  <c r="O1034" i="3"/>
  <c r="O1033" i="3"/>
  <c r="O1032" i="3"/>
  <c r="O1031" i="3"/>
  <c r="O1030" i="3"/>
  <c r="O1029" i="3"/>
  <c r="O1028" i="3"/>
  <c r="O1027" i="3"/>
  <c r="O1026" i="3"/>
  <c r="O1025" i="3"/>
  <c r="O1024" i="3"/>
  <c r="O1023" i="3"/>
  <c r="O1022" i="3"/>
  <c r="O1021" i="3"/>
  <c r="O1020" i="3"/>
  <c r="O1019" i="3"/>
  <c r="O1018" i="3"/>
  <c r="O1017" i="3"/>
  <c r="O1016" i="3"/>
  <c r="O1015" i="3"/>
  <c r="O1014" i="3"/>
  <c r="O1013" i="3"/>
  <c r="O1012" i="3"/>
  <c r="O1011" i="3"/>
  <c r="O1010" i="3"/>
  <c r="O1009" i="3"/>
  <c r="O1008" i="3"/>
  <c r="O1007" i="3"/>
  <c r="O1006" i="3"/>
  <c r="O1005" i="3"/>
  <c r="O1004" i="3"/>
  <c r="O1003" i="3"/>
  <c r="O1002" i="3"/>
  <c r="O1001" i="3"/>
  <c r="O1000" i="3"/>
  <c r="O999" i="3"/>
  <c r="O998" i="3"/>
  <c r="O997" i="3"/>
  <c r="O996" i="3"/>
  <c r="O995" i="3"/>
  <c r="O994" i="3"/>
  <c r="O993" i="3"/>
  <c r="O992" i="3"/>
  <c r="O991" i="3"/>
  <c r="O990" i="3"/>
  <c r="O989" i="3"/>
  <c r="O988" i="3"/>
  <c r="O987" i="3"/>
  <c r="O986" i="3"/>
  <c r="O985" i="3"/>
  <c r="O984" i="3"/>
  <c r="O983" i="3"/>
  <c r="O982" i="3"/>
  <c r="O981" i="3"/>
  <c r="O980" i="3"/>
  <c r="O979" i="3"/>
  <c r="O978" i="3"/>
  <c r="O977" i="3"/>
  <c r="O976" i="3"/>
  <c r="O975" i="3"/>
  <c r="O974" i="3"/>
  <c r="O973" i="3"/>
  <c r="O972" i="3"/>
  <c r="O971" i="3"/>
  <c r="O970" i="3"/>
  <c r="O969" i="3"/>
  <c r="O968" i="3"/>
  <c r="O967" i="3"/>
  <c r="O966" i="3"/>
  <c r="O965" i="3"/>
  <c r="O964" i="3"/>
  <c r="O963" i="3"/>
  <c r="O962" i="3"/>
  <c r="O961" i="3"/>
  <c r="O960" i="3"/>
  <c r="O959" i="3"/>
  <c r="O958" i="3"/>
  <c r="O957" i="3"/>
  <c r="O956" i="3"/>
  <c r="O955" i="3"/>
  <c r="O954" i="3"/>
  <c r="O953" i="3"/>
  <c r="O952" i="3"/>
  <c r="O951" i="3"/>
  <c r="O950" i="3"/>
  <c r="O949" i="3"/>
  <c r="O948" i="3"/>
  <c r="O947" i="3"/>
  <c r="O946" i="3"/>
  <c r="O945" i="3"/>
  <c r="O944" i="3"/>
  <c r="O943" i="3"/>
  <c r="O942" i="3"/>
  <c r="O941" i="3"/>
  <c r="O940" i="3"/>
  <c r="O939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B17" i="5" l="1"/>
  <c r="B19" i="5" s="1"/>
  <c r="B18" i="5" l="1"/>
</calcChain>
</file>

<file path=xl/sharedStrings.xml><?xml version="1.0" encoding="utf-8"?>
<sst xmlns="http://schemas.openxmlformats.org/spreadsheetml/2006/main" count="38130" uniqueCount="20727">
  <si>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</si>
  <si>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</si>
  <si>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</si>
  <si>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</si>
  <si>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</si>
  <si>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</si>
  <si>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</si>
  <si>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</si>
  <si>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</si>
  <si>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</si>
  <si>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</si>
  <si>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</si>
  <si>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</si>
  <si>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</si>
  <si>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</si>
  <si>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</si>
  <si>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</si>
  <si>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</si>
  <si>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</si>
  <si>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</si>
  <si>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</si>
  <si>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</si>
  <si>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</si>
  <si>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</si>
  <si>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</si>
  <si>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</si>
  <si>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</si>
  <si>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</si>
  <si>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</si>
  <si>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</si>
  <si>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</si>
  <si>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</si>
  <si>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</si>
  <si>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</si>
  <si>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</si>
  <si>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</si>
  <si>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</si>
  <si>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</si>
  <si>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</si>
  <si>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</si>
  <si>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</si>
  <si>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</si>
  <si>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</si>
  <si>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</si>
  <si>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</si>
  <si>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</si>
  <si>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</si>
  <si>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</si>
  <si>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</si>
  <si>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</si>
  <si>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</si>
  <si>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</si>
  <si>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</si>
  <si>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</si>
  <si>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</si>
  <si>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</si>
  <si>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</si>
  <si>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</si>
  <si>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</si>
  <si>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</si>
  <si>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</si>
  <si>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</si>
  <si>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</si>
  <si>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</si>
  <si>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</si>
  <si>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</si>
  <si>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</si>
  <si>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</si>
  <si>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</si>
  <si>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</si>
  <si>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</si>
  <si>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</si>
  <si>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</si>
  <si>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</si>
  <si>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</si>
  <si>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</si>
  <si>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</si>
  <si>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</si>
  <si>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</si>
  <si>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</si>
  <si>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</si>
  <si>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</si>
  <si>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</si>
  <si>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</si>
  <si>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</si>
  <si>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</si>
  <si>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</si>
  <si>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</si>
  <si>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</si>
  <si>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</si>
  <si>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</si>
  <si>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</si>
  <si>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</si>
  <si>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</si>
  <si>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</si>
  <si>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</si>
  <si>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</si>
  <si>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</si>
  <si>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</si>
  <si>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</si>
  <si>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</si>
  <si>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</si>
  <si>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</si>
  <si>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</si>
  <si>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</si>
  <si>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</si>
  <si>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</si>
  <si>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</si>
  <si>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</si>
  <si>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</si>
  <si>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</si>
  <si>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</si>
  <si>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</si>
  <si>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</si>
  <si>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</si>
  <si>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</si>
  <si>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</si>
  <si>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</si>
  <si>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</si>
  <si>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</si>
  <si>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</si>
  <si>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</si>
  <si>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</si>
  <si>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</si>
  <si>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</si>
  <si>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</si>
  <si>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</si>
  <si>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</si>
  <si>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</si>
  <si>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</si>
  <si>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</si>
  <si>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</si>
  <si>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</si>
  <si>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</si>
  <si>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</si>
  <si>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</si>
  <si>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</si>
  <si>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</si>
  <si>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</si>
  <si>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</si>
  <si>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</si>
  <si>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</si>
  <si>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</si>
  <si>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</si>
  <si>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</si>
  <si>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</si>
  <si>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</si>
  <si>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</si>
  <si>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</si>
  <si>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</si>
  <si>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</si>
  <si>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</si>
  <si>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</si>
  <si>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</si>
  <si>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</si>
  <si>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</si>
  <si>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</si>
  <si>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</si>
  <si>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</si>
  <si>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</si>
  <si>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</si>
  <si>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</si>
  <si>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</si>
  <si>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</si>
  <si>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</si>
  <si>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</si>
  <si>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</si>
  <si>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</si>
  <si>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</si>
  <si>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</si>
  <si>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</si>
  <si>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</si>
  <si>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</si>
  <si>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</si>
  <si>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</si>
  <si>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</si>
  <si>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</si>
  <si>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</si>
  <si>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</si>
  <si>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</si>
  <si>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</si>
  <si>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</si>
  <si>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</si>
  <si>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</si>
  <si>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</si>
  <si>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</si>
  <si>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</si>
  <si>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</si>
  <si>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</si>
  <si>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</si>
  <si>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</si>
  <si>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</si>
  <si>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</si>
  <si>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</si>
  <si>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</si>
  <si>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</si>
  <si>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</si>
  <si>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</si>
  <si>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</si>
  <si>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</si>
  <si>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</si>
  <si>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</si>
  <si>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</si>
  <si>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</si>
  <si>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</si>
  <si>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</si>
  <si>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</si>
  <si>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</si>
  <si>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</si>
  <si>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</si>
  <si>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</si>
  <si>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</si>
  <si>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</si>
  <si>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</si>
  <si>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</si>
  <si>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</si>
  <si>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</si>
  <si>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</si>
  <si>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</si>
  <si>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</si>
  <si>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</si>
  <si>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</si>
  <si>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</si>
  <si>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</si>
  <si>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</si>
  <si>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</si>
  <si>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</si>
  <si>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</si>
  <si>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</si>
  <si>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</si>
  <si>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</si>
  <si>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</si>
  <si>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</si>
  <si>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</si>
  <si>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</si>
  <si>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</si>
  <si>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</si>
  <si>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</si>
  <si>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</si>
  <si>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</si>
  <si>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</si>
  <si>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</si>
  <si>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</si>
  <si>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</si>
  <si>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</si>
  <si>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</si>
  <si>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</si>
  <si>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</si>
  <si>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</si>
  <si>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</si>
  <si>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</si>
  <si>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</si>
  <si>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</si>
  <si>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</si>
  <si>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</si>
  <si>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</si>
  <si>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</si>
  <si>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</si>
  <si>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</si>
  <si>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</si>
  <si>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</si>
  <si>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</si>
  <si>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</si>
  <si>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</si>
  <si>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</si>
  <si>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</si>
  <si>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</si>
  <si>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</si>
  <si>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</si>
  <si>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</si>
  <si>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</si>
  <si>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</si>
  <si>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</si>
  <si>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</si>
  <si>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</si>
  <si>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</si>
  <si>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</si>
  <si>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</si>
  <si>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</si>
  <si>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</si>
  <si>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</si>
  <si>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</si>
  <si>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</si>
  <si>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</si>
  <si>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</si>
  <si>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</si>
  <si>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</si>
  <si>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</si>
  <si>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</si>
  <si>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</si>
  <si>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</si>
  <si>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</si>
  <si>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</si>
  <si>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</si>
  <si>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</si>
  <si>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</si>
  <si>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</si>
  <si>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</si>
  <si>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</si>
  <si>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</si>
  <si>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</si>
  <si>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</si>
  <si>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</si>
  <si>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</si>
  <si>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</si>
  <si>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</si>
  <si>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</si>
  <si>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</si>
  <si>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</si>
  <si>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</si>
  <si>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</si>
  <si>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</si>
  <si>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</si>
  <si>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</si>
  <si>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</si>
  <si>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</si>
  <si>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</si>
  <si>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</si>
  <si>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</si>
  <si>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</si>
  <si>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</si>
  <si>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</si>
  <si>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</si>
  <si>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</si>
  <si>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</si>
  <si>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</si>
  <si>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</si>
  <si>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</si>
  <si>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</si>
  <si>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</si>
  <si>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</si>
  <si>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</si>
  <si>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</si>
  <si>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</si>
  <si>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</si>
  <si>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</si>
  <si>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</si>
  <si>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</si>
  <si>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</si>
  <si>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</si>
  <si>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</si>
  <si>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</si>
  <si>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</si>
  <si>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</si>
  <si>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</si>
  <si>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</si>
  <si>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</si>
  <si>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</si>
  <si>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</si>
  <si>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</si>
  <si>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</si>
  <si>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</si>
  <si>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</si>
  <si>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</si>
  <si>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</si>
  <si>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</si>
  <si>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</si>
  <si>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</si>
  <si>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</si>
  <si>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</si>
  <si>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</si>
  <si>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</si>
  <si>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</si>
  <si>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</si>
  <si>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</si>
  <si>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</si>
  <si>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</si>
  <si>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</si>
  <si>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</si>
  <si>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</si>
  <si>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</si>
  <si>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</si>
  <si>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</si>
  <si>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</si>
  <si>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</si>
  <si>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</si>
  <si>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</si>
  <si>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</si>
  <si>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</si>
  <si>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</si>
  <si>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</si>
  <si>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</si>
  <si>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</si>
  <si>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</si>
  <si>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</si>
  <si>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</si>
  <si>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</si>
  <si>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</si>
  <si>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</si>
  <si>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</si>
  <si>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</si>
  <si>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</si>
  <si>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</si>
  <si>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</si>
  <si>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</si>
  <si>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</si>
  <si>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</si>
  <si>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</si>
  <si>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</si>
  <si>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</si>
  <si>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</si>
  <si>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</si>
  <si>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</si>
  <si>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</si>
  <si>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</si>
  <si>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</si>
  <si>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</si>
  <si>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</si>
  <si>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</si>
  <si>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</si>
  <si>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</si>
  <si>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</si>
  <si>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</si>
  <si>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</si>
  <si>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</si>
  <si>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</si>
  <si>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</si>
  <si>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</si>
  <si>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</si>
  <si>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</si>
  <si>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</si>
  <si>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</si>
  <si>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</si>
  <si>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</si>
  <si>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</si>
  <si>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</si>
  <si>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</si>
  <si>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</si>
  <si>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</si>
  <si>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</si>
  <si>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</si>
  <si>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</si>
  <si>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</si>
  <si>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</si>
  <si>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</si>
  <si>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</si>
  <si>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</si>
  <si>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</si>
  <si>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</si>
  <si>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</si>
  <si>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</si>
  <si>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</si>
  <si>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</si>
  <si>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</si>
  <si>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</si>
  <si>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</si>
  <si>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</si>
  <si>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</si>
  <si>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</si>
  <si>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</si>
  <si>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</si>
  <si>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</si>
  <si>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</si>
  <si>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</si>
  <si>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</si>
  <si>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</si>
  <si>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</si>
  <si>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</si>
  <si>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</si>
  <si>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</si>
  <si>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</si>
  <si>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</si>
  <si>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</si>
  <si>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</si>
  <si>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</si>
  <si>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</si>
  <si>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</si>
  <si>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</si>
  <si>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</si>
  <si>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</si>
  <si>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</si>
  <si>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</si>
  <si>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</si>
  <si>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</si>
  <si>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</si>
  <si>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</si>
  <si>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</si>
  <si>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</si>
  <si>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</si>
  <si>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</si>
  <si>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</si>
  <si>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</si>
  <si>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</si>
  <si>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</si>
  <si>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</si>
  <si>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</si>
  <si>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</si>
  <si>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</si>
  <si>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</si>
  <si>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</si>
  <si>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</si>
  <si>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</si>
  <si>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</si>
  <si>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</si>
  <si>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</si>
  <si>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</si>
  <si>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</si>
  <si>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</si>
  <si>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</si>
  <si>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</si>
  <si>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</si>
  <si>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</si>
  <si>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</si>
  <si>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</si>
  <si>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</si>
  <si>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</si>
  <si>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</si>
  <si>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</si>
  <si>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</si>
  <si>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</si>
  <si>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</si>
  <si>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</si>
  <si>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</si>
  <si>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</si>
  <si>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</si>
  <si>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</si>
  <si>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</si>
  <si>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</si>
  <si>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</si>
  <si>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</si>
  <si>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</si>
  <si>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</si>
  <si>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</si>
  <si>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</si>
  <si>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</si>
  <si>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</si>
  <si>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</si>
  <si>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</si>
  <si>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</si>
  <si>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</si>
  <si>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</si>
  <si>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</si>
  <si>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</si>
  <si>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</si>
  <si>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</si>
  <si>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</si>
  <si>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</si>
  <si>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</si>
  <si>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</si>
  <si>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</si>
  <si>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</si>
  <si>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</si>
  <si>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</si>
  <si>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</si>
  <si>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</si>
  <si>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</si>
  <si>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</si>
  <si>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</si>
  <si>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</si>
  <si>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</si>
  <si>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</si>
  <si>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</si>
  <si>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</si>
  <si>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</si>
  <si>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</si>
  <si>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</si>
  <si>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</si>
  <si>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</si>
  <si>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</si>
  <si>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</si>
  <si>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</si>
  <si>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</si>
  <si>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</si>
  <si>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</si>
  <si>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</si>
  <si>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</si>
  <si>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</si>
  <si>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</si>
  <si>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</si>
  <si>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</si>
  <si>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</si>
  <si>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</si>
  <si>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</si>
  <si>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</si>
  <si>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</si>
  <si>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</si>
  <si>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</si>
  <si>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</si>
  <si>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</si>
  <si>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</si>
  <si>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</si>
  <si>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</si>
  <si>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</si>
  <si>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</si>
  <si>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</si>
  <si>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</si>
  <si>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</si>
  <si>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</si>
  <si>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</si>
  <si>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</si>
  <si>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</si>
  <si>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</si>
  <si>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</si>
  <si>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</si>
  <si>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</si>
  <si>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</si>
  <si>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</si>
  <si>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</si>
  <si>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</si>
  <si>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</si>
  <si>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</si>
  <si>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</si>
  <si>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</si>
  <si>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</si>
  <si>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</si>
  <si>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</si>
  <si>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</si>
  <si>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</si>
  <si>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</si>
  <si>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</si>
  <si>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</si>
  <si>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</si>
  <si>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</si>
  <si>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</si>
  <si>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</si>
  <si>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</si>
  <si>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</si>
  <si>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</si>
  <si>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</si>
  <si>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</si>
  <si>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</si>
  <si>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</si>
  <si>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</si>
  <si>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</si>
  <si>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</si>
  <si>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</si>
  <si>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</si>
  <si>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</si>
  <si>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</si>
  <si>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</si>
  <si>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</si>
  <si>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</si>
  <si>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</si>
  <si>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</si>
  <si>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</si>
  <si>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</si>
  <si>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</si>
  <si>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</si>
  <si>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</si>
  <si>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</si>
  <si>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</si>
  <si>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</si>
  <si>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</si>
  <si>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</si>
  <si>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</si>
  <si>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</si>
  <si>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</si>
  <si>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</si>
  <si>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</si>
  <si>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</si>
  <si>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</si>
  <si>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</si>
  <si>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</si>
  <si>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</si>
  <si>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</si>
  <si>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</si>
  <si>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</si>
  <si>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</si>
  <si>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</si>
  <si>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</si>
  <si>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</si>
  <si>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</si>
  <si>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</si>
  <si>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</si>
  <si>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</si>
  <si>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</si>
  <si>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</si>
  <si>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</si>
  <si>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</si>
  <si>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</si>
  <si>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</si>
  <si>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</si>
  <si>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</si>
  <si>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</si>
  <si>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</si>
  <si>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</si>
  <si>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</si>
  <si>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</si>
  <si>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</si>
  <si>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</si>
  <si>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</si>
  <si>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</si>
  <si>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</si>
  <si>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</si>
  <si>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</si>
  <si>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</si>
  <si>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</si>
  <si>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</si>
  <si>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</si>
  <si>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</si>
  <si>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</si>
  <si>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</si>
  <si>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</si>
  <si>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</si>
  <si>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</si>
  <si>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</si>
  <si>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</si>
  <si>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</si>
  <si>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</si>
  <si>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</si>
  <si>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</si>
  <si>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</si>
  <si>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</si>
  <si>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</si>
  <si>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</si>
  <si>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</si>
  <si>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</si>
  <si>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</si>
  <si>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</si>
  <si>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</si>
  <si>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</si>
  <si>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</si>
  <si>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</si>
  <si>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</si>
  <si>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</si>
  <si>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</si>
  <si>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</si>
  <si>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</si>
  <si>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</si>
  <si>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</si>
  <si>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</si>
  <si>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</si>
  <si>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</si>
  <si>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</si>
  <si>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</si>
  <si>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</si>
  <si>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</si>
  <si>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</si>
  <si>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</si>
  <si>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</si>
  <si>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</si>
  <si>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</si>
  <si>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</si>
  <si>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</si>
  <si>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</si>
  <si>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</si>
  <si>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</si>
  <si>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</si>
  <si>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</si>
  <si>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</si>
  <si>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</si>
  <si>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</si>
  <si>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</si>
  <si>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</si>
  <si>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</si>
  <si>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</si>
  <si>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</si>
  <si>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</si>
  <si>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</si>
  <si>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</si>
  <si>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</si>
  <si>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</si>
  <si>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</si>
  <si>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</si>
  <si>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</si>
  <si>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</si>
  <si>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</si>
  <si>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</si>
  <si>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</si>
  <si>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</si>
  <si>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</si>
  <si>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</si>
  <si>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</si>
  <si>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</si>
  <si>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</si>
  <si>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</si>
  <si>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</si>
  <si>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</si>
  <si>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</si>
  <si>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</si>
  <si>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</si>
  <si>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</si>
  <si>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</si>
  <si>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</si>
  <si>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</si>
  <si>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</si>
  <si>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</si>
  <si>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</si>
  <si>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</si>
  <si>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</si>
  <si>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</si>
  <si>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</si>
  <si>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</si>
  <si>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</si>
  <si>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</si>
  <si>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</si>
  <si>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</si>
  <si>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</si>
  <si>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</si>
  <si>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</si>
  <si>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</si>
  <si>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</si>
  <si>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</si>
  <si>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</si>
  <si>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</si>
  <si>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</si>
  <si>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</si>
  <si>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</si>
  <si>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</si>
  <si>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</si>
  <si>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</si>
  <si>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</si>
  <si>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</si>
  <si>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</si>
  <si>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</si>
  <si>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</si>
  <si>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</si>
  <si>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</si>
  <si>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</si>
  <si>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</si>
  <si>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</si>
  <si>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</si>
  <si>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</si>
  <si>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</si>
  <si>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</si>
  <si>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</si>
  <si>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</si>
  <si>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</si>
  <si>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</si>
  <si>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</si>
  <si>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</si>
  <si>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</si>
  <si>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</si>
  <si>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</si>
  <si>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</si>
  <si>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</si>
  <si>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</si>
  <si>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</si>
  <si>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</si>
  <si>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</si>
  <si>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</si>
  <si>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</si>
  <si>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</si>
  <si>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</si>
  <si>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</si>
  <si>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</si>
  <si>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</si>
  <si>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</si>
  <si>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</si>
  <si>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</si>
  <si>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</si>
  <si>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</si>
  <si>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</si>
  <si>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</si>
  <si>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</si>
  <si>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</si>
  <si>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</si>
  <si>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</si>
  <si>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</si>
  <si>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</si>
  <si>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</si>
  <si>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</si>
  <si>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</si>
  <si>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</si>
  <si>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</si>
  <si>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</si>
  <si>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</si>
  <si>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</si>
  <si>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</si>
  <si>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</si>
  <si>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</si>
  <si>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</si>
  <si>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</si>
  <si>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</si>
  <si>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</si>
  <si>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</si>
  <si>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</si>
  <si>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</si>
  <si>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</si>
  <si>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</si>
  <si>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</si>
  <si>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</si>
  <si>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</si>
  <si>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</si>
  <si>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</si>
  <si>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</si>
  <si>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</si>
  <si>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</si>
  <si>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</si>
  <si>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</si>
  <si>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</si>
  <si>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</si>
  <si>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</si>
  <si>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</si>
  <si>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</si>
  <si>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</si>
  <si>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</si>
  <si>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</si>
  <si>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</si>
  <si>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</si>
  <si>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</si>
  <si>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</si>
  <si>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</si>
  <si>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</si>
  <si>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</si>
  <si>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</si>
  <si>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</si>
  <si>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</si>
  <si>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</si>
  <si>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</si>
  <si>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</si>
  <si>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</si>
  <si>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</si>
  <si>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</si>
  <si>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</si>
  <si>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</si>
  <si>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</si>
  <si>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</si>
  <si>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</si>
  <si>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</si>
  <si>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</si>
  <si>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</si>
  <si>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</si>
  <si>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</si>
  <si>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</si>
  <si>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</si>
  <si>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</si>
  <si>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</si>
  <si>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</si>
  <si>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</si>
  <si>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</si>
  <si>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</si>
  <si>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</si>
  <si>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</si>
  <si>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</si>
  <si>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</si>
  <si>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</si>
  <si>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</si>
  <si>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</si>
  <si>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</si>
  <si>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</si>
  <si>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</si>
  <si>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</si>
  <si>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</si>
  <si>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</si>
  <si>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</si>
  <si>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</si>
  <si>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</si>
  <si>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</si>
  <si>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</si>
  <si>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</si>
  <si>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</si>
  <si>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</si>
  <si>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</si>
  <si>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</si>
  <si>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</si>
  <si>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</si>
  <si>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</si>
  <si>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</si>
  <si>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</si>
  <si>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</si>
  <si>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</si>
  <si>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</si>
  <si>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</si>
  <si>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</si>
  <si>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</si>
  <si>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</si>
  <si>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</si>
  <si>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</si>
  <si>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</si>
  <si>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</si>
  <si>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</si>
  <si>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</si>
  <si>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</si>
  <si>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</si>
  <si>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</si>
  <si>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</si>
  <si>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</si>
  <si>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</si>
  <si>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</si>
  <si>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</si>
  <si>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</si>
  <si>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</si>
  <si>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</si>
  <si>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</si>
  <si>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</si>
  <si>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</si>
  <si>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</si>
  <si>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</si>
  <si>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</si>
  <si>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</si>
  <si>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</si>
  <si>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</si>
  <si>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</si>
  <si>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</si>
  <si>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</si>
  <si>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</si>
  <si>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</si>
  <si>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</si>
  <si>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</si>
  <si>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</si>
  <si>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</si>
  <si>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</si>
  <si>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</si>
  <si>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</si>
  <si>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</si>
  <si>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</si>
  <si>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</si>
  <si>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</si>
  <si>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</si>
  <si>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</si>
  <si>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</si>
  <si>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</si>
  <si>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</si>
  <si>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</si>
  <si>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</si>
  <si>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</si>
  <si>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</si>
  <si>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</si>
  <si>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</si>
  <si>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</si>
  <si>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</si>
  <si>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</si>
  <si>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</si>
  <si>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</si>
  <si>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</si>
  <si>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</si>
  <si>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</si>
  <si>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</si>
  <si>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</si>
  <si>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</si>
  <si>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</si>
  <si>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</si>
  <si>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</si>
  <si>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</si>
  <si>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</si>
  <si>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</si>
  <si>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</si>
  <si>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</si>
  <si>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</si>
  <si>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</si>
  <si>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</si>
  <si>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</si>
  <si>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</si>
  <si>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</si>
  <si>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</si>
  <si>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</si>
  <si>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</si>
  <si>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</si>
  <si>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</si>
  <si>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</si>
  <si>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</si>
  <si>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</si>
  <si>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</si>
  <si>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</si>
  <si>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</si>
  <si>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</si>
  <si>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</si>
  <si>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</si>
  <si>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</si>
  <si>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</si>
  <si>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</si>
  <si>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</si>
  <si>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</si>
  <si>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</si>
  <si>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</si>
  <si>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</si>
  <si>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</si>
  <si>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</si>
  <si>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</si>
  <si>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</si>
  <si>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</si>
  <si>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</si>
  <si>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</si>
  <si>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</si>
  <si>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</si>
  <si>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</si>
  <si>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</si>
  <si>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</si>
  <si>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</si>
  <si>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</si>
  <si>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</si>
  <si>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</si>
  <si>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</si>
  <si>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</si>
  <si>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</si>
  <si>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</si>
  <si>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</si>
  <si>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</si>
  <si>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</si>
  <si>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</si>
  <si>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</si>
  <si>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</si>
  <si>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</si>
  <si>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</si>
  <si>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</si>
  <si>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</si>
  <si>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</si>
  <si>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</si>
  <si>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</si>
  <si>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</si>
  <si>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</si>
  <si>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</si>
  <si>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</si>
  <si>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</si>
  <si>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</si>
  <si>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</si>
  <si>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</si>
  <si>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</si>
  <si>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</si>
  <si>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</si>
  <si>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</si>
  <si>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</si>
  <si>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</si>
  <si>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</si>
  <si>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</si>
  <si>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</si>
  <si>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</si>
  <si>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</si>
  <si>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</si>
  <si>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</si>
  <si>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</si>
  <si>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</si>
  <si>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</si>
  <si>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</si>
  <si>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</si>
  <si>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</si>
  <si>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</si>
  <si>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</si>
  <si>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</si>
  <si>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</si>
  <si>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</si>
  <si>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</si>
  <si>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</si>
  <si>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</si>
  <si>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</si>
  <si>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</si>
  <si>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</si>
  <si>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</si>
  <si>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</si>
  <si>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</si>
  <si>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</si>
  <si>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</si>
  <si>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</si>
  <si>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</si>
  <si>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</si>
  <si>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</si>
  <si>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</si>
  <si>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</si>
  <si>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</si>
  <si>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</si>
  <si>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</si>
  <si>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</si>
  <si>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</si>
  <si>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</si>
  <si>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</si>
  <si>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</si>
  <si>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</si>
  <si>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</si>
  <si>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</si>
  <si>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</si>
  <si>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</si>
  <si>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</si>
  <si>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</si>
  <si>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</si>
  <si>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</si>
  <si>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</si>
  <si>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</si>
  <si>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</si>
  <si>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</si>
  <si>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</si>
  <si>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</si>
  <si>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</si>
  <si>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</si>
  <si>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</si>
  <si>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</si>
  <si>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</si>
  <si>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</si>
  <si>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</si>
  <si>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</si>
  <si>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</si>
  <si>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</si>
  <si>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</si>
  <si>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</si>
  <si>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</si>
  <si>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</si>
  <si>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</si>
  <si>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</si>
  <si>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</si>
  <si>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</si>
  <si>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</si>
  <si>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</si>
  <si>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</si>
  <si>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</si>
  <si>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</si>
  <si>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</si>
  <si>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</si>
  <si>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</si>
  <si>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</si>
  <si>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</si>
  <si>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</si>
  <si>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</si>
  <si>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</si>
  <si>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</si>
  <si>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</si>
  <si>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</si>
  <si>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</si>
  <si>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</si>
  <si>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</si>
  <si>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</si>
  <si>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</si>
  <si>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</si>
  <si>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</si>
  <si>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</si>
  <si>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</si>
  <si>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</si>
  <si>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</si>
  <si>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</si>
  <si>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</si>
  <si>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</si>
  <si>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</si>
  <si>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</si>
  <si>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</si>
  <si>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</si>
  <si>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</si>
  <si>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</si>
  <si>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</si>
  <si>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</si>
  <si>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</si>
  <si>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</si>
  <si>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</si>
  <si>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</si>
  <si>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</si>
  <si>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</si>
  <si>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</si>
  <si>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</si>
  <si>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</si>
  <si>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</si>
  <si>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</si>
  <si>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</si>
  <si>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</si>
  <si>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</si>
  <si>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</si>
  <si>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</si>
  <si>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</si>
  <si>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</si>
  <si>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</si>
  <si>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</si>
  <si>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</si>
  <si>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</si>
  <si>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</si>
  <si>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</si>
  <si>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</si>
  <si>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</si>
  <si>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</si>
  <si>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</si>
  <si>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</si>
  <si>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</si>
  <si>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</si>
  <si>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</si>
  <si>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</si>
  <si>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</si>
  <si>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</si>
  <si>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</si>
  <si>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</si>
  <si>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</si>
  <si>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</si>
  <si>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</si>
  <si>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</si>
  <si>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</si>
  <si>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</si>
  <si>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</si>
  <si>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</si>
  <si>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</si>
  <si>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</si>
  <si>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</si>
  <si>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</si>
  <si>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</si>
  <si>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</si>
  <si>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</si>
  <si>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</si>
  <si>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</si>
  <si>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</si>
  <si>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</si>
  <si>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</si>
  <si>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</si>
  <si>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</si>
  <si>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</si>
  <si>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</si>
  <si>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</si>
  <si>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</si>
  <si>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</si>
  <si>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</si>
  <si>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</si>
  <si>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</si>
  <si>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</si>
  <si>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</si>
  <si>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</si>
  <si>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</si>
  <si>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</si>
  <si>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</si>
  <si>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</si>
  <si>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</si>
  <si>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</si>
  <si>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</si>
  <si>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</si>
  <si>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</si>
  <si>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</si>
  <si>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</si>
  <si>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</si>
  <si>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</si>
  <si>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</si>
  <si>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</si>
  <si>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</si>
  <si>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</si>
  <si>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</si>
  <si>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</si>
  <si>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</si>
  <si>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</si>
  <si>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</si>
  <si>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</si>
  <si>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</si>
  <si>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</si>
  <si>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</si>
  <si>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</si>
  <si>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</si>
  <si>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</si>
  <si>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</si>
  <si>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</si>
  <si>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</si>
  <si>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</si>
  <si>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</si>
  <si>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</si>
  <si>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</si>
  <si>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</si>
  <si>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</si>
  <si>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</si>
  <si>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</si>
  <si>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</si>
  <si>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</si>
  <si>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</si>
  <si>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</si>
  <si>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</si>
  <si>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</si>
  <si>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</si>
  <si>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</si>
  <si>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</si>
  <si>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</si>
  <si>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</si>
  <si>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</si>
  <si>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</si>
  <si>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</si>
  <si>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</si>
  <si>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</si>
  <si>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</si>
  <si>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</si>
  <si>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</si>
  <si>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</si>
  <si>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</si>
  <si>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</si>
  <si>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</si>
  <si>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</si>
  <si>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</si>
  <si>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</si>
  <si>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</si>
  <si>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</si>
  <si>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</si>
  <si>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</si>
  <si>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</si>
  <si>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</si>
  <si>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</si>
  <si>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</si>
  <si>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</si>
  <si>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</si>
  <si>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</si>
  <si>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</si>
  <si>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</si>
  <si>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</si>
  <si>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</si>
  <si>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</si>
  <si>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</si>
  <si>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</si>
  <si>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</si>
  <si>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</si>
  <si>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</si>
  <si>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</si>
  <si>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</si>
  <si>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</si>
  <si>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</si>
  <si>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</si>
  <si>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</si>
  <si>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</si>
  <si>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</si>
  <si>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</si>
  <si>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</si>
  <si>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</si>
  <si>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</si>
  <si>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</si>
  <si>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</si>
  <si>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</si>
  <si>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</si>
  <si>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</si>
  <si>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</si>
  <si>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</si>
  <si>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</si>
  <si>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</si>
  <si>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</si>
  <si>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</si>
  <si>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</si>
  <si>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</si>
  <si>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</si>
  <si>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</si>
  <si>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</si>
  <si>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</si>
  <si>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</si>
  <si>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</si>
  <si>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</si>
  <si>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</si>
  <si>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</si>
  <si>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</si>
  <si>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</si>
  <si>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</si>
  <si>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</si>
  <si>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</si>
  <si>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</si>
  <si>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</si>
  <si>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</si>
  <si>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</si>
  <si>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</si>
  <si>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</si>
  <si>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</si>
  <si>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</si>
  <si>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</si>
  <si>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</si>
  <si>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</si>
  <si>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</si>
  <si>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</si>
  <si>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</si>
  <si>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</si>
  <si>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</si>
  <si>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</si>
  <si>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</si>
  <si>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</si>
  <si>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</si>
  <si>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</si>
  <si>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</si>
  <si>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</si>
  <si>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</si>
  <si>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</si>
  <si>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</si>
  <si>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</si>
  <si>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</si>
  <si>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</si>
  <si>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</si>
  <si>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</si>
  <si>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</si>
  <si>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</si>
  <si>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</si>
  <si>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</si>
  <si>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</si>
  <si>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</si>
  <si>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</si>
  <si>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</si>
  <si>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</si>
  <si>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</si>
  <si>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</si>
  <si>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</si>
  <si>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</si>
  <si>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</si>
  <si>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</si>
  <si>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</si>
  <si>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</si>
  <si>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</si>
  <si>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</si>
  <si>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</si>
  <si>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</si>
  <si>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</si>
  <si>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</si>
  <si>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</si>
  <si>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</si>
  <si>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</si>
  <si>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</si>
  <si>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</si>
  <si>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</si>
  <si>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</si>
  <si>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</si>
  <si>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</si>
  <si>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</si>
  <si>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</si>
  <si>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</si>
  <si>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</si>
  <si>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</si>
  <si>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</si>
  <si>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</si>
  <si>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</si>
  <si>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</si>
  <si>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</si>
  <si>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</si>
  <si>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</si>
  <si>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</si>
  <si>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</si>
  <si>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</si>
  <si>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</si>
  <si>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</si>
  <si>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</si>
  <si>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</si>
  <si>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</si>
  <si>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</si>
  <si>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</si>
  <si>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</si>
  <si>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</si>
  <si>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</si>
  <si>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</si>
  <si>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</si>
  <si>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</si>
  <si>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</si>
  <si>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</si>
  <si>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</si>
  <si>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</si>
  <si>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</si>
  <si>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</si>
  <si>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</si>
  <si>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</si>
  <si>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</si>
  <si>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</si>
  <si>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</si>
  <si>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</si>
  <si>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</si>
  <si>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</si>
  <si>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</si>
  <si>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</si>
  <si>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</si>
  <si>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</si>
  <si>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</si>
  <si>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</si>
  <si>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</si>
  <si>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</si>
  <si>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</si>
  <si>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</si>
  <si>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</si>
  <si>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</si>
  <si>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</si>
  <si>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</si>
  <si>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</si>
  <si>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</si>
  <si>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</si>
  <si>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</si>
  <si>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</si>
  <si>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</si>
  <si>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</si>
  <si>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</si>
  <si>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</si>
  <si>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</si>
  <si>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</si>
  <si>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</si>
  <si>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</si>
  <si>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</si>
  <si>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</si>
  <si>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</si>
  <si>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</si>
  <si>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</si>
  <si>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</si>
  <si>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</si>
  <si>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</si>
  <si>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</si>
  <si>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</si>
  <si>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</si>
  <si>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</si>
  <si>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</si>
  <si>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</si>
  <si>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</si>
  <si>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</si>
  <si>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</si>
  <si>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</si>
  <si>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</si>
  <si>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</si>
  <si>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</si>
  <si>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</si>
  <si>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</si>
  <si>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</si>
  <si>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</si>
  <si>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</si>
  <si>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</si>
  <si>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</si>
  <si>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</si>
  <si>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</si>
  <si>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</si>
  <si>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</si>
  <si>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</si>
  <si>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</si>
  <si>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</si>
  <si>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</si>
  <si>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</si>
  <si>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</si>
  <si>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</si>
  <si>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</si>
  <si>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</si>
  <si>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</si>
  <si>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</si>
  <si>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</si>
  <si>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</si>
  <si>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</si>
  <si>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</si>
  <si>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</si>
  <si>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</si>
  <si>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</si>
  <si>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</si>
  <si>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</si>
  <si>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</si>
  <si>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</si>
  <si>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</si>
  <si>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</si>
  <si>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</si>
  <si>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</si>
  <si>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</si>
  <si>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</si>
  <si>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</si>
  <si>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</si>
  <si>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</si>
  <si>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</si>
  <si>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</si>
  <si>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</si>
  <si>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</si>
  <si>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</si>
  <si>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</si>
  <si>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</si>
  <si>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</si>
  <si>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</si>
  <si>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</si>
  <si>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</si>
  <si>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</si>
  <si>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</si>
  <si>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</si>
  <si>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</si>
  <si>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</si>
  <si>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</si>
  <si>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</si>
  <si>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</si>
  <si>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</si>
  <si>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</si>
  <si>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</si>
  <si>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</si>
  <si>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</si>
  <si>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</si>
  <si>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</si>
  <si>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</si>
  <si>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</si>
  <si>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</si>
  <si>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</si>
  <si>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</si>
  <si>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</si>
  <si>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</si>
  <si>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</si>
  <si>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</si>
  <si>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</si>
  <si>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</si>
  <si>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</si>
  <si>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</si>
  <si>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</si>
  <si>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</si>
  <si>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</si>
  <si>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</si>
  <si>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</si>
  <si>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</si>
  <si>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</si>
  <si>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</si>
  <si>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</si>
  <si>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</si>
  <si>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</si>
  <si>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</si>
  <si>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</si>
  <si>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</si>
  <si>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</si>
  <si>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</si>
  <si>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</si>
  <si>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</si>
  <si>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</si>
  <si>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</si>
  <si>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</si>
  <si>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</si>
  <si>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</si>
  <si>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</si>
  <si>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</si>
  <si>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</si>
  <si>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</si>
  <si>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</si>
  <si>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</si>
  <si>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</si>
  <si>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</si>
  <si>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</si>
  <si>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</si>
  <si>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</si>
  <si>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</si>
  <si>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</si>
  <si>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</si>
  <si>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</si>
  <si>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</si>
  <si>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</si>
  <si>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</si>
  <si>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</si>
  <si>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</si>
  <si>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</si>
  <si>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</si>
  <si>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</si>
  <si>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</si>
  <si>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</si>
  <si>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</si>
  <si>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</si>
  <si>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</si>
  <si>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</si>
  <si>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</si>
  <si>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</si>
  <si>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</si>
  <si>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</si>
  <si>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</si>
  <si>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</si>
  <si>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</si>
  <si>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</si>
  <si>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</si>
  <si>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</si>
  <si>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</si>
  <si>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</si>
  <si>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</si>
  <si>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</si>
  <si>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</si>
  <si>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</si>
  <si>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</si>
  <si>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</si>
  <si>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</si>
  <si>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</si>
  <si>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</si>
  <si>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</si>
  <si>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</si>
  <si>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</si>
  <si>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</si>
  <si>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</si>
  <si>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</si>
  <si>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</si>
  <si>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</si>
  <si>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</si>
  <si>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</si>
  <si>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</si>
  <si>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</si>
  <si>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</si>
  <si>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</si>
  <si>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</si>
  <si>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</si>
  <si>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</si>
  <si>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</si>
  <si>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</si>
  <si>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</si>
  <si>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</si>
  <si>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</si>
  <si>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</si>
  <si>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</si>
  <si>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</si>
  <si>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</si>
  <si>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</si>
  <si>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</si>
  <si>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</si>
  <si>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</si>
  <si>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</si>
  <si>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</si>
  <si>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</si>
  <si>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</si>
  <si>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</si>
  <si>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</si>
  <si>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</si>
  <si>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</si>
  <si>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</si>
  <si>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</si>
  <si>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</si>
  <si>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</si>
  <si>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</si>
  <si>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</si>
  <si>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</si>
  <si>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</si>
  <si>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</si>
  <si>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</si>
  <si>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</si>
  <si>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</si>
  <si>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</si>
  <si>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</si>
  <si>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</si>
  <si>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</si>
  <si>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</si>
  <si>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</si>
  <si>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</si>
  <si>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</si>
  <si>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</si>
  <si>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</si>
  <si>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</si>
  <si>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</si>
  <si>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</si>
  <si>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</si>
  <si>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</si>
  <si>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</si>
  <si>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</si>
  <si>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</si>
  <si>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</si>
  <si>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</si>
  <si>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</si>
  <si>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</si>
  <si>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</si>
  <si>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</si>
  <si>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</si>
  <si>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</si>
  <si>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</si>
  <si>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</si>
  <si>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</si>
  <si>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</si>
  <si>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</si>
  <si>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</si>
  <si>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</si>
  <si>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</si>
  <si>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</si>
  <si>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</si>
  <si>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</si>
  <si>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</si>
  <si>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</si>
  <si>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</si>
  <si>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</si>
  <si>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</si>
  <si>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</si>
  <si>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</si>
  <si>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</si>
  <si>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</si>
  <si>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</si>
  <si>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</si>
  <si>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</si>
  <si>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</si>
  <si>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</si>
  <si>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</si>
  <si>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</si>
  <si>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</si>
  <si>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</si>
  <si>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</si>
  <si>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</si>
  <si>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</si>
  <si>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</si>
  <si>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</si>
  <si>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</si>
  <si>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</si>
  <si>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</si>
  <si>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</si>
  <si>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</si>
  <si>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</si>
  <si>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</si>
  <si>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</si>
  <si>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</si>
  <si>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</si>
  <si>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</si>
  <si>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</si>
  <si>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</si>
  <si>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</si>
  <si>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</si>
  <si>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</si>
  <si>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</si>
  <si>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</si>
  <si>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</si>
  <si>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</si>
  <si>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</si>
  <si>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</si>
  <si>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</si>
  <si>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</si>
  <si>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</si>
  <si>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</si>
  <si>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</si>
  <si>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</si>
  <si>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</si>
  <si>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</si>
  <si>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</si>
  <si>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</si>
  <si>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</si>
  <si>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</si>
  <si>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</si>
  <si>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</si>
  <si>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</si>
  <si>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</si>
  <si>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</si>
  <si>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</si>
  <si>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</si>
  <si>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</si>
  <si>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</si>
  <si>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</si>
  <si>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</si>
  <si>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</si>
  <si>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</si>
  <si>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</si>
  <si>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</si>
  <si>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</si>
  <si>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</si>
  <si>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</si>
  <si>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</si>
  <si>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</si>
  <si>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</si>
  <si>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</si>
  <si>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</si>
  <si>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</si>
  <si>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</si>
  <si>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</si>
  <si>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</si>
  <si>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</si>
  <si>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</si>
  <si>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</si>
  <si>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</si>
  <si>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</si>
  <si>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</si>
  <si>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</si>
  <si>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</si>
  <si>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</si>
  <si>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</si>
  <si>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</si>
  <si>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</si>
  <si>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</si>
  <si>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</si>
  <si>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</si>
  <si>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</si>
  <si>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</si>
  <si>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</si>
  <si>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</si>
  <si>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</si>
  <si>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</si>
  <si>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</si>
  <si>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</si>
  <si>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</si>
  <si>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</si>
  <si>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</si>
  <si>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</si>
  <si>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</si>
  <si>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</si>
  <si>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</si>
  <si>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</si>
  <si>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</si>
  <si>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</si>
  <si>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</si>
  <si>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</si>
  <si>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</si>
  <si>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</si>
  <si>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</si>
  <si>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</si>
  <si>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</si>
  <si>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</si>
  <si>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</si>
  <si>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</si>
  <si>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</si>
  <si>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</si>
  <si>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</si>
  <si>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</si>
  <si>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</si>
  <si>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</si>
  <si>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</si>
  <si>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</si>
  <si>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</si>
  <si>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</si>
  <si>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</si>
  <si>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</si>
  <si>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</si>
  <si>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</si>
  <si>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</si>
  <si>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</si>
  <si>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</si>
  <si>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</si>
  <si>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</si>
  <si>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</si>
  <si>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</si>
  <si>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</si>
  <si>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</si>
  <si>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</si>
  <si>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</si>
  <si>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</si>
  <si>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</si>
  <si>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</si>
  <si>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</si>
  <si>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</si>
  <si>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</si>
  <si>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</si>
  <si>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</si>
  <si>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</si>
  <si>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</si>
  <si>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</si>
  <si>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</si>
  <si>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</si>
  <si>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</si>
  <si>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</si>
  <si>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</si>
  <si>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</si>
  <si>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</si>
  <si>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</si>
  <si>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</si>
  <si>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</si>
  <si>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</si>
  <si>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</si>
  <si>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</si>
  <si>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</si>
  <si>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</si>
  <si>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</si>
  <si>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</si>
  <si>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</si>
  <si>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</si>
  <si>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</si>
  <si>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</si>
  <si>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</si>
  <si>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</si>
  <si>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</si>
  <si>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</si>
  <si>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</si>
  <si>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</si>
  <si>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</si>
  <si>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</si>
  <si>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</si>
  <si>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</si>
  <si>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</si>
  <si>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</si>
  <si>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</si>
  <si>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</si>
  <si>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</si>
  <si>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</si>
  <si>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</si>
  <si>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</si>
  <si>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</si>
  <si>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</si>
  <si>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</si>
  <si>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</si>
  <si>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</si>
  <si>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</si>
  <si>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</si>
  <si>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</si>
  <si>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</si>
  <si>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</si>
  <si>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</si>
  <si>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</si>
  <si>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</si>
  <si>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</si>
  <si>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</si>
  <si>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</si>
  <si>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</si>
  <si>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</si>
  <si>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</si>
  <si>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</si>
  <si>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</si>
  <si>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</si>
  <si>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</si>
  <si>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</si>
  <si>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</si>
  <si>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</si>
  <si>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</si>
  <si>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</si>
  <si>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</si>
  <si>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</si>
  <si>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</si>
  <si>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</si>
  <si>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</si>
  <si>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</si>
  <si>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</si>
  <si>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</si>
  <si>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</si>
  <si>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</si>
  <si>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</si>
  <si>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</si>
  <si>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</si>
  <si>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</si>
  <si>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</si>
  <si>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</si>
  <si>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</si>
  <si>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</si>
  <si>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</si>
  <si>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</si>
  <si>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</si>
  <si>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</si>
  <si>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</si>
  <si>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</si>
  <si>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</si>
  <si>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</si>
  <si>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</si>
  <si>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</si>
  <si>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</si>
  <si>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</si>
  <si>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</si>
  <si>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</si>
  <si>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</si>
  <si>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</si>
  <si>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</si>
  <si>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</si>
  <si>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</si>
  <si>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</si>
  <si>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</si>
  <si>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</si>
  <si>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</si>
  <si>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</si>
  <si>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</si>
  <si>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</si>
  <si>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</si>
  <si>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</si>
  <si>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</si>
  <si>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</si>
  <si>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</si>
  <si>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</si>
  <si>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</si>
  <si>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</si>
  <si>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</si>
  <si>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</si>
  <si>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</si>
  <si>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</si>
  <si>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</si>
  <si>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</si>
  <si>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</si>
  <si>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</si>
  <si>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</si>
  <si>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</si>
  <si>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</si>
  <si>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</si>
  <si>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</si>
  <si>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</si>
  <si>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</si>
  <si>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</si>
  <si>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</si>
  <si>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</si>
  <si>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</si>
  <si>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</si>
  <si>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</si>
  <si>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</si>
  <si>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</si>
  <si>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</si>
  <si>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</si>
  <si>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</si>
  <si>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</si>
  <si>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</si>
  <si>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</si>
  <si>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</si>
  <si>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</si>
  <si>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</si>
  <si>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</si>
  <si>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</si>
  <si>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</si>
  <si>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</si>
  <si>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</si>
  <si>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</si>
  <si>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</si>
  <si>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</si>
  <si>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</si>
  <si>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</si>
  <si>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</si>
  <si>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</si>
  <si>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</si>
  <si>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</si>
  <si>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</si>
  <si>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</si>
  <si>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</si>
  <si>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</si>
  <si>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</si>
  <si>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</si>
  <si>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</si>
  <si>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</si>
  <si>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</si>
  <si>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</si>
  <si>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</si>
  <si>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</si>
  <si>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</si>
  <si>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</si>
  <si>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</si>
  <si>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</si>
  <si>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</si>
  <si>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</si>
  <si>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</si>
  <si>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</si>
  <si>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</si>
  <si>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</si>
  <si>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</si>
  <si>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</si>
  <si>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</si>
  <si>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</si>
  <si>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</si>
  <si>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</si>
  <si>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</si>
  <si>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</si>
  <si>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</si>
  <si>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</si>
  <si>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</si>
  <si>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</si>
  <si>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</si>
  <si>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</si>
  <si>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</si>
  <si>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</si>
  <si>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</si>
  <si>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</si>
  <si>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</si>
  <si>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</si>
  <si>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</si>
  <si>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</si>
  <si>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</si>
  <si>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</si>
  <si>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</si>
  <si>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</si>
  <si>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</si>
  <si>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</si>
  <si>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</si>
  <si>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</si>
  <si>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</si>
  <si>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</si>
  <si>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</si>
  <si>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</si>
  <si>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</si>
  <si>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</si>
  <si>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</si>
  <si>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</si>
  <si>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</si>
  <si>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</si>
  <si>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</si>
  <si>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</si>
  <si>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</si>
  <si>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</si>
  <si>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</si>
  <si>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</si>
  <si>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</si>
  <si>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</si>
  <si>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</si>
  <si>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</si>
  <si>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</si>
  <si>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</si>
  <si>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</si>
  <si>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</si>
  <si>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</si>
  <si>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</si>
  <si>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</si>
  <si>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</si>
  <si>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</si>
  <si>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</si>
  <si>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</si>
  <si>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</si>
  <si>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</si>
  <si>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</si>
  <si>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</si>
  <si>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</si>
  <si>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</si>
  <si>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</si>
  <si>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</si>
  <si>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</si>
  <si>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</si>
  <si>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</si>
  <si>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</si>
  <si>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</si>
  <si>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</si>
  <si>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</si>
  <si>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</si>
  <si>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</si>
  <si>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</si>
  <si>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</si>
  <si>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</si>
  <si>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</si>
  <si>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</si>
  <si>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</si>
  <si>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</si>
  <si>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</si>
  <si>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</si>
  <si>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</si>
  <si>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</si>
  <si>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</si>
  <si>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</si>
  <si>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</si>
  <si>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</si>
  <si>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</si>
  <si>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</si>
  <si>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</si>
  <si>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</si>
  <si>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</si>
  <si>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</si>
  <si>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</si>
  <si>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</si>
  <si>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</si>
  <si>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</si>
  <si>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</si>
  <si>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</si>
  <si>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</si>
  <si>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</si>
  <si>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</si>
  <si>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</si>
  <si>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</si>
  <si>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</si>
  <si>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</si>
  <si>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</si>
  <si>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</si>
  <si>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</si>
  <si>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</si>
  <si>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</si>
  <si>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</si>
  <si>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</si>
  <si>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</si>
  <si>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</si>
  <si>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</si>
  <si>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</si>
  <si>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</si>
  <si>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</si>
  <si>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</si>
  <si>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</si>
  <si>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</si>
  <si>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</si>
  <si>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</si>
  <si>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</si>
  <si>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</si>
  <si>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</si>
  <si>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</si>
  <si>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</si>
  <si>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</si>
  <si>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</si>
  <si>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</si>
  <si>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</si>
  <si>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</si>
  <si>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</si>
  <si>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</si>
  <si>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</si>
  <si>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</si>
  <si>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</si>
  <si>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</si>
  <si>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</si>
  <si>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</si>
  <si>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</si>
  <si>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</si>
  <si>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</si>
  <si>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</si>
  <si>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</si>
  <si>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</si>
  <si>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</si>
  <si>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</si>
  <si>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</si>
  <si>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</si>
  <si>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</si>
  <si>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</si>
  <si>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</si>
  <si>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</si>
  <si>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</si>
  <si>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</si>
  <si>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</si>
  <si>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</si>
  <si>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</si>
  <si>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</si>
  <si>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</si>
  <si>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</si>
  <si>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</si>
  <si>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</si>
  <si>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</si>
  <si>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</si>
  <si>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</si>
  <si>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</si>
  <si>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</si>
  <si>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</si>
  <si>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</si>
  <si>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</si>
  <si>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</si>
  <si>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</si>
  <si>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</si>
  <si>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</si>
  <si>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</si>
  <si>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</si>
  <si>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</si>
  <si>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</si>
  <si>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</si>
  <si>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</si>
  <si>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</si>
  <si>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</si>
  <si>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</si>
  <si>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</si>
  <si>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</si>
  <si>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</si>
  <si>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</si>
  <si>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</si>
  <si>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</si>
  <si>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</si>
  <si>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</si>
  <si>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</si>
  <si>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</si>
  <si>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</si>
  <si>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</si>
  <si>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</si>
  <si>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</si>
  <si>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</si>
  <si>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</si>
  <si>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</si>
  <si>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</si>
  <si>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</si>
  <si>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</si>
  <si>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</si>
  <si>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</si>
  <si>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</si>
  <si>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</si>
  <si>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</si>
  <si>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</si>
  <si>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</si>
  <si>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</si>
  <si>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</si>
  <si>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</si>
  <si>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</si>
  <si>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</si>
  <si>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</si>
  <si>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</si>
  <si>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</si>
  <si>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</si>
  <si>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</si>
  <si>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</si>
  <si>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</si>
  <si>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</si>
  <si>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</si>
  <si>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</si>
  <si>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</si>
  <si>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</si>
  <si>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</si>
  <si>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</si>
  <si>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</si>
  <si>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</si>
  <si>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</si>
  <si>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</si>
  <si>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</si>
  <si>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</si>
  <si>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</si>
  <si>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</si>
  <si>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</si>
  <si>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</si>
  <si>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</si>
  <si>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</si>
  <si>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</si>
  <si>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</si>
  <si>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</si>
  <si>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</si>
  <si>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</si>
  <si>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</si>
  <si>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</si>
  <si>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</si>
  <si>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</si>
  <si>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</si>
  <si>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</si>
  <si>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</si>
  <si>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</si>
  <si>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</si>
  <si>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</si>
  <si>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</si>
  <si>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</si>
  <si>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</si>
  <si>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</si>
  <si>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</si>
  <si>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</si>
  <si>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</si>
  <si>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</si>
  <si>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</si>
  <si>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</si>
  <si>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</si>
  <si>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</si>
  <si>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</si>
  <si>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</si>
  <si>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</si>
  <si>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</si>
  <si>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</si>
  <si>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</si>
  <si>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</si>
  <si>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</si>
  <si>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</si>
  <si>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</si>
  <si>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</si>
  <si>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</si>
  <si>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</si>
  <si>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</si>
  <si>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</si>
  <si>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</si>
  <si>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</si>
  <si>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</si>
  <si>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</si>
  <si>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</si>
  <si>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</si>
  <si>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</si>
  <si>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</si>
  <si>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</si>
  <si>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</si>
  <si>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</si>
  <si>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</si>
  <si>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</si>
  <si>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</si>
  <si>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</si>
  <si>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</si>
  <si>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</si>
  <si>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</si>
  <si>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</si>
  <si>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</si>
  <si>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</si>
  <si>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</si>
  <si>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</si>
  <si>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</si>
  <si>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</si>
  <si>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</si>
  <si>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</si>
  <si>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</si>
  <si>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</si>
  <si>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</si>
  <si>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</si>
  <si>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</si>
  <si>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</si>
  <si>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</si>
  <si>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</si>
  <si>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</si>
  <si>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</si>
  <si>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</si>
  <si>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</si>
  <si>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</si>
  <si>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</si>
  <si>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</si>
  <si>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</si>
  <si>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</si>
  <si>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</si>
  <si>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</si>
  <si>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</si>
  <si>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</si>
  <si>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</si>
  <si>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</si>
  <si>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</si>
  <si>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</si>
  <si>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</si>
  <si>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</si>
  <si>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</si>
  <si>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</si>
  <si>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</si>
  <si>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</si>
  <si>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</si>
  <si>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</si>
  <si>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</si>
  <si>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</si>
  <si>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</si>
  <si>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</si>
  <si>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</si>
  <si>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</si>
  <si>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</si>
  <si>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</si>
  <si>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</si>
  <si>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</si>
  <si>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</si>
  <si>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</si>
  <si>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</si>
  <si>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</si>
  <si>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</si>
  <si>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</si>
  <si>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</si>
  <si>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</si>
  <si>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</si>
  <si>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</si>
  <si>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</si>
  <si>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</si>
  <si>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</si>
  <si>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</si>
  <si>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</si>
  <si>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</si>
  <si>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</si>
  <si>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</si>
  <si>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</si>
  <si>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</si>
  <si>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</si>
  <si>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</si>
  <si>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</si>
  <si>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</si>
  <si>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</si>
  <si>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</si>
  <si>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</si>
  <si>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</si>
  <si>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</si>
  <si>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</si>
  <si>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</si>
  <si>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</si>
  <si>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</si>
  <si>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</si>
  <si>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</si>
  <si>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</si>
  <si>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</si>
  <si>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</si>
  <si>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</si>
  <si>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</si>
  <si>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</si>
  <si>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</si>
  <si>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</si>
  <si>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</si>
  <si>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</si>
  <si>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</si>
  <si>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</si>
  <si>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</si>
  <si>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</si>
  <si>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</si>
  <si>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</si>
  <si>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</si>
  <si>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</si>
  <si>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</si>
  <si>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</si>
  <si>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</si>
  <si>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</si>
  <si>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</si>
  <si>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</si>
  <si>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</si>
  <si>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</si>
  <si>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</si>
  <si>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</si>
  <si>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</si>
  <si>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</si>
  <si>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</si>
  <si>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</si>
  <si>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</si>
  <si>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</si>
  <si>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</si>
  <si>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</si>
  <si>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</si>
  <si>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</si>
  <si>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</si>
  <si>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</si>
  <si>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</si>
  <si>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</si>
  <si>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</si>
  <si>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</si>
  <si>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</si>
  <si>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</si>
  <si>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</si>
  <si>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</si>
  <si>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</si>
  <si>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</si>
  <si>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</si>
  <si>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</si>
  <si>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</si>
  <si>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</si>
  <si>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</si>
  <si>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</si>
  <si>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</si>
  <si>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</si>
  <si>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</si>
  <si>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</si>
  <si>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</si>
  <si>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</si>
  <si>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</si>
  <si>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</si>
  <si>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</si>
  <si>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</si>
  <si>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</si>
  <si>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</si>
  <si>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</si>
  <si>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</si>
  <si>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</si>
  <si>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</si>
  <si>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</si>
  <si>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</si>
  <si>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</si>
  <si>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</si>
  <si>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</si>
  <si>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</si>
  <si>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</si>
  <si>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</si>
  <si>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</si>
  <si>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</si>
  <si>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</si>
  <si>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</si>
  <si>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</si>
  <si>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</si>
  <si>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</si>
  <si>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</si>
  <si>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</si>
  <si>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</si>
  <si>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</si>
  <si>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</si>
  <si>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</si>
  <si>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</si>
  <si>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</si>
  <si>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</si>
  <si>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</si>
  <si>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</si>
  <si>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</si>
  <si>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</si>
  <si>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</si>
  <si>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</si>
  <si>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</si>
  <si>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</si>
  <si>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</si>
  <si>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</si>
  <si>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</si>
  <si>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</si>
  <si>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</si>
  <si>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</si>
  <si>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</si>
  <si>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</si>
  <si>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</si>
  <si>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</si>
  <si>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</si>
  <si>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</si>
  <si>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</si>
  <si>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</si>
  <si>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</si>
  <si>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</si>
  <si>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</si>
  <si>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</si>
  <si>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</si>
  <si>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</si>
  <si>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</si>
  <si>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</si>
  <si>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</si>
  <si>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</si>
  <si>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</si>
  <si>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</si>
  <si>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</si>
  <si>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</si>
  <si>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</si>
  <si>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</si>
  <si>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</si>
  <si>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</si>
  <si>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</si>
  <si>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</si>
  <si>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</si>
  <si>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</si>
  <si>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</si>
  <si>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</si>
  <si>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</si>
  <si>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</si>
  <si>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</si>
  <si>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</si>
  <si>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</si>
  <si>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</si>
  <si>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</si>
  <si>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</si>
  <si>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</si>
  <si>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</si>
  <si>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</si>
  <si>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</si>
  <si>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</si>
  <si>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</si>
  <si>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</si>
  <si>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</si>
  <si>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</si>
  <si>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</si>
  <si>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</si>
  <si>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</si>
  <si>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</si>
  <si>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</si>
  <si>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</si>
  <si>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</si>
  <si>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</si>
  <si>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</si>
  <si>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</si>
  <si>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</si>
  <si>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</si>
  <si>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</si>
  <si>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</si>
  <si>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</si>
  <si>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</si>
  <si>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</si>
  <si>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</si>
  <si>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</si>
  <si>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</si>
  <si>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</si>
  <si>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</si>
  <si>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</si>
  <si>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</si>
  <si>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</si>
  <si>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</si>
  <si>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</si>
  <si>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</si>
  <si>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</si>
  <si>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</si>
  <si>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</si>
  <si>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</si>
  <si>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</si>
  <si>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</si>
  <si>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</si>
  <si>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</si>
  <si>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</si>
  <si>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</si>
  <si>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</si>
  <si>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</si>
  <si>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</si>
  <si>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</si>
  <si>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</si>
  <si>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</si>
  <si>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</si>
  <si>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</si>
  <si>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</si>
  <si>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</si>
  <si>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</si>
  <si>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</si>
  <si>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</si>
  <si>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</si>
  <si>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</si>
  <si>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</si>
  <si>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</si>
  <si>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</si>
  <si>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</si>
  <si>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</si>
  <si>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</si>
  <si>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</si>
  <si>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</si>
  <si>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</si>
  <si>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</si>
  <si>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</si>
  <si>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</si>
  <si>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</si>
  <si>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</si>
  <si>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</si>
  <si>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</si>
  <si>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</si>
  <si>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</si>
  <si>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</si>
  <si>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</si>
  <si>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</si>
  <si>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</si>
  <si>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</si>
  <si>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</si>
  <si>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</si>
  <si>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</si>
  <si>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</si>
  <si>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</si>
  <si>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</si>
  <si>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</si>
  <si>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</si>
  <si>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</si>
  <si>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</si>
  <si>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</si>
  <si>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</si>
  <si>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</si>
  <si>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</si>
  <si>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</si>
  <si>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</si>
  <si>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</si>
  <si>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</si>
  <si>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</si>
  <si>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</si>
  <si>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</si>
  <si>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</si>
  <si>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</si>
  <si>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</si>
  <si>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</si>
  <si>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</si>
  <si>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</si>
  <si>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</si>
  <si>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</si>
  <si>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</si>
  <si>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</si>
  <si>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</si>
  <si>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</si>
  <si>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</si>
  <si>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</si>
  <si>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</si>
  <si>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</si>
  <si>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</si>
  <si>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</si>
  <si>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</si>
  <si>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</si>
  <si>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</si>
  <si>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</si>
  <si>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</si>
  <si>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</si>
  <si>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</si>
  <si>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</si>
  <si>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</si>
  <si>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</si>
  <si>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</si>
  <si>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</si>
  <si>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</si>
  <si>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</si>
  <si>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</si>
  <si>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</si>
  <si>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</si>
  <si>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</si>
  <si>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</si>
  <si>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</si>
  <si>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</si>
  <si>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</si>
  <si>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</si>
  <si>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</si>
  <si>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</si>
  <si>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</si>
  <si>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</si>
  <si>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</si>
  <si>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</si>
  <si>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</si>
  <si>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</si>
  <si>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</si>
  <si>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</si>
  <si>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</si>
  <si>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</si>
  <si>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</si>
  <si>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</si>
  <si>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</si>
  <si>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</si>
  <si>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</si>
  <si>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</si>
  <si>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</si>
  <si>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</si>
  <si>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</si>
  <si>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</si>
  <si>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</si>
  <si>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</si>
  <si>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</si>
  <si>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</si>
  <si>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</si>
  <si>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</si>
  <si>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</si>
  <si>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</si>
  <si>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</si>
  <si>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</si>
  <si>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</si>
  <si>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</si>
  <si>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</si>
  <si>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</si>
  <si>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</si>
  <si>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</si>
  <si>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</si>
  <si>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</si>
  <si>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</si>
  <si>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</si>
  <si>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</si>
  <si>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</si>
  <si>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</si>
  <si>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</si>
  <si>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</si>
  <si>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</si>
  <si>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</si>
  <si>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</si>
  <si>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</si>
  <si>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</si>
  <si>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</si>
  <si>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</si>
  <si>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</si>
  <si>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</si>
  <si>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</si>
  <si>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</si>
  <si>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</si>
  <si>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</si>
  <si>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</si>
  <si>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</si>
  <si>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</si>
  <si>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</si>
  <si>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</si>
  <si>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</si>
  <si>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</si>
  <si>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</si>
  <si>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</si>
  <si>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</si>
  <si>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</si>
  <si>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</si>
  <si>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</si>
  <si>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</si>
  <si>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</si>
  <si>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</si>
  <si>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</si>
  <si>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</si>
  <si>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</si>
  <si>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</si>
  <si>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</si>
  <si>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</si>
  <si>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</si>
  <si>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</si>
  <si>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</si>
  <si>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</si>
  <si>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</si>
  <si>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</si>
  <si>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</si>
  <si>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</si>
  <si>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</si>
  <si>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</si>
  <si>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</si>
  <si>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</si>
  <si>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</si>
  <si>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</si>
  <si>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</si>
  <si>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</si>
  <si>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</si>
  <si>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</si>
  <si>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</si>
  <si>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</si>
  <si>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</si>
  <si>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</si>
  <si>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</si>
  <si>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</si>
  <si>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</si>
  <si>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</si>
  <si>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</si>
  <si>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</si>
  <si>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</si>
  <si>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</si>
  <si>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</si>
  <si>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</si>
  <si>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</si>
  <si>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</si>
  <si>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</si>
  <si>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</si>
  <si>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</si>
  <si>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</si>
  <si>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</si>
  <si>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</si>
  <si>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</si>
  <si>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</si>
  <si>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</si>
  <si>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</si>
  <si>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</si>
  <si>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</si>
  <si>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</si>
  <si>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</si>
  <si>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</si>
  <si>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</si>
  <si>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</si>
  <si>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</si>
  <si>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</si>
  <si>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</si>
  <si>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</si>
  <si>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</si>
  <si>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</si>
  <si>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</si>
  <si>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</si>
  <si>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</si>
  <si>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</si>
  <si>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</si>
  <si>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</si>
  <si>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</si>
  <si>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</si>
  <si>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</si>
  <si>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</si>
  <si>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</si>
  <si>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</si>
  <si>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</si>
  <si>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</si>
  <si>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</si>
  <si>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</si>
  <si>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</si>
  <si>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</si>
  <si>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</si>
  <si>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</si>
  <si>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</si>
  <si>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</si>
  <si>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</si>
  <si>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</si>
  <si>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</si>
  <si>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</si>
  <si>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</si>
  <si>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</si>
  <si>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</si>
  <si>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</si>
  <si>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</si>
  <si>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</si>
  <si>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</si>
  <si>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</si>
  <si>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</si>
  <si>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</si>
  <si>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</si>
  <si>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</si>
  <si>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</si>
  <si>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</si>
  <si>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</si>
  <si>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</si>
  <si>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</si>
  <si>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</si>
  <si>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</si>
  <si>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</si>
  <si>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</si>
  <si>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</si>
  <si>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</si>
  <si>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</si>
  <si>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</si>
  <si>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</si>
  <si>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</si>
  <si>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</si>
  <si>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</si>
  <si>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</si>
  <si>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</si>
  <si>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</si>
  <si>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</si>
  <si>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</si>
  <si>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</si>
  <si>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</si>
  <si>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</si>
  <si>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</si>
  <si>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</si>
  <si>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</si>
  <si>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</si>
  <si>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</si>
  <si>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</si>
  <si>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</si>
  <si>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</si>
  <si>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</si>
  <si>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</si>
  <si>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</si>
  <si>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</si>
  <si>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</si>
  <si>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</si>
  <si>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</si>
  <si>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</si>
  <si>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</si>
  <si>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</si>
  <si>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</si>
  <si>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</si>
  <si>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</si>
  <si>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</si>
  <si>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</si>
  <si>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</si>
  <si>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</si>
  <si>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</si>
  <si>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</si>
  <si>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</si>
  <si>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</si>
  <si>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</si>
  <si>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</si>
  <si>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</si>
  <si>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</si>
  <si>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</si>
  <si>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</si>
  <si>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</si>
  <si>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</si>
  <si>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</si>
  <si>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</si>
  <si>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</si>
  <si>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</si>
  <si>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</si>
  <si>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</si>
  <si>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</si>
  <si>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</si>
  <si>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</si>
  <si>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</si>
  <si>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</si>
  <si>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</si>
  <si>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</si>
  <si>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</si>
  <si>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</si>
  <si>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</si>
  <si>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</si>
  <si>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</si>
  <si>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</si>
  <si>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</si>
  <si>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</si>
  <si>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</si>
  <si>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</si>
  <si>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</si>
  <si>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</si>
  <si>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</si>
  <si>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</si>
  <si>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</si>
  <si>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</si>
  <si>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</si>
  <si>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</si>
  <si>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</si>
  <si>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</si>
  <si>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</si>
  <si>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</si>
  <si>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</si>
  <si>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</si>
  <si>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</si>
  <si>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</si>
  <si>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</si>
  <si>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</si>
  <si>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</si>
  <si>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</si>
  <si>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</si>
  <si>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</si>
  <si>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</si>
  <si>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</si>
  <si>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</si>
  <si>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</si>
  <si>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</si>
  <si>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</si>
  <si>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</si>
  <si>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</si>
  <si>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</si>
  <si>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</si>
  <si>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</si>
  <si>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</si>
  <si>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</si>
  <si>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</si>
  <si>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</si>
  <si>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</si>
  <si>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</si>
  <si>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</si>
  <si>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</si>
  <si>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</si>
  <si>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</si>
  <si>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</si>
  <si>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</si>
  <si>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</si>
  <si>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</si>
  <si>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</si>
  <si>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</si>
  <si>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</si>
  <si>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</si>
  <si>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</si>
  <si>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</si>
  <si>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</si>
  <si>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</si>
  <si>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</si>
  <si>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</si>
  <si>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</si>
  <si>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</si>
  <si>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</si>
  <si>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</si>
  <si>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</si>
  <si>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</si>
  <si>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</si>
  <si>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</si>
  <si>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</si>
  <si>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</si>
  <si>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</si>
  <si>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</si>
  <si>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</si>
  <si>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</si>
  <si>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</si>
  <si>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</si>
  <si>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</si>
  <si>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</si>
  <si>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</si>
  <si>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</si>
  <si>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</si>
  <si>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</si>
  <si>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</si>
  <si>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</si>
  <si>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</si>
  <si>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</si>
  <si>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</si>
  <si>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</si>
  <si>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</si>
  <si>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</si>
  <si>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</si>
  <si>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</si>
  <si>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</si>
  <si>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</si>
  <si>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</si>
  <si>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</si>
  <si>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</si>
  <si>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</si>
  <si>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</si>
  <si>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</si>
  <si>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</si>
  <si>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</si>
  <si>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</si>
  <si>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</si>
  <si>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</si>
  <si>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</si>
  <si>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</si>
  <si>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</si>
  <si>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</si>
  <si>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</si>
  <si>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</si>
  <si>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</si>
  <si>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</si>
  <si>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</si>
  <si>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</si>
  <si>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</si>
  <si>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</si>
  <si>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</si>
  <si>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</si>
  <si>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</si>
  <si>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</si>
  <si>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</si>
  <si>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</si>
  <si>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</si>
  <si>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</si>
  <si>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</si>
  <si>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</si>
  <si>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</si>
  <si>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</si>
  <si>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</si>
  <si>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</si>
  <si>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</si>
  <si>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</si>
  <si>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</si>
  <si>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</si>
  <si>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</si>
  <si>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</si>
  <si>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</si>
  <si>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</si>
  <si>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</si>
  <si>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</si>
  <si>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</si>
  <si>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</si>
  <si>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</si>
  <si>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</si>
  <si>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</si>
  <si>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</si>
  <si>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</si>
  <si>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</si>
  <si>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</si>
  <si>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</si>
  <si>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</si>
  <si>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</si>
  <si>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</si>
  <si>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</si>
  <si>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</si>
  <si>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</si>
  <si>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</si>
  <si>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</si>
  <si>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</si>
  <si>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</si>
  <si>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</si>
  <si>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</si>
  <si>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</si>
  <si>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</si>
  <si>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</si>
  <si>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</si>
  <si>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</si>
  <si>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</si>
  <si>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</si>
  <si>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</si>
  <si>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</si>
  <si>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</si>
  <si>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</si>
  <si>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</si>
  <si>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</si>
  <si>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</si>
  <si>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</si>
  <si>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</si>
  <si>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</si>
  <si>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</si>
  <si>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</si>
  <si>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</si>
  <si>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</si>
  <si>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</si>
  <si>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</si>
  <si>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</si>
  <si>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</si>
  <si>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</si>
  <si>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</si>
  <si>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</si>
  <si>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</si>
  <si>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</si>
  <si>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</si>
  <si>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</si>
  <si>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</si>
  <si>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</si>
  <si>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</si>
  <si>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</si>
  <si>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</si>
  <si>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</si>
  <si>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</si>
  <si>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</si>
  <si>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</si>
  <si>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</si>
  <si>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</si>
  <si>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</si>
  <si>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</si>
  <si>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</si>
  <si>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</si>
  <si>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</si>
  <si>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</si>
  <si>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</si>
  <si>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</si>
  <si>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</si>
  <si>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</si>
  <si>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</si>
  <si>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</si>
  <si>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</si>
  <si>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</si>
  <si>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</si>
  <si>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</si>
  <si>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</si>
  <si>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</si>
  <si>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</si>
  <si>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</si>
  <si>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</si>
  <si>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</si>
  <si>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</si>
  <si>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</si>
  <si>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</si>
  <si>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</si>
  <si>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</si>
  <si>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</si>
  <si>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</si>
  <si>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</si>
  <si>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</si>
  <si>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</si>
  <si>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</si>
  <si>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</si>
  <si>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</si>
  <si>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</si>
  <si>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</si>
  <si>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</si>
  <si>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</si>
  <si>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</si>
  <si>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</si>
  <si>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</si>
  <si>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</si>
  <si>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</si>
  <si>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</si>
  <si>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</si>
  <si>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</si>
  <si>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</si>
  <si>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</si>
  <si>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</si>
  <si>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</si>
  <si>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</si>
  <si>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</si>
  <si>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</si>
  <si>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</si>
  <si>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</si>
  <si>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</si>
  <si>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</si>
  <si>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</si>
  <si>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</si>
  <si>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</si>
  <si>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</si>
  <si>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</si>
  <si>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</si>
  <si>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</si>
  <si>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</si>
  <si>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</si>
  <si>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</si>
  <si>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</si>
  <si>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</si>
  <si>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</si>
  <si>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</si>
  <si>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</si>
  <si>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</si>
  <si>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</si>
  <si>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</si>
  <si>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</si>
  <si>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</si>
  <si>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</si>
  <si>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</si>
  <si>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</si>
  <si>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</si>
  <si>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</si>
  <si>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</si>
  <si>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</si>
  <si>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</si>
  <si>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</si>
  <si>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</si>
  <si>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</si>
  <si>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</si>
  <si>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</si>
  <si>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</si>
  <si>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</si>
  <si>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</si>
  <si>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</si>
  <si>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</si>
  <si>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</si>
  <si>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</si>
  <si>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</si>
  <si>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</si>
  <si>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</si>
  <si>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</si>
  <si>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</si>
  <si>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</si>
  <si>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</si>
  <si>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</si>
  <si>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</si>
  <si>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</si>
  <si>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</si>
  <si>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</si>
  <si>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</si>
  <si>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</si>
  <si>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</si>
  <si>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</si>
  <si>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</si>
  <si>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</si>
  <si>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</si>
  <si>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</si>
  <si>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</si>
  <si>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</si>
  <si>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</si>
  <si>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</si>
  <si>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</si>
  <si>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</si>
  <si>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</si>
  <si>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</si>
  <si>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</si>
  <si>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</si>
  <si>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</si>
  <si>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</si>
  <si>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</si>
  <si>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</si>
  <si>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</si>
  <si>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</si>
  <si>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</si>
  <si>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</si>
  <si>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</si>
  <si>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</si>
  <si>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</si>
  <si>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</si>
  <si>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</si>
  <si>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</si>
  <si>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</si>
  <si>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</si>
  <si>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</si>
  <si>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</si>
  <si>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</si>
  <si>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</si>
  <si>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</si>
  <si>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</si>
  <si>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</si>
  <si>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</si>
  <si>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</si>
  <si>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</si>
  <si>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</si>
  <si>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</si>
  <si>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</si>
  <si>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</si>
  <si>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</si>
  <si>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</si>
  <si>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</si>
  <si>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</si>
  <si>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</si>
  <si>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</si>
  <si>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</si>
  <si>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</si>
  <si>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</si>
  <si>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</si>
  <si>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</si>
  <si>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</si>
  <si>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</si>
  <si>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</si>
  <si>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</si>
  <si>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</si>
  <si>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</si>
  <si>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</si>
  <si>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</si>
  <si>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</si>
  <si>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</si>
  <si>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</si>
  <si>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</si>
  <si>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</si>
  <si>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</si>
  <si>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</si>
  <si>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</si>
  <si>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</si>
  <si>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</si>
  <si>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</si>
  <si>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</si>
  <si>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</si>
  <si>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</si>
  <si>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</si>
  <si>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</si>
  <si>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</si>
  <si>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</si>
  <si>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</si>
  <si>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</si>
  <si>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</si>
  <si>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</si>
  <si>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</si>
  <si>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</si>
  <si>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</si>
  <si>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</si>
  <si>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</si>
  <si>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</si>
  <si>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</si>
  <si>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</si>
  <si>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</si>
  <si>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</si>
  <si>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</si>
  <si>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</si>
  <si>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</si>
  <si>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</si>
  <si>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</si>
  <si>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</si>
  <si>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</si>
  <si>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</si>
  <si>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</si>
  <si>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</si>
  <si>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</si>
  <si>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</si>
  <si>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</si>
  <si>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</si>
  <si>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</si>
  <si>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</si>
  <si>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</si>
  <si>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</si>
  <si>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</si>
  <si>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</si>
  <si>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</si>
  <si>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</si>
  <si>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</si>
  <si>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</si>
  <si>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</si>
  <si>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</si>
  <si>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</si>
  <si>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</si>
  <si>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</si>
  <si>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</si>
  <si>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</si>
  <si>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</si>
  <si>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</si>
  <si>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</si>
  <si>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</si>
  <si>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</si>
  <si>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</si>
  <si>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</si>
  <si>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</si>
  <si>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</si>
  <si>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</si>
  <si>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</si>
  <si>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</si>
  <si>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</si>
  <si>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</si>
  <si>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</si>
  <si>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</si>
  <si>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</si>
  <si>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</si>
  <si>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</si>
  <si>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</si>
  <si>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</si>
  <si>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</si>
  <si>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</si>
  <si>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</si>
  <si>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</si>
  <si>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</si>
  <si>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</si>
  <si>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</si>
  <si>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</si>
  <si>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</si>
  <si>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</si>
  <si>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</si>
  <si>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</si>
  <si>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</si>
  <si>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</si>
  <si>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</si>
  <si>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</si>
  <si>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</si>
  <si>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</si>
  <si>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</si>
  <si>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</si>
  <si>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</si>
  <si>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</si>
  <si>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</si>
  <si>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</si>
  <si>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</si>
  <si>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</si>
  <si>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</si>
  <si>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</si>
  <si>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</si>
  <si>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</si>
  <si>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</si>
  <si>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</si>
  <si>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</si>
  <si>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</si>
  <si>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</si>
  <si>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</si>
  <si>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</si>
  <si>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</si>
  <si>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</si>
  <si>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</si>
  <si>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</si>
  <si>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</si>
  <si>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</si>
  <si>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</si>
  <si>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</si>
  <si>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</si>
  <si>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</si>
  <si>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</si>
  <si>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</si>
  <si>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</si>
  <si>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</si>
  <si>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</si>
  <si>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</si>
  <si>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</si>
  <si>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</si>
  <si>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</si>
  <si>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</si>
  <si>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</si>
  <si>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</si>
  <si>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</si>
  <si>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</si>
  <si>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</si>
  <si>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</si>
  <si>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</si>
  <si>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</si>
  <si>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</si>
  <si>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</si>
  <si>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</si>
  <si>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</si>
  <si>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</si>
  <si>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</si>
  <si>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</si>
  <si>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</si>
  <si>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</si>
  <si>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</si>
  <si>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</si>
  <si>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</si>
  <si>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</si>
  <si>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</si>
  <si>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</si>
  <si>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</si>
  <si>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</si>
  <si>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</si>
  <si>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</si>
  <si>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</si>
  <si>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</si>
  <si>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</si>
  <si>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</si>
  <si>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</si>
  <si>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</si>
  <si>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</si>
  <si>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</si>
  <si>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</si>
  <si>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</si>
  <si>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</si>
  <si>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</si>
  <si>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</si>
  <si>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</si>
  <si>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</si>
  <si>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</si>
  <si>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</si>
  <si>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</si>
  <si>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</si>
  <si>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</si>
  <si>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</si>
  <si>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</si>
  <si>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</si>
  <si>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</si>
  <si>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</si>
  <si>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</si>
  <si>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</si>
  <si>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</si>
  <si>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</si>
  <si>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</si>
  <si>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</si>
  <si>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</si>
  <si>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</si>
  <si>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</si>
  <si>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</si>
  <si>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</si>
  <si>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</si>
  <si>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</si>
  <si>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</si>
  <si>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</si>
  <si>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</si>
  <si>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</si>
  <si>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</si>
  <si>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</si>
  <si>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</si>
  <si>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</si>
  <si>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</si>
  <si>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</si>
  <si>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</si>
  <si>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</si>
  <si>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</si>
  <si>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</si>
  <si>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</si>
  <si>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</si>
  <si>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</si>
  <si>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</si>
  <si>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</si>
  <si>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</si>
  <si>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</si>
  <si>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</si>
  <si>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</si>
  <si>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</si>
  <si>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</si>
  <si>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</si>
  <si>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</si>
  <si>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</si>
  <si>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</si>
  <si>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</si>
  <si>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</si>
  <si>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</si>
  <si>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</si>
  <si>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</si>
  <si>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</si>
  <si>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</si>
  <si>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</si>
  <si>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</si>
  <si>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</si>
  <si>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</si>
  <si>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</si>
  <si>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</si>
  <si>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</si>
  <si>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</si>
  <si>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</si>
  <si>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</si>
  <si>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</si>
  <si>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</si>
  <si>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</si>
  <si>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</si>
  <si>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</si>
  <si>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</si>
  <si>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</si>
  <si>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</si>
  <si>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</si>
  <si>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</si>
  <si>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</si>
  <si>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</si>
  <si>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</si>
  <si>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</si>
  <si>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</si>
  <si>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</si>
  <si>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</si>
  <si>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</si>
  <si>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</si>
  <si>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</si>
  <si>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</si>
  <si>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</si>
  <si>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</si>
  <si>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</si>
  <si>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</si>
  <si>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</si>
  <si>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</si>
  <si>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</si>
  <si>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</si>
  <si>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</si>
  <si>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</si>
  <si>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</si>
  <si>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</si>
  <si>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</si>
  <si>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</si>
  <si>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</si>
  <si>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</si>
  <si>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</si>
  <si>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</si>
  <si>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</si>
  <si>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</si>
  <si>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</si>
  <si>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</si>
  <si>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</si>
  <si>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</si>
  <si>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</si>
  <si>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</si>
  <si>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</si>
  <si>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</si>
  <si>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</si>
  <si>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</si>
  <si>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</si>
  <si>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</si>
  <si>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</si>
  <si>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</si>
  <si>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</si>
  <si>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</si>
  <si>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</si>
  <si>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</si>
  <si>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</si>
  <si>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</si>
  <si>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</si>
  <si>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</si>
  <si>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</si>
  <si>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</si>
  <si>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</si>
  <si>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</si>
  <si>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</si>
  <si>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</si>
  <si>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</si>
  <si>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</si>
  <si>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</si>
  <si>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</si>
  <si>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</si>
  <si>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</si>
  <si>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</si>
  <si>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</si>
  <si>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</si>
  <si>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</si>
  <si>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</si>
  <si>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</si>
  <si>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</si>
  <si>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</si>
  <si>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</si>
  <si>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</si>
  <si>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</si>
  <si>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</si>
  <si>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</si>
  <si>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</si>
  <si>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</si>
  <si>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</si>
  <si>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</si>
  <si>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</si>
  <si>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</si>
  <si>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</si>
  <si>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</si>
  <si>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</si>
  <si>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</si>
  <si>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</si>
  <si>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</si>
  <si>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</si>
  <si>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</si>
  <si>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</si>
  <si>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</si>
  <si>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</si>
  <si>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</si>
  <si>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</si>
  <si>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</si>
  <si>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</si>
  <si>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</si>
  <si>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</si>
  <si>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</si>
  <si>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</si>
  <si>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</si>
  <si>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</si>
  <si>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</si>
  <si>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</si>
  <si>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</si>
  <si>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</si>
  <si>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</si>
  <si>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</si>
  <si>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</si>
  <si>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</si>
  <si>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</si>
  <si>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</si>
  <si>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</si>
  <si>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</si>
  <si>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</si>
  <si>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</si>
  <si>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</si>
  <si>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</si>
  <si>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</si>
  <si>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</si>
  <si>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</si>
  <si>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</si>
  <si>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</si>
  <si>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</si>
  <si>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</si>
  <si>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</si>
  <si>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</si>
  <si>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</si>
  <si>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</si>
  <si>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</si>
  <si>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</si>
  <si>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</si>
  <si>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</si>
  <si>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</si>
  <si>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</si>
  <si>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</si>
  <si>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</si>
  <si>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</si>
  <si>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</si>
  <si>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</si>
  <si>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</si>
  <si>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</si>
  <si>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</si>
  <si>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</si>
  <si>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</si>
  <si>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</si>
  <si>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</si>
  <si>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</si>
  <si>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</si>
  <si>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</si>
  <si>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</si>
  <si>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</si>
  <si>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</si>
  <si>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</si>
  <si>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</si>
  <si>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</si>
  <si>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</si>
  <si>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</si>
  <si>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</si>
  <si>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</si>
  <si>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</si>
  <si>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</si>
  <si>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</si>
  <si>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</si>
  <si>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</si>
  <si>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</si>
  <si>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</si>
  <si>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</si>
  <si>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</si>
  <si>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</si>
  <si>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</si>
  <si>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</si>
  <si>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</si>
  <si>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</si>
  <si>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</si>
  <si>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</si>
  <si>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</si>
  <si>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</si>
  <si>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</si>
  <si>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</si>
  <si>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</si>
  <si>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</si>
  <si>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</si>
  <si>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</si>
  <si>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</si>
  <si>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</si>
  <si>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</si>
  <si>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</si>
  <si>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</si>
  <si>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</si>
  <si>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</si>
  <si>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</si>
  <si>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</si>
  <si>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</si>
  <si>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</si>
  <si>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</si>
  <si>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</si>
  <si>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</si>
  <si>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</si>
  <si>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</si>
  <si>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</si>
  <si>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</si>
  <si>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</si>
  <si>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</si>
  <si>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</si>
  <si>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</si>
  <si>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</si>
  <si>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</si>
  <si>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</si>
  <si>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</si>
  <si>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</si>
  <si>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</si>
  <si>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</si>
  <si>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</si>
  <si>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</si>
  <si>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</si>
  <si>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</si>
  <si>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</si>
  <si>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</si>
  <si>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</si>
  <si>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</si>
  <si>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</si>
  <si>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</si>
  <si>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</si>
  <si>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</si>
  <si>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</si>
  <si>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</si>
  <si>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</si>
  <si>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</si>
  <si>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</si>
  <si>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</si>
  <si>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</si>
  <si>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</si>
  <si>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</si>
  <si>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</si>
  <si>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</si>
  <si>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</si>
  <si>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</si>
  <si>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</si>
  <si>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</si>
  <si>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</si>
  <si>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</si>
  <si>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</si>
  <si>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</si>
  <si>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</si>
  <si>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</si>
  <si>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</si>
  <si>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</si>
  <si>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</si>
  <si>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</si>
  <si>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</si>
  <si>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</si>
  <si>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</si>
  <si>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</si>
  <si>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</si>
  <si>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</si>
  <si>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</si>
  <si>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</si>
  <si>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</si>
  <si>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</si>
  <si>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</si>
  <si>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</si>
  <si>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</si>
  <si>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</si>
  <si>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</si>
  <si>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</si>
  <si>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</si>
  <si>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</si>
  <si>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</si>
  <si>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</si>
  <si>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</si>
  <si>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</si>
  <si>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</si>
  <si>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</si>
  <si>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</si>
  <si>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</si>
  <si>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</si>
  <si>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</si>
  <si>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</si>
  <si>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</si>
  <si>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</si>
  <si>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</si>
  <si>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</si>
  <si>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</si>
  <si>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</si>
  <si>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</si>
  <si>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</si>
  <si>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</si>
  <si>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</si>
  <si>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</si>
  <si>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</si>
  <si>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</si>
  <si>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</si>
  <si>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</si>
  <si>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</si>
  <si>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</si>
  <si>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</si>
  <si>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</si>
  <si>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</si>
  <si>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</si>
  <si>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</si>
  <si>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</si>
  <si>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</si>
  <si>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</si>
  <si>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</si>
  <si>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</si>
  <si>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</si>
  <si>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</si>
  <si>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</si>
  <si>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</si>
  <si>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</si>
  <si>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</si>
  <si>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</si>
  <si>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</si>
  <si>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</si>
  <si>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</si>
  <si>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</si>
  <si>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</si>
  <si>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</si>
  <si>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</si>
  <si>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</si>
  <si>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</si>
  <si>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</si>
  <si>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</si>
  <si>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</si>
  <si>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</si>
  <si>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</si>
  <si>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</si>
  <si>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</si>
  <si>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</si>
  <si>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</si>
  <si>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</si>
  <si>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</si>
  <si>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</si>
  <si>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</si>
  <si>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</si>
  <si>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</si>
  <si>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</si>
  <si>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</si>
  <si>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</si>
  <si>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</si>
  <si>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</si>
  <si>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</si>
  <si>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</si>
  <si>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</si>
  <si>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</si>
  <si>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</si>
  <si>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</si>
  <si>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</si>
  <si>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</si>
  <si>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</si>
  <si>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</si>
  <si>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</si>
  <si>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</si>
  <si>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</si>
  <si>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</si>
  <si>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</si>
  <si>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</si>
  <si>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</si>
  <si>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</si>
  <si>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</si>
  <si>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</si>
  <si>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</si>
  <si>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</si>
  <si>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</si>
  <si>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</si>
  <si>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</si>
  <si>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</si>
  <si>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</si>
  <si>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</si>
  <si>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</si>
  <si>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</si>
  <si>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</si>
  <si>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</si>
  <si>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</si>
  <si>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</si>
  <si>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</si>
  <si>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</si>
  <si>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</si>
  <si>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</si>
  <si>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</si>
  <si>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</si>
  <si>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</si>
  <si>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</si>
  <si>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</si>
  <si>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</si>
  <si>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</si>
  <si>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</si>
  <si>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</si>
  <si>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</si>
  <si>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</si>
  <si>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</si>
  <si>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</si>
  <si>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</si>
  <si>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</si>
  <si>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</si>
  <si>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</si>
  <si>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</si>
  <si>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</si>
  <si>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</si>
  <si>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</si>
  <si>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</si>
  <si>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</si>
  <si>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</si>
  <si>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</si>
  <si>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</si>
  <si>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</si>
  <si>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</si>
  <si>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</si>
  <si>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</si>
  <si>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</si>
  <si>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</si>
  <si>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</si>
  <si>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</si>
  <si>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</si>
  <si>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</si>
  <si>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</si>
  <si>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</si>
  <si>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</si>
  <si>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</si>
  <si>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</si>
  <si>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</si>
  <si>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</si>
  <si>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</si>
  <si>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</si>
  <si>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</si>
  <si>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</si>
  <si>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</si>
  <si>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</si>
  <si>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</si>
  <si>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</si>
  <si>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</si>
  <si>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</si>
  <si>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</si>
  <si>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</si>
  <si>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</si>
  <si>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</si>
  <si>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</si>
  <si>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</si>
  <si>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</si>
  <si>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</si>
  <si>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</si>
  <si>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</si>
  <si>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</si>
  <si>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</si>
  <si>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</si>
  <si>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</si>
  <si>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</si>
  <si>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</si>
  <si>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</si>
  <si>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</si>
  <si>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</si>
  <si>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</si>
  <si>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</si>
  <si>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</si>
  <si>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</si>
  <si>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</si>
  <si>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</si>
  <si>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</si>
  <si>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</si>
  <si>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</si>
  <si>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</si>
  <si>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</si>
  <si>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</si>
  <si>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</si>
  <si>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</si>
  <si>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</si>
  <si>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</si>
  <si>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</si>
  <si>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</si>
  <si>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</si>
  <si>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</si>
  <si>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</si>
  <si>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</si>
  <si>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</si>
  <si>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</si>
  <si>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</si>
  <si>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</si>
  <si>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</si>
  <si>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</si>
  <si>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</si>
  <si>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</si>
  <si>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</si>
  <si>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</si>
  <si>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</si>
  <si>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</si>
  <si>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</si>
  <si>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</si>
  <si>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</si>
  <si>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</si>
  <si>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</si>
  <si>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</si>
  <si>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</si>
  <si>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</si>
  <si>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</si>
  <si>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</si>
  <si>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</si>
  <si>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</si>
  <si>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</si>
  <si>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</si>
  <si>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</si>
  <si>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</si>
  <si>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</si>
  <si>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</si>
  <si>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</si>
  <si>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</si>
  <si>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</si>
  <si>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</si>
  <si>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</si>
  <si>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</si>
  <si>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</si>
  <si>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</si>
  <si>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</si>
  <si>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</si>
  <si>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</si>
  <si>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</si>
  <si>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</si>
  <si>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</si>
  <si>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</si>
  <si>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</si>
  <si>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</si>
  <si>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</si>
  <si>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</si>
  <si>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</si>
  <si>
    <t>Total record</t>
  </si>
  <si>
    <t>Total columns</t>
  </si>
  <si>
    <t>Date range</t>
  </si>
  <si>
    <t>Number of unique customer</t>
  </si>
  <si>
    <t>Order status categories</t>
  </si>
  <si>
    <t>Column1</t>
  </si>
  <si>
    <t>Debit Card, Online, Credit Card, Gift Card, Cash</t>
  </si>
  <si>
    <t>DATA CLEANING REPORT</t>
  </si>
  <si>
    <t>DATA OVERVIEW</t>
  </si>
  <si>
    <t>Cleaning Steps</t>
  </si>
  <si>
    <t>Action Taken</t>
  </si>
  <si>
    <t>Columns Affected</t>
  </si>
  <si>
    <t>Rows Affected</t>
  </si>
  <si>
    <t>Replaced blank values with NA</t>
  </si>
  <si>
    <t>Reformatted all columns from general to correct format</t>
  </si>
  <si>
    <t>All columns</t>
  </si>
  <si>
    <t>Verified Total Price accuracy</t>
  </si>
  <si>
    <t>Total_price</t>
  </si>
  <si>
    <t>Coupon_Code</t>
  </si>
  <si>
    <t xml:space="preserve">Tracking_Number </t>
  </si>
  <si>
    <t>Order_ID</t>
  </si>
  <si>
    <t xml:space="preserve">Columns </t>
  </si>
  <si>
    <t xml:space="preserve">Before </t>
  </si>
  <si>
    <t>After</t>
  </si>
  <si>
    <t>309 blank cells</t>
  </si>
  <si>
    <t>309 filled with NA</t>
  </si>
  <si>
    <t>General format</t>
  </si>
  <si>
    <t>Correct data type</t>
  </si>
  <si>
    <t>Unverified</t>
  </si>
  <si>
    <t>Verified correct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</si>
  <si>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</si>
  <si>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</si>
  <si>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</si>
  <si>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</si>
  <si>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</si>
  <si>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</si>
  <si>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</si>
  <si>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</si>
  <si>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</si>
  <si>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</si>
  <si>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</si>
  <si>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</si>
  <si>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</si>
  <si>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</si>
  <si>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</si>
  <si>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</si>
  <si>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</si>
  <si>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</si>
  <si>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</si>
  <si>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</si>
  <si>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</si>
  <si>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</si>
  <si>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</si>
  <si>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</si>
  <si>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</si>
  <si>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</si>
  <si>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</si>
  <si>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</si>
  <si>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</si>
  <si>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</si>
  <si>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</si>
  <si>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</si>
  <si>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</si>
  <si>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</si>
  <si>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</si>
  <si>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</si>
  <si>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</si>
  <si>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</si>
  <si>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</si>
  <si>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</si>
  <si>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</si>
  <si>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</si>
  <si>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</si>
  <si>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</si>
  <si>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</si>
  <si>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</si>
  <si>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</si>
  <si>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</si>
  <si>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</si>
  <si>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</si>
  <si>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</si>
  <si>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</si>
  <si>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</si>
  <si>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</si>
  <si>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</si>
  <si>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</si>
  <si>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</si>
  <si>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</si>
  <si>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</si>
  <si>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</si>
  <si>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</si>
  <si>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</si>
  <si>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</si>
  <si>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</si>
  <si>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</si>
  <si>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</si>
  <si>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</si>
  <si>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</si>
  <si>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</si>
  <si>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</si>
  <si>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</si>
  <si>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</si>
  <si>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</si>
  <si>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</si>
  <si>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</si>
  <si>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</si>
  <si>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</si>
  <si>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</si>
  <si>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</si>
  <si>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</si>
  <si>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</si>
  <si>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</si>
  <si>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</si>
  <si>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</si>
  <si>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</si>
  <si>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</si>
  <si>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</si>
  <si>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</si>
  <si>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</si>
  <si>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</si>
  <si>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</si>
  <si>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</si>
  <si>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</si>
  <si>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</si>
  <si>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</si>
  <si>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</si>
  <si>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</si>
  <si>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</si>
  <si>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</si>
  <si>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</si>
  <si>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</si>
  <si>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</si>
  <si>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</si>
  <si>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</si>
  <si>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</si>
  <si>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</si>
  <si>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</si>
  <si>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</si>
  <si>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</si>
  <si>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</si>
  <si>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</si>
  <si>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</si>
  <si>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</si>
  <si>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</si>
  <si>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</si>
  <si>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</si>
  <si>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</si>
  <si>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</si>
  <si>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</si>
  <si>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</si>
  <si>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</si>
  <si>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</si>
  <si>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</si>
  <si>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</si>
  <si>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</si>
  <si>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</si>
  <si>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</si>
  <si>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</si>
  <si>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</si>
  <si>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</si>
  <si>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</si>
  <si>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</si>
  <si>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</si>
  <si>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</si>
  <si>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</si>
  <si>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</si>
  <si>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</si>
  <si>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</si>
  <si>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</si>
  <si>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</si>
  <si>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</si>
  <si>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</si>
  <si>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</si>
  <si>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</si>
  <si>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</si>
  <si>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</si>
  <si>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</si>
  <si>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</si>
  <si>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</si>
  <si>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</si>
  <si>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</si>
  <si>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</si>
  <si>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</si>
  <si>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</si>
  <si>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</si>
  <si>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</si>
  <si>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</si>
  <si>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</si>
  <si>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</si>
  <si>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</si>
  <si>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</si>
  <si>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</si>
  <si>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</si>
  <si>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</si>
  <si>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</si>
  <si>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</si>
  <si>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</si>
  <si>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</si>
  <si>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</si>
  <si>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</si>
  <si>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</si>
  <si>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</si>
  <si>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</si>
  <si>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</si>
  <si>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</si>
  <si>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</si>
  <si>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</si>
  <si>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</si>
  <si>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</si>
  <si>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</si>
  <si>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</si>
  <si>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</si>
  <si>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</si>
  <si>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</si>
  <si>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</si>
  <si>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</si>
  <si>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</si>
  <si>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</si>
  <si>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</si>
  <si>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</si>
  <si>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</si>
  <si>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</si>
  <si>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</si>
  <si>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</si>
  <si>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</si>
  <si>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</si>
  <si>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</si>
  <si>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</si>
  <si>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</si>
  <si>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</si>
  <si>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</si>
  <si>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</si>
  <si>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</si>
  <si>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</si>
  <si>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</si>
  <si>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</si>
  <si>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</si>
  <si>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</si>
  <si>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</si>
  <si>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</si>
  <si>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</si>
  <si>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</si>
  <si>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</si>
  <si>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</si>
  <si>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</si>
  <si>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</si>
  <si>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</si>
  <si>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</si>
  <si>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</si>
  <si>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</si>
  <si>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</si>
  <si>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</si>
  <si>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</si>
  <si>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</si>
  <si>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</si>
  <si>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</si>
  <si>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</si>
  <si>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</si>
  <si>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</si>
  <si>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</si>
  <si>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</si>
  <si>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</si>
  <si>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</si>
  <si>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</si>
  <si>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</si>
  <si>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</si>
  <si>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</si>
  <si>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</si>
  <si>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</si>
  <si>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</si>
  <si>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</si>
  <si>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</si>
  <si>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</si>
  <si>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</si>
  <si>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</si>
  <si>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</si>
  <si>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</si>
  <si>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</si>
  <si>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</si>
  <si>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</si>
  <si>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</si>
  <si>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</si>
  <si>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</si>
  <si>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</si>
  <si>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</si>
  <si>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</si>
  <si>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</si>
  <si>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</si>
  <si>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</si>
  <si>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</si>
  <si>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</si>
  <si>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</si>
  <si>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</si>
  <si>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</si>
  <si>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</si>
  <si>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</si>
  <si>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</si>
  <si>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</si>
  <si>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</si>
  <si>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</si>
  <si>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</si>
  <si>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</si>
  <si>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</si>
  <si>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</si>
  <si>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</si>
  <si>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</si>
  <si>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</si>
  <si>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</si>
  <si>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</si>
  <si>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</si>
  <si>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</si>
  <si>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</si>
  <si>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</si>
  <si>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</si>
  <si>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</si>
  <si>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</si>
  <si>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</si>
  <si>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</si>
  <si>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</si>
  <si>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</si>
  <si>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</si>
  <si>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</si>
  <si>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</si>
  <si>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</si>
  <si>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</si>
  <si>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</si>
  <si>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</si>
  <si>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</si>
  <si>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</si>
  <si>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</si>
  <si>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</si>
  <si>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</si>
  <si>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</si>
  <si>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</si>
  <si>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</si>
  <si>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</si>
  <si>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</si>
  <si>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</si>
  <si>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</si>
  <si>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</si>
  <si>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</si>
  <si>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</si>
  <si>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</si>
  <si>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</si>
  <si>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</si>
  <si>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</si>
  <si>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</si>
  <si>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</si>
  <si>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</si>
  <si>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</si>
  <si>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</si>
  <si>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</si>
  <si>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</si>
  <si>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</si>
  <si>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</si>
  <si>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</si>
  <si>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</si>
  <si>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</si>
  <si>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</si>
  <si>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</si>
  <si>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</si>
  <si>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</si>
  <si>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</si>
  <si>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</si>
  <si>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</si>
  <si>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</si>
  <si>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</si>
  <si>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</si>
  <si>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</si>
  <si>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</si>
  <si>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</si>
  <si>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</si>
  <si>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</si>
  <si>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</si>
  <si>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</si>
  <si>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</si>
  <si>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</si>
  <si>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</si>
  <si>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</si>
  <si>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</si>
  <si>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</si>
  <si>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</si>
  <si>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</si>
  <si>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</si>
  <si>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</si>
  <si>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</si>
  <si>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</si>
  <si>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</si>
  <si>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</si>
  <si>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</si>
  <si>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</si>
  <si>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</si>
  <si>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</si>
  <si>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</si>
  <si>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</si>
  <si>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</si>
  <si>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</si>
  <si>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</si>
  <si>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</si>
  <si>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</si>
  <si>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</si>
  <si>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</si>
  <si>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</si>
  <si>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</si>
  <si>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</si>
  <si>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</si>
  <si>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</si>
  <si>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</si>
  <si>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</si>
  <si>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</si>
  <si>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</si>
  <si>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</si>
  <si>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</si>
  <si>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</si>
  <si>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</si>
  <si>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</si>
  <si>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</si>
  <si>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</si>
  <si>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</si>
  <si>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</si>
  <si>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</si>
  <si>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</si>
  <si>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</si>
  <si>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</si>
  <si>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</si>
  <si>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</si>
  <si>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</si>
  <si>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</si>
  <si>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</si>
  <si>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</si>
  <si>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</si>
  <si>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</si>
  <si>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</si>
  <si>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</si>
  <si>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</si>
  <si>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</si>
  <si>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</si>
  <si>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</si>
  <si>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</si>
  <si>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</si>
  <si>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</si>
  <si>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</si>
  <si>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</si>
  <si>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</si>
  <si>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</si>
  <si>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</si>
  <si>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</si>
  <si>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</si>
  <si>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</si>
  <si>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</si>
  <si>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</si>
  <si>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</si>
  <si>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</si>
  <si>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</si>
  <si>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</si>
  <si>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</si>
  <si>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</si>
  <si>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</si>
  <si>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</si>
  <si>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</si>
  <si>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</si>
  <si>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</si>
  <si>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</si>
  <si>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</si>
  <si>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</si>
  <si>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</si>
  <si>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</si>
  <si>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</si>
  <si>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</si>
  <si>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</si>
  <si>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</si>
  <si>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</si>
  <si>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</si>
  <si>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</si>
  <si>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</si>
  <si>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</si>
  <si>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</si>
  <si>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</si>
  <si>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</si>
  <si>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</si>
  <si>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</si>
  <si>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</si>
  <si>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</si>
  <si>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</si>
  <si>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</si>
  <si>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</si>
  <si>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</si>
  <si>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</si>
  <si>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</si>
  <si>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</si>
  <si>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</si>
  <si>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</si>
  <si>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</si>
  <si>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</si>
  <si>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</si>
  <si>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</si>
  <si>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</si>
  <si>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</si>
  <si>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</si>
  <si>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</si>
  <si>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</si>
  <si>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</si>
  <si>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</si>
  <si>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</si>
  <si>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</si>
  <si>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</si>
  <si>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</si>
  <si>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</si>
  <si>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</si>
  <si>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</si>
  <si>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</si>
  <si>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</si>
  <si>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</si>
  <si>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</si>
  <si>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</si>
  <si>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</si>
  <si>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</si>
  <si>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</si>
  <si>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</si>
  <si>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</si>
  <si>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</si>
  <si>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</si>
  <si>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</si>
  <si>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</si>
  <si>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</si>
  <si>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</si>
  <si>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</si>
  <si>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</si>
  <si>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</si>
  <si>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</si>
  <si>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</si>
  <si>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</si>
  <si>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</si>
  <si>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</si>
  <si>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</si>
  <si>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</si>
  <si>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</si>
  <si>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</si>
  <si>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</si>
  <si>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</si>
  <si>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</si>
  <si>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</si>
  <si>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</si>
  <si>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</si>
  <si>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</si>
  <si>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</si>
  <si>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</si>
  <si>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</si>
  <si>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</si>
  <si>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</si>
  <si>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</si>
  <si>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</si>
  <si>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</si>
  <si>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</si>
  <si>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</si>
  <si>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</si>
  <si>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</si>
  <si>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</si>
  <si>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</si>
  <si>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</si>
  <si>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</si>
  <si>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</si>
  <si>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</si>
  <si>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</si>
  <si>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</si>
  <si>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</si>
  <si>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</si>
  <si>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</si>
  <si>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</si>
  <si>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</si>
  <si>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</si>
  <si>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</si>
  <si>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</si>
  <si>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</si>
  <si>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</si>
  <si>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</si>
  <si>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</si>
  <si>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</si>
  <si>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</si>
  <si>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</si>
  <si>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</si>
  <si>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</si>
  <si>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</si>
  <si>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</si>
  <si>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</si>
  <si>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</si>
  <si>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</si>
  <si>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</si>
  <si>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</si>
  <si>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</si>
  <si>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</si>
  <si>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</si>
  <si>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</si>
  <si>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</si>
  <si>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</si>
  <si>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</si>
  <si>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</si>
  <si>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</si>
  <si>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</si>
  <si>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</si>
  <si>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</si>
  <si>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</si>
  <si>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</si>
  <si>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</si>
  <si>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</si>
  <si>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</si>
  <si>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</si>
  <si>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</si>
  <si>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</si>
  <si>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</si>
  <si>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</si>
  <si>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</si>
  <si>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</si>
  <si>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</si>
  <si>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</si>
  <si>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</si>
  <si>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</si>
  <si>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</si>
  <si>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</si>
  <si>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</si>
  <si>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</si>
  <si>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</si>
  <si>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</si>
  <si>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</si>
  <si>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</si>
  <si>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</si>
  <si>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</si>
  <si>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</si>
  <si>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</si>
  <si>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</si>
  <si>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</si>
  <si>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</si>
  <si>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</si>
  <si>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</si>
  <si>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</si>
  <si>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</si>
  <si>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</si>
  <si>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</si>
  <si>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</si>
  <si>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</si>
  <si>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</si>
  <si>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</si>
  <si>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</si>
  <si>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</si>
  <si>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</si>
  <si>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</si>
  <si>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</si>
  <si>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</si>
  <si>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</si>
  <si>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</si>
  <si>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</si>
  <si>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</si>
  <si>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</si>
  <si>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</si>
  <si>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</si>
  <si>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</si>
  <si>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</si>
  <si>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</si>
  <si>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</si>
  <si>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</si>
  <si>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</si>
  <si>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</si>
  <si>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</si>
  <si>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</si>
  <si>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</si>
  <si>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</si>
  <si>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</si>
  <si>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</si>
  <si>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</si>
  <si>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</si>
  <si>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</si>
  <si>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</si>
  <si>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</si>
  <si>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</si>
  <si>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</si>
  <si>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</si>
  <si>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</si>
  <si>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</si>
  <si>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</si>
  <si>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</si>
  <si>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</si>
  <si>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</si>
  <si>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</si>
  <si>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</si>
  <si>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</si>
  <si>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</si>
  <si>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</si>
  <si>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</si>
  <si>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</si>
  <si>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</si>
  <si>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</si>
  <si>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</si>
  <si>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</si>
  <si>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</si>
  <si>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</si>
  <si>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</si>
  <si>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</si>
  <si>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</si>
  <si>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</si>
  <si>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</si>
  <si>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</si>
  <si>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</si>
  <si>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</si>
  <si>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</si>
  <si>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</si>
  <si>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</si>
  <si>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</si>
  <si>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</si>
  <si>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</si>
  <si>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</si>
  <si>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</si>
  <si>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</si>
  <si>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</si>
  <si>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</si>
  <si>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</si>
  <si>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</si>
  <si>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</si>
  <si>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</si>
  <si>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</si>
  <si>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</si>
  <si>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</si>
  <si>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</si>
  <si>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</si>
  <si>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</si>
  <si>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</si>
  <si>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</si>
  <si>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</si>
  <si>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</si>
  <si>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</si>
  <si>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</si>
  <si>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</si>
  <si>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</si>
  <si>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</si>
  <si>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</si>
  <si>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</si>
  <si>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</si>
  <si>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</si>
  <si>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</si>
  <si>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</si>
  <si>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</si>
  <si>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</si>
  <si>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</si>
  <si>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</si>
  <si>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</si>
  <si>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</si>
  <si>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</si>
  <si>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</si>
  <si>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</si>
  <si>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</si>
  <si>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</si>
  <si>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</si>
  <si>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</si>
  <si>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</si>
  <si>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</si>
  <si>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</si>
  <si>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</si>
  <si>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</si>
  <si>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</si>
  <si>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</si>
  <si>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</si>
  <si>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</si>
  <si>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</si>
  <si>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</si>
  <si>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</si>
  <si>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</si>
  <si>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</si>
  <si>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</si>
  <si>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</si>
  <si>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</si>
  <si>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</si>
  <si>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</si>
  <si>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</si>
  <si>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</si>
  <si>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</si>
  <si>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</si>
  <si>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</si>
  <si>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</si>
  <si>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</si>
  <si>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</si>
  <si>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</si>
  <si>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</si>
  <si>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</si>
  <si>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</si>
  <si>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</si>
  <si>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</si>
  <si>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</si>
  <si>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</si>
  <si>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</si>
  <si>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</si>
  <si>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</si>
  <si>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</si>
  <si>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</si>
  <si>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</si>
  <si>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</si>
  <si>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</si>
  <si>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</si>
  <si>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</si>
  <si>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</si>
  <si>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</si>
  <si>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</si>
  <si>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</si>
  <si>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</si>
  <si>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</si>
  <si>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</si>
  <si>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</si>
  <si>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</si>
  <si>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</si>
  <si>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</si>
  <si>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</si>
  <si>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</si>
  <si>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</si>
  <si>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</si>
  <si>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</si>
  <si>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</si>
  <si>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</si>
  <si>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</si>
  <si>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</si>
  <si>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</si>
  <si>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</si>
  <si>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</si>
  <si>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</si>
  <si>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</si>
  <si>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</si>
  <si>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</si>
  <si>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</si>
  <si>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</si>
  <si>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</si>
  <si>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</si>
  <si>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</si>
  <si>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</si>
  <si>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</si>
  <si>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</si>
  <si>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</si>
  <si>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</si>
  <si>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</si>
  <si>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</si>
  <si>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</si>
  <si>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</si>
  <si>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</si>
  <si>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</si>
  <si>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</si>
  <si>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</si>
  <si>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</si>
  <si>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</si>
  <si>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</si>
  <si>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</si>
  <si>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</si>
  <si>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</si>
  <si>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</si>
  <si>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</si>
  <si>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</si>
  <si>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</si>
  <si>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</si>
  <si>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</si>
  <si>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</si>
  <si>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</si>
  <si>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</si>
  <si>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</si>
  <si>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</si>
  <si>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</si>
  <si>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</si>
  <si>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</si>
  <si>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</si>
  <si>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</si>
  <si>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</si>
  <si>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</si>
  <si>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</si>
  <si>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</si>
  <si>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</si>
  <si>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</si>
  <si>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</si>
  <si>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</si>
  <si>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</si>
  <si>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</si>
  <si>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</si>
  <si>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</si>
  <si>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</si>
  <si>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</si>
  <si>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</si>
  <si>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</si>
  <si>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</si>
  <si>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</si>
  <si>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</si>
  <si>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</si>
  <si>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</si>
  <si>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</si>
  <si>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</si>
  <si>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</si>
  <si>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</si>
  <si>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</si>
  <si>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</si>
  <si>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</si>
  <si>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</si>
  <si>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</si>
  <si>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</si>
  <si>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</si>
  <si>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</si>
  <si>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</si>
  <si>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</si>
  <si>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</si>
  <si>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</si>
  <si>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</si>
  <si>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</si>
  <si>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</si>
  <si>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</si>
  <si>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</si>
  <si>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</si>
  <si>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</si>
  <si>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</si>
  <si>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</si>
  <si>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</si>
  <si>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</si>
  <si>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</si>
  <si>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</si>
  <si>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</si>
  <si>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</si>
  <si>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</si>
  <si>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</si>
  <si>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</si>
  <si>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</si>
  <si>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</si>
  <si>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</si>
  <si>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</si>
  <si>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</si>
  <si>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</si>
  <si>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</si>
  <si>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</si>
  <si>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</si>
  <si>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</si>
  <si>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</si>
  <si>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</si>
  <si>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</si>
  <si>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</si>
  <si>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</si>
  <si>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</si>
  <si>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</si>
  <si>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</si>
  <si>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</si>
  <si>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</si>
  <si>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</si>
  <si>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</si>
  <si>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</si>
  <si>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</si>
  <si>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</si>
  <si>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</si>
  <si>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</si>
  <si>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</si>
  <si>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</si>
  <si>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</si>
  <si>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</si>
  <si>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</si>
  <si>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</si>
  <si>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</si>
  <si>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</si>
  <si>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</si>
  <si>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</si>
  <si>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</si>
  <si>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</si>
  <si>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</si>
  <si>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</si>
  <si>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</si>
  <si>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</si>
  <si>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</si>
  <si>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</si>
  <si>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</si>
  <si>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</si>
  <si>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</si>
  <si>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</si>
  <si>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</si>
  <si>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</si>
  <si>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</si>
  <si>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</si>
  <si>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</si>
  <si>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</si>
  <si>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</si>
  <si>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</si>
  <si>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</si>
  <si>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</si>
  <si>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</si>
  <si>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</si>
  <si>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</si>
  <si>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</si>
  <si>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</si>
  <si>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</si>
  <si>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</si>
  <si>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</si>
  <si>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</si>
  <si>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</si>
  <si>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</si>
  <si>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</si>
  <si>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</si>
  <si>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</si>
  <si>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</si>
  <si>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</si>
  <si>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</si>
  <si>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</si>
  <si>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</si>
  <si>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</si>
  <si>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</si>
  <si>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</si>
  <si>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</si>
  <si>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</si>
  <si>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</si>
  <si>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</si>
  <si>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</si>
  <si>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</si>
  <si>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</si>
  <si>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</si>
  <si>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</si>
  <si>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</si>
  <si>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</si>
  <si>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</si>
  <si>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</si>
  <si>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</si>
  <si>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</si>
  <si>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</si>
  <si>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</si>
  <si>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</si>
  <si>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</si>
  <si>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</si>
  <si>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</si>
  <si>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</si>
  <si>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</si>
  <si>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</si>
  <si>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</si>
  <si>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</si>
  <si>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</si>
  <si>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</si>
  <si>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</si>
  <si>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</si>
  <si>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</si>
  <si>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</si>
  <si>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</si>
  <si>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</si>
  <si>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</si>
  <si>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</si>
  <si>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</si>
  <si>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</si>
  <si>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</si>
  <si>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</si>
  <si>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</si>
  <si>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</si>
  <si>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</si>
  <si>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</si>
  <si>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</si>
  <si>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</si>
  <si>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</si>
  <si>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</si>
  <si>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</si>
  <si>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</si>
  <si>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</si>
  <si>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</si>
  <si>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</si>
  <si>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</si>
  <si>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</si>
  <si>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</si>
  <si>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</si>
  <si>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</si>
  <si>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</si>
  <si>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</si>
  <si>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</si>
  <si>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</si>
  <si>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</si>
  <si>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</si>
  <si>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</si>
  <si>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</si>
  <si>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</si>
  <si>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</si>
  <si>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</si>
  <si>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</si>
  <si>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</si>
  <si>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</si>
  <si>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</si>
  <si>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</si>
  <si>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</si>
  <si>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</si>
  <si>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</si>
  <si>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</si>
  <si>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</si>
  <si>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</si>
  <si>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</si>
  <si>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</si>
  <si>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</si>
  <si>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</si>
  <si>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</si>
  <si>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</si>
  <si>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</si>
  <si>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</si>
  <si>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</si>
  <si>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</si>
  <si>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</si>
  <si>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</si>
  <si>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</si>
  <si>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</si>
  <si>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</si>
  <si>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</si>
  <si>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</si>
  <si>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</si>
  <si>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</si>
  <si>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</si>
  <si>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</si>
  <si>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</si>
  <si>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</si>
  <si>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</si>
  <si>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</si>
  <si>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</si>
  <si>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</si>
  <si>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</si>
  <si>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</si>
  <si>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</si>
  <si>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</si>
  <si>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</si>
  <si>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</si>
  <si>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</si>
  <si>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</si>
  <si>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</si>
  <si>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</si>
  <si>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</si>
  <si>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</si>
  <si>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</si>
  <si>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</si>
  <si>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</si>
  <si>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</si>
  <si>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</si>
  <si>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</si>
  <si>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</si>
  <si>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</si>
  <si>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</si>
  <si>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</si>
  <si>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</si>
  <si>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</si>
  <si>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</si>
  <si>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</si>
  <si>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</si>
  <si>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</si>
  <si>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</si>
  <si>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</si>
  <si>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</si>
  <si>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</si>
  <si>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</si>
  <si>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</si>
  <si>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</si>
  <si>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</si>
  <si>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</si>
  <si>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</si>
  <si>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</si>
  <si>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</si>
  <si>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</si>
  <si>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</si>
  <si>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</si>
  <si>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</si>
  <si>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</si>
  <si>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</si>
  <si>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</si>
  <si>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</si>
  <si>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</si>
  <si>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</si>
  <si>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</si>
  <si>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</si>
  <si>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</si>
  <si>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</si>
  <si>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</si>
  <si>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</si>
  <si>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</si>
  <si>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</si>
  <si>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</si>
  <si>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</si>
  <si>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</si>
  <si>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</si>
  <si>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</si>
  <si>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</si>
  <si>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</si>
  <si>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</si>
  <si>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</si>
  <si>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</si>
  <si>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</si>
  <si>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</si>
  <si>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</si>
  <si>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</si>
  <si>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</si>
  <si>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</si>
  <si>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</si>
  <si>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</si>
  <si>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</si>
  <si>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</si>
  <si>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</si>
  <si>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</si>
  <si>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</si>
  <si>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</si>
  <si>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</si>
  <si>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</si>
  <si>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</si>
  <si>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</si>
  <si>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</si>
  <si>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</si>
  <si>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</si>
  <si>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</si>
  <si>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</si>
  <si>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</si>
  <si>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</si>
  <si>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</si>
  <si>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</si>
  <si>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</si>
  <si>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</si>
  <si>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</si>
  <si>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</si>
  <si>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</si>
  <si>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</si>
  <si>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</si>
  <si>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</si>
  <si>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</si>
  <si>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</si>
  <si>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</si>
  <si>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</si>
  <si>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</si>
  <si>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</si>
  <si>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</si>
  <si>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</si>
  <si>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</si>
  <si>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</si>
  <si>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</si>
  <si>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</si>
  <si>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</si>
  <si>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</si>
  <si>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</si>
  <si>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</si>
  <si>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</si>
  <si>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</si>
  <si>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</si>
  <si>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</si>
  <si>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</si>
  <si>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</si>
  <si>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</si>
  <si>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</si>
  <si>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</si>
  <si>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</si>
  <si>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</si>
  <si>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</si>
  <si>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</si>
  <si>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</si>
  <si>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</si>
  <si>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</si>
  <si>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</si>
  <si>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</si>
  <si>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</si>
  <si>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</si>
  <si>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</si>
  <si>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</si>
  <si>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</si>
  <si>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</si>
  <si>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</si>
  <si>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</si>
  <si>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</si>
  <si>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</si>
  <si>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</si>
  <si>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</si>
  <si>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</si>
  <si>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</si>
  <si>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</si>
  <si>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</si>
  <si>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</si>
  <si>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</si>
  <si>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</si>
  <si>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</si>
  <si>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</si>
  <si>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</si>
  <si>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</si>
  <si>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</si>
  <si>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</si>
  <si>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</si>
  <si>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</si>
  <si>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</si>
  <si>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</si>
  <si>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</si>
  <si>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</si>
  <si>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</si>
  <si>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</si>
  <si>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</si>
  <si>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</si>
  <si>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</si>
  <si>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</si>
  <si>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</si>
  <si>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</si>
  <si>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</si>
  <si>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</si>
  <si>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</si>
  <si>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</si>
  <si>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</si>
  <si>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</si>
  <si>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</si>
  <si>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</si>
  <si>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</si>
  <si>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</si>
  <si>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</si>
  <si>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</si>
  <si>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</si>
  <si>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</si>
  <si>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</si>
  <si>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</si>
  <si>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</si>
  <si>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</si>
  <si>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</si>
  <si>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</si>
  <si>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</si>
  <si>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</si>
  <si>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</si>
  <si>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</si>
  <si>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</si>
  <si>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</si>
  <si>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</si>
  <si>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</si>
  <si>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</si>
  <si>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</si>
  <si>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</si>
  <si>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</si>
  <si>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</si>
  <si>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</si>
  <si>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</si>
  <si>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</si>
  <si>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</si>
  <si>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</si>
  <si>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</si>
  <si>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</si>
  <si>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</si>
  <si>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</si>
  <si>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</si>
  <si>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</si>
  <si>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</si>
  <si>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</si>
  <si>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</si>
  <si>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</si>
  <si>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</si>
  <si>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</si>
  <si>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</si>
  <si>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</si>
  <si>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</si>
  <si>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</si>
  <si>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</si>
  <si>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</si>
  <si>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</si>
  <si>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</si>
  <si>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</si>
  <si>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</si>
  <si>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</si>
  <si>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</si>
  <si>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</si>
  <si>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</si>
  <si>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</si>
  <si>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</si>
  <si>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</si>
  <si>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</si>
  <si>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</si>
  <si>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</si>
  <si>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</si>
  <si>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</si>
  <si>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</si>
  <si>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</si>
  <si>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</si>
  <si>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</si>
  <si>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</si>
  <si>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</si>
  <si>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</si>
  <si>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</si>
  <si>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</si>
  <si>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</si>
  <si>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</si>
  <si>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</si>
  <si>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</si>
  <si>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</si>
  <si>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</si>
  <si>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</si>
  <si>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</si>
  <si>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</si>
  <si>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</si>
  <si>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</si>
  <si>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</si>
  <si>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</si>
  <si>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</si>
  <si>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</si>
  <si>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</si>
  <si>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</si>
  <si>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</si>
  <si>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</si>
  <si>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</si>
  <si>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</si>
  <si>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</si>
  <si>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</si>
  <si>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</si>
  <si>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</si>
  <si>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</si>
  <si>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</si>
  <si>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</si>
  <si>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</si>
  <si>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</si>
  <si>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</si>
  <si>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</si>
  <si>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</si>
  <si>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</si>
  <si>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</si>
  <si>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</si>
  <si>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</si>
  <si>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</si>
  <si>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</si>
  <si>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</si>
  <si>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</si>
  <si>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</si>
  <si>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</si>
  <si>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</si>
  <si>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</si>
  <si>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</si>
  <si>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</si>
  <si>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</si>
  <si>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</si>
  <si>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</si>
  <si>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</si>
  <si>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</si>
  <si>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</si>
  <si>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</si>
  <si>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</si>
  <si>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</si>
  <si>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</si>
  <si>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</si>
  <si>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</si>
  <si>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</si>
  <si>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</si>
  <si>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</si>
  <si>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</si>
  <si>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</si>
  <si>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</si>
  <si>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</si>
  <si>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</si>
  <si>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</si>
  <si>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</si>
  <si>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</si>
  <si>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</si>
  <si>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</si>
  <si>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</si>
  <si>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</si>
  <si>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</si>
  <si>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</si>
  <si>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</si>
  <si>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</si>
  <si>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</si>
  <si>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</si>
  <si>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</si>
  <si>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</si>
  <si>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</si>
  <si>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</si>
  <si>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</si>
  <si>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</si>
  <si>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</si>
  <si>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</si>
  <si>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</si>
  <si>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</si>
  <si>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</si>
  <si>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</si>
  <si>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</si>
  <si>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</si>
  <si>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</si>
  <si>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</si>
  <si>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</si>
  <si>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</si>
  <si>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</si>
  <si>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</si>
  <si>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</si>
  <si>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</si>
  <si>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</si>
  <si>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</si>
  <si>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</si>
  <si>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</si>
  <si>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</si>
  <si>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</si>
  <si>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</si>
  <si>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</si>
  <si>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</si>
  <si>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</si>
  <si>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</si>
  <si>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</si>
  <si>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</si>
  <si>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</si>
  <si>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</si>
  <si>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</si>
  <si>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</si>
  <si>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</si>
  <si>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</si>
  <si>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</si>
  <si>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</si>
  <si>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</si>
  <si>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</si>
  <si>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</si>
  <si>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</si>
  <si>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</si>
  <si>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</si>
  <si>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</si>
  <si>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</si>
  <si>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</si>
  <si>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</si>
  <si>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</si>
  <si>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</si>
  <si>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</si>
  <si>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</si>
  <si>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</si>
  <si>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</si>
  <si>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</si>
  <si>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</si>
  <si>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</si>
  <si>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</si>
  <si>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</si>
  <si>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</si>
  <si>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</si>
  <si>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</si>
  <si>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</si>
  <si>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</si>
  <si>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</si>
  <si>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</si>
  <si>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</si>
  <si>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</si>
  <si>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</si>
  <si>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</si>
  <si>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</si>
  <si>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</si>
  <si>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</si>
  <si>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</si>
  <si>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</si>
  <si>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</si>
  <si>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</si>
  <si>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</si>
  <si>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</si>
  <si>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</si>
  <si>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</si>
  <si>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</si>
  <si>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</si>
  <si>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</si>
  <si>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</si>
  <si>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</si>
  <si>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</si>
  <si>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</si>
  <si>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</si>
  <si>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</si>
  <si>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</si>
  <si>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</si>
  <si>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</si>
  <si>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</si>
  <si>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</si>
  <si>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</si>
  <si>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</si>
  <si>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</si>
  <si>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</si>
  <si>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</si>
  <si>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</si>
  <si>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</si>
  <si>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</si>
  <si>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</si>
  <si>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</si>
  <si>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</si>
  <si>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</si>
  <si>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</si>
  <si>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</si>
  <si>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</si>
  <si>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</si>
  <si>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</si>
  <si>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</si>
  <si>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</si>
  <si>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</si>
  <si>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</si>
  <si>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</si>
  <si>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</si>
  <si>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</si>
  <si>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</si>
  <si>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</si>
  <si>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</si>
  <si>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</si>
  <si>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</si>
  <si>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</si>
  <si>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</si>
  <si>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</si>
  <si>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</si>
  <si>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</si>
  <si>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</si>
  <si>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</si>
  <si>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</si>
  <si>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</si>
  <si>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</si>
  <si>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</si>
  <si>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</si>
  <si>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</si>
  <si>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</si>
  <si>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</si>
  <si>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</si>
  <si>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</si>
  <si>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</si>
  <si>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</si>
  <si>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</si>
  <si>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</si>
  <si>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</si>
  <si>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</si>
  <si>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</si>
  <si>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</si>
  <si>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</si>
  <si>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</si>
  <si>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</si>
  <si>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</si>
  <si>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</si>
  <si>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</si>
  <si>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</si>
  <si>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</si>
  <si>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</si>
  <si>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</si>
  <si>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</si>
  <si>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</si>
  <si>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</si>
  <si>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</si>
  <si>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</si>
  <si>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</si>
  <si>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</si>
  <si>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</si>
  <si>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</si>
  <si>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</si>
  <si>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</si>
  <si>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</si>
  <si>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</si>
  <si>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</si>
  <si>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</si>
  <si>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</si>
  <si>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</si>
  <si>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</si>
  <si>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</si>
  <si>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</si>
  <si>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</si>
  <si>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</si>
  <si>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</si>
  <si>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</si>
  <si>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</si>
  <si>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</si>
  <si>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</si>
  <si>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</si>
  <si>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</si>
  <si>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</si>
  <si>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</si>
  <si>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</si>
  <si>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</si>
  <si>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</si>
  <si>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</si>
  <si>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</si>
  <si>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</si>
  <si>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</si>
  <si>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</si>
  <si>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</si>
  <si>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</si>
  <si>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</si>
  <si>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</si>
  <si>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</si>
  <si>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</si>
  <si>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</si>
  <si>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</si>
  <si>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</si>
  <si>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</si>
  <si>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</si>
  <si>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</si>
  <si>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</si>
  <si>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</si>
  <si>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</si>
  <si>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</si>
  <si>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</si>
  <si>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</si>
  <si>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</si>
  <si>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</si>
  <si>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</si>
  <si>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</si>
  <si>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</si>
  <si>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</si>
  <si>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</si>
  <si>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</si>
  <si>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</si>
  <si>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</si>
  <si>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</si>
  <si>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</si>
  <si>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</si>
  <si>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</si>
  <si>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</si>
  <si>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</si>
  <si>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</si>
  <si>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</si>
  <si>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</si>
  <si>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</si>
  <si>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</si>
  <si>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</si>
  <si>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</si>
  <si>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</si>
  <si>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</si>
  <si>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</si>
  <si>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</si>
  <si>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</si>
  <si>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</si>
  <si>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</si>
  <si>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</si>
  <si>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</si>
  <si>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</si>
  <si>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</si>
  <si>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</si>
  <si>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</si>
  <si>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</si>
  <si>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</si>
  <si>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</si>
  <si>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</si>
  <si>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</si>
  <si>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</si>
  <si>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</si>
  <si>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</si>
  <si>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</si>
  <si>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</si>
  <si>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</si>
  <si>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</si>
  <si>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</si>
  <si>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</si>
  <si>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</si>
  <si>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</si>
  <si>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</si>
  <si>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</si>
  <si>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</si>
  <si>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</si>
  <si>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</si>
  <si>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</si>
  <si>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</si>
  <si>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</si>
  <si>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</si>
  <si>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</si>
  <si>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</si>
  <si>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</si>
  <si>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</si>
  <si>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</si>
  <si>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</si>
  <si>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</si>
  <si>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</si>
  <si>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</si>
  <si>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</si>
  <si>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</si>
  <si>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</si>
  <si>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</si>
  <si>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</si>
  <si>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</si>
  <si>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</si>
  <si>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</si>
  <si>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</si>
  <si>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</si>
  <si>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</si>
  <si>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</si>
  <si>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</si>
  <si>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</si>
  <si>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</si>
  <si>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</si>
  <si>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</si>
  <si>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</si>
  <si>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</si>
  <si>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</si>
  <si>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</si>
  <si>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</si>
  <si>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</si>
  <si>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</si>
  <si>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</si>
  <si>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</si>
  <si>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</si>
  <si>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</si>
  <si>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</si>
  <si>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</si>
  <si>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</si>
  <si>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</si>
  <si>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</si>
  <si>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</si>
  <si>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</si>
  <si>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</si>
  <si>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</si>
  <si>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</si>
  <si>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</si>
  <si>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</si>
  <si>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</si>
  <si>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</si>
  <si>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</si>
  <si>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</si>
  <si>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</si>
  <si>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</si>
  <si>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</si>
  <si>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</si>
  <si>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</si>
  <si>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</si>
  <si>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</si>
  <si>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</si>
  <si>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</si>
  <si>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</si>
  <si>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</si>
  <si>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</si>
  <si>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</si>
  <si>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</si>
  <si>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</si>
  <si>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</si>
  <si>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</si>
  <si>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</si>
  <si>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</si>
  <si>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</si>
  <si>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</si>
  <si>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</si>
  <si>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</si>
  <si>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</si>
  <si>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</si>
  <si>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</si>
  <si>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</si>
  <si>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</si>
  <si>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</si>
  <si>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</si>
  <si>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</si>
  <si>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</si>
  <si>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</si>
  <si>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</si>
  <si>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</si>
  <si>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</si>
  <si>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</si>
  <si>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</si>
  <si>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</si>
  <si>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</si>
  <si>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</si>
  <si>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</si>
  <si>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</si>
  <si>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</si>
  <si>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</si>
  <si>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</si>
  <si>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</si>
  <si>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</si>
  <si>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</si>
  <si>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</si>
  <si>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</si>
  <si>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</si>
  <si>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</si>
  <si>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</si>
  <si>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</si>
  <si>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</si>
  <si>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</si>
  <si>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</si>
  <si>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</si>
  <si>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</si>
  <si>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</si>
  <si>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</si>
  <si>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</si>
  <si>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</si>
  <si>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</si>
  <si>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</si>
  <si>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</si>
  <si>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</si>
  <si>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</si>
  <si>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</si>
  <si>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</si>
  <si>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</si>
  <si>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</si>
  <si>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</si>
  <si>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</si>
  <si>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</si>
  <si>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</si>
  <si>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</si>
  <si>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</si>
  <si>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</si>
  <si>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</si>
  <si>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</si>
  <si>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</si>
  <si>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</si>
  <si>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</si>
  <si>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</si>
  <si>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</si>
  <si>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</si>
  <si>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</si>
  <si>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</si>
  <si>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</si>
  <si>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</si>
  <si>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</si>
  <si>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</si>
  <si>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</si>
  <si>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</si>
  <si>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</si>
  <si>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</si>
  <si>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</si>
  <si>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</si>
  <si>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</si>
  <si>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</si>
  <si>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</si>
  <si>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</si>
  <si>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</si>
  <si>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</si>
  <si>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</si>
  <si>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</si>
  <si>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</si>
  <si>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</si>
  <si>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</si>
  <si>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</si>
  <si>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</si>
  <si>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</si>
  <si>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</si>
  <si>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</si>
  <si>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</si>
  <si>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</si>
  <si>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</si>
  <si>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</si>
  <si>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</si>
  <si>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</si>
  <si>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</si>
  <si>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</si>
  <si>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</si>
  <si>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</si>
  <si>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</si>
  <si>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</si>
  <si>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</si>
  <si>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</si>
  <si>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</si>
  <si>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</si>
  <si>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</si>
  <si>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</si>
  <si>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</si>
  <si>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</si>
  <si>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</si>
  <si>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</si>
  <si>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</si>
  <si>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</si>
  <si>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</si>
  <si>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</si>
  <si>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</si>
  <si>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</si>
  <si>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</si>
  <si>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</si>
  <si>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</si>
  <si>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</si>
  <si>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</si>
  <si>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</si>
  <si>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</si>
  <si>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</si>
  <si>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</si>
  <si>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</si>
  <si>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</si>
  <si>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</si>
  <si>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</si>
  <si>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</si>
  <si>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</si>
  <si>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</si>
  <si>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</si>
  <si>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</si>
  <si>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</si>
  <si>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</si>
  <si>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</si>
  <si>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</si>
  <si>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</si>
  <si>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</si>
  <si>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</si>
  <si>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</si>
  <si>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</si>
  <si>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</si>
  <si>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</si>
  <si>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</si>
  <si>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</si>
  <si>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</si>
  <si>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</si>
  <si>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</si>
  <si>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</si>
  <si>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</si>
  <si>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</si>
  <si>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</si>
  <si>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</si>
  <si>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</si>
  <si>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</si>
  <si>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</si>
  <si>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</si>
  <si>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</si>
  <si>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</si>
  <si>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</si>
  <si>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</si>
  <si>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</si>
  <si>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</si>
  <si>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</si>
  <si>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</si>
  <si>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</si>
  <si>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</si>
  <si>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</si>
  <si>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</si>
  <si>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</si>
  <si>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</si>
  <si>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</si>
  <si>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</si>
  <si>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</si>
  <si>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</si>
  <si>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</si>
  <si>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</si>
  <si>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</si>
  <si>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</si>
  <si>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</si>
  <si>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</si>
  <si>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</si>
  <si>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</si>
  <si>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</si>
  <si>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</si>
  <si>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</si>
  <si>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</si>
  <si>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</si>
  <si>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</si>
  <si>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</si>
  <si>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</si>
  <si>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</si>
  <si>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</si>
  <si>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</si>
  <si>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</si>
  <si>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</si>
  <si>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</si>
  <si>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</si>
  <si>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</si>
  <si>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</si>
  <si>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</si>
  <si>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</si>
  <si>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</si>
  <si>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</si>
  <si>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</si>
  <si>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</si>
  <si>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</si>
  <si>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</si>
  <si>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</si>
  <si>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</si>
  <si>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</si>
  <si>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</si>
  <si>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</si>
  <si>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</si>
  <si>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</si>
  <si>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</si>
  <si>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</si>
  <si>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</si>
  <si>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</si>
  <si>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</si>
  <si>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</si>
  <si>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</si>
  <si>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</si>
  <si>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</si>
  <si>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</si>
  <si>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</si>
  <si>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</si>
  <si>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</si>
  <si>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</si>
  <si>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</si>
  <si>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</si>
  <si>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</si>
  <si>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</si>
  <si>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</si>
  <si>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</si>
  <si>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</si>
  <si>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</si>
  <si>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</si>
  <si>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</si>
  <si>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</si>
  <si>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</si>
  <si>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</si>
  <si>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</si>
  <si>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</si>
  <si>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</si>
  <si>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</si>
  <si>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</si>
  <si>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</si>
  <si>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</si>
  <si>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</si>
  <si>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</si>
  <si>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</si>
  <si>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</si>
  <si>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</si>
  <si>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</si>
  <si>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</si>
  <si>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</si>
  <si>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</si>
  <si>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</si>
  <si>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</si>
  <si>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</si>
  <si>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</si>
  <si>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</si>
  <si>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</si>
  <si>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</si>
  <si>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</si>
  <si>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</si>
  <si>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</si>
  <si>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</si>
  <si>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</si>
  <si>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</si>
  <si>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</si>
  <si>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</si>
  <si>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</si>
  <si>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</si>
  <si>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</si>
  <si>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</si>
  <si>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</si>
  <si>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</si>
  <si>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</si>
  <si>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</si>
  <si>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</si>
  <si>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</si>
  <si>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</si>
  <si>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</si>
  <si>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</si>
  <si>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</si>
  <si>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</si>
  <si>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</si>
  <si>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</si>
  <si>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</si>
  <si>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</si>
  <si>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</si>
  <si>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</si>
  <si>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</si>
  <si>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</si>
  <si>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</si>
  <si>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</si>
  <si>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</si>
  <si>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</si>
  <si>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</si>
  <si>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</si>
  <si>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</si>
  <si>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</si>
  <si>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</si>
  <si>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</si>
  <si>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</si>
  <si>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</si>
  <si>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</si>
  <si>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</si>
  <si>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</si>
  <si>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</si>
  <si>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</si>
  <si>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</si>
  <si>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</si>
  <si>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</si>
  <si>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</si>
  <si>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</si>
  <si>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</si>
  <si>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</si>
  <si>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</si>
  <si>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</si>
  <si>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</si>
  <si>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</si>
  <si>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</si>
  <si>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</si>
  <si>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</si>
  <si>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</si>
  <si>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</si>
  <si>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</si>
  <si>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</si>
  <si>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</si>
  <si>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</si>
  <si>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</si>
  <si>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</si>
  <si>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</si>
  <si>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</si>
  <si>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</si>
  <si>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</si>
  <si>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</si>
  <si>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</si>
  <si>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</si>
  <si>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</si>
  <si>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</si>
  <si>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</si>
  <si>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</si>
  <si>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</si>
  <si>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</si>
  <si>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</si>
  <si>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</si>
  <si>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</si>
  <si>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</si>
  <si>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</si>
  <si>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</si>
  <si>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</si>
  <si>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</si>
  <si>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</si>
  <si>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</si>
  <si>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</si>
  <si>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</si>
  <si>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</si>
  <si>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</si>
  <si>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</si>
  <si>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</si>
  <si>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</si>
  <si>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</si>
  <si>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</si>
  <si>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</si>
  <si>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</si>
  <si>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</si>
  <si>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</si>
  <si>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</si>
  <si>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</si>
  <si>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</si>
  <si>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</si>
  <si>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</si>
  <si>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</si>
  <si>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</si>
  <si>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</si>
  <si>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</si>
  <si>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</si>
  <si>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</si>
  <si>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</si>
  <si>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</si>
  <si>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</si>
  <si>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</si>
  <si>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</si>
  <si>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</si>
  <si>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</si>
  <si>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</si>
  <si>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</si>
  <si>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</si>
  <si>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</si>
  <si>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</si>
  <si>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</si>
  <si>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</si>
  <si>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</si>
  <si>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</si>
  <si>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</si>
  <si>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</si>
  <si>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</si>
  <si>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</si>
  <si>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</si>
  <si>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</si>
  <si>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</si>
  <si>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</si>
  <si>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</si>
  <si>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</si>
  <si>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</si>
  <si>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</si>
  <si>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</si>
  <si>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</si>
  <si>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</si>
  <si>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</si>
  <si>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</si>
  <si>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</si>
  <si>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</si>
  <si>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</si>
  <si>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</si>
  <si>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</si>
  <si>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</si>
  <si>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</si>
  <si>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</si>
  <si>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</si>
  <si>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</si>
  <si>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</si>
  <si>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</si>
  <si>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</si>
  <si>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</si>
  <si>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</si>
  <si>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</si>
  <si>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</si>
  <si>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</si>
  <si>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</si>
  <si>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</si>
  <si>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</si>
  <si>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</si>
  <si>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</si>
  <si>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</si>
  <si>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</si>
  <si>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</si>
  <si>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</si>
  <si>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</si>
  <si>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</si>
  <si>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</si>
  <si>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</si>
  <si>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</si>
  <si>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</si>
  <si>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</si>
  <si>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</si>
  <si>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</si>
  <si>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</si>
  <si>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</si>
  <si>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</si>
  <si>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</si>
  <si>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</si>
  <si>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</si>
  <si>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</si>
  <si>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</si>
  <si>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</si>
  <si>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</si>
  <si>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</si>
  <si>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</si>
  <si>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</si>
  <si>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</si>
  <si>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</si>
  <si>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</si>
  <si>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</si>
  <si>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</si>
  <si>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</si>
  <si>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</si>
  <si>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</si>
  <si>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</si>
  <si>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</si>
  <si>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</si>
  <si>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</si>
  <si>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</si>
  <si>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</si>
  <si>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</si>
  <si>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</si>
  <si>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</si>
  <si>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</si>
  <si>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</si>
  <si>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</si>
  <si>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</si>
  <si>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</si>
  <si>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</si>
  <si>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</si>
  <si>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</si>
  <si>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</si>
  <si>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</si>
  <si>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</si>
  <si>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</si>
  <si>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</si>
  <si>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</si>
  <si>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</si>
  <si>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</si>
  <si>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</si>
  <si>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</si>
  <si>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</si>
  <si>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</si>
  <si>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</si>
  <si>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</si>
  <si>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</si>
  <si>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</si>
  <si>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</si>
  <si>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</si>
  <si>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</si>
  <si>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</si>
  <si>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</si>
  <si>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</si>
  <si>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</si>
  <si>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</si>
  <si>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</si>
  <si>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</si>
  <si>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</si>
  <si>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</si>
  <si>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</si>
  <si>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</si>
  <si>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</si>
  <si>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</si>
  <si>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</si>
  <si>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</si>
  <si>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</si>
  <si>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</si>
  <si>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</si>
  <si>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</si>
  <si>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</si>
  <si>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</si>
  <si>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</si>
  <si>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</si>
  <si>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</si>
  <si>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</si>
  <si>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</si>
  <si>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</si>
  <si>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</si>
  <si>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</si>
  <si>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</si>
  <si>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</si>
  <si>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</si>
  <si>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</si>
  <si>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</si>
  <si>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</si>
  <si>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</si>
  <si>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</si>
  <si>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</si>
  <si>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</si>
  <si>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</si>
  <si>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</si>
  <si>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</si>
  <si>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</si>
  <si>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</si>
  <si>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</si>
  <si>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</si>
  <si>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</si>
  <si>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</si>
  <si>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</si>
  <si>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</si>
  <si>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</si>
  <si>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</si>
  <si>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</si>
  <si>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</si>
  <si>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</si>
  <si>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</si>
  <si>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</si>
  <si>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</si>
  <si>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</si>
  <si>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</si>
  <si>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</si>
  <si>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</si>
  <si>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</si>
  <si>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</si>
  <si>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</si>
  <si>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</si>
  <si>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</si>
  <si>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</si>
  <si>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</si>
  <si>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</si>
  <si>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</si>
  <si>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</si>
  <si>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</si>
  <si>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</si>
  <si>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</si>
  <si>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</si>
  <si>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</si>
  <si>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</si>
  <si>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</si>
  <si>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</si>
  <si>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</si>
  <si>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</si>
  <si>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</si>
  <si>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</si>
  <si>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</si>
  <si>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</si>
  <si>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</si>
  <si>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</si>
  <si>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</si>
  <si>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</si>
  <si>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</si>
  <si>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</si>
  <si>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</si>
  <si>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</si>
  <si>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</si>
  <si>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</si>
  <si>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</si>
  <si>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</si>
  <si>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</si>
  <si>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</si>
  <si>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</si>
  <si>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</si>
  <si>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</si>
  <si>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</si>
  <si>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</si>
  <si>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</si>
  <si>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</si>
  <si>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</si>
  <si>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</si>
  <si>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</si>
  <si>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</si>
  <si>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</si>
  <si>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</si>
  <si>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</si>
  <si>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</si>
  <si>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</si>
  <si>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</si>
  <si>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</si>
  <si>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</si>
  <si>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</si>
  <si>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</si>
  <si>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</si>
  <si>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</si>
  <si>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</si>
  <si>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</si>
  <si>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</si>
  <si>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</si>
  <si>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</si>
  <si>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</si>
  <si>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</si>
  <si>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</si>
  <si>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</si>
  <si>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</si>
  <si>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</si>
  <si>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</si>
  <si>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</si>
  <si>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</si>
  <si>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</si>
  <si>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</si>
  <si>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</si>
  <si>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</si>
  <si>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</si>
  <si>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</si>
  <si>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</si>
  <si>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</si>
  <si>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</si>
  <si>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</si>
  <si>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</si>
  <si>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</si>
  <si>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</si>
  <si>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</si>
  <si>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</si>
  <si>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</si>
  <si>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</si>
  <si>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</si>
  <si>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</si>
  <si>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</si>
  <si>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</si>
  <si>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</si>
  <si>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</si>
  <si>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</si>
  <si>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</si>
  <si>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</si>
  <si>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</si>
  <si>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</si>
  <si>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</si>
  <si>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</si>
  <si>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</si>
  <si>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</si>
  <si>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</si>
  <si>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</si>
  <si>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</si>
  <si>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</si>
  <si>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</si>
  <si>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</si>
  <si>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</si>
  <si>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</si>
  <si>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</si>
  <si>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</si>
  <si>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</si>
  <si>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</si>
  <si>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</si>
  <si>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</si>
  <si>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</si>
  <si>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</si>
  <si>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</si>
  <si>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</si>
  <si>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</si>
  <si>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</si>
  <si>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</si>
  <si>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</si>
  <si>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</si>
  <si>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</si>
  <si>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</si>
  <si>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</si>
  <si>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</si>
  <si>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</si>
  <si>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</si>
  <si>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</si>
  <si>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</si>
  <si>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</si>
  <si>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</si>
  <si>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</si>
  <si>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</si>
  <si>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</si>
  <si>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</si>
  <si>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</si>
  <si>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</si>
  <si>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</si>
  <si>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</si>
  <si>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</si>
  <si>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</si>
  <si>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</si>
  <si>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</si>
  <si>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</si>
  <si>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</si>
  <si>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</si>
  <si>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</si>
  <si>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</si>
  <si>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</si>
  <si>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</si>
  <si>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</si>
  <si>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</si>
  <si>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</si>
  <si>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</si>
  <si>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</si>
  <si>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</si>
  <si>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</si>
  <si>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</si>
  <si>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</si>
  <si>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</si>
  <si>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</si>
  <si>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</si>
  <si>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</si>
  <si>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</si>
  <si>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</si>
  <si>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</si>
  <si>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</si>
  <si>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</si>
  <si>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</si>
  <si>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</si>
  <si>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</si>
  <si>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</si>
  <si>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</si>
  <si>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</si>
  <si>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</si>
  <si>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</si>
  <si>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</si>
  <si>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</si>
  <si>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</si>
  <si>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</si>
  <si>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</si>
  <si>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</si>
  <si>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</si>
  <si>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</si>
  <si>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</si>
  <si>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</si>
  <si>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</si>
  <si>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</si>
  <si>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</si>
  <si>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</si>
  <si>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</si>
  <si>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</si>
  <si>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</si>
  <si>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</si>
  <si>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</si>
  <si>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</si>
  <si>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</si>
  <si>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</si>
  <si>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</si>
  <si>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</si>
  <si>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</si>
  <si>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</si>
  <si>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</si>
  <si>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</si>
  <si>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</si>
  <si>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</si>
  <si>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</si>
  <si>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</si>
  <si>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</si>
  <si>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</si>
  <si>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</si>
  <si>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</si>
  <si>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</si>
  <si>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</si>
  <si>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</si>
  <si>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</si>
  <si>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</si>
  <si>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</si>
  <si>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</si>
  <si>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</si>
  <si>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</si>
  <si>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</si>
  <si>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</si>
  <si>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</si>
  <si>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</si>
  <si>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</si>
  <si>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</si>
  <si>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</si>
  <si>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</si>
  <si>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</si>
  <si>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</si>
  <si>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</si>
  <si>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</si>
  <si>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</si>
  <si>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</si>
  <si>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</si>
  <si>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</si>
  <si>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</si>
  <si>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</si>
  <si>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</si>
  <si>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</si>
  <si>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</si>
  <si>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</si>
  <si>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</si>
  <si>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</si>
  <si>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</si>
  <si>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</si>
  <si>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</si>
  <si>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</si>
  <si>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</si>
  <si>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</si>
  <si>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</si>
  <si>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</si>
  <si>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</si>
  <si>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</si>
  <si>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</si>
  <si>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</si>
  <si>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</si>
  <si>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</si>
  <si>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</si>
  <si>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</si>
  <si>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</si>
  <si>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</si>
  <si>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</si>
  <si>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</si>
  <si>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</si>
  <si>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</si>
  <si>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</si>
  <si>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</si>
  <si>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</si>
  <si>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</si>
  <si>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</si>
  <si>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</si>
  <si>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</si>
  <si>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</si>
  <si>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</si>
  <si>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</si>
  <si>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</si>
  <si>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</si>
  <si>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</si>
  <si>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</si>
  <si>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</si>
  <si>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</si>
  <si>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</si>
  <si>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</si>
  <si>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</si>
  <si>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</si>
  <si>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</si>
  <si>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</si>
  <si>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</si>
  <si>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</si>
  <si>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</si>
  <si>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</si>
  <si>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</si>
  <si>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</si>
  <si>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</si>
  <si>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</si>
  <si>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</si>
  <si>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</si>
  <si>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</si>
  <si>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</si>
  <si>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</si>
  <si>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</si>
  <si>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</si>
  <si>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</si>
  <si>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</si>
  <si>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</si>
  <si>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</si>
  <si>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</si>
  <si>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</si>
  <si>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</si>
  <si>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</si>
  <si>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</si>
  <si>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</si>
  <si>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</si>
  <si>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</si>
  <si>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</si>
  <si>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</si>
  <si>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</si>
  <si>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</si>
  <si>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</si>
  <si>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</si>
  <si>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</si>
  <si>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</si>
  <si>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</si>
  <si>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</si>
  <si>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</si>
  <si>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</si>
  <si>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</si>
  <si>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</si>
  <si>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</si>
  <si>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</si>
  <si>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</si>
  <si>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</si>
  <si>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</si>
  <si>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</si>
  <si>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</si>
  <si>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</si>
  <si>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</si>
  <si>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</si>
  <si>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</si>
  <si>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</si>
  <si>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</si>
  <si>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</si>
  <si>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</si>
  <si>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</si>
  <si>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</si>
  <si>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</si>
  <si>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</si>
  <si>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</si>
  <si>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</si>
  <si>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</si>
  <si>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</si>
  <si>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</si>
  <si>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</si>
  <si>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</si>
  <si>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</si>
  <si>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</si>
  <si>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</si>
  <si>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</si>
  <si>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</si>
  <si>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</si>
  <si>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</si>
  <si>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</si>
  <si>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</si>
  <si>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</si>
  <si>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</si>
  <si>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</si>
  <si>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</si>
  <si>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</si>
  <si>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</si>
  <si>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</si>
  <si>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</si>
  <si>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</si>
  <si>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</si>
  <si>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</si>
  <si>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</si>
  <si>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</si>
  <si>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</si>
  <si>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</si>
  <si>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</si>
  <si>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</si>
  <si>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</si>
  <si>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</si>
  <si>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</si>
  <si>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</si>
  <si>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</si>
  <si>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</si>
  <si>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</si>
  <si>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</si>
  <si>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</si>
  <si>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</si>
  <si>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</si>
  <si>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</si>
  <si>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</si>
  <si>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</si>
  <si>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</si>
  <si>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</si>
  <si>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</si>
  <si>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</si>
  <si>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</si>
  <si>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</si>
  <si>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</si>
  <si>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</si>
  <si>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</si>
  <si>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</si>
  <si>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</si>
  <si>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</si>
  <si>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</si>
  <si>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</si>
  <si>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</si>
  <si>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</si>
  <si>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</si>
  <si>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</si>
  <si>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</si>
  <si>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</si>
  <si>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</si>
  <si>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</si>
  <si>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</si>
  <si>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</si>
  <si>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</si>
  <si>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</si>
  <si>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</si>
  <si>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</si>
  <si>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</si>
  <si>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</si>
  <si>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</si>
  <si>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</si>
  <si>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</si>
  <si>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</si>
  <si>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</si>
  <si>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</si>
  <si>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</si>
  <si>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</si>
  <si>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</si>
  <si>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</si>
  <si>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</si>
  <si>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</si>
  <si>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</si>
  <si>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</si>
  <si>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</si>
  <si>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</si>
  <si>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</si>
  <si>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</si>
  <si>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</si>
  <si>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</si>
  <si>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</si>
  <si>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</si>
  <si>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</si>
  <si>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</si>
  <si>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</si>
  <si>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</si>
  <si>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</si>
  <si>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</si>
  <si>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</si>
  <si>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</si>
  <si>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</si>
  <si>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</si>
  <si>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</si>
  <si>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</si>
  <si>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</si>
  <si>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</si>
  <si>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</si>
  <si>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</si>
  <si>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</si>
  <si>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</si>
  <si>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</si>
  <si>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</si>
  <si>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</si>
  <si>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</si>
  <si>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</si>
  <si>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</si>
  <si>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</si>
  <si>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</si>
  <si>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</si>
  <si>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</si>
  <si>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</si>
  <si>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</si>
  <si>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</si>
  <si>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</si>
  <si>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</si>
  <si>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</si>
  <si>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</si>
  <si>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</si>
  <si>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</si>
  <si>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</si>
  <si>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</si>
  <si>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</si>
  <si>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</si>
  <si>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</si>
  <si>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</si>
  <si>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</si>
  <si>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</si>
  <si>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</si>
  <si>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</si>
  <si>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</si>
  <si>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</si>
  <si>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</si>
  <si>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</si>
  <si>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</si>
  <si>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</si>
  <si>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</si>
  <si>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</si>
  <si>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</si>
  <si>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</si>
  <si>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</si>
  <si>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</si>
  <si>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</si>
  <si>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</si>
  <si>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</si>
  <si>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</si>
  <si>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</si>
  <si>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</si>
  <si>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</si>
  <si>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</si>
  <si>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</si>
  <si>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</si>
  <si>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</si>
  <si>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</si>
  <si>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</si>
  <si>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</si>
  <si>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</si>
  <si>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</si>
  <si>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</si>
  <si>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</si>
  <si>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</si>
  <si>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</si>
  <si>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</si>
  <si>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</si>
  <si>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</si>
  <si>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</si>
  <si>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</si>
  <si>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</si>
  <si>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</si>
  <si>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</si>
  <si>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</si>
  <si>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</si>
  <si>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</si>
  <si>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</si>
  <si>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</si>
  <si>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</si>
  <si>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</si>
  <si>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</si>
  <si>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</si>
  <si>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</si>
  <si>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</si>
  <si>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</si>
  <si>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</si>
  <si>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</si>
  <si>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</si>
  <si>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</si>
  <si>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</si>
  <si>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</si>
  <si>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</si>
  <si>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</si>
  <si>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</si>
  <si>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</si>
  <si>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</si>
  <si>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</si>
  <si>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</si>
  <si>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</si>
  <si>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</si>
  <si>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</si>
  <si>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</si>
  <si>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</si>
  <si>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</si>
  <si>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</si>
  <si>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</si>
  <si>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</si>
  <si>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</si>
  <si>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</si>
  <si>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</si>
  <si>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</si>
  <si>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</si>
  <si>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</si>
  <si>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</si>
  <si>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</si>
  <si>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</si>
  <si>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</si>
  <si>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</si>
  <si>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</si>
  <si>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</si>
  <si>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</si>
  <si>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</si>
  <si>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</si>
  <si>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</si>
  <si>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</si>
  <si>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</si>
  <si>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</si>
  <si>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</si>
  <si>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</si>
  <si>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</si>
  <si>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</si>
  <si>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</si>
  <si>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</si>
  <si>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</si>
  <si>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</si>
  <si>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</si>
  <si>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</si>
  <si>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</si>
  <si>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</si>
  <si>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</si>
  <si>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</si>
  <si>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</si>
  <si>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</si>
  <si>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</si>
  <si>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</si>
  <si>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</si>
  <si>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</si>
  <si>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</si>
  <si>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</si>
  <si>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</si>
  <si>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</si>
  <si>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</si>
  <si>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</si>
  <si>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</si>
  <si>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</si>
  <si>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</si>
  <si>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</si>
  <si>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</si>
  <si>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</si>
  <si>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</si>
  <si>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</si>
  <si>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</si>
  <si>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</si>
  <si>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</si>
  <si>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</si>
  <si>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</si>
  <si>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</si>
  <si>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</si>
  <si>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</si>
  <si>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</si>
  <si>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</si>
  <si>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</si>
  <si>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</si>
  <si>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</si>
  <si>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</si>
  <si>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</si>
  <si>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</si>
  <si>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</si>
  <si>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</si>
  <si>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</si>
  <si>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</si>
  <si>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</si>
  <si>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</si>
  <si>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</si>
  <si>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</si>
  <si>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</si>
  <si>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</si>
  <si>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</si>
  <si>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</si>
  <si>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</si>
  <si>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</si>
  <si>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</si>
  <si>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</si>
  <si>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</si>
  <si>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</si>
  <si>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</si>
  <si>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</si>
  <si>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</si>
  <si>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</si>
  <si>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</si>
  <si>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</si>
  <si>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</si>
  <si>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</si>
  <si>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</si>
  <si>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</si>
  <si>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</si>
  <si>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</si>
  <si>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</si>
  <si>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</si>
  <si>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</si>
  <si>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</si>
  <si>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</si>
  <si>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</si>
  <si>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</si>
  <si>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</si>
  <si>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</si>
  <si>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</si>
  <si>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</si>
  <si>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</si>
  <si>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</si>
  <si>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</si>
  <si>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</si>
  <si>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</si>
  <si>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</si>
  <si>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</si>
  <si>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</si>
  <si>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</si>
  <si>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</si>
  <si>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</si>
  <si>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</si>
  <si>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</si>
  <si>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</si>
  <si>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</si>
  <si>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</si>
  <si>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</si>
  <si>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</si>
  <si>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</si>
  <si>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</si>
  <si>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</si>
  <si>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</si>
  <si>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</si>
  <si>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</si>
  <si>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</si>
  <si>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</si>
  <si>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</si>
  <si>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</si>
  <si>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</si>
  <si>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</si>
  <si>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</si>
  <si>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</si>
  <si>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</si>
  <si>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</si>
  <si>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</si>
  <si>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</si>
  <si>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</si>
  <si>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</si>
  <si>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</si>
  <si>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</si>
  <si>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</si>
  <si>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</si>
  <si>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</si>
  <si>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</si>
  <si>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</si>
  <si>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</si>
  <si>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</si>
  <si>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</si>
  <si>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</si>
  <si>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</si>
  <si>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</si>
  <si>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</si>
  <si>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</si>
  <si>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</si>
  <si>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</si>
  <si>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</si>
  <si>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</si>
  <si>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</si>
  <si>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</si>
  <si>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</si>
  <si>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</si>
  <si>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</si>
  <si>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</si>
  <si>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</si>
  <si>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</si>
  <si>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</si>
  <si>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</si>
  <si>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</si>
  <si>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</si>
  <si>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</si>
  <si>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</si>
  <si>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</si>
  <si>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</si>
  <si>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</si>
  <si>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</si>
  <si>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</si>
  <si>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</si>
  <si>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</si>
  <si>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</si>
  <si>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</si>
  <si>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</si>
  <si>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</si>
  <si>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</si>
  <si>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</si>
  <si>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</si>
  <si>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</si>
  <si>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</si>
  <si>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</si>
  <si>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</si>
  <si>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</si>
  <si>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</si>
  <si>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</si>
  <si>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</si>
  <si>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</si>
  <si>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</si>
  <si>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</si>
  <si>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</si>
  <si>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</si>
  <si>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</si>
  <si>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</si>
  <si>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</si>
  <si>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</si>
  <si>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</si>
  <si>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</si>
  <si>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</si>
  <si>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</si>
  <si>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</si>
  <si>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</si>
  <si>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</si>
  <si>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</si>
  <si>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</si>
  <si>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</si>
  <si>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</si>
  <si>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</si>
  <si>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</si>
  <si>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</si>
  <si>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</si>
  <si>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</si>
  <si>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</si>
  <si>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</si>
  <si>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</si>
  <si>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</si>
  <si>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</si>
  <si>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</si>
  <si>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</si>
  <si>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</si>
  <si>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</si>
  <si>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</si>
  <si>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</si>
  <si>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</si>
  <si>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</si>
  <si>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</si>
  <si>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</si>
  <si>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</si>
  <si>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</si>
  <si>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</si>
  <si>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</si>
  <si>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</si>
  <si>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</si>
  <si>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</si>
  <si>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</si>
  <si>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</si>
  <si>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</si>
  <si>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</si>
  <si>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</si>
  <si>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</si>
  <si>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</si>
  <si>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</si>
  <si>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</si>
  <si>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</si>
  <si>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</si>
  <si>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</si>
  <si>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</si>
  <si>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</si>
  <si>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</si>
  <si>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</si>
  <si>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</si>
  <si>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</si>
  <si>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</si>
  <si>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</si>
  <si>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</si>
  <si>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</si>
  <si>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</si>
  <si>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</si>
  <si>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</si>
  <si>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</si>
  <si>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</si>
  <si>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</si>
  <si>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</si>
  <si>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</si>
  <si>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</si>
  <si>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</si>
  <si>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</si>
  <si>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</si>
  <si>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</si>
  <si>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</si>
  <si>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</si>
  <si>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</si>
  <si>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</si>
  <si>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</si>
  <si>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</si>
  <si>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</si>
  <si>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</si>
  <si>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</si>
  <si>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</si>
  <si>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</si>
  <si>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</si>
  <si>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</si>
  <si>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</si>
  <si>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</si>
  <si>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</si>
  <si>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</si>
  <si>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</si>
  <si>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</si>
  <si>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</si>
  <si>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</si>
  <si>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</si>
  <si>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</si>
  <si>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</si>
  <si>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</si>
  <si>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</si>
  <si>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</si>
  <si>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</si>
  <si>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</si>
  <si>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</si>
  <si>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</si>
  <si>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</si>
  <si>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</si>
  <si>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</si>
  <si>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</si>
  <si>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</si>
  <si>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</si>
  <si>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</si>
  <si>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</si>
  <si>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</si>
  <si>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</si>
  <si>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</si>
  <si>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</si>
  <si>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</si>
  <si>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</si>
  <si>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</si>
  <si>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</si>
  <si>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</si>
  <si>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</si>
  <si>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</si>
  <si>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</si>
  <si>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</si>
  <si>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</si>
  <si>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</si>
  <si>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</si>
  <si>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</si>
  <si>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</si>
  <si>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</si>
  <si>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</si>
  <si>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</si>
  <si>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</si>
  <si>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</si>
  <si>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</si>
  <si>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</si>
  <si>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</si>
  <si>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</si>
  <si>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</si>
  <si>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</si>
  <si>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</si>
  <si>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</si>
  <si>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</si>
  <si>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</si>
  <si>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</si>
  <si>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</si>
  <si>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</si>
  <si>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</si>
  <si>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</si>
  <si>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</si>
  <si>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</si>
  <si>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</si>
  <si>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</si>
  <si>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</si>
  <si>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</si>
  <si>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</si>
  <si>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</si>
  <si>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</si>
  <si>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</si>
  <si>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</si>
  <si>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</si>
  <si>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</si>
  <si>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</si>
  <si>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</si>
  <si>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</si>
  <si>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</si>
  <si>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</si>
  <si>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</si>
  <si>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</si>
  <si>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</si>
  <si>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</si>
  <si>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</si>
  <si>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</si>
  <si>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</si>
  <si>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</si>
  <si>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</si>
  <si>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</si>
  <si>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</si>
  <si>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</si>
  <si>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</si>
  <si>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</si>
  <si>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</si>
  <si>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</si>
  <si>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</si>
  <si>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</si>
  <si>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</si>
  <si>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</si>
  <si>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</si>
  <si>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</si>
  <si>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</si>
  <si>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</si>
  <si>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</si>
  <si>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</si>
  <si>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</si>
  <si>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</si>
  <si>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</si>
  <si>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</si>
  <si>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</si>
  <si>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</si>
  <si>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</si>
  <si>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</si>
  <si>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</si>
  <si>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</si>
  <si>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</si>
  <si>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</si>
  <si>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</si>
  <si>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</si>
  <si>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</si>
  <si>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</si>
  <si>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</si>
  <si>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</si>
  <si>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</si>
  <si>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</si>
  <si>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</si>
  <si>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</si>
  <si>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</si>
  <si>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</si>
  <si>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</si>
  <si>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</si>
  <si>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</si>
  <si>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</si>
  <si>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</si>
  <si>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</si>
  <si>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</si>
  <si>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</si>
  <si>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</si>
  <si>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</si>
  <si>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</si>
  <si>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</si>
  <si>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</si>
  <si>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</si>
  <si>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</si>
  <si>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</si>
  <si>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</si>
  <si>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</si>
  <si>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</si>
  <si>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</si>
  <si>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</si>
  <si>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</si>
  <si>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</si>
  <si>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</si>
  <si>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</si>
  <si>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</si>
  <si>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</si>
  <si>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</si>
  <si>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</si>
  <si>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</si>
  <si>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</si>
  <si>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</si>
  <si>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</si>
  <si>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</si>
  <si>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</si>
  <si>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</si>
  <si>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</si>
  <si>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</si>
  <si>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</si>
  <si>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</si>
  <si>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</si>
  <si>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</si>
  <si>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</si>
  <si>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</si>
  <si>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</si>
  <si>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</si>
  <si>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</si>
  <si>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</si>
  <si>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</si>
  <si>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</si>
  <si>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</si>
  <si>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</si>
  <si>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</si>
  <si>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</si>
  <si>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</si>
  <si>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</si>
  <si>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</si>
  <si>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</si>
  <si>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</si>
  <si>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</si>
  <si>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</si>
  <si>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</si>
  <si>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</si>
  <si>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</si>
  <si>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</si>
  <si>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</si>
  <si>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</si>
  <si>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</si>
  <si>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</si>
  <si>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</si>
  <si>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</si>
  <si>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</si>
  <si>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</si>
  <si>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</si>
  <si>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</si>
  <si>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</si>
  <si>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</si>
  <si>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</si>
  <si>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</si>
  <si>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</si>
  <si>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</si>
  <si>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</si>
  <si>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</si>
  <si>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</si>
  <si>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</si>
  <si>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</si>
  <si>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</si>
  <si>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</si>
  <si>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</si>
  <si>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</si>
  <si>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</si>
  <si>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</si>
  <si>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</si>
  <si>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</si>
  <si>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</si>
  <si>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</si>
  <si>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</si>
  <si>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</si>
  <si>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</si>
  <si>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</si>
  <si>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</si>
  <si>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</si>
  <si>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</si>
  <si>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</si>
  <si>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</si>
  <si>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</si>
  <si>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</si>
  <si>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</si>
  <si>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</si>
  <si>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</si>
  <si>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</si>
  <si>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</si>
  <si>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</si>
  <si>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</si>
  <si>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</si>
  <si>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</si>
  <si>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</si>
  <si>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</si>
  <si>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</si>
  <si>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</si>
  <si>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</si>
  <si>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</si>
  <si>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</si>
  <si>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</si>
  <si>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</si>
  <si>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</si>
  <si>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</si>
  <si>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</si>
  <si>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</si>
  <si>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</si>
  <si>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</si>
  <si>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</si>
  <si>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</si>
  <si>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</si>
  <si>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</si>
  <si>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</si>
  <si>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</si>
  <si>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</si>
  <si>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</si>
  <si>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</si>
  <si>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</si>
  <si>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</si>
  <si>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</si>
  <si>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</si>
  <si>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</si>
  <si>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</si>
  <si>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</si>
  <si>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</si>
  <si>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</si>
  <si>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</si>
  <si>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</si>
  <si>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</si>
  <si>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</si>
  <si>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</si>
  <si>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</si>
  <si>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</si>
  <si>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</si>
  <si>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</si>
  <si>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</si>
  <si>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</si>
  <si>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</si>
  <si>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</si>
  <si>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</si>
  <si>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</si>
  <si>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</si>
  <si>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</si>
  <si>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</si>
  <si>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</si>
  <si>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</si>
  <si>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</si>
  <si>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</si>
  <si>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</si>
  <si>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</si>
  <si>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</si>
  <si>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</si>
  <si>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</si>
  <si>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</si>
  <si>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</si>
  <si>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</si>
  <si>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</si>
  <si>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</si>
  <si>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</si>
  <si>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</si>
  <si>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</si>
  <si>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</si>
  <si>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</si>
  <si>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</si>
  <si>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</si>
  <si>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</si>
  <si>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</si>
  <si>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</si>
  <si>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</si>
  <si>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</si>
  <si>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</si>
  <si>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</si>
  <si>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</si>
  <si>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</si>
  <si>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</si>
  <si>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</si>
  <si>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</si>
  <si>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</si>
  <si>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</si>
  <si>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</si>
  <si>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</si>
  <si>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</si>
  <si>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</si>
  <si>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</si>
  <si>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</si>
  <si>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</si>
  <si>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</si>
  <si>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</si>
  <si>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</si>
  <si>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</si>
  <si>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</si>
  <si>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</si>
  <si>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</si>
  <si>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</si>
  <si>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</si>
  <si>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</si>
  <si>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</si>
  <si>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</si>
  <si>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</si>
  <si>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</si>
  <si>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</si>
  <si>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</si>
  <si>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</si>
  <si>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</si>
  <si>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</si>
  <si>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</si>
  <si>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</si>
  <si>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</si>
  <si>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</si>
  <si>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</si>
  <si>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</si>
  <si>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</si>
  <si>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</si>
  <si>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</si>
  <si>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</si>
  <si>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</si>
  <si>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</si>
  <si>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</si>
  <si>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</si>
  <si>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</si>
  <si>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</si>
  <si>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</si>
  <si>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</si>
  <si>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</si>
  <si>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</si>
  <si>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</si>
  <si>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</si>
  <si>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</si>
  <si>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</si>
  <si>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</si>
  <si>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</si>
  <si>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</si>
  <si>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</si>
  <si>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</si>
  <si>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</si>
  <si>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</si>
  <si>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</si>
  <si>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</si>
  <si>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</si>
  <si>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</si>
  <si>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</si>
  <si>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</si>
  <si>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</si>
  <si>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</si>
  <si>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</si>
  <si>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</si>
  <si>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</si>
  <si>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</si>
  <si>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</si>
  <si>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</si>
  <si>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</si>
  <si>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</si>
  <si>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</si>
  <si>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</si>
  <si>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</si>
  <si>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</si>
  <si>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</si>
  <si>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</si>
  <si>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</si>
  <si>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</si>
  <si>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</si>
  <si>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</si>
  <si>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</si>
  <si>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</si>
  <si>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</si>
  <si>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</si>
  <si>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</si>
  <si>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</si>
  <si>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</si>
  <si>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</si>
  <si>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</si>
  <si>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</si>
  <si>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</si>
  <si>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</si>
  <si>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</si>
  <si>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</si>
  <si>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</si>
  <si>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</si>
  <si>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</si>
  <si>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</si>
  <si>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</si>
  <si>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</si>
  <si>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</si>
  <si>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</si>
  <si>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</si>
  <si>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</si>
  <si>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</si>
  <si>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</si>
  <si>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</si>
  <si>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</si>
  <si>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</si>
  <si>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</si>
  <si>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</si>
  <si>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</si>
  <si>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</si>
  <si>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</si>
  <si>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</si>
  <si>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</si>
  <si>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</si>
  <si>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</si>
  <si>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</si>
  <si>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</si>
  <si>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</si>
  <si>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</si>
  <si>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</si>
  <si>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</si>
  <si>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</si>
  <si>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</si>
  <si>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</si>
  <si>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</si>
  <si>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</si>
  <si>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</si>
  <si>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</si>
  <si>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</si>
  <si>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</si>
  <si>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</si>
  <si>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</si>
  <si>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</si>
  <si>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</si>
  <si>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</si>
  <si>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</si>
  <si>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</si>
  <si>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</si>
  <si>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</si>
  <si>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</si>
  <si>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</si>
  <si>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</si>
  <si>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</si>
  <si>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</si>
  <si>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</si>
  <si>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</si>
  <si>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</si>
  <si>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</si>
  <si>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</si>
  <si>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</si>
  <si>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</si>
  <si>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</si>
  <si>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</si>
  <si>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</si>
  <si>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</si>
  <si>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</si>
  <si>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</si>
  <si>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</si>
  <si>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</si>
  <si>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</si>
  <si>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</si>
  <si>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</si>
  <si>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</si>
  <si>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</si>
  <si>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</si>
  <si>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</si>
  <si>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</si>
  <si>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</si>
  <si>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</si>
  <si>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</si>
  <si>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</si>
  <si>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</si>
  <si>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</si>
  <si>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</si>
  <si>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</si>
  <si>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</si>
  <si>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</si>
  <si>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</si>
  <si>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</si>
  <si>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</si>
  <si>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</si>
  <si>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</si>
  <si>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</si>
  <si>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</si>
  <si>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</si>
  <si>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</si>
  <si>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</si>
  <si>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</si>
  <si>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</si>
  <si>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</si>
  <si>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</si>
  <si>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</si>
  <si>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</si>
  <si>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</si>
  <si>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</si>
  <si>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</si>
  <si>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</si>
  <si>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</si>
  <si>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</si>
  <si>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</si>
  <si>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</si>
  <si>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</si>
  <si>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</si>
  <si>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</si>
  <si>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</si>
  <si>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</si>
  <si>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</si>
  <si>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</si>
  <si>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</si>
  <si>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</si>
  <si>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</si>
  <si>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</si>
  <si>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</si>
  <si>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</si>
  <si>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</si>
  <si>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</si>
  <si>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</si>
  <si>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</si>
  <si>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</si>
  <si>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</si>
  <si>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</si>
  <si>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</si>
  <si>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</si>
  <si>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</si>
  <si>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</si>
  <si>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</si>
  <si>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</si>
  <si>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</si>
  <si>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</si>
  <si>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</si>
  <si>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</si>
  <si>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</si>
  <si>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</si>
  <si>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</si>
  <si>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</si>
  <si>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</si>
  <si>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</si>
  <si>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</si>
  <si>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</si>
  <si>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</si>
  <si>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</si>
  <si>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</si>
  <si>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</si>
  <si>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</si>
  <si>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</si>
  <si>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</si>
  <si>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</si>
  <si>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</si>
  <si>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</si>
  <si>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</si>
  <si>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</si>
  <si>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</si>
  <si>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</si>
  <si>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</si>
  <si>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</si>
  <si>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</si>
  <si>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</si>
  <si>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</si>
  <si>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</si>
  <si>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</si>
  <si>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</si>
  <si>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</si>
  <si>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</si>
  <si>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</si>
  <si>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</si>
  <si>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</si>
  <si>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</si>
  <si>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</si>
  <si>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</si>
  <si>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</si>
  <si>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</si>
  <si>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</si>
  <si>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</si>
  <si>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</si>
  <si>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</si>
  <si>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</si>
  <si>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</si>
  <si>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</si>
  <si>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</si>
  <si>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</si>
  <si>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</si>
  <si>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</si>
  <si>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</si>
  <si>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</si>
  <si>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</si>
  <si>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</si>
  <si>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</si>
  <si>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</si>
  <si>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</si>
  <si>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</si>
  <si>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</si>
  <si>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</si>
  <si>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</si>
  <si>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</si>
  <si>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</si>
  <si>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</si>
  <si>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</si>
  <si>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</si>
  <si>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</si>
  <si>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</si>
  <si>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</si>
  <si>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</si>
  <si>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</si>
  <si>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</si>
  <si>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</si>
  <si>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</si>
  <si>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</si>
  <si>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</si>
  <si>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</si>
  <si>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</si>
  <si>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</si>
  <si>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</si>
  <si>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</si>
  <si>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</si>
  <si>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</si>
  <si>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</si>
  <si>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</si>
  <si>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</si>
  <si>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</si>
  <si>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</si>
  <si>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</si>
  <si>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</si>
  <si>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</si>
  <si>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</si>
  <si>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</si>
  <si>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</si>
  <si>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</si>
  <si>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</si>
  <si>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</si>
  <si>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</si>
  <si>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</si>
  <si>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</si>
  <si>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</si>
  <si>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</si>
  <si>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</si>
  <si>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</si>
  <si>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</si>
  <si>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</si>
  <si>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</si>
  <si>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</si>
  <si>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</si>
  <si>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</si>
  <si>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</si>
  <si>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</si>
  <si>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</si>
  <si>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</si>
  <si>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</si>
  <si>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</si>
  <si>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</si>
  <si>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</si>
  <si>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</si>
  <si>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</si>
  <si>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</si>
  <si>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</si>
  <si>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</si>
  <si>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</si>
  <si>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</si>
  <si>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</si>
  <si>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</si>
  <si>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</si>
  <si>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</si>
  <si>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</si>
  <si>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</si>
  <si>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</si>
  <si>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</si>
  <si>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</si>
  <si>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</si>
  <si>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</si>
  <si>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</si>
  <si>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</si>
  <si>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</si>
  <si>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</si>
  <si>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</si>
  <si>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</si>
  <si>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</si>
  <si>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</si>
  <si>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</si>
  <si>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</si>
  <si>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</si>
  <si>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</si>
  <si>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</si>
  <si>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</si>
  <si>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</si>
  <si>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</si>
  <si>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</si>
  <si>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</si>
  <si>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</si>
  <si>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</si>
  <si>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</si>
  <si>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</si>
  <si>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</si>
  <si>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</si>
  <si>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</si>
  <si>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</si>
  <si>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</si>
  <si>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</si>
  <si>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</si>
  <si>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</si>
  <si>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</si>
  <si>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</si>
  <si>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</si>
  <si>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</si>
  <si>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</si>
  <si>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</si>
  <si>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</si>
  <si>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</si>
  <si>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</si>
  <si>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</si>
  <si>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</si>
  <si>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</si>
  <si>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</si>
  <si>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</si>
  <si>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</si>
  <si>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</si>
  <si>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</si>
  <si>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</si>
  <si>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</si>
  <si>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</si>
  <si>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</si>
  <si>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</si>
  <si>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</si>
  <si>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</si>
  <si>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</si>
  <si>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</si>
  <si>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</si>
  <si>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</si>
  <si>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</si>
  <si>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</si>
  <si>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</si>
  <si>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</si>
  <si>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</si>
  <si>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</si>
  <si>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</si>
  <si>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</si>
  <si>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</si>
  <si>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</si>
  <si>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</si>
  <si>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</si>
  <si>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</si>
  <si>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</si>
  <si>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</si>
  <si>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</si>
  <si>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</si>
  <si>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</si>
  <si>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</si>
  <si>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</si>
  <si>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</si>
  <si>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</si>
  <si>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</si>
  <si>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</si>
  <si>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</si>
  <si>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</si>
  <si>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</si>
  <si>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</si>
  <si>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</si>
  <si>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</si>
  <si>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</si>
  <si>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</si>
  <si>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</si>
  <si>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</si>
  <si>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</si>
  <si>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</si>
  <si>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</si>
  <si>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</si>
  <si>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</si>
  <si>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</si>
  <si>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</si>
  <si>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</si>
  <si>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</si>
  <si>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</si>
  <si>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</si>
  <si>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</si>
  <si>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</si>
  <si>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</si>
  <si>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</si>
  <si>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</si>
  <si>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</si>
  <si>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</si>
  <si>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</si>
  <si>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</si>
  <si>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</si>
  <si>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</si>
  <si>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</si>
  <si>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</si>
  <si>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</si>
  <si>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</si>
  <si>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</si>
  <si>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</si>
  <si>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</si>
  <si>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</si>
  <si>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</si>
  <si>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</si>
  <si>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</si>
  <si>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</si>
  <si>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</si>
  <si>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</si>
  <si>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</si>
  <si>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</si>
  <si>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</si>
  <si>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</si>
  <si>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</si>
  <si>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</si>
  <si>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</si>
  <si>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</si>
  <si>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</si>
  <si>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</si>
  <si>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</si>
  <si>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</si>
  <si>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</si>
  <si>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</si>
  <si>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</si>
  <si>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</si>
  <si>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</si>
  <si>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</si>
  <si>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</si>
  <si>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</si>
  <si>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</si>
  <si>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</si>
  <si>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</si>
  <si>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</si>
  <si>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</si>
  <si>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</si>
  <si>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</si>
  <si>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</si>
  <si>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</si>
  <si>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</si>
  <si>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</si>
  <si>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</si>
  <si>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</si>
  <si>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</si>
  <si>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</si>
  <si>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</si>
  <si>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</si>
  <si>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</si>
  <si>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</si>
  <si>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</si>
  <si>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</si>
  <si>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</si>
  <si>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</si>
  <si>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</si>
  <si>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</si>
  <si>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</si>
  <si>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</si>
  <si>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</si>
  <si>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</si>
  <si>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</si>
  <si>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</si>
  <si>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</si>
  <si>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</si>
  <si>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</si>
  <si>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</si>
  <si>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</si>
  <si>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</si>
  <si>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</si>
  <si>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</si>
  <si>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</si>
  <si>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</si>
  <si>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</si>
  <si>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</si>
  <si>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</si>
  <si>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</si>
  <si>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</si>
  <si>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</si>
  <si>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</si>
  <si>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</si>
  <si>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</si>
  <si>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</si>
  <si>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</si>
  <si>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</si>
  <si>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</si>
  <si>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</si>
  <si>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</si>
  <si>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</si>
  <si>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</si>
  <si>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</si>
  <si>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</si>
  <si>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</si>
  <si>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</si>
  <si>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</si>
  <si>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</si>
  <si>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</si>
  <si>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</si>
  <si>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</si>
  <si>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</si>
  <si>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</si>
  <si>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</si>
  <si>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</si>
  <si>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</si>
  <si>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</si>
  <si>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</si>
  <si>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</si>
  <si>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</si>
  <si>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</si>
  <si>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</si>
  <si>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</si>
  <si>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</si>
  <si>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</si>
  <si>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</si>
  <si>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</si>
  <si>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</si>
  <si>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</si>
  <si>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</si>
  <si>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</si>
  <si>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</si>
  <si>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</si>
  <si>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</si>
  <si>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</si>
  <si>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</si>
  <si>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</si>
  <si>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</si>
  <si>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</si>
  <si>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</si>
  <si>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</si>
  <si>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</si>
  <si>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</si>
  <si>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</si>
  <si>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</si>
  <si>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</si>
  <si>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</si>
  <si>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</si>
  <si>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</si>
  <si>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</si>
  <si>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</si>
  <si>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</si>
  <si>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</si>
  <si>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</si>
  <si>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</si>
  <si>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</si>
  <si>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</si>
  <si>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</si>
  <si>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</si>
  <si>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</si>
  <si>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</si>
  <si>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</si>
  <si>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</si>
  <si>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</si>
  <si>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</si>
  <si>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</si>
  <si>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</si>
  <si>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</si>
  <si>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</si>
  <si>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</si>
  <si>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</si>
  <si>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</si>
  <si>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</si>
  <si>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</si>
  <si>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</si>
  <si>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</si>
  <si>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</si>
  <si>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</si>
  <si>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</si>
  <si>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</si>
  <si>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</si>
  <si>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</si>
  <si>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</si>
  <si>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</si>
  <si>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</si>
  <si>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</si>
  <si>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</si>
  <si>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</si>
  <si>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</si>
  <si>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</si>
  <si>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</si>
  <si>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</si>
  <si>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</si>
  <si>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</si>
  <si>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</si>
  <si>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</si>
  <si>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</si>
  <si>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</si>
  <si>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</si>
  <si>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</si>
  <si>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</si>
  <si>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</si>
  <si>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</si>
  <si>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</si>
  <si>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</si>
  <si>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</si>
  <si>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</si>
  <si>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</si>
  <si>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</si>
  <si>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</si>
  <si>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</si>
  <si>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</si>
  <si>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</si>
  <si>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</si>
  <si>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</si>
  <si>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</si>
  <si>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</si>
  <si>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</si>
  <si>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</si>
  <si>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</si>
  <si>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</si>
  <si>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</si>
  <si>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</si>
  <si>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</si>
  <si>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</si>
  <si>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</si>
  <si>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</si>
  <si>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</si>
  <si>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</si>
  <si>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</si>
  <si>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</si>
  <si>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</si>
  <si>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</si>
  <si>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</si>
  <si>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</si>
  <si>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</si>
  <si>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</si>
  <si>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</si>
  <si>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</si>
  <si>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</si>
  <si>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</si>
  <si>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</si>
  <si>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</si>
  <si>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</si>
  <si>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</si>
  <si>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</si>
  <si>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</si>
  <si>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</si>
  <si>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</si>
  <si>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</si>
  <si>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</si>
  <si>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</si>
  <si>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</si>
  <si>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</si>
  <si>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</si>
  <si>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</si>
  <si>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</si>
  <si>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</si>
  <si>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</si>
  <si>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</si>
  <si>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</si>
  <si>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</si>
  <si>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</si>
  <si>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</si>
  <si>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</si>
  <si>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</si>
  <si>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</si>
  <si>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</si>
  <si>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</si>
  <si>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</si>
  <si>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</si>
  <si>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</si>
  <si>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</si>
  <si>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</si>
  <si>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</si>
  <si>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</si>
  <si>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</si>
  <si>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</si>
  <si>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</si>
  <si>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</si>
  <si>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</si>
  <si>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</si>
  <si>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</si>
  <si>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</si>
  <si>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</si>
  <si>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</si>
  <si>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</si>
  <si>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</si>
  <si>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</si>
  <si>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</si>
  <si>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</si>
  <si>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</si>
  <si>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</si>
  <si>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</si>
  <si>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</si>
  <si>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</si>
  <si>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</si>
  <si>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</si>
  <si>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</si>
  <si>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</si>
  <si>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</si>
  <si>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</si>
  <si>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</si>
  <si>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</si>
  <si>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</si>
  <si>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</si>
  <si>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</si>
  <si>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</si>
  <si>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</si>
  <si>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</si>
  <si>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</si>
  <si>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</si>
  <si>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</si>
  <si>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</si>
  <si>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</si>
  <si>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</si>
  <si>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</si>
  <si>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</si>
  <si>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</si>
  <si>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</si>
  <si>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</si>
  <si>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</si>
  <si>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</si>
  <si>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</si>
  <si>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</si>
  <si>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</si>
  <si>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</si>
  <si>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</si>
  <si>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</si>
  <si>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</si>
  <si>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</si>
  <si>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</si>
  <si>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</si>
  <si>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</si>
  <si>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</si>
  <si>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</si>
  <si>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</si>
  <si>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</si>
  <si>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</si>
  <si>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</si>
  <si>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</si>
  <si>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</si>
  <si>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</si>
  <si>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</si>
  <si>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</si>
  <si>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</si>
  <si>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</si>
  <si>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</si>
  <si>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</si>
  <si>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</si>
  <si>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</si>
  <si>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</si>
  <si>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</si>
  <si>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</si>
  <si>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</si>
  <si>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</si>
  <si>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</si>
  <si>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</si>
  <si>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</si>
  <si>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</si>
  <si>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</si>
  <si>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</si>
  <si>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</si>
  <si>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</si>
  <si>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</si>
  <si>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</si>
  <si>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</si>
  <si>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</si>
  <si>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</si>
  <si>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</si>
  <si>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</si>
  <si>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</si>
  <si>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</si>
  <si>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</si>
  <si>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</si>
  <si>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</si>
  <si>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</si>
  <si>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</si>
  <si>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</si>
  <si>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</si>
  <si>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</si>
  <si>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</si>
  <si>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</si>
  <si>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</si>
  <si>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</si>
  <si>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</si>
  <si>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</si>
  <si>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</si>
  <si>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</si>
  <si>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</si>
  <si>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</si>
  <si>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</si>
  <si>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</si>
  <si>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</si>
  <si>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</si>
  <si>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</si>
  <si>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</si>
  <si>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</si>
  <si>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</si>
  <si>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</si>
  <si>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</si>
  <si>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</si>
  <si>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</si>
  <si>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</si>
  <si>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</si>
  <si>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</si>
  <si>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</si>
  <si>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</si>
  <si>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</si>
  <si>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</si>
  <si>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</si>
  <si>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</si>
  <si>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</si>
  <si>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</si>
  <si>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</si>
  <si>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</si>
  <si>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</si>
  <si>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</si>
  <si>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</si>
  <si>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</si>
  <si>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</si>
  <si>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</si>
  <si>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</si>
  <si>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</si>
  <si>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</si>
  <si>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</si>
  <si>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</si>
  <si>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</si>
  <si>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</si>
  <si>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</si>
  <si>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</si>
  <si>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</si>
  <si>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</si>
  <si>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</si>
  <si>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</si>
  <si>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</si>
  <si>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</si>
  <si>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</si>
  <si>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</si>
  <si>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</si>
  <si>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</si>
  <si>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</si>
  <si>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</si>
  <si>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</si>
  <si>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</si>
  <si>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</si>
  <si>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</si>
  <si>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</si>
  <si>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</si>
  <si>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</si>
  <si>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</si>
  <si>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</si>
  <si>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</si>
  <si>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</si>
  <si>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</si>
  <si>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</si>
  <si>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</si>
  <si>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</si>
  <si>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</si>
  <si>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</si>
  <si>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</si>
  <si>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</si>
  <si>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</si>
  <si>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</si>
  <si>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</si>
  <si>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</si>
  <si>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</si>
  <si>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</si>
  <si>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</si>
  <si>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</si>
  <si>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</si>
  <si>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</si>
  <si>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</si>
  <si>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</si>
  <si>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</si>
  <si>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</si>
  <si>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</si>
  <si>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</si>
  <si>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</si>
  <si>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</si>
  <si>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</si>
  <si>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</si>
  <si>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</si>
  <si>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</si>
  <si>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</si>
  <si>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</si>
  <si>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</si>
  <si>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</si>
  <si>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</si>
  <si>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</si>
  <si>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</si>
  <si>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</si>
  <si>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</si>
  <si>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</si>
  <si>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</si>
  <si>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</si>
  <si>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</si>
  <si>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</si>
  <si>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</si>
  <si>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</si>
  <si>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</si>
  <si>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</si>
  <si>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</si>
  <si>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</si>
  <si>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</si>
  <si>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</si>
  <si>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</si>
  <si>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</si>
  <si>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</si>
  <si>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</si>
  <si>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</si>
  <si>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</si>
  <si>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</si>
  <si>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</si>
  <si>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</si>
  <si>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</si>
  <si>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</si>
  <si>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</si>
  <si>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</si>
  <si>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</si>
  <si>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</si>
  <si>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</si>
  <si>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</si>
  <si>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</si>
  <si>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</si>
  <si>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</si>
  <si>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</si>
  <si>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</si>
  <si>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</si>
  <si>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</si>
  <si>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</si>
  <si>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</si>
  <si>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</si>
  <si>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</si>
  <si>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</si>
  <si>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</si>
  <si>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</si>
  <si>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</si>
  <si>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</si>
  <si>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</si>
  <si>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</si>
  <si>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</si>
  <si>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</si>
  <si>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</si>
  <si>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</si>
  <si>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</si>
  <si>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</si>
  <si>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</si>
  <si>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</si>
  <si>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</si>
  <si>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</si>
  <si>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</si>
  <si>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</si>
  <si>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</si>
  <si>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</si>
  <si>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</si>
  <si>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</si>
  <si>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</si>
  <si>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</si>
  <si>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</si>
  <si>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</si>
  <si>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</si>
  <si>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</si>
  <si>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</si>
  <si>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</si>
  <si>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</si>
  <si>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</si>
  <si>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</si>
  <si>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</si>
  <si>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</si>
  <si>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</si>
  <si>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</si>
  <si>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</si>
  <si>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</si>
  <si>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</si>
  <si>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</si>
  <si>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</si>
  <si>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</si>
  <si>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</si>
  <si>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</si>
  <si>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</si>
  <si>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</si>
  <si>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</si>
  <si>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</si>
  <si>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</si>
  <si>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</si>
  <si>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</si>
  <si>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</si>
  <si>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</si>
  <si>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</si>
  <si>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</si>
  <si>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</si>
  <si>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</si>
  <si>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</si>
  <si>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</si>
  <si>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</si>
  <si>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</si>
  <si>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</si>
  <si>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</si>
  <si>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</si>
  <si>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</si>
  <si>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</si>
  <si>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</si>
  <si>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</si>
  <si>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</si>
  <si>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</si>
  <si>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</si>
  <si>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</si>
  <si>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</si>
  <si>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</si>
  <si>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</si>
  <si>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</si>
  <si>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</si>
  <si>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</si>
  <si>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</si>
  <si>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</si>
  <si>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</si>
  <si>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</si>
  <si>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</si>
  <si>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</si>
  <si>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</si>
  <si>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</si>
  <si>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</si>
  <si>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</si>
  <si>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</si>
  <si>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</si>
  <si>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</si>
  <si>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</si>
  <si>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</si>
  <si>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</si>
  <si>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</si>
  <si>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</si>
  <si>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</si>
  <si>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</si>
  <si>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</si>
  <si>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</si>
  <si>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</si>
  <si>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</si>
  <si>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</si>
  <si>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</si>
  <si>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</si>
  <si>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</si>
  <si>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</si>
  <si>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</si>
  <si>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</si>
  <si>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</si>
  <si>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</si>
  <si>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</si>
  <si>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</si>
  <si>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</si>
  <si>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</si>
  <si>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</si>
  <si>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</si>
  <si>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</si>
  <si>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</si>
  <si>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</si>
  <si>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</si>
  <si>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</si>
  <si>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</si>
  <si>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</si>
  <si>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</si>
  <si>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</si>
  <si>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</si>
  <si>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</si>
  <si>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</si>
  <si>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</si>
  <si>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</si>
  <si>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</si>
  <si>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</si>
  <si>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</si>
  <si>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</si>
  <si>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</si>
  <si>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</si>
  <si>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</si>
  <si>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</si>
  <si>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</si>
  <si>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</si>
  <si>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</si>
  <si>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</si>
  <si>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</si>
  <si>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</si>
  <si>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</si>
  <si>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</si>
  <si>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</si>
  <si>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</si>
  <si>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</si>
  <si>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</si>
  <si>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</si>
  <si>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</si>
  <si>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</si>
  <si>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</si>
  <si>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</si>
  <si>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</si>
  <si>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</si>
  <si>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</si>
  <si>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</si>
  <si>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</si>
  <si>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</si>
  <si>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</si>
  <si>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</si>
  <si>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</si>
  <si>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</si>
  <si>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</si>
  <si>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</si>
  <si>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</si>
  <si>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</si>
  <si>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</si>
  <si>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</si>
  <si>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</si>
  <si>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</si>
  <si>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</si>
  <si>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</si>
  <si>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</si>
  <si>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</si>
  <si>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</si>
  <si>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</si>
  <si>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</si>
  <si>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</si>
  <si>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</si>
  <si>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</si>
  <si>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</si>
  <si>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</si>
  <si>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</si>
  <si>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</si>
  <si>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</si>
  <si>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</si>
  <si>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</si>
  <si>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</si>
  <si>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</si>
  <si>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</si>
  <si>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</si>
  <si>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</si>
  <si>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</si>
  <si>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</si>
  <si>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</si>
  <si>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</si>
  <si>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</si>
  <si>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</si>
  <si>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</si>
  <si>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</si>
  <si>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</si>
  <si>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</si>
  <si>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</si>
  <si>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</si>
  <si>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</si>
  <si>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</si>
  <si>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</si>
  <si>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</si>
  <si>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</si>
  <si>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</si>
  <si>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</si>
  <si>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</si>
  <si>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</si>
  <si>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</si>
  <si>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</si>
  <si>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</si>
  <si>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</si>
  <si>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</si>
  <si>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</si>
  <si>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</si>
  <si>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</si>
  <si>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</si>
  <si>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</si>
  <si>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</si>
  <si>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</si>
  <si>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</si>
  <si>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</si>
  <si>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</si>
  <si>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</si>
  <si>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</si>
  <si>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</si>
  <si>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</si>
  <si>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</si>
  <si>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</si>
  <si>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</si>
  <si>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</si>
  <si>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</si>
  <si>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</si>
  <si>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</si>
  <si>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</si>
  <si>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</si>
  <si>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</si>
  <si>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</si>
  <si>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</si>
  <si>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</si>
  <si>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</si>
  <si>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</si>
  <si>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</si>
  <si>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</si>
  <si>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</si>
  <si>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</si>
  <si>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</si>
  <si>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</si>
  <si>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</si>
  <si>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</si>
  <si>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</si>
  <si>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</si>
  <si>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</si>
  <si>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</si>
  <si>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</si>
  <si>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</si>
  <si>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</si>
  <si>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</si>
  <si>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</si>
  <si>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</si>
  <si>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</si>
  <si>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</si>
  <si>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</si>
  <si>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</si>
  <si>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</si>
  <si>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</si>
  <si>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</si>
  <si>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</si>
  <si>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</si>
  <si>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</si>
  <si>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</si>
  <si>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</si>
  <si>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</si>
  <si>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</si>
  <si>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</si>
  <si>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</si>
  <si>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</si>
  <si>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</si>
  <si>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</si>
  <si>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</si>
  <si>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</si>
  <si>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</si>
  <si>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</si>
  <si>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</si>
  <si>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</si>
  <si>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</si>
  <si>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</si>
  <si>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</si>
  <si>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</si>
  <si>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</si>
  <si>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</si>
  <si>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</si>
  <si>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</si>
  <si>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</si>
  <si>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</si>
  <si>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</si>
  <si>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</si>
  <si>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</si>
  <si>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</si>
  <si>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</si>
  <si>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</si>
  <si>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</si>
  <si>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</si>
  <si>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</si>
  <si>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</si>
  <si>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</si>
  <si>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</si>
  <si>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</si>
  <si>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</si>
  <si>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</si>
  <si>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</si>
  <si>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</si>
  <si>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</si>
  <si>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</si>
  <si>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</si>
  <si>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</si>
  <si>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</si>
  <si>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</si>
  <si>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</si>
  <si>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</si>
  <si>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</si>
  <si>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</si>
  <si>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</si>
  <si>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</si>
  <si>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</si>
  <si>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</si>
  <si>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</si>
  <si>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</si>
  <si>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</si>
  <si>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</si>
  <si>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</si>
  <si>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</si>
  <si>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</si>
  <si>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</si>
  <si>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</si>
  <si>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</si>
  <si>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</si>
  <si>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</si>
  <si>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</si>
  <si>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</si>
  <si>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</si>
  <si>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</si>
  <si>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</si>
  <si>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</si>
  <si>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</si>
  <si>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</si>
  <si>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</si>
  <si>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</si>
  <si>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</si>
  <si>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</si>
  <si>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</si>
  <si>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</si>
  <si>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</si>
  <si>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</si>
  <si>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</si>
  <si>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</si>
  <si>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</si>
  <si>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</si>
  <si>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</si>
  <si>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</si>
  <si>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</si>
  <si>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</si>
  <si>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</si>
  <si>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</si>
  <si>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</si>
  <si>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</si>
  <si>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</si>
  <si>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</si>
  <si>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</si>
  <si>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</si>
  <si>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</si>
  <si>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</si>
  <si>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</si>
  <si>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</si>
  <si>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</si>
  <si>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</si>
  <si>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</si>
  <si>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</si>
  <si>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</si>
  <si>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</si>
  <si>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</si>
  <si>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</si>
  <si>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</si>
  <si>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</si>
  <si>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</si>
  <si>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</si>
  <si>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</si>
  <si>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</si>
  <si>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</si>
  <si>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</si>
  <si>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</si>
  <si>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</si>
  <si>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</si>
  <si>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</si>
  <si>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</si>
  <si>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</si>
  <si>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</si>
  <si>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</si>
  <si>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</si>
  <si>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</si>
  <si>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</si>
  <si>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</si>
  <si>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</si>
  <si>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</si>
  <si>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</si>
  <si>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</si>
  <si>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</si>
  <si>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</si>
  <si>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</si>
  <si>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</si>
  <si>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</si>
  <si>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</si>
  <si>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</si>
  <si>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</si>
  <si>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</si>
  <si>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</si>
  <si>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</si>
  <si>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</si>
  <si>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</si>
  <si>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</si>
  <si>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</si>
  <si>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</si>
  <si>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</si>
  <si>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</si>
  <si>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</si>
  <si>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</si>
  <si>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</si>
  <si>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</si>
  <si>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</si>
  <si>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</si>
  <si>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</si>
  <si>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</si>
  <si>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</si>
  <si>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</si>
  <si>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</si>
  <si>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</si>
  <si>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</si>
  <si>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</si>
  <si>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</si>
  <si>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</si>
  <si>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</si>
  <si>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</si>
  <si>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</si>
  <si>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</si>
  <si>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</si>
  <si>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</si>
  <si>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</si>
  <si>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</si>
  <si>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</si>
  <si>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</si>
  <si>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</si>
  <si>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</si>
  <si>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</si>
  <si>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</si>
  <si>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</si>
  <si>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</si>
  <si>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</si>
  <si>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</si>
  <si>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</si>
  <si>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</si>
  <si>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</si>
  <si>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</si>
  <si>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</si>
  <si>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</si>
  <si>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</si>
  <si>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</si>
  <si>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</si>
  <si>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</si>
  <si>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</si>
  <si>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</si>
  <si>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</si>
  <si>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</si>
  <si>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</si>
  <si>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</si>
  <si>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</si>
  <si>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</si>
  <si>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</si>
  <si>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</si>
  <si>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</si>
  <si>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</si>
  <si>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</si>
  <si>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</si>
  <si>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</si>
  <si>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</si>
  <si>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</si>
  <si>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</si>
  <si>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</si>
  <si>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</si>
  <si>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</si>
  <si>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</si>
  <si>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</si>
  <si>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</si>
  <si>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</si>
  <si>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</si>
  <si>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</si>
  <si>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</si>
  <si>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</si>
  <si>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</si>
  <si>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</si>
  <si>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</si>
  <si>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</si>
  <si>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</si>
  <si>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</si>
  <si>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</si>
  <si>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</si>
  <si>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</si>
  <si>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</si>
  <si>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</si>
  <si>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</si>
  <si>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</si>
  <si>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</si>
  <si>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</si>
  <si>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</si>
  <si>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</si>
  <si>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</si>
  <si>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</si>
  <si>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</si>
  <si>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</si>
  <si>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</si>
  <si>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</si>
  <si>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</si>
  <si>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</si>
  <si>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</si>
  <si>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</si>
  <si>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</si>
  <si>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</si>
  <si>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</si>
  <si>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</si>
  <si>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</si>
  <si>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</si>
  <si>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</si>
  <si>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</si>
  <si>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</si>
  <si>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</si>
  <si>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</si>
  <si>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</si>
  <si>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</si>
  <si>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</si>
  <si>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</si>
  <si>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</si>
  <si>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</si>
  <si>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</si>
  <si>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</si>
  <si>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</si>
  <si>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</si>
  <si>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</si>
  <si>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</si>
  <si>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</si>
  <si>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</si>
  <si>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</si>
  <si>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</si>
  <si>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</si>
  <si>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</si>
  <si>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</si>
  <si>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</si>
  <si>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</si>
  <si>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</si>
  <si>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</si>
  <si>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</si>
  <si>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</si>
  <si>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</si>
  <si>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</si>
  <si>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</si>
  <si>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</si>
  <si>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</si>
  <si>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</si>
  <si>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</si>
  <si>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</si>
  <si>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</si>
  <si>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</si>
  <si>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</si>
  <si>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</si>
  <si>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</si>
  <si>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</si>
  <si>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</si>
  <si>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</si>
  <si>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</si>
  <si>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</si>
  <si>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</si>
  <si>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</si>
  <si>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</si>
  <si>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</si>
  <si>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</si>
  <si>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</si>
  <si>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</si>
  <si>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</si>
  <si>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</si>
  <si>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</si>
  <si>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</si>
  <si>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</si>
  <si>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</si>
  <si>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</si>
  <si>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</si>
  <si>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</si>
  <si>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</si>
  <si>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</si>
  <si>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</si>
  <si>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</si>
  <si>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</si>
  <si>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</si>
  <si>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</si>
  <si>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</si>
  <si>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</si>
  <si>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</si>
  <si>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</si>
  <si>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</si>
  <si>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</si>
  <si>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</si>
  <si>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</si>
  <si>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</si>
  <si>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</si>
  <si>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</si>
  <si>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</si>
  <si>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</si>
  <si>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</si>
  <si>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</si>
  <si>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</si>
  <si>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</si>
  <si>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</si>
  <si>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</si>
  <si>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</si>
  <si>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</si>
  <si>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</si>
  <si>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</si>
  <si>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</si>
  <si>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</si>
  <si>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</si>
  <si>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</si>
  <si>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</si>
  <si>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</si>
  <si>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</si>
  <si>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</si>
  <si>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</si>
  <si>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</si>
  <si>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</si>
  <si>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</si>
  <si>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</si>
  <si>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</si>
  <si>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</si>
  <si>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</si>
  <si>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</si>
  <si>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</si>
  <si>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</si>
  <si>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</si>
  <si>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</si>
  <si>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</si>
  <si>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</si>
  <si>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</si>
  <si>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</si>
  <si>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</si>
  <si>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</si>
  <si>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</si>
  <si>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</si>
  <si>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</si>
  <si>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</si>
  <si>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</si>
  <si>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</si>
  <si>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</si>
  <si>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</si>
  <si>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</si>
  <si>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</si>
  <si>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</si>
  <si>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</si>
  <si>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</si>
  <si>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</si>
  <si>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</si>
  <si>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</si>
  <si>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</si>
  <si>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</si>
  <si>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</si>
  <si>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</si>
  <si>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</si>
  <si>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</si>
  <si>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</si>
  <si>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</si>
  <si>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</si>
  <si>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</si>
  <si>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</si>
  <si>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</si>
  <si>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</si>
  <si>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</si>
  <si>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</si>
  <si>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</si>
  <si>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</si>
  <si>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</si>
  <si>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</si>
  <si>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</si>
  <si>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</si>
  <si>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</si>
  <si>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</si>
  <si>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</si>
  <si>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</si>
  <si>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</si>
  <si>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</si>
  <si>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</si>
  <si>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</si>
  <si>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</si>
  <si>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</si>
  <si>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</si>
  <si>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</si>
  <si>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</si>
  <si>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</si>
  <si>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</si>
  <si>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</si>
  <si>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</si>
  <si>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</si>
  <si>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</si>
  <si>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</si>
  <si>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</si>
  <si>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</si>
  <si>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</si>
  <si>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</si>
  <si>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</si>
  <si>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</si>
  <si>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</si>
  <si>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</si>
  <si>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</si>
  <si>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</si>
  <si>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</si>
  <si>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</si>
  <si>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</si>
  <si>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</si>
  <si>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</si>
  <si>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</si>
  <si>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</si>
  <si>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</si>
  <si>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</si>
  <si>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</si>
  <si>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</si>
  <si>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</si>
  <si>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</si>
  <si>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</si>
  <si>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</si>
  <si>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</si>
  <si>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</si>
  <si>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</si>
  <si>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</si>
  <si>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</si>
  <si>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</si>
  <si>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</si>
  <si>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</si>
  <si>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</si>
  <si>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</si>
  <si>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</si>
  <si>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</si>
  <si>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</si>
  <si>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</si>
  <si>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</si>
  <si>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</si>
  <si>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</si>
  <si>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</si>
  <si>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</si>
  <si>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</si>
  <si>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</si>
  <si>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</si>
  <si>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</si>
  <si>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</si>
  <si>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</si>
  <si>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</si>
  <si>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</si>
  <si>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</si>
  <si>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</si>
  <si>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</si>
  <si>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</si>
  <si>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</si>
  <si>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</si>
  <si>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</si>
  <si>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</si>
  <si>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</si>
  <si>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</si>
  <si>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</si>
  <si>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</si>
  <si>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</si>
  <si>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</si>
  <si>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</si>
  <si>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</si>
  <si>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</si>
  <si>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</si>
  <si>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</si>
  <si>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</si>
  <si>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</si>
  <si>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</si>
  <si>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</si>
  <si>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</si>
  <si>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</si>
  <si>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</si>
  <si>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</si>
  <si>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</si>
  <si>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</si>
  <si>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</si>
  <si>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</si>
  <si>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</si>
  <si>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</si>
  <si>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</si>
  <si>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</si>
  <si>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</si>
  <si>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</si>
  <si>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</si>
  <si>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</si>
  <si>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</si>
  <si>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</si>
  <si>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</si>
  <si>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</si>
  <si>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</si>
  <si>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</si>
  <si>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</si>
  <si>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</si>
  <si>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</si>
  <si>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</si>
  <si>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</si>
  <si>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</si>
  <si>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</si>
  <si>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</si>
  <si>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</si>
  <si>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</si>
  <si>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</si>
  <si>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</si>
  <si>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</si>
  <si>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</si>
  <si>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</si>
  <si>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</si>
  <si>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</si>
  <si>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</si>
  <si>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</si>
  <si>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</si>
  <si>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</si>
  <si>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</si>
  <si>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</si>
  <si>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</si>
  <si>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</si>
  <si>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</si>
  <si>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</si>
  <si>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</si>
  <si>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</si>
  <si>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</si>
  <si>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</si>
  <si>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</si>
  <si>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</si>
  <si>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</si>
  <si>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</si>
  <si>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</si>
  <si>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</si>
  <si>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</si>
  <si>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</si>
  <si>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</si>
  <si>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</si>
  <si>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</si>
  <si>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</si>
  <si>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</si>
  <si>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</si>
  <si>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</si>
  <si>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</si>
  <si>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</si>
  <si>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</si>
  <si>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</si>
  <si>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</si>
  <si>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</si>
  <si>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</si>
  <si>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</si>
  <si>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</si>
  <si>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</si>
  <si>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</si>
  <si>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</si>
  <si>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</si>
  <si>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</si>
  <si>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</si>
  <si>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</si>
  <si>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</si>
  <si>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</si>
  <si>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</si>
  <si>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</si>
  <si>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</si>
  <si>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</si>
  <si>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</si>
  <si>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</si>
  <si>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</si>
  <si>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</si>
  <si>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</si>
  <si>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</si>
  <si>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</si>
  <si>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</si>
  <si>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</si>
  <si>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</si>
  <si>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</si>
  <si>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</si>
  <si>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</si>
  <si>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</si>
  <si>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</si>
  <si>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</si>
  <si>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</si>
  <si>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</si>
  <si>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</si>
  <si>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</si>
  <si>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</si>
  <si>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</si>
  <si>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</si>
  <si>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</si>
  <si>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</si>
  <si>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</si>
  <si>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</si>
  <si>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</si>
  <si>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</si>
  <si>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</si>
  <si>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</si>
  <si>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</si>
  <si>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</si>
  <si>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</si>
  <si>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</si>
  <si>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</si>
  <si>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</si>
  <si>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</si>
  <si>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</si>
  <si>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</si>
  <si>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</si>
  <si>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</si>
  <si>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</si>
  <si>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</si>
  <si>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</si>
  <si>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</si>
  <si>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</si>
  <si>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</si>
  <si>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</si>
  <si>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</si>
  <si>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</si>
  <si>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</si>
  <si>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</si>
  <si>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</si>
  <si>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</si>
  <si>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</si>
  <si>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</si>
  <si>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</si>
  <si>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</si>
  <si>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</si>
  <si>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</si>
  <si>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</si>
  <si>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</si>
  <si>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</si>
  <si>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</si>
  <si>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</si>
  <si>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</si>
  <si>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</si>
  <si>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</si>
  <si>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</si>
  <si>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</si>
  <si>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</si>
  <si>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</si>
  <si>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</si>
  <si>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</si>
  <si>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</si>
  <si>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</si>
  <si>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</si>
  <si>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</si>
  <si>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</si>
  <si>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</si>
  <si>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</si>
  <si>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</si>
  <si>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</si>
  <si>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</si>
  <si>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</si>
  <si>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</si>
  <si>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</si>
  <si>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</si>
  <si>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</si>
  <si>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</si>
  <si>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</si>
  <si>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</si>
  <si>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</si>
  <si>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</si>
  <si>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</si>
  <si>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</si>
  <si>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</si>
  <si>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</si>
  <si>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</si>
  <si>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</si>
  <si>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</si>
  <si>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</si>
  <si>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</si>
  <si>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</si>
  <si>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</si>
  <si>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</si>
  <si>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</si>
  <si>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</si>
  <si>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</si>
  <si>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</si>
  <si>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</si>
  <si>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</si>
  <si>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</si>
  <si>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</si>
  <si>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</si>
  <si>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</si>
  <si>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</si>
  <si>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</si>
  <si>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</si>
  <si>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</si>
  <si>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</si>
  <si>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</si>
  <si>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</si>
  <si>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</si>
  <si>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</si>
  <si>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</si>
  <si>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</si>
  <si>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</si>
  <si>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</si>
  <si>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</si>
  <si>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</si>
  <si>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</si>
  <si>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</si>
  <si>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</si>
  <si>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</si>
  <si>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</si>
  <si>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</si>
  <si>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</si>
  <si>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</si>
  <si>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</si>
  <si>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</si>
  <si>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</si>
  <si>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</si>
  <si>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</si>
  <si>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</si>
  <si>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</si>
  <si>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</si>
  <si>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</si>
  <si>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</si>
  <si>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</si>
  <si>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</si>
  <si>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</si>
  <si>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</si>
  <si>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</si>
  <si>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</si>
  <si>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</si>
  <si>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</si>
  <si>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</si>
  <si>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</si>
  <si>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</si>
  <si>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</si>
  <si>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</si>
  <si>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</si>
  <si>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</si>
  <si>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</si>
  <si>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</si>
  <si>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</si>
  <si>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</si>
  <si>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</si>
  <si>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</si>
  <si>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</si>
  <si>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</si>
  <si>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</si>
  <si>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</si>
  <si>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</si>
  <si>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</si>
  <si>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</si>
  <si>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</si>
  <si>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</si>
  <si>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</si>
  <si>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</si>
  <si>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</si>
  <si>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</si>
  <si>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</si>
  <si>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</si>
  <si>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</si>
  <si>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</si>
  <si>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</si>
  <si>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</si>
  <si>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</si>
  <si>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</si>
  <si>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</si>
  <si>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</si>
  <si>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</si>
  <si>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</si>
  <si>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</si>
  <si>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</si>
  <si>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</si>
  <si>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</si>
  <si>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</si>
  <si>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</si>
  <si>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</si>
  <si>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</si>
  <si>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</si>
  <si>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</si>
  <si>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</si>
  <si>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</si>
  <si>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</si>
  <si>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</si>
  <si>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</si>
  <si>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</si>
  <si>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</si>
  <si>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</si>
  <si>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</si>
  <si>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</si>
  <si>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</si>
  <si>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</si>
  <si>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</si>
  <si>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</si>
  <si>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</si>
  <si>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</si>
  <si>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</si>
  <si>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</si>
  <si>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</si>
  <si>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</si>
  <si>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</si>
  <si>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</si>
  <si>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</si>
  <si>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</si>
  <si>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</si>
  <si>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</si>
  <si>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</si>
  <si>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</si>
  <si>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</si>
  <si>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</si>
  <si>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</si>
  <si>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</si>
  <si>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</si>
  <si>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</si>
  <si>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</si>
  <si>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</si>
  <si>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</si>
  <si>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</si>
  <si>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</si>
  <si>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</si>
  <si>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</si>
  <si>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</si>
  <si>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</si>
  <si>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</si>
  <si>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</si>
  <si>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</si>
  <si>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</si>
  <si>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</si>
  <si>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</si>
  <si>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</si>
  <si>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</si>
  <si>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</si>
  <si>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</si>
  <si>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</si>
  <si>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</si>
  <si>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</si>
  <si>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</si>
  <si>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</si>
  <si>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</si>
  <si>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</si>
  <si>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</si>
  <si>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</si>
  <si>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</si>
  <si>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</si>
  <si>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</si>
  <si>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</si>
  <si>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</si>
  <si>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</si>
  <si>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</si>
  <si>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</si>
  <si>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</si>
  <si>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</si>
  <si>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</si>
  <si>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</si>
  <si>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</si>
  <si>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</si>
  <si>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</si>
  <si>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</si>
  <si>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</si>
  <si>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</si>
  <si>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</si>
  <si>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</si>
  <si>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</si>
  <si>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</si>
  <si>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</si>
  <si>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</si>
  <si>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</si>
  <si>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</si>
  <si>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</si>
  <si>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</si>
  <si>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</si>
  <si>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</si>
  <si>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</si>
  <si>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</si>
  <si>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</si>
  <si>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</si>
  <si>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</si>
  <si>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</si>
  <si>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</si>
  <si>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</si>
  <si>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</si>
  <si>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</si>
  <si>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</si>
  <si>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</si>
  <si>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</si>
  <si>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</si>
  <si>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</si>
  <si>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</si>
  <si>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</si>
  <si>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</si>
  <si>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</si>
  <si>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</si>
  <si>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</si>
  <si>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</si>
  <si>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</si>
  <si>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</si>
  <si>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</si>
  <si>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</si>
  <si>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</si>
  <si>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</si>
  <si>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</si>
  <si>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</si>
  <si>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</si>
  <si>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</si>
  <si>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</si>
  <si>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</si>
  <si>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</si>
  <si>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</si>
  <si>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</si>
  <si>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</si>
  <si>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</si>
  <si>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</si>
  <si>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</si>
  <si>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</si>
  <si>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</si>
  <si>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</si>
  <si>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</si>
  <si>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</si>
  <si>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</si>
  <si>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</si>
  <si>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</si>
  <si>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</si>
  <si>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</si>
  <si>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</si>
  <si>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</si>
  <si>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</si>
  <si>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</si>
  <si>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</si>
  <si>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</si>
  <si>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</si>
  <si>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</si>
  <si>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</si>
  <si>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</si>
  <si>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</si>
  <si>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</si>
  <si>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</si>
  <si>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</si>
  <si>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</si>
  <si>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</si>
  <si>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</si>
  <si>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</si>
  <si>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</si>
  <si>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</si>
  <si>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</si>
  <si>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</si>
  <si>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</si>
  <si>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</si>
  <si>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</si>
  <si>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</si>
  <si>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</si>
  <si>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</si>
  <si>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</si>
  <si>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</si>
  <si>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</si>
  <si>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</si>
  <si>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</si>
  <si>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</si>
  <si>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</si>
  <si>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</si>
  <si>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</si>
  <si>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</si>
  <si>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</si>
  <si>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</si>
  <si>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</si>
  <si>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</si>
  <si>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</si>
  <si>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</si>
  <si>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</si>
  <si>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</si>
  <si>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</si>
  <si>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</si>
  <si>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</si>
  <si>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</si>
  <si>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</si>
  <si>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</si>
  <si>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</si>
  <si>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</si>
  <si>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</si>
  <si>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</si>
  <si>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</si>
  <si>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</si>
  <si>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</si>
  <si>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</si>
  <si>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</si>
  <si>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</si>
  <si>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</si>
  <si>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</si>
  <si>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</si>
  <si>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</si>
  <si>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</si>
  <si>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</si>
  <si>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</si>
  <si>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</si>
  <si>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</si>
  <si>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</si>
  <si>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</si>
  <si>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</si>
  <si>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</si>
  <si>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</si>
  <si>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</si>
  <si>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</si>
  <si>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</si>
  <si>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</si>
  <si>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</si>
  <si>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</si>
  <si>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</si>
  <si>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</si>
  <si>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</si>
  <si>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</si>
  <si>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</si>
  <si>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</si>
  <si>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</si>
  <si>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</si>
  <si>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</si>
  <si>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</si>
  <si>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</si>
  <si>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</si>
  <si>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</si>
  <si>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</si>
  <si>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</si>
  <si>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</si>
  <si>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</si>
  <si>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</si>
  <si>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</si>
  <si>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</si>
  <si>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</si>
  <si>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</si>
  <si>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</si>
  <si>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</si>
  <si>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</si>
  <si>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</si>
  <si>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</si>
  <si>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</si>
  <si>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</si>
  <si>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</si>
  <si>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</si>
  <si>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</si>
  <si>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</si>
  <si>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</si>
  <si>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</si>
  <si>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</si>
  <si>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</si>
  <si>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</si>
  <si>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</si>
  <si>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</si>
  <si>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</si>
  <si>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</si>
  <si>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</si>
  <si>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</si>
  <si>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</si>
  <si>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</si>
  <si>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</si>
  <si>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</si>
  <si>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</si>
  <si>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</si>
  <si>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</si>
  <si>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</si>
  <si>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</si>
  <si>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</si>
  <si>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</si>
  <si>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</si>
  <si>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</si>
  <si>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</si>
  <si>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</si>
  <si>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</si>
  <si>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</si>
  <si>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</si>
  <si>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</si>
  <si>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</si>
  <si>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</si>
  <si>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</si>
  <si>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</si>
  <si>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</si>
  <si>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</si>
  <si>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</si>
  <si>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</si>
  <si>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</si>
  <si>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</si>
  <si>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</si>
  <si>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</si>
  <si>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</si>
  <si>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</si>
  <si>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</si>
  <si>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</si>
  <si>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</si>
  <si>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</si>
  <si>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</si>
  <si>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</si>
  <si>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</si>
  <si>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</si>
  <si>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</si>
  <si>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</si>
  <si>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</si>
  <si>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</si>
  <si>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</si>
  <si>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</si>
  <si>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</si>
  <si>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</si>
  <si>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</si>
  <si>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</si>
  <si>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</si>
  <si>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</si>
  <si>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</si>
  <si>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</si>
  <si>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</si>
  <si>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</si>
  <si>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</si>
  <si>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</si>
  <si>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</si>
  <si>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</si>
  <si>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</si>
  <si>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</si>
  <si>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</si>
  <si>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</si>
  <si>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</si>
  <si>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</si>
  <si>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</si>
  <si>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</si>
  <si>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</si>
  <si>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</si>
  <si>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</si>
  <si>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</si>
  <si>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</si>
  <si>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</si>
  <si>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</si>
  <si>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</si>
  <si>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</si>
  <si>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</si>
  <si>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</si>
  <si>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</si>
  <si>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</si>
  <si>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</si>
  <si>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</si>
  <si>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</si>
  <si>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</si>
  <si>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</si>
  <si>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</si>
  <si>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</si>
  <si>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</si>
  <si>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</si>
  <si>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</si>
  <si>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</si>
  <si>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</si>
  <si>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</si>
  <si>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</si>
  <si>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</si>
  <si>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</si>
  <si>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</si>
  <si>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</si>
  <si>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</si>
  <si>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</si>
  <si>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</si>
  <si>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</si>
  <si>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</si>
  <si>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</si>
  <si>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</si>
  <si>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</si>
  <si>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</si>
  <si>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</si>
  <si>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</si>
  <si>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</si>
  <si>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</si>
  <si>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</si>
  <si>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</si>
  <si>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</si>
  <si>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</si>
  <si>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</si>
  <si>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</si>
  <si>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</si>
  <si>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</si>
  <si>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</si>
  <si>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</si>
  <si>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</si>
  <si>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</si>
  <si>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</si>
  <si>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</si>
  <si>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</si>
  <si>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</si>
  <si>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</si>
  <si>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</si>
  <si>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</si>
  <si>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</si>
  <si>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</si>
  <si>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</si>
  <si>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</si>
  <si>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</si>
  <si>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</si>
  <si>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</si>
  <si>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</si>
  <si>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</si>
  <si>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</si>
  <si>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</si>
  <si>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</si>
  <si>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</si>
  <si>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</si>
  <si>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</si>
  <si>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</si>
  <si>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</si>
  <si>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</si>
  <si>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</si>
  <si>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</si>
  <si>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</si>
  <si>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</si>
  <si>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</si>
  <si>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</si>
  <si>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</si>
  <si>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</si>
  <si>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</si>
  <si>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</si>
  <si>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</si>
  <si>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</si>
  <si>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</si>
  <si>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</si>
  <si>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</si>
  <si>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</si>
  <si>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</si>
  <si>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</si>
  <si>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</si>
  <si>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</si>
  <si>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</si>
  <si>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</si>
  <si>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</si>
  <si>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</si>
  <si>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</si>
  <si>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</si>
  <si>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</si>
  <si>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</si>
  <si>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</si>
  <si>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</si>
  <si>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</si>
  <si>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</si>
  <si>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</si>
  <si>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</si>
  <si>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</si>
  <si>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</si>
  <si>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</si>
  <si>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</si>
  <si>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</si>
  <si>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</si>
  <si>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</si>
  <si>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</si>
  <si>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</si>
  <si>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</si>
  <si>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</si>
  <si>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</si>
  <si>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</si>
  <si>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</si>
  <si>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</si>
  <si>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</si>
  <si>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</si>
  <si>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</si>
  <si>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</si>
  <si>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</si>
  <si>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</si>
  <si>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</si>
  <si>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</si>
  <si>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</si>
  <si>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</si>
  <si>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</si>
  <si>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</si>
  <si>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</si>
  <si>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</si>
  <si>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</si>
  <si>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</si>
  <si>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</si>
  <si>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</si>
  <si>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</si>
  <si>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</si>
  <si>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</si>
  <si>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</si>
  <si>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</si>
  <si>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</si>
  <si>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</si>
  <si>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</si>
  <si>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</si>
  <si>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</si>
  <si>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</si>
  <si>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</si>
  <si>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</si>
  <si>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</si>
  <si>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</si>
  <si>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</si>
  <si>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</si>
  <si>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</si>
  <si>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</si>
  <si>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</si>
  <si>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</si>
  <si>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</si>
  <si>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</si>
  <si>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</si>
  <si>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</si>
  <si>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</si>
  <si>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</si>
  <si>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</si>
  <si>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</si>
  <si>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</si>
  <si>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</si>
  <si>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</si>
  <si>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</si>
  <si>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</si>
  <si>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</si>
  <si>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</si>
  <si>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</si>
  <si>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</si>
  <si>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</si>
  <si>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</si>
  <si>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</si>
  <si>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</si>
  <si>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</si>
  <si>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</si>
  <si>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</si>
  <si>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</si>
  <si>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</si>
  <si>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</si>
  <si>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</si>
  <si>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</si>
  <si>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</si>
  <si>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</si>
  <si>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</si>
  <si>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</si>
  <si>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</si>
  <si>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</si>
  <si>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</si>
  <si>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</si>
  <si>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</si>
  <si>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</si>
  <si>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</si>
  <si>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</si>
  <si>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</si>
  <si>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</si>
  <si>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</si>
  <si>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</si>
  <si>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</si>
  <si>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</si>
  <si>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</si>
  <si>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</si>
  <si>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</si>
  <si>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</si>
  <si>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</si>
  <si>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</si>
  <si>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</si>
  <si>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</si>
  <si>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</si>
  <si>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</si>
  <si>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</si>
  <si>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</si>
  <si>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</si>
  <si>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</si>
  <si>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</si>
  <si>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</si>
  <si>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</si>
  <si>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</si>
  <si>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</si>
  <si>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</si>
  <si>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</si>
  <si>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</si>
  <si>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</si>
  <si>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</si>
  <si>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</si>
  <si>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</si>
  <si>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</si>
  <si>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</si>
  <si>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</si>
  <si>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</si>
  <si>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</si>
  <si>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</si>
  <si>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</si>
  <si>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</si>
  <si>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</si>
  <si>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</si>
  <si>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</si>
  <si>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</si>
  <si>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</si>
  <si>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</si>
  <si>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</si>
  <si>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</si>
  <si>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</si>
  <si>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</si>
  <si>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</si>
  <si>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</si>
  <si>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</si>
  <si>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</si>
  <si>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</si>
  <si>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</si>
  <si>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</si>
  <si>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</si>
  <si>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</si>
  <si>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</si>
  <si>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</si>
  <si>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</si>
  <si>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</si>
  <si>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</si>
  <si>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</si>
  <si>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</si>
  <si>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</si>
  <si>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</si>
  <si>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</si>
  <si>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</si>
  <si>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</si>
  <si>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</si>
  <si>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</si>
  <si>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</si>
  <si>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</si>
  <si>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</si>
  <si>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</si>
  <si>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</si>
  <si>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</si>
  <si>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</si>
  <si>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</si>
  <si>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</si>
  <si>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</si>
  <si>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</si>
  <si>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</si>
  <si>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</si>
  <si>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</si>
  <si>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</si>
  <si>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</si>
  <si>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</si>
  <si>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</si>
  <si>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</si>
  <si>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</si>
  <si>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</si>
  <si>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</si>
  <si>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</si>
  <si>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</si>
  <si>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</si>
  <si>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</si>
  <si>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</si>
  <si>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</si>
  <si>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</si>
  <si>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</si>
  <si>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</si>
  <si>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</si>
  <si>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</si>
  <si>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</si>
  <si>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</si>
  <si>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</si>
  <si>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</si>
  <si>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</si>
  <si>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</si>
  <si>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</si>
  <si>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</si>
  <si>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</si>
  <si>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</si>
  <si>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</si>
  <si>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</si>
  <si>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</si>
  <si>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</si>
  <si>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</si>
  <si>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</si>
  <si>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</si>
  <si>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</si>
  <si>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</si>
  <si>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</si>
  <si>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</si>
  <si>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</si>
  <si>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</si>
  <si>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</si>
  <si>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</si>
  <si>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</si>
  <si>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</si>
  <si>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</si>
  <si>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</si>
  <si>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</si>
  <si>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</si>
  <si>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</si>
  <si>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</si>
  <si>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</si>
  <si>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</si>
  <si>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</si>
  <si>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</si>
  <si>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</si>
  <si>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</si>
  <si>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</si>
  <si>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</si>
  <si>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</si>
  <si>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</si>
  <si>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</si>
  <si>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</si>
  <si>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</si>
  <si>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</si>
  <si>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</si>
  <si>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</si>
  <si>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</si>
  <si>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</si>
  <si>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</si>
  <si>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</si>
  <si>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</si>
  <si>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</si>
  <si>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</si>
  <si>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</si>
  <si>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</si>
  <si>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</si>
  <si>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</si>
  <si>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</si>
  <si>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</si>
  <si>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</si>
  <si>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</si>
  <si>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</si>
  <si>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</si>
  <si>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</si>
  <si>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</si>
  <si>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</si>
  <si>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</si>
  <si>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</si>
  <si>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</si>
  <si>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</si>
  <si>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</si>
  <si>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</si>
  <si>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</si>
  <si>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</si>
  <si>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</si>
  <si>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</si>
  <si>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</si>
  <si>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</si>
  <si>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</si>
  <si>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</si>
  <si>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</si>
  <si>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</si>
  <si>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</si>
  <si>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</si>
  <si>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</si>
  <si>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</si>
  <si>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</si>
  <si>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</si>
  <si>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</si>
  <si>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</si>
  <si>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</si>
  <si>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</si>
  <si>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</si>
  <si>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</si>
  <si>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</si>
  <si>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</si>
  <si>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</si>
  <si>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</si>
  <si>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</si>
  <si>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</si>
  <si>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</si>
  <si>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</si>
  <si>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</si>
  <si>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</si>
  <si>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</si>
  <si>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</si>
  <si>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</si>
  <si>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</si>
  <si>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</si>
  <si>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</si>
  <si>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</si>
  <si>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</si>
  <si>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</si>
  <si>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</si>
  <si>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</si>
  <si>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</si>
  <si>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</si>
  <si>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</si>
  <si>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</si>
  <si>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</si>
  <si>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</si>
  <si>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</si>
  <si>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</si>
  <si>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</si>
  <si>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</si>
  <si>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</si>
  <si>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</si>
  <si>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</si>
  <si>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</si>
  <si>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</si>
  <si>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</si>
  <si>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</si>
  <si>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</si>
  <si>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</si>
  <si>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</si>
  <si>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</si>
  <si>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</si>
  <si>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</si>
  <si>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</si>
  <si>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</si>
  <si>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</si>
  <si>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</si>
  <si>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</si>
  <si>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</si>
  <si>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</si>
  <si>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</si>
  <si>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</si>
  <si>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</si>
  <si>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</si>
  <si>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</si>
  <si>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</si>
  <si>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</si>
  <si>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</si>
  <si>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</si>
  <si>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</si>
  <si>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</si>
  <si>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</si>
  <si>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</si>
  <si>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</si>
  <si>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</si>
  <si>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</si>
  <si>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</si>
  <si>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</si>
  <si>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</si>
  <si>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</si>
  <si>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</si>
  <si>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</si>
  <si>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</si>
  <si>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</si>
  <si>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</si>
  <si>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</si>
  <si>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</si>
  <si>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</si>
  <si>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</si>
  <si>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</si>
  <si>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</si>
  <si>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</si>
  <si>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</si>
  <si>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</si>
  <si>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</si>
  <si>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</si>
  <si>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</si>
  <si>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</si>
  <si>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</si>
  <si>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</si>
  <si>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</si>
  <si>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</si>
  <si>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</si>
  <si>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</si>
  <si>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</si>
  <si>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</si>
  <si>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</si>
  <si>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</si>
  <si>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</si>
  <si>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</si>
  <si>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</si>
  <si>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</si>
  <si>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</si>
  <si>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</si>
  <si>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</si>
  <si>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</si>
  <si>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</si>
  <si>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</si>
  <si>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</si>
  <si>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</si>
  <si>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</si>
  <si>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</si>
  <si>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</si>
  <si>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</si>
  <si>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</si>
  <si>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</si>
  <si>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</si>
  <si>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</si>
  <si>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</si>
  <si>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</si>
  <si>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</si>
  <si>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</si>
  <si>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</si>
  <si>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</si>
  <si>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</si>
  <si>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</si>
  <si>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</si>
  <si>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</si>
  <si>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</si>
  <si>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</si>
  <si>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</si>
  <si>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</si>
  <si>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</si>
  <si>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</si>
  <si>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</si>
  <si>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</si>
  <si>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</si>
  <si>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</si>
  <si>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</si>
  <si>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</si>
  <si>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</si>
  <si>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</si>
  <si>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</si>
  <si>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</si>
  <si>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</si>
  <si>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</si>
  <si>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</si>
  <si>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</si>
  <si>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</si>
  <si>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</si>
  <si>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</si>
  <si>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</si>
  <si>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</si>
  <si>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</si>
  <si>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</si>
  <si>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</si>
  <si>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</si>
  <si>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</si>
  <si>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</si>
  <si>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</si>
  <si>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</si>
  <si>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</si>
  <si>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</si>
  <si>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</si>
  <si>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</si>
  <si>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</si>
  <si>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</si>
  <si>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</si>
  <si>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</si>
  <si>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</si>
  <si>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</si>
  <si>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</si>
  <si>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</si>
  <si>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</si>
  <si>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</si>
  <si>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</si>
  <si>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</si>
  <si>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</si>
  <si>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</si>
  <si>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</si>
  <si>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</si>
  <si>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</si>
  <si>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</si>
  <si>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</si>
  <si>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</si>
  <si>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</si>
  <si>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</si>
  <si>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</si>
  <si>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</si>
  <si>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</si>
  <si>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</si>
  <si>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</si>
  <si>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</si>
  <si>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</si>
  <si>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</si>
  <si>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</si>
  <si>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</si>
  <si>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</si>
  <si>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</si>
  <si>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</si>
  <si>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</si>
  <si>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</si>
  <si>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</si>
  <si>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</si>
  <si>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</si>
  <si>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</si>
  <si>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</si>
  <si>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</si>
  <si>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</si>
  <si>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</si>
  <si>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</si>
  <si>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</si>
  <si>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</si>
  <si>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</si>
  <si>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</si>
  <si>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</si>
  <si>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</si>
  <si>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</si>
  <si>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</si>
  <si>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</si>
  <si>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</si>
  <si>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</si>
  <si>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</si>
  <si>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</si>
  <si>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</si>
  <si>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</si>
  <si>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</si>
  <si>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</si>
  <si>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</si>
  <si>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</si>
  <si>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</si>
  <si>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</si>
  <si>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</si>
  <si>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</si>
  <si>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</si>
  <si>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</si>
  <si>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</si>
  <si>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</si>
  <si>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</si>
  <si>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</si>
  <si>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</si>
  <si>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</si>
  <si>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</si>
  <si>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</si>
  <si>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</si>
  <si>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</si>
  <si>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</si>
  <si>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</si>
  <si>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</si>
  <si>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</si>
  <si>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</si>
  <si>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</si>
  <si>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</si>
  <si>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</si>
  <si>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</si>
  <si>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</si>
  <si>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</si>
  <si>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</si>
  <si>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</si>
  <si>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</si>
  <si>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</si>
  <si>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</si>
  <si>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</si>
  <si>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</si>
  <si>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</si>
  <si>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</si>
  <si>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</si>
  <si>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</si>
  <si>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</si>
  <si>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</si>
  <si>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</si>
  <si>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</si>
  <si>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</si>
  <si>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</si>
  <si>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</si>
  <si>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</si>
  <si>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</si>
  <si>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</si>
  <si>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</si>
  <si>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</si>
  <si>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</si>
  <si>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</si>
  <si>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</si>
  <si>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</si>
  <si>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</si>
  <si>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</si>
  <si>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</si>
  <si>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</si>
  <si>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</si>
  <si>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</si>
  <si>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</si>
  <si>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</si>
  <si>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</si>
  <si>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</si>
  <si>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</si>
  <si>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</si>
  <si>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</si>
  <si>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</si>
  <si>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</si>
  <si>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</si>
  <si>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</si>
  <si>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</si>
  <si>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</si>
  <si>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</si>
  <si>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</si>
  <si>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</si>
  <si>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</si>
  <si>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</si>
  <si>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</si>
  <si>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</si>
  <si>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</si>
  <si>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</si>
  <si>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</si>
  <si>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</si>
  <si>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</si>
  <si>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</si>
  <si>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</si>
  <si>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</si>
  <si>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</si>
  <si>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</si>
  <si>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</si>
  <si>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</si>
  <si>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</si>
  <si>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</si>
  <si>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</si>
  <si>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</si>
  <si>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</si>
  <si>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</si>
  <si>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</si>
  <si>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</si>
  <si>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</si>
  <si>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</si>
  <si>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</si>
  <si>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</si>
  <si>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</si>
  <si>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</si>
  <si>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</si>
  <si>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</si>
  <si>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</si>
  <si>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</si>
  <si>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</si>
  <si>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</si>
  <si>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</si>
  <si>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</si>
  <si>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</si>
  <si>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</si>
  <si>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</si>
  <si>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</si>
  <si>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</si>
  <si>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</si>
  <si>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</si>
  <si>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</si>
  <si>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</si>
  <si>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</si>
  <si>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</si>
  <si>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</si>
  <si>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</si>
  <si>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</si>
  <si>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</si>
  <si>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</si>
  <si>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</si>
  <si>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</si>
  <si>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</si>
  <si>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</si>
  <si>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</si>
  <si>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</si>
  <si>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</si>
  <si>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</si>
  <si>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</si>
  <si>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</si>
  <si>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</si>
  <si>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</si>
  <si>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</si>
  <si>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</si>
  <si>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</si>
  <si>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</si>
  <si>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</si>
  <si>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</si>
  <si>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</si>
  <si>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</si>
  <si>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</si>
  <si>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</si>
  <si>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</si>
  <si>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</si>
  <si>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</si>
  <si>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</si>
  <si>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</si>
  <si>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</si>
  <si>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</si>
  <si>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</si>
  <si>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</si>
  <si>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</si>
  <si>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</si>
  <si>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</si>
  <si>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</si>
  <si>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</si>
  <si>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</si>
  <si>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</si>
  <si>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</si>
  <si>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</si>
  <si>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</si>
  <si>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</si>
  <si>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</si>
  <si>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</si>
  <si>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</si>
  <si>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</si>
  <si>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</si>
  <si>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</si>
  <si>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</si>
  <si>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</si>
  <si>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</si>
  <si>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</si>
  <si>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</si>
  <si>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</si>
  <si>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</si>
  <si>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</si>
  <si>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</si>
  <si>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</si>
  <si>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</si>
  <si>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</si>
  <si>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</si>
  <si>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</si>
  <si>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</si>
  <si>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</si>
  <si>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</si>
  <si>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</si>
  <si>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</si>
  <si>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</si>
  <si>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</si>
  <si>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</si>
  <si>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</si>
  <si>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</si>
  <si>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</si>
  <si>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</si>
  <si>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</si>
  <si>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</si>
  <si>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</si>
  <si>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</si>
  <si>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</si>
  <si>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</si>
  <si>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</si>
  <si>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</si>
  <si>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</si>
  <si>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</si>
  <si>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</si>
  <si>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</si>
  <si>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</si>
  <si>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</si>
  <si>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</si>
  <si>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</si>
  <si>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</si>
  <si>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</si>
  <si>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</si>
  <si>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</si>
  <si>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</si>
  <si>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</si>
  <si>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</si>
  <si>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</si>
  <si>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</si>
  <si>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</si>
  <si>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</si>
  <si>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</si>
  <si>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</si>
  <si>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</si>
  <si>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</si>
  <si>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</si>
  <si>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</si>
  <si>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</si>
  <si>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</si>
  <si>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</si>
  <si>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</si>
  <si>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</si>
  <si>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</si>
  <si>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</si>
  <si>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</si>
  <si>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</si>
  <si>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</si>
  <si>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</si>
  <si>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</si>
  <si>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</si>
  <si>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</si>
  <si>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</si>
  <si>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</si>
  <si>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</si>
  <si>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</si>
  <si>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</si>
  <si>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</si>
  <si>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</si>
  <si>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</si>
  <si>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</si>
  <si>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</si>
  <si>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</si>
  <si>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</si>
  <si>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</si>
  <si>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</si>
  <si>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</si>
  <si>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</si>
  <si>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</si>
  <si>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</si>
  <si>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</si>
  <si>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</si>
  <si>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</si>
  <si>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</si>
  <si>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</si>
  <si>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</si>
  <si>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</si>
  <si>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</si>
  <si>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</si>
  <si>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</si>
  <si>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</si>
  <si>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</si>
  <si>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</si>
  <si>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</si>
  <si>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</si>
  <si>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</si>
  <si>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</si>
  <si>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</si>
  <si>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</si>
  <si>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</si>
  <si>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</si>
  <si>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</si>
  <si>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</si>
  <si>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</si>
  <si>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</si>
  <si>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</si>
  <si>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</si>
  <si>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</si>
  <si>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</si>
  <si>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</si>
  <si>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</si>
  <si>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</si>
  <si>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</si>
  <si>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</si>
  <si>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</si>
  <si>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</si>
  <si>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</si>
  <si>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</si>
  <si>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</si>
  <si>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</si>
  <si>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</si>
  <si>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</si>
  <si>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</si>
  <si>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</si>
  <si>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</si>
  <si>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</si>
  <si>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</si>
  <si>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</si>
  <si>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</si>
  <si>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</si>
  <si>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</si>
  <si>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</si>
  <si>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</si>
  <si>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</si>
  <si>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</si>
  <si>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</si>
  <si>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</si>
  <si>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</si>
  <si>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</si>
  <si>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</si>
  <si>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</si>
  <si>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</si>
  <si>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</si>
  <si>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</si>
  <si>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</si>
  <si>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</si>
  <si>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</si>
  <si>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</si>
  <si>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</si>
  <si>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</si>
  <si>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</si>
  <si>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</si>
  <si>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</si>
  <si>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</si>
  <si>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</si>
  <si>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</si>
  <si>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</si>
  <si>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</si>
  <si>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</si>
  <si>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</si>
  <si>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</si>
  <si>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</si>
  <si>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</si>
  <si>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</si>
  <si>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</si>
  <si>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</si>
  <si>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</si>
  <si>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</si>
  <si>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</si>
  <si>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</si>
  <si>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</si>
  <si>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</si>
  <si>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</si>
  <si>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</si>
  <si>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</si>
  <si>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</si>
  <si>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</si>
  <si>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</si>
  <si>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</si>
  <si>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</si>
  <si>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</si>
  <si>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</si>
  <si>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</si>
  <si>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</si>
  <si>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</si>
  <si>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</si>
  <si>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</si>
  <si>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</si>
  <si>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</si>
  <si>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</si>
  <si>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</si>
  <si>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</si>
  <si>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</si>
  <si>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</si>
  <si>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</si>
  <si>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</si>
  <si>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</si>
  <si>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</si>
  <si>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</si>
  <si>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</si>
  <si>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</si>
  <si>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</si>
  <si>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</si>
  <si>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</si>
  <si>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</si>
  <si>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</si>
  <si>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</si>
  <si>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</si>
  <si>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</si>
  <si>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</si>
  <si>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</si>
  <si>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</si>
  <si>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</si>
  <si>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</si>
  <si>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</si>
  <si>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</si>
  <si>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</si>
  <si>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</si>
  <si>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</si>
  <si>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</si>
  <si>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</si>
  <si>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</si>
  <si>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</si>
  <si>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</si>
  <si>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</si>
  <si>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</si>
  <si>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</si>
  <si>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</si>
  <si>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</si>
  <si>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</si>
  <si>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</si>
  <si>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</si>
  <si>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</si>
  <si>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</si>
  <si>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</si>
  <si>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</si>
  <si>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</si>
  <si>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</si>
  <si>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</si>
  <si>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</si>
  <si>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</si>
  <si>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</si>
  <si>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</si>
  <si>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</si>
  <si>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</si>
  <si>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</si>
  <si>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</si>
  <si>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</si>
  <si>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</si>
  <si>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</si>
  <si>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</si>
  <si>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</si>
  <si>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</si>
  <si>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</si>
  <si>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</si>
  <si>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</si>
  <si>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</si>
  <si>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</si>
  <si>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</si>
  <si>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</si>
  <si>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</si>
  <si>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</si>
  <si>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</si>
  <si>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</si>
  <si>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</si>
  <si>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</si>
  <si>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</si>
  <si>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</si>
  <si>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</si>
  <si>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</si>
  <si>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</si>
  <si>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</si>
  <si>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</si>
  <si>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</si>
  <si>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</si>
  <si>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</si>
  <si>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</si>
  <si>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</si>
  <si>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</si>
  <si>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</si>
  <si>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</si>
  <si>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</si>
  <si>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</si>
  <si>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</si>
  <si>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</si>
  <si>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</si>
  <si>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</si>
  <si>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</si>
  <si>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</si>
  <si>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</si>
  <si>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</si>
  <si>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</si>
  <si>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</si>
  <si>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</si>
  <si>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</si>
  <si>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</si>
  <si>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</si>
  <si>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</si>
  <si>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</si>
  <si>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</si>
  <si>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</si>
  <si>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</si>
  <si>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</si>
  <si>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</si>
  <si>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</si>
  <si>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</si>
  <si>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</si>
  <si>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</si>
  <si>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</si>
  <si>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</si>
  <si>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</si>
  <si>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</si>
  <si>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</si>
  <si>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</si>
  <si>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</si>
  <si>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</si>
  <si>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</si>
  <si>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</si>
  <si>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</si>
  <si>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</si>
  <si>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</si>
  <si>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</si>
  <si>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</si>
  <si>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</si>
  <si>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</si>
  <si>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</si>
  <si>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</si>
  <si>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</si>
  <si>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</si>
  <si>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</si>
  <si>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</si>
  <si>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</si>
  <si>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</si>
  <si>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</si>
  <si>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</si>
  <si>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</si>
  <si>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</si>
  <si>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</si>
  <si>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</si>
  <si>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</si>
  <si>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</si>
  <si>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</si>
  <si>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</si>
  <si>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</si>
  <si>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</si>
  <si>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</si>
  <si>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</si>
  <si>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</si>
  <si>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</si>
  <si>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</si>
  <si>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</si>
  <si>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</si>
  <si>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</si>
  <si>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</si>
  <si>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</si>
  <si>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</si>
  <si>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</si>
  <si>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</si>
  <si>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</si>
  <si>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</si>
  <si>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</si>
  <si>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</si>
  <si>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</si>
  <si>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</si>
  <si>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</si>
  <si>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</si>
  <si>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</si>
  <si>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</si>
  <si>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</si>
  <si>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</si>
  <si>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</si>
  <si>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</si>
  <si>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</si>
  <si>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</si>
  <si>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</si>
  <si>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</si>
  <si>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</si>
  <si>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</si>
  <si>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</si>
  <si>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</si>
  <si>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</si>
  <si>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</si>
  <si>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</si>
  <si>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</si>
  <si>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</si>
  <si>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</si>
  <si>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</si>
  <si>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</si>
  <si>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</si>
  <si>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</si>
  <si>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</si>
  <si>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</si>
  <si>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</si>
  <si>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</si>
  <si>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</si>
  <si>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</si>
  <si>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</si>
  <si>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</si>
  <si>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</si>
  <si>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</si>
  <si>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</si>
  <si>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</si>
  <si>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</si>
  <si>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</si>
  <si>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</si>
  <si>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</si>
  <si>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</si>
  <si>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</si>
  <si>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</si>
  <si>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</si>
  <si>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</si>
  <si>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</si>
  <si>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</si>
  <si>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</si>
  <si>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</si>
  <si>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</si>
  <si>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</si>
  <si>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</si>
  <si>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</si>
  <si>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</si>
  <si>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</si>
  <si>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</si>
  <si>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</si>
  <si>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</si>
  <si>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</si>
  <si>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</si>
  <si>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</si>
  <si>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</si>
  <si>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</si>
  <si>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</si>
  <si>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</si>
  <si>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</si>
  <si>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</si>
  <si>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</si>
  <si>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</si>
  <si>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</si>
  <si>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</si>
  <si>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</si>
  <si>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</si>
  <si>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</si>
  <si>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</si>
  <si>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</si>
  <si>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</si>
  <si>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</si>
  <si>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</si>
  <si>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</si>
  <si>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</si>
  <si>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</si>
  <si>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</si>
  <si>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</si>
  <si>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</si>
  <si>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</si>
  <si>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</si>
  <si>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</si>
  <si>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</si>
  <si>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</si>
  <si>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</si>
  <si>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</si>
  <si>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</si>
  <si>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</si>
  <si>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</si>
  <si>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</si>
  <si>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</si>
  <si>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</si>
  <si>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</si>
  <si>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</si>
  <si>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</si>
  <si>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</si>
  <si>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</si>
  <si>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</si>
  <si>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</si>
  <si>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</si>
  <si>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</si>
  <si>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</si>
  <si>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</si>
  <si>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</si>
  <si>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</si>
  <si>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</si>
  <si>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</si>
  <si>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</si>
  <si>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</si>
  <si>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</si>
  <si>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</si>
  <si>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</si>
  <si>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</si>
  <si>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</si>
  <si>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</si>
  <si>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</si>
  <si>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</si>
  <si>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</si>
  <si>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</si>
  <si>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</si>
  <si>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</si>
  <si>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</si>
  <si>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</si>
  <si>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</si>
  <si>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</si>
  <si>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</si>
  <si>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</si>
  <si>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</si>
  <si>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</si>
  <si>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</si>
  <si>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</si>
  <si>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</si>
  <si>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</si>
  <si>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</si>
  <si>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</si>
  <si>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</si>
  <si>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</si>
  <si>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</si>
  <si>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</si>
  <si>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</si>
  <si>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</si>
  <si>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</si>
  <si>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</si>
  <si>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</si>
  <si>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</si>
  <si>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</si>
  <si>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</si>
  <si>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</si>
  <si>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</si>
  <si>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</si>
  <si>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</si>
  <si>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</si>
  <si>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</si>
  <si>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</si>
  <si>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</si>
  <si>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</si>
  <si>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</si>
  <si>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</si>
  <si>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</si>
  <si>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</si>
  <si>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</si>
  <si>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</si>
  <si>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</si>
  <si>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</si>
  <si>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</si>
  <si>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</si>
  <si>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</si>
  <si>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</si>
  <si>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</si>
  <si>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</si>
  <si>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</si>
  <si>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</si>
  <si>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</si>
  <si>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</si>
  <si>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</si>
  <si>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</si>
  <si>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</si>
  <si>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</si>
  <si>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</si>
  <si>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</si>
  <si>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</si>
  <si>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</si>
  <si>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</si>
  <si>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</si>
  <si>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</si>
  <si>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</si>
  <si>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</si>
  <si>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</si>
  <si>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</si>
  <si>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</si>
  <si>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</si>
  <si>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</si>
  <si>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</si>
  <si>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</si>
  <si>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</si>
  <si>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</si>
  <si>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</si>
  <si>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</si>
  <si>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</si>
  <si>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</si>
  <si>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</si>
  <si>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</si>
  <si>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</si>
  <si>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</si>
  <si>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</si>
  <si>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</si>
  <si>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</si>
  <si>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</si>
  <si>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</si>
  <si>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</si>
  <si>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</si>
  <si>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</si>
  <si>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</si>
  <si>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</si>
  <si>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</si>
  <si>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</si>
  <si>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</si>
  <si>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</si>
  <si>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</si>
  <si>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</si>
  <si>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</si>
  <si>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</si>
  <si>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</si>
  <si>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</si>
  <si>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</si>
  <si>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</si>
  <si>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</si>
  <si>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</si>
  <si>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</si>
  <si>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</si>
  <si>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</si>
  <si>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</si>
  <si>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</si>
  <si>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</si>
  <si>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</si>
  <si>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</si>
  <si>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</si>
  <si>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</si>
  <si>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</si>
  <si>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</si>
  <si>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</si>
  <si>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</si>
  <si>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</si>
  <si>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</si>
  <si>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</si>
  <si>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</si>
  <si>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</si>
  <si>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</si>
  <si>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</si>
  <si>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</si>
  <si>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</si>
  <si>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</si>
  <si>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</si>
  <si>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</si>
  <si>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</si>
  <si>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</si>
  <si>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</si>
  <si>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</si>
  <si>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</si>
  <si>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</si>
  <si>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</si>
  <si>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</si>
  <si>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</si>
  <si>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</si>
  <si>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</si>
  <si>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</si>
  <si>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</si>
  <si>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</si>
  <si>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</si>
  <si>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</si>
  <si>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</si>
  <si>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</si>
  <si>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</si>
  <si>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</si>
  <si>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</si>
  <si>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</si>
  <si>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</si>
  <si>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</si>
  <si>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</si>
  <si>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</si>
  <si>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</si>
  <si>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</si>
  <si>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</si>
  <si>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</si>
  <si>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</si>
  <si>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</si>
  <si>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</si>
  <si>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</si>
  <si>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</si>
  <si>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</si>
  <si>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</si>
  <si>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</si>
  <si>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</si>
  <si>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</si>
  <si>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</si>
  <si>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</si>
  <si>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</si>
  <si>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</si>
  <si>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</si>
  <si>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</si>
  <si>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</si>
  <si>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</si>
  <si>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</si>
  <si>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</si>
  <si>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</si>
  <si>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</si>
  <si>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</si>
  <si>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</si>
  <si>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</si>
  <si>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</si>
  <si>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</si>
  <si>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</si>
  <si>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</si>
  <si>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</si>
  <si>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</si>
  <si>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</si>
  <si>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</si>
  <si>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</si>
  <si>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</si>
  <si>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</si>
  <si>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</si>
  <si>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</si>
  <si>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</si>
  <si>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</si>
  <si>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</si>
  <si>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</si>
  <si>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</si>
  <si>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</si>
  <si>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</si>
  <si>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</si>
  <si>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</si>
  <si>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</si>
  <si>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</si>
  <si>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</si>
  <si>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</si>
  <si>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</si>
  <si>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</si>
  <si>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</si>
  <si>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</si>
  <si>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</si>
  <si>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</si>
  <si>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</si>
  <si>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</si>
  <si>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</si>
  <si>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</si>
  <si>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</si>
  <si>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</si>
  <si>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</si>
  <si>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</si>
  <si>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</si>
  <si>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</si>
  <si>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</si>
  <si>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</si>
  <si>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</si>
  <si>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</si>
  <si>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</si>
  <si>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</si>
  <si>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</si>
  <si>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</si>
  <si>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</si>
  <si>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</si>
  <si>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</si>
  <si>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</si>
  <si>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</si>
  <si>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</si>
  <si>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</si>
  <si>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</si>
  <si>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</si>
  <si>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</si>
  <si>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</si>
  <si>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</si>
  <si>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</si>
  <si>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</si>
  <si>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</si>
  <si>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</si>
  <si>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</si>
  <si>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</si>
  <si>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</si>
  <si>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</si>
  <si>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</si>
  <si>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</si>
  <si>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</si>
  <si>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</si>
  <si>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</si>
  <si>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</si>
  <si>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</si>
  <si>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</si>
  <si>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</si>
  <si>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</si>
  <si>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</si>
  <si>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</si>
  <si>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</si>
  <si>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</si>
  <si>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</si>
  <si>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</si>
  <si>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</si>
  <si>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</si>
  <si>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</si>
  <si>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</si>
  <si>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</si>
  <si>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</si>
  <si>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</si>
  <si>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</si>
  <si>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</si>
  <si>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</si>
  <si>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</si>
  <si>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</si>
  <si>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</si>
  <si>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</si>
  <si>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</si>
  <si>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</si>
  <si>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</si>
  <si>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</si>
  <si>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</si>
  <si>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</si>
  <si>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</si>
  <si>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</si>
  <si>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</si>
  <si>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</si>
  <si>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</si>
  <si>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</si>
  <si>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</si>
  <si>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</si>
  <si>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</si>
  <si>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</si>
  <si>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</si>
  <si>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</si>
  <si>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</si>
  <si>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</si>
  <si>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</si>
  <si>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</si>
  <si>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</si>
  <si>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</si>
  <si>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</si>
  <si>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</si>
  <si>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</si>
  <si>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</si>
  <si>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</si>
  <si>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</si>
  <si>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</si>
  <si>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</si>
  <si>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</si>
  <si>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</si>
  <si>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</si>
  <si>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</si>
  <si>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</si>
  <si>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</si>
  <si>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</si>
  <si>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</si>
  <si>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</si>
  <si>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</si>
  <si>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</si>
  <si>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</si>
  <si>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</si>
  <si>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</si>
  <si>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</si>
  <si>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</si>
  <si>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</si>
  <si>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</si>
  <si>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</si>
  <si>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</si>
  <si>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</si>
  <si>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</si>
  <si>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</si>
  <si>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</si>
  <si>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</si>
  <si>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</si>
  <si>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</si>
  <si>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</si>
  <si>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</si>
  <si>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</si>
  <si>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</si>
  <si>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</si>
  <si>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</si>
  <si>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</si>
  <si>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</si>
  <si>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</si>
  <si>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</si>
  <si>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</si>
  <si>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</si>
  <si>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</si>
  <si>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</si>
  <si>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</si>
  <si>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</si>
  <si>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</si>
  <si>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</si>
  <si>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</si>
  <si>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</si>
  <si>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</si>
  <si>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</si>
  <si>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</si>
  <si>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</si>
  <si>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</si>
  <si>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</si>
  <si>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</si>
  <si>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</si>
  <si>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</si>
  <si>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</si>
  <si>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</si>
  <si>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</si>
  <si>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</si>
  <si>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</si>
  <si>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</si>
  <si>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</si>
  <si>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</si>
  <si>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</si>
  <si>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</si>
  <si>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</si>
  <si>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</si>
  <si>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</si>
  <si>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</si>
  <si>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</si>
  <si>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</si>
  <si>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</si>
  <si>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</si>
  <si>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</si>
  <si>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</si>
  <si>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</si>
  <si>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</si>
  <si>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</si>
  <si>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</si>
  <si>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</si>
  <si>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</si>
  <si>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</si>
  <si>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</si>
  <si>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</si>
  <si>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</si>
  <si>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</si>
  <si>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</si>
  <si>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</si>
  <si>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</si>
  <si>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</si>
  <si>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</si>
  <si>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</si>
  <si>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</si>
  <si>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</si>
  <si>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</si>
  <si>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</si>
  <si>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</si>
  <si>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</si>
  <si>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</si>
  <si>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</si>
  <si>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</si>
  <si>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</si>
  <si>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</si>
  <si>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</si>
  <si>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</si>
  <si>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</si>
  <si>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</si>
  <si>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</si>
  <si>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</si>
  <si>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</si>
  <si>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</si>
  <si>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</si>
  <si>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</si>
  <si>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</si>
  <si>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</si>
  <si>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</si>
  <si>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</si>
  <si>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</si>
  <si>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</si>
  <si>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</si>
  <si>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</si>
  <si>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</si>
  <si>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</si>
  <si>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</si>
  <si>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</si>
  <si>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</si>
  <si>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</si>
  <si>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</si>
  <si>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</si>
  <si>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</si>
  <si>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</si>
  <si>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</si>
  <si>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</si>
  <si>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</si>
  <si>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</si>
  <si>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</si>
  <si>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</si>
  <si>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</si>
  <si>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</si>
  <si>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</si>
  <si>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</si>
  <si>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</si>
  <si>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</si>
  <si>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</si>
  <si>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</si>
  <si>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</si>
  <si>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</si>
  <si>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</si>
  <si>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</si>
  <si>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</si>
  <si>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</si>
  <si>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</si>
  <si>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</si>
  <si>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</si>
  <si>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</si>
  <si>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</si>
  <si>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</si>
  <si>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</si>
  <si>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</si>
  <si>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</si>
  <si>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</si>
  <si>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</si>
  <si>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</si>
  <si>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</si>
  <si>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</si>
  <si>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</si>
  <si>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</si>
  <si>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</si>
  <si>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</si>
  <si>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</si>
  <si>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</si>
  <si>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</si>
  <si>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</si>
  <si>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</si>
  <si>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</si>
  <si>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</si>
  <si>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</si>
  <si>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</si>
  <si>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</si>
  <si>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</si>
  <si>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</si>
  <si>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</si>
  <si>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</si>
  <si>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</si>
  <si>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</si>
  <si>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</si>
  <si>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</si>
  <si>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</si>
  <si>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</si>
  <si>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</si>
  <si>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</si>
  <si>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</si>
  <si>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</si>
  <si>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</si>
  <si>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</si>
  <si>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</si>
  <si>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</si>
  <si>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</si>
  <si>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</si>
  <si>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</si>
  <si>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</si>
  <si>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</si>
  <si>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</si>
  <si>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</si>
  <si>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</si>
  <si>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</si>
  <si>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</si>
  <si>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</si>
  <si>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</si>
  <si>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</si>
  <si>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</si>
  <si>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</si>
  <si>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</si>
  <si>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</si>
  <si>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</si>
  <si>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</si>
  <si>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</si>
  <si>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</si>
  <si>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</si>
  <si>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</si>
  <si>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</si>
  <si>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</si>
  <si>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</si>
  <si>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</si>
  <si>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</si>
  <si>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</si>
  <si>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</si>
  <si>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</si>
  <si>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</si>
  <si>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</si>
  <si>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</si>
  <si>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</si>
  <si>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</si>
  <si>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</si>
  <si>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</si>
  <si>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</si>
  <si>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</si>
  <si>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</si>
  <si>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</si>
  <si>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</si>
  <si>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</si>
  <si>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</si>
  <si>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</si>
  <si>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</si>
  <si>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</si>
  <si>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</si>
  <si>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</si>
  <si>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</si>
  <si>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</si>
  <si>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</si>
  <si>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</si>
  <si>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</si>
  <si>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</si>
  <si>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</si>
  <si>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</si>
  <si>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</si>
  <si>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</si>
  <si>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</si>
  <si>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</si>
  <si>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</si>
  <si>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</si>
  <si>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</si>
  <si>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</si>
  <si>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</si>
  <si>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</si>
  <si>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</si>
  <si>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</si>
  <si>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</si>
  <si>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</si>
  <si>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</si>
  <si>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</si>
  <si>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</si>
  <si>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</si>
  <si>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</si>
  <si>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</si>
  <si>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</si>
  <si>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</si>
  <si>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</si>
  <si>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</si>
  <si>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</si>
  <si>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</si>
  <si>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</si>
  <si>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</si>
  <si>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</si>
  <si>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</si>
  <si>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</si>
  <si>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</si>
  <si>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</si>
  <si>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</si>
  <si>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</si>
  <si>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</si>
  <si>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</si>
  <si>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</si>
  <si>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</si>
  <si>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</si>
  <si>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</si>
  <si>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</si>
  <si>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</si>
  <si>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</si>
  <si>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</si>
  <si>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</si>
  <si>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</si>
  <si>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</si>
  <si>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</si>
  <si>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</si>
  <si>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</si>
  <si>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</si>
  <si>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</si>
  <si>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</si>
  <si>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</si>
  <si>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</si>
  <si>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</si>
  <si>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</si>
  <si>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</si>
  <si>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</si>
  <si>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</si>
  <si>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</si>
  <si>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</si>
  <si>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</si>
  <si>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</si>
  <si>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</si>
  <si>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</si>
  <si>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</si>
  <si>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</si>
  <si>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</si>
  <si>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</si>
  <si>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</si>
  <si>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</si>
  <si>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</si>
  <si>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</si>
  <si>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</si>
  <si>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</si>
  <si>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</si>
  <si>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</si>
  <si>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</si>
  <si>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</si>
  <si>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</si>
  <si>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</si>
  <si>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</si>
  <si>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</si>
  <si>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</si>
  <si>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</si>
  <si>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</si>
  <si>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</si>
  <si>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</si>
  <si>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</si>
  <si>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</si>
  <si>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</si>
  <si>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</si>
  <si>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</si>
  <si>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</si>
  <si>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</si>
  <si>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</si>
  <si>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</si>
  <si>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</si>
  <si>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</si>
  <si>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</si>
  <si>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</si>
  <si>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</si>
  <si>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</si>
  <si>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</si>
  <si>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</si>
  <si>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</si>
  <si>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</si>
  <si>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</si>
  <si>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</si>
  <si>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</si>
  <si>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</si>
  <si>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</si>
  <si>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</si>
  <si>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</si>
  <si>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</si>
  <si>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</si>
  <si>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</si>
  <si>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</si>
  <si>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</si>
  <si>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</si>
  <si>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</si>
  <si>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</si>
  <si>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</si>
  <si>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</si>
  <si>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</si>
  <si>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</si>
  <si>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</si>
  <si>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</si>
  <si>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</si>
  <si>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</si>
  <si>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</si>
  <si>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</si>
  <si>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</si>
  <si>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</si>
  <si>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</si>
  <si>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</si>
  <si>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</si>
  <si>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</si>
  <si>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</si>
  <si>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</si>
  <si>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</si>
  <si>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</si>
  <si>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</si>
  <si>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</si>
  <si>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</si>
  <si>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</si>
  <si>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</si>
  <si>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</si>
  <si>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</si>
  <si>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</si>
  <si>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</si>
  <si>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</si>
  <si>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</si>
  <si>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</si>
  <si>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</si>
  <si>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</si>
  <si>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</si>
  <si>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</si>
  <si>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</si>
  <si>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</si>
  <si>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</si>
  <si>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</si>
  <si>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</si>
  <si>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</si>
  <si>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</si>
  <si>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</si>
  <si>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</si>
  <si>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</si>
  <si>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</si>
  <si>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</si>
  <si>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</si>
  <si>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</si>
  <si>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</si>
  <si>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</si>
  <si>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</si>
  <si>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</si>
  <si>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</si>
  <si>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</si>
  <si>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</si>
  <si>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</si>
  <si>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</si>
  <si>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</si>
  <si>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</si>
  <si>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</si>
  <si>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</si>
  <si>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</si>
  <si>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</si>
  <si>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</si>
  <si>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</si>
  <si>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</si>
  <si>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</si>
  <si>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</si>
  <si>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</si>
  <si>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</si>
  <si>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</si>
  <si>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</si>
  <si>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</si>
  <si>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</si>
  <si>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</si>
  <si>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</si>
  <si>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</si>
  <si>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</si>
  <si>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</si>
  <si>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</si>
  <si>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</si>
  <si>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</si>
  <si>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</si>
  <si>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</si>
  <si>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</si>
  <si>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</si>
  <si>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</si>
  <si>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</si>
  <si>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</si>
  <si>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</si>
  <si>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</si>
  <si>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</si>
  <si>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</si>
  <si>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</si>
  <si>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</si>
  <si>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</si>
  <si>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</si>
  <si>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</si>
  <si>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</si>
  <si>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</si>
  <si>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</si>
  <si>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</si>
  <si>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</si>
  <si>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</si>
  <si>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</si>
  <si>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</si>
  <si>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</si>
  <si>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</si>
  <si>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</si>
  <si>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</si>
  <si>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</si>
  <si>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</si>
  <si>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</si>
  <si>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</si>
  <si>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</si>
  <si>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</si>
  <si>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</si>
  <si>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</si>
  <si>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</si>
  <si>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</si>
  <si>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</si>
  <si>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</si>
  <si>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</si>
  <si>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</si>
  <si>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</si>
  <si>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</si>
  <si>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</si>
  <si>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</si>
  <si>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</si>
  <si>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</si>
  <si>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</si>
  <si>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</si>
  <si>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</si>
  <si>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</si>
  <si>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</si>
  <si>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</si>
  <si>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</si>
  <si>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</si>
  <si>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</si>
  <si>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</si>
  <si>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</si>
  <si>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</si>
  <si>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</si>
  <si>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</si>
  <si>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</si>
  <si>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</si>
  <si>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</si>
  <si>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</si>
  <si>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</si>
  <si>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</si>
  <si>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</si>
  <si>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</si>
  <si>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</si>
  <si>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</si>
  <si>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</si>
  <si>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</si>
  <si>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</si>
  <si>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</si>
  <si>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</si>
  <si>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</si>
  <si>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</si>
  <si>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</si>
  <si>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</si>
  <si>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</si>
  <si>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</si>
  <si>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</si>
  <si>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</si>
  <si>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</si>
  <si>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</si>
  <si>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</si>
  <si>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</si>
  <si>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</si>
  <si>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</si>
  <si>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</si>
  <si>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</si>
  <si>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</si>
  <si>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</si>
  <si>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</si>
  <si>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</si>
  <si>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</si>
  <si>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</si>
  <si>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</si>
  <si>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</si>
  <si>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</si>
  <si>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</si>
  <si>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</si>
  <si>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</si>
  <si>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</si>
  <si>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</si>
  <si>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</si>
  <si>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</si>
  <si>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</si>
  <si>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</si>
  <si>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</si>
  <si>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</si>
  <si>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</si>
  <si>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</si>
  <si>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</si>
  <si>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</si>
  <si>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</si>
  <si>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</si>
  <si>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</si>
  <si>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</si>
  <si>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</si>
  <si>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</si>
  <si>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</si>
  <si>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</si>
  <si>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</si>
  <si>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</si>
  <si>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</si>
  <si>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</si>
  <si>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</si>
  <si>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</si>
  <si>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</si>
  <si>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</si>
  <si>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</si>
  <si>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</si>
  <si>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</si>
  <si>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</si>
  <si>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</si>
  <si>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</si>
  <si>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</si>
  <si>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</si>
  <si>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</si>
  <si>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</si>
  <si>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</si>
  <si>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</si>
  <si>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</si>
  <si>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</si>
  <si>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</si>
  <si>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</si>
  <si>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</si>
  <si>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</si>
  <si>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</si>
  <si>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</si>
  <si>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</si>
  <si>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</si>
  <si>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</si>
  <si>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</si>
  <si>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</si>
  <si>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</si>
  <si>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</si>
  <si>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</si>
  <si>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</si>
  <si>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</si>
  <si>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</si>
  <si>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</si>
  <si>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</si>
  <si>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</si>
  <si>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</si>
  <si>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</si>
  <si>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</si>
  <si>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</si>
  <si>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</si>
  <si>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</si>
  <si>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</si>
  <si>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</si>
  <si>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</si>
  <si>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</si>
  <si>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</si>
  <si>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</si>
  <si>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</si>
  <si>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</si>
  <si>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</si>
  <si>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</si>
  <si>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</si>
  <si>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</si>
  <si>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</si>
  <si>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</si>
  <si>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</si>
  <si>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</si>
  <si>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</si>
  <si>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</si>
  <si>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</si>
  <si>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</si>
  <si>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</si>
  <si>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</si>
  <si>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</si>
  <si>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</si>
  <si>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</si>
  <si>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</si>
  <si>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</si>
  <si>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</si>
  <si>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</si>
  <si>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</si>
  <si>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</si>
  <si>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</si>
  <si>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</si>
  <si>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</si>
  <si>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</si>
  <si>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</si>
  <si>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</si>
  <si>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</si>
  <si>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</si>
  <si>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</si>
  <si>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</si>
  <si>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</si>
  <si>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</si>
  <si>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</si>
  <si>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</si>
  <si>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</si>
  <si>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</si>
  <si>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</si>
  <si>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</si>
  <si>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</si>
  <si>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</si>
  <si>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</si>
  <si>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</si>
  <si>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</si>
  <si>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</si>
  <si>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</si>
  <si>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</si>
  <si>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</si>
  <si>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</si>
  <si>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</si>
  <si>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</si>
  <si>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</si>
  <si>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</si>
  <si>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</si>
  <si>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</si>
  <si>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</si>
  <si>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</si>
  <si>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</si>
  <si>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</si>
  <si>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</si>
  <si>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</si>
  <si>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</si>
  <si>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</si>
  <si>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</si>
  <si>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</si>
  <si>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</si>
  <si>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</si>
  <si>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</si>
  <si>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</si>
  <si>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</si>
  <si>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</si>
  <si>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</si>
  <si>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</si>
  <si>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</si>
  <si>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</si>
  <si>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</si>
  <si>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</si>
  <si>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</si>
  <si>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</si>
  <si>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</si>
  <si>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</si>
  <si>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</si>
  <si>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</si>
  <si>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</si>
  <si>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</si>
  <si>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</si>
  <si>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</si>
  <si>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</si>
  <si>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</si>
  <si>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</si>
  <si>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</si>
  <si>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</si>
  <si>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</si>
  <si>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</si>
  <si>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</si>
  <si>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</si>
  <si>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</si>
  <si>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</si>
  <si>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</si>
  <si>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</si>
  <si>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</si>
  <si>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</si>
  <si>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</si>
  <si>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</si>
  <si>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</si>
  <si>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</si>
  <si>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</si>
  <si>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</si>
  <si>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</si>
  <si>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</si>
  <si>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</si>
  <si>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</si>
  <si>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</si>
  <si>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</si>
  <si>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</si>
  <si>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</si>
  <si>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</si>
  <si>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</si>
  <si>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</si>
  <si>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</si>
  <si>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</si>
  <si>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</si>
  <si>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</si>
  <si>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</si>
  <si>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</si>
  <si>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</si>
  <si>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</si>
  <si>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</si>
  <si>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</si>
  <si>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</si>
  <si>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</si>
  <si>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</si>
  <si>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</si>
  <si>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</si>
  <si>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</si>
  <si>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</si>
  <si>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</si>
  <si>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</si>
  <si>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</si>
  <si>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</si>
  <si>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</si>
  <si>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</si>
  <si>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</si>
  <si>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</si>
  <si>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</si>
  <si>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</si>
  <si>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</si>
  <si>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</si>
  <si>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</si>
  <si>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</si>
  <si>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</si>
  <si>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</si>
  <si>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</si>
  <si>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</si>
  <si>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</si>
  <si>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</si>
  <si>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</si>
  <si>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</si>
  <si>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</si>
  <si>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</si>
  <si>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</si>
  <si>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</si>
  <si>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</si>
  <si>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</si>
  <si>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</si>
  <si>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</si>
  <si>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</si>
  <si>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</si>
  <si>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</si>
  <si>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</si>
  <si>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</si>
  <si>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</si>
  <si>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</si>
  <si>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</si>
  <si>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</si>
  <si>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</si>
  <si>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</si>
  <si>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</si>
  <si>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</si>
  <si>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</si>
  <si>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</si>
  <si>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</si>
  <si>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</si>
  <si>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</si>
  <si>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</si>
  <si>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</si>
  <si>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</si>
  <si>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</si>
  <si>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</si>
  <si>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</si>
  <si>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</si>
  <si>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</si>
  <si>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</si>
  <si>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</si>
  <si>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</si>
  <si>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</si>
  <si>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</si>
  <si>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</si>
  <si>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</si>
  <si>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</si>
  <si>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</si>
  <si>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</si>
  <si>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</si>
  <si>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</si>
  <si>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</si>
  <si>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</si>
  <si>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</si>
  <si>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</si>
  <si>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</si>
  <si>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</si>
  <si>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</si>
  <si>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</si>
  <si>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</si>
  <si>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</si>
  <si>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</si>
  <si>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</si>
  <si>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</si>
  <si>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</si>
  <si>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</si>
  <si>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</si>
  <si>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</si>
  <si>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</si>
  <si>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</si>
  <si>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</si>
  <si>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</si>
  <si>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</si>
  <si>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</si>
  <si>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</si>
  <si>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</si>
  <si>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</si>
  <si>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</si>
  <si>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</si>
  <si>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</si>
  <si>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</si>
  <si>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</si>
  <si>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</si>
  <si>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</si>
  <si>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</si>
  <si>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</si>
  <si>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</si>
  <si>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</si>
  <si>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</si>
  <si>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</si>
  <si>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</si>
  <si>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</si>
  <si>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</si>
  <si>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</si>
  <si>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</si>
  <si>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</si>
  <si>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</si>
  <si>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</si>
  <si>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</si>
  <si>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</si>
  <si>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</si>
  <si>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</si>
  <si>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</si>
  <si>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</si>
  <si>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</si>
  <si>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</si>
  <si>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</si>
  <si>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</si>
  <si>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</si>
  <si>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</si>
  <si>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</si>
  <si>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</si>
  <si>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</si>
  <si>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</si>
  <si>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</si>
  <si>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</si>
  <si>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</si>
  <si>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</si>
  <si>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</si>
  <si>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</si>
  <si>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</si>
  <si>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</si>
  <si>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</si>
  <si>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</si>
  <si>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</si>
  <si>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</si>
  <si>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</si>
  <si>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</si>
  <si>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</si>
  <si>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</si>
  <si>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</si>
  <si>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</si>
  <si>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</si>
  <si>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</si>
  <si>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</si>
  <si>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</si>
  <si>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</si>
  <si>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</si>
  <si>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</si>
  <si>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</si>
  <si>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</si>
  <si>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</si>
  <si>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</si>
  <si>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</si>
  <si>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</si>
  <si>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</si>
  <si>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</si>
  <si>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</si>
  <si>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</si>
  <si>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</si>
  <si>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</si>
  <si>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</si>
  <si>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</si>
  <si>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</si>
  <si>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</si>
  <si>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</si>
  <si>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</si>
  <si>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</si>
  <si>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</si>
  <si>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</si>
  <si>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</si>
  <si>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</si>
  <si>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</si>
  <si>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</si>
  <si>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</si>
  <si>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</si>
  <si>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</si>
  <si>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</si>
  <si>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</si>
  <si>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</si>
  <si>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</si>
  <si>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</si>
  <si>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</si>
  <si>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</si>
  <si>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</si>
  <si>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</si>
  <si>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</si>
  <si>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</si>
  <si>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</si>
  <si>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</si>
  <si>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</si>
  <si>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</si>
  <si>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</si>
  <si>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</si>
  <si>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</si>
  <si>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</si>
  <si>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</si>
  <si>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</si>
  <si>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</si>
  <si>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</si>
  <si>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</si>
  <si>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</si>
  <si>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</si>
  <si>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</si>
  <si>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</si>
  <si>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</si>
  <si>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</si>
  <si>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</si>
  <si>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</si>
  <si>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</si>
  <si>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</si>
  <si>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</si>
  <si>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</si>
  <si>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</si>
  <si>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</si>
  <si>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</si>
  <si>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</si>
  <si>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</si>
  <si>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</si>
  <si>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</si>
  <si>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</si>
  <si>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</si>
  <si>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</si>
  <si>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</si>
  <si>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</si>
  <si>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</si>
  <si>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</si>
  <si>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</si>
  <si>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</si>
  <si>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</si>
  <si>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</si>
  <si>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</si>
  <si>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</si>
  <si>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</si>
  <si>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</si>
  <si>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</si>
  <si>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</si>
  <si>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</si>
  <si>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</si>
  <si>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</si>
  <si>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</si>
  <si>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</si>
  <si>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</si>
  <si>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</si>
  <si>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</si>
  <si>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</si>
  <si>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</si>
  <si>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</si>
  <si>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</si>
  <si>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</si>
  <si>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</si>
  <si>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</si>
  <si>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</si>
  <si>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</si>
  <si>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</si>
  <si>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</si>
  <si>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</si>
  <si>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</si>
  <si>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</si>
  <si>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</si>
  <si>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</si>
  <si>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</si>
  <si>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</si>
  <si>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</si>
  <si>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</si>
  <si>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</si>
  <si>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</si>
  <si>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</si>
  <si>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</si>
  <si>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</si>
  <si>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</si>
  <si>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</si>
  <si>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</si>
  <si>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</si>
  <si>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</si>
  <si>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</si>
  <si>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</si>
  <si>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</si>
  <si>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</si>
  <si>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</si>
  <si>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</si>
  <si>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</si>
  <si>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</si>
  <si>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</si>
  <si>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</si>
  <si>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</si>
  <si>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</si>
  <si>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</si>
  <si>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</si>
  <si>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</si>
  <si>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</si>
  <si>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</si>
  <si>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</si>
  <si>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</si>
  <si>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</si>
  <si>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</si>
  <si>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</si>
  <si>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</si>
  <si>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</si>
  <si>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</si>
  <si>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</si>
  <si>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</si>
  <si>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</si>
  <si>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</si>
  <si>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</si>
  <si>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</si>
  <si>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</si>
  <si>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</si>
  <si>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</si>
  <si>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</si>
  <si>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</si>
  <si>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</si>
  <si>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</si>
  <si>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</si>
  <si>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</si>
  <si>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</si>
  <si>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</si>
  <si>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</si>
  <si>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</si>
  <si>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</si>
  <si>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</si>
  <si>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</si>
  <si>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</si>
  <si>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</si>
  <si>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</si>
  <si>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</si>
  <si>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</si>
  <si>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</si>
  <si>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</si>
  <si>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</si>
  <si>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</si>
  <si>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</si>
  <si>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</si>
  <si>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</si>
  <si>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</si>
  <si>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</si>
  <si>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</si>
  <si>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</si>
  <si>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</si>
  <si>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</si>
  <si>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</si>
  <si>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</si>
  <si>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</si>
  <si>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</si>
  <si>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</si>
  <si>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</si>
  <si>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</si>
  <si>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</si>
  <si>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</si>
  <si>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</si>
  <si>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</si>
  <si>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</si>
  <si>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</si>
  <si>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</si>
  <si>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</si>
  <si>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</si>
  <si>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</si>
  <si>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</si>
  <si>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</si>
  <si>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</si>
  <si>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</si>
  <si>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</si>
  <si>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</si>
  <si>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</si>
  <si>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</si>
  <si>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</si>
  <si>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</si>
  <si>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</si>
  <si>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</si>
  <si>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</si>
  <si>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</si>
  <si>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</si>
  <si>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</si>
  <si>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</si>
  <si>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</si>
  <si>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</si>
  <si>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</si>
  <si>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</si>
  <si>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</si>
  <si>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</si>
  <si>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</si>
  <si>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</si>
  <si>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</si>
  <si>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</si>
  <si>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</si>
  <si>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</si>
  <si>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</si>
  <si>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</si>
  <si>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</si>
  <si>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</si>
  <si>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</si>
  <si>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</si>
  <si>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</si>
  <si>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</si>
  <si>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</si>
  <si>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</si>
  <si>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</si>
  <si>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</si>
  <si>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</si>
  <si>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</si>
  <si>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</si>
  <si>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</si>
  <si>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</si>
  <si>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</si>
  <si>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</si>
  <si>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</si>
  <si>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</si>
  <si>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</si>
  <si>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</si>
  <si>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</si>
  <si>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</si>
  <si>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</si>
  <si>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</si>
  <si>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</si>
  <si>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</si>
  <si>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</si>
  <si>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</si>
  <si>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</si>
  <si>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</si>
  <si>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</si>
  <si>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</si>
  <si>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</si>
  <si>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</si>
  <si>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</si>
  <si>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</si>
  <si>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</si>
  <si>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</si>
  <si>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</si>
  <si>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</si>
  <si>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</si>
  <si>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</si>
  <si>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</si>
  <si>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</si>
  <si>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</si>
  <si>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</si>
  <si>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</si>
  <si>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</si>
  <si>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</si>
  <si>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</si>
  <si>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</si>
  <si>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</si>
  <si>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</si>
  <si>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</si>
  <si>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</si>
  <si>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</si>
  <si>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</si>
  <si>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</si>
  <si>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</si>
  <si>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</si>
  <si>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</si>
  <si>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</si>
  <si>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</si>
  <si>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</si>
  <si>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</si>
  <si>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</si>
  <si>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</si>
  <si>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</si>
  <si>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</si>
  <si>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</si>
  <si>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</si>
  <si>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</si>
  <si>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</si>
  <si>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</si>
  <si>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</si>
  <si>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</si>
  <si>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</si>
  <si>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</si>
  <si>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</si>
  <si>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</si>
  <si>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</si>
  <si>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</si>
  <si>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</si>
  <si>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</si>
  <si>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</si>
  <si>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</si>
  <si>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</si>
  <si>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</si>
  <si>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</si>
  <si>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</si>
  <si>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</si>
  <si>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</si>
  <si>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</si>
  <si>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</si>
  <si>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</si>
  <si>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</si>
  <si>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</si>
  <si>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</si>
  <si>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</si>
  <si>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</si>
  <si>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</si>
  <si>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</si>
  <si>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</si>
  <si>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</si>
  <si>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</si>
  <si>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</si>
  <si>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</si>
  <si>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</si>
  <si>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</si>
  <si>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</si>
  <si>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</si>
  <si>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</si>
  <si>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</si>
  <si>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</si>
  <si>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</si>
  <si>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</si>
  <si>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</si>
  <si>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</si>
  <si>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</si>
  <si>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</si>
  <si>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</si>
  <si>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</si>
  <si>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</si>
  <si>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</si>
  <si>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</si>
  <si>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</si>
  <si>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</si>
  <si>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</si>
  <si>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</si>
  <si>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</si>
  <si>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</si>
  <si>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</si>
  <si>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</si>
  <si>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</si>
  <si>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</si>
  <si>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</si>
  <si>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</si>
  <si>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</si>
  <si>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</si>
  <si>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</si>
  <si>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</si>
  <si>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</si>
  <si>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</si>
  <si>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</si>
  <si>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</si>
  <si>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</si>
  <si>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</si>
  <si>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</si>
  <si>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</si>
  <si>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</si>
  <si>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</si>
  <si>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</si>
  <si>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</si>
  <si>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</si>
  <si>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</si>
  <si>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</si>
  <si>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</si>
  <si>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</si>
  <si>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</si>
  <si>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</si>
  <si>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</si>
  <si>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</si>
  <si>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</si>
  <si>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</si>
  <si>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</si>
  <si>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</si>
  <si>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</si>
  <si>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</si>
  <si>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</si>
  <si>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</si>
  <si>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</si>
  <si>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</si>
  <si>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</si>
  <si>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</si>
  <si>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</si>
  <si>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</si>
  <si>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</si>
  <si>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</si>
  <si>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</si>
  <si>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</si>
  <si>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</si>
  <si>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</si>
  <si>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</si>
  <si>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</si>
  <si>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</si>
  <si>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</si>
  <si>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</si>
  <si>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</si>
  <si>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</si>
  <si>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</si>
  <si>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</si>
  <si>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</si>
  <si>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</si>
  <si>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</si>
  <si>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</si>
  <si>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</si>
  <si>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</si>
  <si>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</si>
  <si>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</si>
  <si>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</si>
  <si>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</si>
  <si>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</si>
  <si>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</si>
  <si>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</si>
  <si>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</si>
  <si>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</si>
  <si>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</si>
  <si>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</si>
  <si>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</si>
  <si>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</si>
  <si>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</si>
  <si>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</si>
  <si>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</si>
  <si>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</si>
  <si>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</si>
  <si>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</si>
  <si>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</si>
  <si>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</si>
  <si>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</si>
  <si>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</si>
  <si>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</si>
  <si>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</si>
  <si>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</si>
  <si>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</si>
  <si>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</si>
  <si>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</si>
  <si>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</si>
  <si>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</si>
  <si>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</si>
  <si>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</si>
  <si>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</si>
  <si>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</si>
  <si>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</si>
  <si>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</si>
  <si>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</si>
  <si>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</si>
  <si>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</si>
  <si>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</si>
  <si>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</si>
  <si>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</si>
  <si>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</si>
  <si>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</si>
  <si>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</si>
  <si>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</si>
  <si>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</si>
  <si>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</si>
  <si>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</si>
  <si>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</si>
  <si>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</si>
  <si>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</si>
  <si>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</si>
  <si>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</si>
  <si>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</si>
  <si>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</si>
  <si>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</si>
  <si>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</si>
  <si>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</si>
  <si>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</si>
  <si>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</si>
  <si>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</si>
  <si>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</si>
  <si>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</si>
  <si>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</si>
  <si>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</si>
  <si>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</si>
  <si>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</si>
  <si>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</si>
  <si>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</si>
  <si>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</si>
  <si>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</si>
  <si>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</si>
  <si>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</si>
  <si>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</si>
  <si>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</si>
  <si>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</si>
  <si>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</si>
  <si>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</si>
  <si>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</si>
  <si>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</si>
  <si>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</si>
  <si>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</si>
  <si>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</si>
  <si>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</si>
  <si>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</si>
  <si>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</si>
  <si>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</si>
  <si>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</si>
  <si>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</si>
  <si>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</si>
  <si>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</si>
  <si>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</si>
  <si>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</si>
  <si>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</si>
  <si>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</si>
  <si>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</si>
  <si>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</si>
  <si>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</si>
  <si>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</si>
  <si>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</si>
  <si>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</si>
  <si>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</si>
  <si>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</si>
  <si>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</si>
  <si>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</si>
  <si>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</si>
  <si>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</si>
  <si>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</si>
  <si>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</si>
  <si>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</si>
  <si>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</si>
  <si>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</si>
  <si>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</si>
  <si>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</si>
  <si>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</si>
  <si>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</si>
  <si>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</si>
  <si>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</si>
  <si>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</si>
  <si>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</si>
  <si>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</si>
  <si>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</si>
  <si>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</si>
  <si>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</si>
  <si>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</si>
  <si>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</si>
  <si>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</si>
  <si>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</si>
  <si>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</si>
  <si>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</si>
  <si>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</si>
  <si>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</si>
  <si>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</si>
  <si>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</si>
  <si>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</si>
  <si>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</si>
  <si>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</si>
  <si>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</si>
  <si>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</si>
  <si>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</si>
  <si>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</si>
  <si>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</si>
  <si>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</si>
  <si>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</si>
  <si>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</si>
  <si>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</si>
  <si>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</si>
  <si>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</si>
  <si>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</si>
  <si>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</si>
  <si>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</si>
  <si>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</si>
  <si>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</si>
  <si>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</si>
  <si>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</si>
  <si>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</si>
  <si>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</si>
  <si>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</si>
  <si>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</si>
  <si>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</si>
  <si>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</si>
  <si>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</si>
  <si>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</si>
  <si>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</si>
  <si>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</si>
  <si>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</si>
  <si>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</si>
  <si>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</si>
  <si>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</si>
  <si>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</si>
  <si>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</si>
  <si>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</si>
  <si>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</si>
  <si>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</si>
  <si>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</si>
  <si>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</si>
  <si>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</si>
  <si>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</si>
  <si>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</si>
  <si>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</si>
  <si>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</si>
  <si>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</si>
  <si>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</si>
  <si>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</si>
  <si>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</si>
  <si>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</si>
  <si>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</si>
  <si>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</si>
  <si>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</si>
  <si>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</si>
  <si>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</si>
  <si>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</si>
  <si>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</si>
  <si>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</si>
  <si>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</si>
  <si>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</si>
  <si>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</si>
  <si>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</si>
  <si>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</si>
  <si>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</si>
  <si>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</si>
  <si>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</si>
  <si>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</si>
  <si>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</si>
  <si>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</si>
  <si>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</si>
  <si>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</si>
  <si>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</si>
  <si>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</si>
  <si>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</si>
  <si>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</si>
  <si>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</si>
  <si>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</si>
  <si>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</si>
  <si>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</si>
  <si>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</si>
  <si>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</si>
  <si>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</si>
  <si>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</si>
  <si>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</si>
  <si>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</si>
  <si>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</si>
  <si>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</si>
  <si>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</si>
  <si>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</si>
  <si>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</si>
  <si>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</si>
  <si>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</si>
  <si>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</si>
  <si>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</si>
  <si>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</si>
  <si>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</si>
  <si>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</si>
  <si>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</si>
  <si>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</si>
  <si>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</si>
  <si>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</si>
  <si>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</si>
  <si>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</si>
  <si>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</si>
  <si>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</si>
  <si>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</si>
  <si>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</si>
  <si>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</si>
  <si>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</si>
  <si>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</si>
  <si>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</si>
  <si>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</si>
  <si>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</si>
  <si>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</si>
  <si>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</si>
  <si>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</si>
  <si>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</si>
  <si>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</si>
  <si>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</si>
  <si>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</si>
  <si>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</si>
  <si>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</si>
  <si>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</si>
  <si>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</si>
  <si>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</si>
  <si>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</si>
  <si>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</si>
  <si>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</si>
  <si>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</si>
  <si>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</si>
  <si>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</si>
  <si>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</si>
  <si>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</si>
  <si>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</si>
  <si>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</si>
  <si>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</si>
  <si>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</si>
  <si>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</si>
  <si>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</si>
  <si>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</si>
  <si>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</si>
  <si>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</si>
  <si>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</si>
  <si>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</si>
  <si>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</si>
  <si>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</si>
  <si>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</si>
  <si>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</si>
  <si>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</si>
  <si>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</si>
  <si>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</si>
  <si>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</si>
  <si>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</si>
  <si>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</si>
  <si>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</si>
  <si>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</si>
  <si>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</si>
  <si>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</si>
  <si>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</si>
  <si>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</si>
  <si>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</si>
  <si>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</si>
  <si>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</si>
  <si>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</si>
  <si>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</si>
  <si>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</si>
  <si>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</si>
  <si>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</si>
  <si>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</si>
  <si>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</si>
  <si>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</si>
  <si>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</si>
  <si>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</si>
  <si>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</si>
  <si>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</si>
  <si>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</si>
  <si>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</si>
  <si>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</si>
  <si>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</si>
  <si>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</si>
  <si>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</si>
  <si>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</si>
  <si>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</si>
  <si>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</si>
  <si>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</si>
  <si>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</si>
  <si>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</si>
  <si>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</si>
  <si>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</si>
  <si>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</si>
  <si>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</si>
  <si>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</si>
  <si>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</si>
  <si>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</si>
  <si>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</si>
  <si>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</si>
  <si>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</si>
  <si>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</si>
  <si>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</si>
  <si>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</si>
  <si>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</si>
  <si>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</si>
  <si>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</si>
  <si>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</si>
  <si>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</si>
  <si>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</si>
  <si>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</si>
  <si>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</si>
  <si>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</si>
  <si>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</si>
  <si>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</si>
  <si>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</si>
  <si>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</si>
  <si>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</si>
  <si>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</si>
  <si>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</si>
  <si>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</si>
  <si>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</si>
  <si>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</si>
  <si>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</si>
  <si>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</si>
  <si>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</si>
  <si>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</si>
  <si>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</si>
  <si>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</si>
  <si>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</si>
  <si>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</si>
  <si>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</si>
  <si>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</si>
  <si>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</si>
  <si>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</si>
  <si>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</si>
  <si>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</si>
  <si>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</si>
  <si>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</si>
  <si>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</si>
  <si>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</si>
  <si>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</si>
  <si>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</si>
  <si>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</si>
  <si>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</si>
  <si>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</si>
  <si>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</si>
  <si>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</si>
  <si>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</si>
  <si>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</si>
  <si>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</si>
  <si>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</si>
  <si>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</si>
  <si>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</si>
  <si>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</si>
  <si>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</si>
  <si>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</si>
  <si>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</si>
  <si>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</si>
  <si>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</si>
  <si>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</si>
  <si>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</si>
  <si>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</si>
  <si>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</si>
  <si>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</si>
  <si>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</si>
  <si>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</si>
  <si>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</si>
  <si>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</si>
  <si>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</si>
  <si>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</si>
  <si>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</si>
  <si>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</si>
  <si>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</si>
  <si>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</si>
  <si>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</si>
  <si>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</si>
  <si>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</si>
  <si>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</si>
  <si>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</si>
  <si>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</si>
  <si>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</si>
  <si>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</si>
  <si>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</si>
  <si>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</si>
  <si>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</si>
  <si>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</si>
  <si>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</si>
  <si>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</si>
  <si>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</si>
  <si>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</si>
  <si>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</si>
  <si>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</si>
  <si>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</si>
  <si>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</si>
  <si>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</si>
  <si>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</si>
  <si>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</si>
  <si>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</si>
  <si>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</si>
  <si>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</si>
  <si>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</si>
  <si>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</si>
  <si>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</si>
  <si>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</si>
  <si>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</si>
  <si>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</si>
  <si>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</si>
  <si>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</si>
  <si>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</si>
  <si>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</si>
  <si>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</si>
  <si>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</si>
  <si>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</si>
  <si>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</si>
  <si>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</si>
  <si>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</si>
  <si>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</si>
  <si>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</si>
  <si>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</si>
  <si>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</si>
  <si>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</si>
  <si>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</si>
  <si>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</si>
  <si>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</si>
  <si>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</si>
  <si>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</si>
  <si>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</si>
  <si>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</si>
  <si>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</si>
  <si>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</si>
  <si>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</si>
  <si>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</si>
  <si>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</si>
  <si>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</si>
  <si>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</si>
  <si>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</si>
  <si>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</si>
  <si>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</si>
  <si>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</si>
  <si>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</si>
  <si>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</si>
  <si>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</si>
  <si>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</si>
  <si>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</si>
  <si>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</si>
  <si>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</si>
  <si>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</si>
  <si>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</si>
  <si>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</si>
  <si>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</si>
  <si>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</si>
  <si>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</si>
  <si>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</si>
  <si>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</si>
  <si>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</si>
  <si>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</si>
  <si>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</si>
  <si>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</si>
  <si>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</si>
  <si>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</si>
  <si>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</si>
  <si>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</si>
  <si>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</si>
  <si>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</si>
  <si>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</si>
  <si>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</si>
  <si>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</si>
  <si>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</si>
  <si>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</si>
  <si>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</si>
  <si>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</si>
  <si>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</si>
  <si>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</si>
  <si>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</si>
  <si>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</si>
  <si>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</si>
  <si>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</si>
  <si>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</si>
  <si>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</si>
  <si>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</si>
  <si>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</si>
  <si>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</si>
  <si>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</si>
  <si>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</si>
  <si>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</si>
  <si>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</si>
  <si>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</si>
  <si>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</si>
  <si>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</si>
  <si>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</si>
  <si>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</si>
  <si>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</si>
  <si>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</si>
  <si>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</si>
  <si>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</si>
  <si>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</si>
  <si>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</si>
  <si>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</si>
  <si>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</si>
  <si>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</si>
  <si>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</si>
  <si>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</si>
  <si>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</si>
  <si>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</si>
  <si>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</si>
  <si>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</si>
  <si>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</si>
  <si>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</si>
  <si>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</si>
  <si>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</si>
  <si>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</si>
  <si>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</si>
  <si>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</si>
  <si>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</si>
  <si>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</si>
  <si>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</si>
  <si>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</si>
  <si>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</si>
  <si>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</si>
  <si>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</si>
  <si>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</si>
  <si>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</si>
  <si>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</si>
  <si>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</si>
  <si>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</si>
  <si>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</si>
  <si>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</si>
  <si>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</si>
  <si>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</si>
  <si>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</si>
  <si>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</si>
  <si>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</si>
  <si>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</si>
  <si>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</si>
  <si>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</si>
  <si>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</si>
  <si>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</si>
  <si>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</si>
  <si>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</si>
  <si>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</si>
  <si>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</si>
  <si>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</si>
  <si>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</si>
  <si>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</si>
  <si>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</si>
  <si>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</si>
  <si>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</si>
  <si>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</si>
  <si>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</si>
  <si>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</si>
  <si>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</si>
  <si>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</si>
  <si>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</si>
  <si>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</si>
  <si>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</si>
  <si>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</si>
  <si>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</si>
  <si>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</si>
  <si>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</si>
  <si>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</si>
  <si>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</si>
  <si>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</si>
  <si>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</si>
  <si>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</si>
  <si>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</si>
  <si>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</si>
  <si>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</si>
  <si>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</si>
  <si>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</si>
  <si>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</si>
  <si>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</si>
  <si>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</si>
  <si>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</si>
  <si>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</si>
  <si>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</si>
  <si>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</si>
  <si>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</si>
  <si>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</si>
  <si>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</si>
  <si>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</si>
  <si>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</si>
  <si>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</si>
  <si>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</si>
  <si>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</si>
  <si>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</si>
  <si>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</si>
  <si>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</si>
  <si>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</si>
  <si>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</si>
  <si>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</si>
  <si>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</si>
  <si>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</si>
  <si>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</si>
  <si>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</si>
  <si>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</si>
  <si>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</si>
  <si>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</si>
  <si>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</si>
  <si>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</si>
  <si>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</si>
  <si>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</si>
  <si>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</si>
  <si>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</si>
  <si>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</si>
  <si>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</si>
  <si>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</si>
  <si>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</si>
  <si>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</si>
  <si>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</si>
  <si>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</si>
  <si>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</si>
  <si>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</si>
  <si>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</si>
  <si>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</si>
  <si>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</si>
  <si>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</si>
  <si>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</si>
  <si>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</si>
  <si>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</si>
  <si>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</si>
  <si>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</si>
  <si>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</si>
  <si>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</si>
  <si>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</si>
  <si>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</si>
  <si>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</si>
  <si>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</si>
  <si>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</si>
  <si>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</si>
  <si>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</si>
  <si>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</si>
  <si>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</si>
  <si>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</si>
  <si>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</si>
  <si>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</si>
  <si>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</si>
  <si>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</si>
  <si>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</si>
  <si>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</si>
  <si>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</si>
  <si>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</si>
  <si>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</si>
  <si>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</si>
  <si>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</si>
  <si>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</si>
  <si>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</si>
  <si>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</si>
  <si>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</si>
  <si>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</si>
  <si>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</si>
  <si>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</si>
  <si>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</si>
  <si>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</si>
  <si>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</si>
  <si>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</si>
  <si>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</si>
  <si>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</si>
  <si>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</si>
  <si>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</si>
  <si>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</si>
  <si>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</si>
  <si>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</si>
  <si>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</si>
  <si>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</si>
  <si>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</si>
  <si>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</si>
  <si>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</si>
  <si>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</si>
  <si>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</si>
  <si>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</si>
  <si>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</si>
  <si>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</si>
  <si>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</si>
  <si>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</si>
  <si>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</si>
  <si>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</si>
  <si>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</si>
  <si>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</si>
  <si>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</si>
  <si>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</si>
  <si>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</si>
  <si>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</si>
  <si>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</si>
  <si>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</si>
  <si>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</si>
  <si>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</si>
  <si>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</si>
  <si>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</si>
  <si>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</si>
  <si>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</si>
  <si>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</si>
  <si>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</si>
  <si>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</si>
  <si>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</si>
  <si>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</si>
  <si>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</si>
  <si>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</si>
  <si>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</si>
  <si>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</si>
  <si>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</si>
  <si>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</si>
  <si>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</si>
  <si>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</si>
  <si>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</si>
  <si>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</si>
  <si>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</si>
  <si>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</si>
  <si>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</si>
  <si>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</si>
  <si>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</si>
  <si>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</si>
  <si>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</si>
  <si>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</si>
  <si>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</si>
  <si>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</si>
  <si>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</si>
  <si>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</si>
  <si>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</si>
  <si>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</si>
  <si>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</si>
  <si>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</si>
  <si>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</si>
  <si>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</si>
  <si>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</si>
  <si>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</si>
  <si>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</si>
  <si>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</si>
  <si>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</si>
  <si>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</si>
  <si>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</si>
  <si>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</si>
  <si>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</si>
  <si>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</si>
  <si>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</si>
  <si>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</si>
  <si>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</si>
  <si>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</si>
  <si>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</si>
  <si>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</si>
  <si>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</si>
  <si>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</si>
  <si>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</si>
  <si>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</si>
  <si>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</si>
  <si>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</si>
  <si>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</si>
  <si>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</si>
  <si>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</si>
  <si>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</si>
  <si>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</si>
  <si>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</si>
  <si>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</si>
  <si>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</si>
  <si>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</si>
  <si>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</si>
  <si>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</si>
  <si>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</si>
  <si>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</si>
  <si>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</si>
  <si>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</si>
  <si>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</si>
  <si>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</si>
  <si>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</si>
  <si>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</si>
  <si>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</si>
  <si>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</si>
  <si>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</si>
  <si>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</si>
  <si>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</si>
  <si>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</si>
  <si>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</si>
  <si>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</si>
  <si>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</si>
  <si>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</si>
  <si>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</si>
  <si>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</si>
  <si>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</si>
  <si>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</si>
  <si>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</si>
  <si>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</si>
  <si>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</si>
  <si>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</si>
  <si>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</si>
  <si>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</si>
  <si>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</si>
  <si>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</si>
  <si>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</si>
  <si>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</si>
  <si>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</si>
  <si>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</si>
  <si>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</si>
  <si>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</si>
  <si>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</si>
  <si>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</si>
  <si>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</si>
  <si>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</si>
  <si>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</si>
  <si>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</si>
  <si>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</si>
  <si>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</si>
  <si>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</si>
  <si>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</si>
  <si>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</si>
  <si>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</si>
  <si>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</si>
  <si>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</si>
  <si>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</si>
  <si>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</si>
  <si>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</si>
  <si>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</si>
  <si>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</si>
  <si>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</si>
  <si>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</si>
  <si>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</si>
  <si>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</si>
  <si>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</si>
  <si>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</si>
  <si>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</si>
  <si>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</si>
  <si>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</si>
  <si>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</si>
  <si>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</si>
  <si>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</si>
  <si>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</si>
  <si>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</si>
  <si>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</si>
  <si>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</si>
  <si>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</si>
  <si>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</si>
  <si>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</si>
  <si>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</si>
  <si>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</si>
  <si>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</si>
  <si>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</si>
  <si>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</si>
  <si>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</si>
  <si>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</si>
  <si>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</si>
  <si>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</si>
  <si>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</si>
  <si>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</si>
  <si>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</si>
  <si>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</si>
  <si>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</si>
  <si>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</si>
  <si>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</si>
  <si>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</si>
  <si>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</si>
  <si>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</si>
  <si>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</si>
  <si>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</si>
  <si>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</si>
  <si>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</si>
  <si>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</si>
  <si>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</si>
  <si>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</si>
  <si>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</si>
  <si>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</si>
  <si>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</si>
  <si>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</si>
  <si>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</si>
  <si>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</si>
  <si>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</si>
  <si>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</si>
  <si>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</si>
  <si>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</si>
  <si>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</si>
  <si>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</si>
  <si>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</si>
  <si>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</si>
  <si>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</si>
  <si>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</si>
  <si>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</si>
  <si>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</si>
  <si>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</si>
  <si>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</si>
  <si>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</si>
  <si>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</si>
  <si>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</si>
  <si>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</si>
  <si>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</si>
  <si>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</si>
  <si>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</si>
  <si>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</si>
  <si>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</si>
  <si>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</si>
  <si>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</si>
  <si>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</si>
  <si>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</si>
  <si>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</si>
  <si>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</si>
  <si>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</si>
  <si>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</si>
  <si>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</si>
  <si>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</si>
  <si>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</si>
  <si>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</si>
  <si>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</si>
  <si>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</si>
  <si>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</si>
  <si>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</si>
  <si>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</si>
  <si>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</si>
  <si>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</si>
  <si>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</si>
  <si>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</si>
  <si>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</si>
  <si>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</si>
  <si>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</si>
  <si>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</si>
  <si>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</si>
  <si>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</si>
  <si>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</si>
  <si>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</si>
  <si>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</si>
  <si>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</si>
  <si>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</si>
  <si>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</si>
  <si>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</si>
  <si>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</si>
  <si>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</si>
  <si>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</si>
  <si>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</si>
  <si>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</si>
  <si>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</si>
  <si>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</si>
  <si>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</si>
  <si>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</si>
  <si>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</si>
  <si>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</si>
  <si>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</si>
  <si>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</si>
  <si>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</si>
  <si>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</si>
  <si>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</si>
  <si>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</si>
  <si>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</si>
  <si>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</si>
  <si>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</si>
  <si>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</si>
  <si>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</si>
  <si>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</si>
  <si>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</si>
  <si>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</si>
  <si>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</si>
  <si>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</si>
  <si>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</si>
  <si>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</si>
  <si>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</si>
  <si>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</si>
  <si>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</si>
  <si>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</si>
  <si>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</si>
  <si>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</si>
  <si>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</si>
  <si>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</si>
  <si>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</si>
  <si>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</si>
  <si>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</si>
  <si>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</si>
  <si>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</si>
  <si>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</si>
  <si>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</si>
  <si>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</si>
  <si>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</si>
  <si>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</si>
  <si>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</si>
  <si>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</si>
  <si>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</si>
  <si>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</si>
  <si>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</si>
  <si>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</si>
  <si>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</si>
  <si>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</si>
  <si>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</si>
  <si>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</si>
  <si>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</si>
  <si>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</si>
  <si>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</si>
  <si>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</si>
  <si>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</si>
  <si>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</si>
  <si>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</si>
  <si>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</si>
  <si>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</si>
  <si>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</si>
  <si>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</si>
  <si>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</si>
  <si>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</si>
  <si>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</si>
  <si>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</si>
  <si>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</si>
  <si>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</si>
  <si>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</si>
  <si>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</si>
  <si>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</si>
  <si>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</si>
  <si>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</si>
  <si>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</si>
  <si>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</si>
  <si>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</si>
  <si>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</si>
  <si>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</si>
  <si>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</si>
  <si>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</si>
  <si>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</si>
  <si>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</si>
  <si>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</si>
  <si>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</si>
  <si>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</si>
  <si>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</si>
  <si>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</si>
  <si>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</si>
  <si>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</si>
  <si>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</si>
  <si>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</si>
  <si>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</si>
  <si>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</si>
  <si>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</si>
  <si>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</si>
  <si>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</si>
  <si>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</si>
  <si>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</si>
  <si>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</si>
  <si>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</si>
  <si>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</si>
  <si>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</si>
  <si>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</si>
  <si>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</si>
  <si>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</si>
  <si>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</si>
  <si>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</si>
  <si>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</si>
  <si>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</si>
  <si>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</si>
  <si>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</si>
  <si>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</si>
  <si>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</si>
  <si>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</si>
  <si>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</si>
  <si>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</si>
  <si>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</si>
  <si>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</si>
  <si>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</si>
  <si>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</si>
  <si>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</si>
  <si>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</si>
  <si>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</si>
  <si>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</si>
  <si>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</si>
  <si>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</si>
  <si>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</si>
  <si>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</si>
  <si>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</si>
  <si>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</si>
  <si>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</si>
  <si>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</si>
  <si>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</si>
  <si>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</si>
  <si>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</si>
  <si>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</si>
  <si>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</si>
  <si>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</si>
  <si>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</si>
  <si>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</si>
  <si>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</si>
  <si>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</si>
  <si>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</si>
  <si>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</si>
  <si>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</si>
  <si>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</si>
  <si>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</si>
  <si>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</si>
  <si>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</si>
  <si>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</si>
  <si>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</si>
  <si>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</si>
  <si>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</si>
  <si>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</si>
  <si>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</si>
  <si>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</si>
  <si>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</si>
  <si>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</si>
  <si>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</si>
  <si>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</si>
  <si>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</si>
  <si>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</si>
  <si>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</si>
  <si>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</si>
  <si>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</si>
  <si>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</si>
  <si>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</si>
  <si>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</si>
  <si>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</si>
  <si>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</si>
  <si>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</si>
  <si>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</si>
  <si>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</si>
  <si>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</si>
  <si>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</si>
  <si>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</si>
  <si>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</si>
  <si>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</si>
  <si>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</si>
  <si>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</si>
  <si>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</si>
  <si>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</si>
  <si>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</si>
  <si>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</si>
  <si>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</si>
  <si>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</si>
  <si>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</si>
  <si>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</si>
  <si>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</si>
  <si>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</si>
  <si>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</si>
  <si>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</si>
  <si>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</si>
  <si>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</si>
  <si>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</si>
  <si>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</si>
  <si>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</si>
  <si>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</si>
  <si>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</si>
  <si>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</si>
  <si>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</si>
  <si>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</si>
  <si>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</si>
  <si>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</si>
  <si>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</si>
  <si>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</si>
  <si>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</si>
  <si>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</si>
  <si>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</si>
  <si>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</si>
  <si>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</si>
  <si>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</si>
  <si>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</si>
  <si>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</si>
  <si>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</si>
  <si>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</si>
  <si>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</si>
  <si>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</si>
  <si>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</si>
  <si>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</si>
  <si>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</si>
  <si>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</si>
  <si>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</si>
  <si>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</si>
  <si>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</si>
  <si>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</si>
  <si>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</si>
  <si>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</si>
  <si>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</si>
  <si>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</si>
  <si>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</si>
  <si>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</si>
  <si>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</si>
  <si>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</si>
  <si>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</si>
  <si>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</si>
  <si>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</si>
  <si>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</si>
  <si>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</si>
  <si>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</si>
  <si>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</si>
  <si>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</si>
  <si>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</si>
  <si>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</si>
  <si>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</si>
  <si>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</si>
  <si>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</si>
  <si>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</si>
  <si>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</si>
  <si>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</si>
  <si>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</si>
  <si>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</si>
  <si>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</si>
  <si>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</si>
  <si>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</si>
  <si>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</si>
  <si>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</si>
  <si>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</si>
  <si>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</si>
  <si>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</si>
  <si>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</si>
  <si>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</si>
  <si>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</si>
  <si>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</si>
  <si>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</si>
  <si>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</si>
  <si>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</si>
  <si>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</si>
  <si>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</si>
  <si>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</si>
  <si>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</si>
  <si>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</si>
  <si>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</si>
  <si>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</si>
  <si>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</si>
  <si>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</si>
  <si>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</si>
  <si>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</si>
  <si>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</si>
  <si>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</si>
  <si>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</si>
  <si>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</si>
  <si>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</si>
  <si>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</si>
  <si>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</si>
  <si>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</si>
  <si>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</si>
  <si>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</si>
  <si>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</si>
  <si>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</si>
  <si>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</si>
  <si>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</si>
  <si>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</si>
  <si>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</si>
  <si>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</si>
  <si>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</si>
  <si>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</si>
  <si>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</si>
  <si>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</si>
  <si>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</si>
  <si>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</si>
  <si>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</si>
  <si>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</si>
  <si>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</si>
  <si>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</si>
  <si>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</si>
  <si>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</si>
  <si>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</si>
  <si>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</si>
  <si>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</si>
  <si>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</si>
  <si>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</si>
  <si>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</si>
  <si>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</si>
  <si>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</si>
  <si>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</si>
  <si>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</si>
  <si>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</si>
  <si>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</si>
  <si>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</si>
  <si>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</si>
  <si>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</si>
  <si>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</si>
  <si>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</si>
  <si>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</si>
  <si>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</si>
  <si>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</si>
  <si>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</si>
  <si>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</si>
  <si>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</si>
  <si>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</si>
  <si>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</si>
  <si>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</si>
  <si>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</si>
  <si>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</si>
  <si>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</si>
  <si>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</si>
  <si>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</si>
  <si>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</si>
  <si>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</si>
  <si>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</si>
  <si>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</si>
  <si>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</si>
  <si>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</si>
  <si>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</si>
  <si>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</si>
  <si>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</si>
  <si>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</si>
  <si>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</si>
  <si>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</si>
  <si>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</si>
  <si>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</si>
  <si>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</si>
  <si>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</si>
  <si>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</si>
  <si>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</si>
  <si>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</si>
  <si>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</si>
  <si>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</si>
  <si>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</si>
  <si>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</si>
  <si>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</si>
  <si>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</si>
  <si>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</si>
  <si>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</si>
  <si>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</si>
  <si>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</si>
  <si>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</si>
  <si>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</si>
  <si>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</si>
  <si>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</si>
  <si>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</si>
  <si>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</si>
  <si>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</si>
  <si>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</si>
  <si>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</si>
  <si>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</si>
  <si>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</si>
  <si>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</si>
  <si>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</si>
  <si>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</si>
  <si>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</si>
  <si>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</si>
  <si>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</si>
  <si>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</si>
  <si>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</si>
  <si>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</si>
  <si>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</si>
  <si>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</si>
  <si>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</si>
  <si>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</si>
  <si>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</si>
  <si>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</si>
  <si>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</si>
  <si>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</si>
  <si>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</si>
  <si>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</si>
  <si>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</si>
  <si>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</si>
  <si>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</si>
  <si>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</si>
  <si>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</si>
  <si>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</si>
  <si>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</si>
  <si>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</si>
  <si>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</si>
  <si>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</si>
  <si>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</si>
  <si>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</si>
  <si>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</si>
  <si>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</si>
  <si>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</si>
  <si>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</si>
  <si>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</si>
  <si>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</si>
  <si>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</si>
  <si>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</si>
  <si>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</si>
  <si>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</si>
  <si>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</si>
  <si>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</si>
  <si>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</si>
  <si>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</si>
  <si>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</si>
  <si>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</si>
  <si>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</si>
  <si>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</si>
  <si>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</si>
  <si>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</si>
  <si>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</si>
  <si>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</si>
  <si>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</si>
  <si>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</si>
  <si>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</si>
  <si>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</si>
  <si>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</si>
  <si>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</si>
  <si>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</si>
  <si>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</si>
  <si>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</si>
  <si>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</si>
  <si>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</si>
  <si>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</si>
  <si>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</si>
  <si>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</si>
  <si>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</si>
  <si>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</si>
  <si>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</si>
  <si>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</si>
  <si>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</si>
  <si>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</si>
  <si>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</si>
  <si>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</si>
  <si>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</si>
  <si>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</si>
  <si>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</si>
  <si>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</si>
  <si>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</si>
  <si>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</si>
  <si>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</si>
  <si>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</si>
  <si>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</si>
  <si>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</si>
  <si>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</si>
  <si>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</si>
  <si>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</si>
  <si>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</si>
  <si>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</si>
  <si>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</si>
  <si>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</si>
  <si>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</si>
  <si>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</si>
  <si>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</si>
  <si>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</si>
  <si>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</si>
  <si>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</si>
  <si>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</si>
  <si>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</si>
  <si>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</si>
  <si>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</si>
  <si>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</si>
  <si>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</si>
  <si>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</si>
  <si>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</si>
  <si>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</si>
  <si>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</si>
  <si>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</si>
  <si>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</si>
  <si>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</si>
  <si>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</si>
  <si>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</si>
  <si>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</si>
  <si>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</si>
  <si>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</si>
  <si>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</si>
  <si>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</si>
  <si>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</si>
  <si>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</si>
  <si>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</si>
  <si>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</si>
  <si>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</si>
  <si>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</si>
  <si>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</si>
  <si>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</si>
  <si>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</si>
  <si>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</si>
  <si>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</si>
  <si>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</si>
  <si>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</si>
  <si>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</si>
  <si>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</si>
  <si>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</si>
  <si>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</si>
  <si>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</si>
  <si>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</si>
  <si>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</si>
  <si>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</si>
  <si>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</si>
  <si>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</si>
  <si>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</si>
  <si>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</si>
  <si>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</si>
  <si>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</si>
  <si>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</si>
  <si>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</si>
  <si>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</si>
  <si>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</si>
  <si>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</si>
  <si>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</si>
  <si>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</si>
  <si>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</si>
  <si>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</si>
  <si>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</si>
  <si>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</si>
  <si>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</si>
  <si>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</si>
  <si>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</si>
  <si>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</si>
  <si>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</si>
  <si>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</si>
  <si>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</si>
  <si>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</si>
  <si>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</si>
  <si>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</si>
  <si>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</si>
  <si>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</si>
  <si>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</si>
  <si>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</si>
  <si>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</si>
  <si>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</si>
  <si>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</si>
  <si>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</si>
  <si>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</si>
  <si>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</si>
  <si>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</si>
  <si>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</si>
  <si>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</si>
  <si>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</si>
  <si>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</si>
  <si>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</si>
  <si>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</si>
  <si>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</si>
  <si>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</si>
  <si>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</si>
  <si>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</si>
  <si>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</si>
  <si>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</si>
  <si>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</si>
  <si>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</si>
  <si>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</si>
  <si>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</si>
  <si>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</si>
  <si>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</si>
  <si>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</si>
  <si>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</si>
  <si>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</si>
  <si>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</si>
  <si>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</si>
  <si>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</si>
  <si>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</si>
  <si>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</si>
  <si>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</si>
  <si>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</si>
  <si>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</si>
  <si>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</si>
  <si>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</si>
  <si>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</si>
  <si>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</si>
  <si>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</si>
  <si>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</si>
  <si>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</si>
  <si>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</si>
  <si>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</si>
  <si>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</si>
  <si>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</si>
  <si>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</si>
  <si>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</si>
  <si>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</si>
  <si>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</si>
  <si>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</si>
  <si>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</si>
  <si>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</si>
  <si>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</si>
  <si>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</si>
  <si>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</si>
  <si>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</si>
  <si>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</si>
  <si>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</si>
  <si>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</si>
  <si>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</si>
  <si>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</si>
  <si>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</si>
  <si>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</si>
  <si>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</si>
  <si>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</si>
  <si>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</si>
  <si>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</si>
  <si>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</si>
  <si>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</si>
  <si>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</si>
  <si>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</si>
  <si>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</si>
  <si>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</si>
  <si>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</si>
  <si>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</si>
  <si>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</si>
  <si>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</si>
  <si>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</si>
  <si>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</si>
  <si>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</si>
  <si>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</si>
  <si>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</si>
  <si>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</si>
  <si>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</si>
  <si>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</si>
  <si>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</si>
  <si>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</si>
  <si>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</si>
  <si>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</si>
  <si>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</si>
  <si>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</si>
  <si>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</si>
  <si>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</si>
  <si>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</si>
  <si>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</si>
  <si>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</si>
  <si>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</si>
  <si>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</si>
  <si>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</si>
  <si>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</si>
  <si>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</si>
  <si>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</si>
  <si>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</si>
  <si>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</si>
  <si>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</si>
  <si>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</si>
  <si>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</si>
  <si>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</si>
  <si>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</si>
  <si>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</si>
  <si>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</si>
  <si>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</si>
  <si>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</si>
  <si>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</si>
  <si>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</si>
  <si>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</si>
  <si>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</si>
  <si>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</si>
  <si>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</si>
  <si>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</si>
  <si>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</si>
  <si>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</si>
  <si>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</si>
  <si>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</si>
  <si>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</si>
  <si>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</si>
  <si>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</si>
  <si>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</si>
  <si>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</si>
  <si>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</si>
  <si>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</si>
  <si>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</si>
  <si>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</si>
  <si>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</si>
  <si>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</si>
  <si>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</si>
  <si>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</si>
  <si>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</si>
  <si>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</si>
  <si>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</si>
  <si>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</si>
  <si>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</si>
  <si>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</si>
  <si>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</si>
  <si>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</si>
  <si>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</si>
  <si>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</si>
  <si>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</si>
  <si>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</si>
  <si>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</si>
  <si>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</si>
  <si>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</si>
  <si>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</si>
  <si>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</si>
  <si>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</si>
  <si>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</si>
  <si>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</si>
  <si>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</si>
  <si>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</si>
  <si>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</si>
  <si>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</si>
  <si>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</si>
  <si>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</si>
  <si>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</si>
  <si>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</si>
  <si>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</si>
  <si>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</si>
  <si>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</si>
  <si>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</si>
  <si>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</si>
  <si>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</si>
  <si>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</si>
  <si>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</si>
  <si>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</si>
  <si>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</si>
  <si>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</si>
  <si>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</si>
  <si>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</si>
  <si>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</si>
  <si>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</si>
  <si>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</si>
  <si>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</si>
  <si>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</si>
  <si>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</si>
  <si>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</si>
  <si>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</si>
  <si>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</si>
  <si>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</si>
  <si>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</si>
  <si>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</si>
  <si>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</si>
  <si>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</si>
  <si>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</si>
  <si>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</si>
  <si>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</si>
  <si>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</si>
  <si>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</si>
  <si>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</si>
  <si>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</si>
  <si>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</si>
  <si>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</si>
  <si>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</si>
  <si>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</si>
  <si>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</si>
  <si>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</si>
  <si>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</si>
  <si>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</si>
  <si>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</si>
  <si>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</si>
  <si>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</si>
  <si>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</si>
  <si>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</si>
  <si>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</si>
  <si>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</si>
  <si>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</si>
  <si>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</si>
  <si>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</si>
  <si>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</si>
  <si>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</si>
  <si>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</si>
  <si>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</si>
  <si>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</si>
  <si>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</si>
  <si>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</si>
  <si>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</si>
  <si>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</si>
  <si>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</si>
  <si>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</si>
  <si>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</si>
  <si>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</si>
  <si>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</si>
  <si>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</si>
  <si>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</si>
  <si>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</si>
  <si>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</si>
  <si>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</si>
  <si>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</si>
  <si>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</si>
  <si>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</si>
  <si>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</si>
  <si>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</si>
  <si>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</si>
  <si>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</si>
  <si>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</si>
  <si>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</si>
  <si>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</si>
  <si>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</si>
  <si>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</si>
  <si>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</si>
  <si>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</si>
  <si>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</si>
  <si>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</si>
  <si>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</si>
  <si>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</si>
  <si>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</si>
  <si>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</si>
  <si>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</si>
  <si>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</si>
  <si>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</si>
  <si>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</si>
  <si>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</si>
  <si>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</si>
  <si>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</si>
  <si>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</si>
  <si>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</si>
  <si>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</si>
  <si>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</si>
  <si>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</si>
  <si>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</si>
  <si>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</si>
  <si>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</si>
  <si>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</si>
  <si>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</si>
  <si>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</si>
  <si>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</si>
  <si>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</si>
  <si>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</si>
  <si>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</si>
  <si>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</si>
  <si>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</si>
  <si>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</si>
  <si>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</si>
  <si>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</si>
  <si>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</si>
  <si>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</si>
  <si>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</si>
  <si>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</si>
  <si>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</si>
  <si>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</si>
  <si>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</si>
  <si>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</si>
  <si>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</si>
  <si>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</si>
  <si>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</si>
  <si>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</si>
  <si>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</si>
  <si>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</si>
  <si>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</si>
  <si>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</si>
  <si>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</si>
  <si>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</si>
  <si>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</si>
  <si>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</si>
  <si>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</si>
  <si>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</si>
  <si>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</si>
  <si>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</si>
  <si>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</si>
  <si>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</si>
  <si>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</si>
  <si>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</si>
  <si>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</si>
  <si>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</si>
  <si>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</si>
  <si>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</si>
  <si>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</si>
  <si>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</si>
  <si>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</si>
  <si>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</si>
  <si>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</si>
  <si>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</si>
  <si>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</si>
  <si>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</si>
  <si>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</si>
  <si>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</si>
  <si>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</si>
  <si>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</si>
  <si>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</si>
  <si>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</si>
  <si>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</si>
  <si>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</si>
  <si>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</si>
  <si>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</si>
  <si>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</si>
  <si>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</si>
  <si>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</si>
  <si>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</si>
  <si>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</si>
  <si>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</si>
  <si>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</si>
  <si>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</si>
  <si>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</si>
  <si>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</si>
  <si>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</si>
  <si>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</si>
  <si>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</si>
  <si>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</si>
  <si>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</si>
  <si>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</si>
  <si>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</si>
  <si>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</si>
  <si>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</si>
  <si>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</si>
  <si>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</si>
  <si>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</si>
  <si>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</si>
  <si>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</si>
  <si>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</si>
  <si>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</si>
  <si>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</si>
  <si>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</si>
  <si>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</si>
  <si>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</si>
  <si>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</si>
  <si>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</si>
  <si>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</si>
  <si>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</si>
  <si>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</si>
  <si>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</si>
  <si>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</si>
  <si>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</si>
  <si>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</si>
  <si>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</si>
  <si>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</si>
  <si>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</si>
  <si>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</si>
  <si>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</si>
  <si>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</si>
  <si>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</si>
  <si>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</si>
  <si>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</si>
  <si>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</si>
  <si>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</si>
  <si>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</si>
  <si>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</si>
  <si>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</si>
  <si>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</si>
  <si>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</si>
  <si>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</si>
  <si>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</si>
  <si>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</si>
  <si>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</si>
  <si>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</si>
  <si>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</si>
  <si>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</si>
  <si>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</si>
  <si>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</si>
  <si>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</si>
  <si>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</si>
  <si>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</si>
  <si>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</si>
  <si>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</si>
  <si>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</si>
  <si>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</si>
  <si>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</si>
  <si>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</si>
  <si>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</si>
  <si>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</si>
  <si>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</si>
  <si>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</si>
  <si>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</si>
  <si>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</si>
  <si>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</si>
  <si>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</si>
  <si>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</si>
  <si>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</si>
  <si>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</si>
  <si>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</si>
  <si>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</si>
  <si>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</si>
  <si>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</si>
  <si>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</si>
  <si>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</si>
  <si>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</si>
  <si>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</si>
  <si>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</si>
  <si>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</si>
  <si>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</si>
  <si>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</si>
  <si>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</si>
  <si>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</si>
  <si>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</si>
  <si>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</si>
  <si>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</si>
  <si>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</si>
  <si>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</si>
  <si>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</si>
  <si>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</si>
  <si>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</si>
  <si>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</si>
  <si>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</si>
  <si>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</si>
  <si>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</si>
  <si>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</si>
  <si>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</si>
  <si>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</si>
  <si>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</si>
  <si>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</si>
  <si>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</si>
  <si>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</si>
  <si>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</si>
  <si>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</si>
  <si>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</si>
  <si>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</si>
  <si>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</si>
  <si>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</si>
  <si>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</si>
  <si>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</si>
  <si>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</si>
  <si>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</si>
  <si>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</si>
  <si>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</si>
  <si>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</si>
  <si>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</si>
  <si>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</si>
  <si>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</si>
  <si>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</si>
  <si>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</si>
  <si>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</si>
  <si>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</si>
  <si>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</si>
  <si>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</si>
  <si>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</si>
  <si>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</si>
  <si>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</si>
  <si>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</si>
  <si>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</si>
  <si>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</si>
  <si>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</si>
  <si>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</si>
  <si>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</si>
  <si>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</si>
  <si>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</si>
  <si>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</si>
  <si>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</si>
  <si>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</si>
  <si>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</si>
  <si>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</si>
  <si>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</si>
  <si>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</si>
  <si>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</si>
  <si>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</si>
  <si>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</si>
  <si>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</si>
  <si>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</si>
  <si>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</si>
  <si>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</si>
  <si>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</si>
  <si>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</si>
  <si>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</si>
  <si>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</si>
  <si>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</si>
  <si>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</si>
  <si>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</si>
  <si>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</si>
  <si>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</si>
  <si>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</si>
  <si>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</si>
  <si>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</si>
  <si>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</si>
  <si>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</si>
  <si>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</si>
  <si>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</si>
  <si>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</si>
  <si>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</si>
  <si>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</si>
  <si>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</si>
  <si>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</si>
  <si>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</si>
  <si>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</si>
  <si>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</si>
  <si>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</si>
  <si>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</si>
  <si>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</si>
  <si>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</si>
  <si>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</si>
  <si>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</si>
  <si>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</si>
  <si>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</si>
  <si>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</si>
  <si>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</si>
  <si>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</si>
  <si>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</si>
  <si>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</si>
  <si>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</si>
  <si>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</si>
  <si>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</si>
  <si>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</si>
  <si>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</si>
  <si>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</si>
  <si>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</si>
  <si>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</si>
  <si>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</si>
  <si>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</si>
  <si>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</si>
  <si>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</si>
  <si>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</si>
  <si>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</si>
  <si>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</si>
  <si>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</si>
  <si>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</si>
  <si>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</si>
  <si>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</si>
  <si>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</si>
  <si>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</si>
  <si>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</si>
  <si>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</si>
  <si>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</si>
  <si>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</si>
  <si>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</si>
  <si>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</si>
  <si>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</si>
  <si>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</si>
  <si>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</si>
  <si>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</si>
  <si>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</si>
  <si>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</si>
  <si>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</si>
  <si>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</si>
  <si>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</si>
  <si>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</si>
  <si>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</si>
  <si>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</si>
  <si>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</si>
  <si>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</si>
  <si>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</si>
  <si>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</si>
  <si>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</si>
  <si>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</si>
  <si>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</si>
  <si>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</si>
  <si>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</si>
  <si>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</si>
  <si>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</si>
  <si>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</si>
  <si>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</si>
  <si>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</si>
  <si>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</si>
  <si>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</si>
  <si>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</si>
  <si>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</si>
  <si>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</si>
  <si>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</si>
  <si>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</si>
  <si>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</si>
  <si>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</si>
  <si>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</si>
  <si>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</si>
  <si>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</si>
  <si>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</si>
  <si>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</si>
  <si>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</si>
  <si>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</si>
  <si>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</si>
  <si>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</si>
  <si>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</si>
  <si>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</si>
  <si>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</si>
  <si>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</si>
  <si>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</si>
  <si>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</si>
  <si>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</si>
  <si>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</si>
  <si>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</si>
  <si>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</si>
  <si>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</si>
  <si>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</si>
  <si>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</si>
  <si>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</si>
  <si>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</si>
  <si>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</si>
  <si>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</si>
  <si>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</si>
  <si>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</si>
  <si>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</si>
  <si>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</si>
  <si>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</si>
  <si>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</si>
  <si>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</si>
  <si>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</si>
  <si>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</si>
  <si>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</si>
  <si>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</si>
  <si>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</si>
  <si>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</si>
  <si>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</si>
  <si>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</si>
  <si>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</si>
  <si>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</si>
  <si>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</si>
  <si>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</si>
  <si>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</si>
  <si>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</si>
  <si>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</si>
  <si>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</si>
  <si>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</si>
  <si>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</si>
  <si>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</si>
  <si>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</si>
  <si>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</si>
  <si>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</si>
  <si>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</si>
  <si>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</si>
  <si>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</si>
  <si>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</si>
  <si>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</si>
  <si>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</si>
  <si>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</si>
  <si>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</si>
  <si>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</si>
  <si>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</si>
  <si>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</si>
  <si>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</si>
  <si>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</si>
  <si>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</si>
  <si>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</si>
  <si>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</si>
  <si>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</si>
  <si>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</si>
  <si>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</si>
  <si>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</si>
  <si>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</si>
  <si>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</si>
  <si>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</si>
  <si>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</si>
  <si>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</si>
  <si>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</si>
  <si>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</si>
  <si>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</si>
  <si>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</si>
  <si>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</si>
  <si>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</si>
  <si>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</si>
  <si>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</si>
  <si>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</si>
  <si>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</si>
  <si>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</si>
  <si>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</si>
  <si>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</si>
  <si>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</si>
  <si>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</si>
  <si>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</si>
  <si>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</si>
  <si>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</si>
  <si>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</si>
  <si>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</si>
  <si>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</si>
  <si>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</si>
  <si>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</si>
  <si>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</si>
  <si>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</si>
  <si>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</si>
  <si>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</si>
  <si>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</si>
  <si>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</si>
  <si>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</si>
  <si>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</si>
  <si>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</si>
  <si>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</si>
  <si>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</si>
  <si>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</si>
  <si>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</si>
  <si>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</si>
  <si>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</si>
  <si>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</si>
  <si>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</si>
  <si>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</si>
  <si>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</si>
  <si>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</si>
  <si>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</si>
  <si>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</si>
  <si>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</si>
  <si>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</si>
  <si>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</si>
  <si>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</si>
  <si>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</si>
  <si>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</si>
  <si>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</si>
  <si>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</si>
  <si>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</si>
  <si>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</si>
  <si>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</si>
  <si>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</si>
  <si>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</si>
  <si>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</si>
  <si>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</si>
  <si>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</si>
  <si>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</si>
  <si>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</si>
  <si>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</si>
  <si>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</si>
  <si>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</si>
  <si>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</si>
  <si>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</si>
  <si>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</si>
  <si>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</si>
  <si>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</si>
  <si>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</si>
  <si>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</si>
  <si>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</si>
  <si>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</si>
  <si>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</si>
  <si>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</si>
  <si>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</si>
  <si>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</si>
  <si>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</si>
  <si>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</si>
  <si>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</si>
  <si>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</si>
  <si>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</si>
  <si>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</si>
  <si>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</si>
  <si>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</si>
  <si>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</si>
  <si>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</si>
  <si>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</si>
  <si>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</si>
  <si>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</si>
  <si>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</si>
  <si>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</si>
  <si>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</si>
  <si>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</si>
  <si>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</si>
  <si>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</si>
  <si>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</si>
  <si>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</si>
  <si>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</si>
  <si>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</si>
  <si>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</si>
  <si>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</si>
  <si>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</si>
  <si>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</si>
  <si>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</si>
  <si>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</si>
  <si>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</si>
  <si>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</si>
  <si>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</si>
  <si>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</si>
  <si>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</si>
  <si>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</si>
  <si>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</si>
  <si>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</si>
  <si>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</si>
  <si>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</si>
  <si>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</si>
  <si>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</si>
  <si>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</si>
  <si>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</si>
  <si>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</si>
  <si>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</si>
  <si>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</si>
  <si>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</si>
  <si>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</si>
  <si>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</si>
  <si>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</si>
  <si>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</si>
  <si>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</si>
  <si>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</si>
  <si>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</si>
  <si>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</si>
  <si>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</si>
  <si>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</si>
  <si>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</si>
  <si>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</si>
  <si>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</si>
  <si>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</si>
  <si>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</si>
  <si>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</si>
  <si>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</si>
  <si>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</si>
  <si>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</si>
  <si>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</si>
  <si>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</si>
  <si>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</si>
  <si>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</si>
  <si>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</si>
  <si>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</si>
  <si>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</si>
  <si>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</si>
  <si>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</si>
  <si>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</si>
  <si>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</si>
  <si>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</si>
  <si>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</si>
  <si>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</si>
  <si>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</si>
  <si>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</si>
  <si>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</si>
  <si>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</si>
  <si>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</si>
  <si>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</si>
  <si>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</si>
  <si>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</si>
  <si>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</si>
  <si>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</si>
  <si>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</si>
  <si>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</si>
  <si>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</si>
  <si>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</si>
  <si>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</si>
  <si>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</si>
  <si>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</si>
  <si>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</si>
  <si>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</si>
  <si>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</si>
  <si>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</si>
  <si>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</si>
  <si>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</si>
  <si>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</si>
  <si>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</si>
  <si>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</si>
  <si>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</si>
  <si>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</si>
  <si>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</si>
  <si>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</si>
  <si>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</si>
  <si>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</si>
  <si>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</si>
  <si>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</si>
  <si>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</si>
  <si>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</si>
  <si>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</si>
  <si>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</si>
  <si>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</si>
  <si>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</si>
  <si>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</si>
  <si>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</si>
  <si>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</si>
  <si>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</si>
  <si>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</si>
  <si>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</si>
  <si>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</si>
  <si>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</si>
  <si>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</si>
  <si>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</si>
  <si>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</si>
  <si>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</si>
  <si>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</si>
  <si>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</si>
  <si>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</si>
  <si>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</si>
  <si>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</si>
  <si>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</si>
  <si>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</si>
  <si>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</si>
  <si>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</si>
  <si>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</si>
  <si>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</si>
  <si>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</si>
  <si>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</si>
  <si>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</si>
  <si>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</si>
  <si>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</si>
  <si>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</si>
  <si>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</si>
  <si>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</si>
  <si>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</si>
  <si>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</si>
  <si>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</si>
  <si>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</si>
  <si>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</si>
  <si>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</si>
  <si>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</si>
  <si>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</si>
  <si>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</si>
  <si>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</si>
  <si>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</si>
  <si>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</si>
  <si>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</si>
  <si>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</si>
  <si>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</si>
  <si>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</si>
  <si>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</si>
  <si>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</si>
  <si>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</si>
  <si>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</si>
  <si>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</si>
  <si>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</si>
  <si>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</si>
  <si>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</si>
  <si>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</si>
  <si>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</si>
  <si>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</si>
  <si>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</si>
  <si>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</si>
  <si>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</si>
  <si>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</si>
  <si>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</si>
  <si>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</si>
  <si>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</si>
  <si>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</si>
  <si>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</si>
  <si>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</si>
  <si>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</si>
  <si>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</si>
  <si>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</si>
  <si>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</si>
  <si>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</si>
  <si>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</si>
  <si>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</si>
  <si>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</si>
  <si>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</si>
  <si>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</si>
  <si>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</si>
  <si>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</si>
  <si>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</si>
  <si>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</si>
  <si>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</si>
  <si>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</si>
  <si>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</si>
  <si>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</si>
  <si>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</si>
  <si>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</si>
  <si>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</si>
  <si>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</si>
  <si>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</si>
  <si>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</si>
  <si>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</si>
  <si>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</si>
  <si>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</si>
  <si>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</si>
  <si>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</si>
  <si>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</si>
  <si>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</si>
  <si>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</si>
  <si>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</si>
  <si>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</si>
  <si>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</si>
  <si>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</si>
  <si>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</si>
  <si>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</si>
  <si>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</si>
  <si>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</si>
  <si>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</si>
  <si>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</si>
  <si>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</si>
  <si>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</si>
  <si>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</si>
  <si>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</si>
  <si>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</si>
  <si>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</si>
  <si>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</si>
  <si>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</si>
  <si>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</si>
  <si>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</si>
  <si>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</si>
  <si>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</si>
  <si>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</si>
  <si>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</si>
  <si>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</si>
  <si>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</si>
  <si>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</si>
  <si>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</si>
  <si>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</si>
  <si>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</si>
  <si>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</si>
  <si>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</si>
  <si>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</si>
  <si>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</si>
  <si>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</si>
  <si>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</si>
  <si>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</si>
  <si>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</si>
  <si>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</si>
  <si>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</si>
  <si>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</si>
  <si>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</si>
  <si>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</si>
  <si>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</si>
  <si>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</si>
  <si>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</si>
  <si>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</si>
  <si>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</si>
  <si>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</si>
  <si>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</si>
  <si>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</si>
  <si>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</si>
  <si>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</si>
  <si>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</si>
  <si>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</si>
  <si>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</si>
  <si>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</si>
  <si>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</si>
  <si>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</si>
  <si>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</si>
  <si>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</si>
  <si>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</si>
  <si>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</si>
  <si>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</si>
  <si>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</si>
  <si>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</si>
  <si>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</si>
  <si>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</si>
  <si>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</si>
  <si>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</si>
  <si>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</si>
  <si>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</si>
  <si>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</si>
  <si>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</si>
  <si>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</si>
  <si>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</si>
  <si>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</si>
  <si>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</si>
  <si>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</si>
  <si>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</si>
  <si>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</si>
  <si>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</si>
  <si>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</si>
  <si>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</si>
  <si>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</si>
  <si>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</si>
  <si>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</si>
  <si>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</si>
  <si>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</si>
  <si>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</si>
  <si>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</si>
  <si>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</si>
  <si>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</si>
  <si>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</si>
  <si>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</si>
  <si>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</si>
  <si>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</si>
  <si>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</si>
  <si>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</si>
  <si>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</si>
  <si>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</si>
  <si>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</si>
  <si>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</si>
  <si>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</si>
  <si>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</si>
  <si>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</si>
  <si>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</si>
  <si>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</si>
  <si>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</si>
  <si>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</si>
  <si>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</si>
  <si>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</si>
  <si>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</si>
  <si>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</si>
  <si>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</si>
  <si>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</si>
  <si>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</si>
  <si>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</si>
  <si>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</si>
  <si>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</si>
  <si>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</si>
  <si>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</si>
  <si>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</si>
  <si>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</si>
  <si>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</si>
  <si>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</si>
  <si>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</si>
  <si>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</si>
  <si>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</si>
  <si>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</si>
  <si>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</si>
  <si>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</si>
  <si>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</si>
  <si>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</si>
  <si>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</si>
  <si>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</si>
  <si>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</si>
  <si>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</si>
  <si>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</si>
  <si>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</si>
  <si>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</si>
  <si>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</si>
  <si>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</si>
  <si>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</si>
  <si>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</si>
  <si>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</si>
  <si>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</si>
  <si>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</si>
  <si>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</si>
  <si>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</si>
  <si>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</si>
  <si>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</si>
  <si>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</si>
  <si>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</si>
  <si>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</si>
  <si>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</si>
  <si>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</si>
  <si>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</si>
  <si>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</si>
  <si>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</si>
  <si>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</si>
  <si>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</si>
  <si>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</si>
  <si>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</si>
  <si>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</si>
  <si>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</si>
  <si>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</si>
  <si>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</si>
  <si>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</si>
  <si>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</si>
  <si>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</si>
  <si>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</si>
  <si>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</si>
  <si>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</si>
  <si>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</si>
  <si>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</si>
  <si>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</si>
  <si>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</si>
  <si>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</si>
  <si>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</si>
  <si>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</si>
  <si>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</si>
  <si>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</si>
  <si>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</si>
  <si>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</si>
  <si>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</si>
  <si>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</si>
  <si>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</si>
  <si>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</si>
  <si>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</si>
  <si>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</si>
  <si>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</si>
  <si>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</si>
  <si>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</si>
  <si>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</si>
  <si>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</si>
  <si>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</si>
  <si>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</si>
  <si>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</si>
  <si>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</si>
  <si>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</si>
  <si>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</si>
  <si>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</si>
  <si>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</si>
  <si>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</si>
  <si>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</si>
  <si>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</si>
  <si>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</si>
  <si>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</si>
  <si>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</si>
  <si>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</si>
  <si>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</si>
  <si>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</si>
  <si>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</si>
  <si>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</si>
  <si>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</si>
  <si>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</si>
  <si>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</si>
  <si>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</si>
  <si>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</si>
  <si>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</si>
  <si>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</si>
  <si>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</si>
  <si>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</si>
  <si>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</si>
  <si>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</si>
  <si>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</si>
  <si>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</si>
  <si>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</si>
  <si>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</si>
  <si>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</si>
  <si>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</si>
  <si>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</si>
  <si>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</si>
  <si>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</si>
  <si>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</si>
  <si>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</si>
  <si>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</si>
  <si>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</si>
  <si>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</si>
  <si>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</si>
  <si>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</si>
  <si>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</si>
  <si>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</si>
  <si>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</si>
  <si>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</si>
  <si>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</si>
  <si>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</si>
  <si>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</si>
  <si>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</si>
  <si>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</si>
  <si>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</si>
  <si>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</si>
  <si>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</si>
  <si>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</si>
  <si>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</si>
  <si>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</si>
  <si>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</si>
  <si>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</si>
  <si>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</si>
  <si>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</si>
  <si>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</si>
  <si>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</si>
  <si>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</si>
  <si>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</si>
  <si>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</si>
  <si>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</si>
  <si>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</si>
  <si>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</si>
  <si>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</si>
  <si>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</si>
  <si>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</si>
  <si>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</si>
  <si>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</si>
  <si>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</si>
  <si>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</si>
  <si>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</si>
  <si>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</si>
  <si>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</si>
  <si>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</si>
  <si>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</si>
  <si>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</si>
  <si>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</si>
  <si>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</si>
  <si>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</si>
  <si>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</si>
  <si>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</si>
  <si>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</si>
  <si>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</si>
  <si>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</si>
  <si>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</si>
  <si>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</si>
  <si>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</si>
  <si>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</si>
  <si>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</si>
  <si>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</si>
  <si>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</si>
  <si>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</si>
  <si>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</si>
  <si>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</si>
  <si>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</si>
  <si>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</si>
  <si>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</si>
  <si>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</si>
  <si>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</si>
  <si>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</si>
  <si>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</si>
  <si>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</si>
  <si>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</si>
  <si>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</si>
  <si>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</si>
  <si>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</si>
  <si>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</si>
  <si>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</si>
  <si>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</si>
  <si>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</si>
  <si>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</si>
  <si>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</si>
  <si>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</si>
  <si>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</si>
  <si>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</si>
  <si>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</si>
  <si>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</si>
  <si>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</si>
  <si>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</si>
  <si>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</si>
  <si>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</si>
  <si>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</si>
  <si>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</si>
  <si>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</si>
  <si>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</si>
  <si>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</si>
  <si>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</si>
  <si>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</si>
  <si>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</si>
  <si>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</si>
  <si>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</si>
  <si>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</si>
  <si>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</si>
  <si>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</si>
  <si>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</si>
  <si>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</si>
  <si>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</si>
  <si>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</si>
  <si>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</si>
  <si>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</si>
  <si>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</si>
  <si>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</si>
  <si>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</si>
  <si>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</si>
  <si>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</si>
  <si>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</si>
  <si>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</si>
  <si>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</si>
  <si>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</si>
  <si>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</si>
  <si>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</si>
  <si>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</si>
  <si>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</si>
  <si>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</si>
  <si>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</si>
  <si>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</si>
  <si>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</si>
  <si>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</si>
  <si>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</si>
  <si>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</si>
  <si>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</si>
  <si>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</si>
  <si>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</si>
  <si>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</si>
  <si>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</si>
  <si>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</si>
  <si>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</si>
  <si>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</si>
  <si>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</si>
  <si>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</si>
  <si>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</si>
  <si>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</si>
  <si>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</si>
  <si>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</si>
  <si>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</si>
  <si>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</si>
  <si>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</si>
  <si>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</si>
  <si>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</si>
  <si>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</si>
  <si>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</si>
  <si>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</si>
  <si>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</si>
  <si>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</si>
  <si>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</si>
  <si>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</si>
  <si>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</si>
  <si>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</si>
  <si>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</si>
  <si>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</si>
  <si>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</si>
  <si>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</si>
  <si>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</si>
  <si>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</si>
  <si>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</si>
  <si>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</si>
  <si>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</si>
  <si>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</si>
  <si>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</si>
  <si>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</si>
  <si>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</si>
  <si>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</si>
  <si>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</si>
  <si>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</si>
  <si>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</si>
  <si>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</si>
  <si>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</si>
  <si>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</si>
  <si>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</si>
  <si>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</si>
  <si>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</si>
  <si>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</si>
  <si>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</si>
  <si>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</si>
  <si>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</si>
  <si>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</si>
  <si>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</si>
  <si>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</si>
  <si>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</si>
  <si>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</si>
  <si>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</si>
  <si>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</si>
  <si>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</si>
  <si>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</si>
  <si>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</si>
  <si>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</si>
  <si>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</si>
  <si>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</si>
  <si>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</si>
  <si>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</si>
  <si>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</si>
  <si>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</si>
  <si>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</si>
  <si>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</si>
  <si>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</si>
  <si>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</si>
  <si>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</si>
  <si>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</si>
  <si>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</si>
  <si>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</si>
  <si>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</si>
  <si>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</si>
  <si>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</si>
  <si>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</si>
  <si>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</si>
  <si>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</si>
  <si>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</si>
  <si>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</si>
  <si>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</si>
  <si>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</si>
  <si>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</si>
  <si>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</si>
  <si>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</si>
  <si>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</si>
  <si>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</si>
  <si>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</si>
  <si>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</si>
  <si>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</si>
  <si>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</si>
  <si>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</si>
  <si>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</si>
  <si>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</si>
  <si>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</si>
  <si>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</si>
  <si>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</si>
  <si>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</si>
  <si>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</si>
  <si>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</si>
  <si>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</si>
  <si>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</si>
  <si>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</si>
  <si>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</si>
  <si>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</si>
  <si>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</si>
  <si>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</si>
  <si>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</si>
  <si>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</si>
  <si>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</si>
  <si>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</si>
  <si>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</si>
  <si>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</si>
  <si>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</si>
  <si>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</si>
  <si>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</si>
  <si>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</si>
  <si>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</si>
  <si>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</si>
  <si>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</si>
  <si>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</si>
  <si>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</si>
  <si>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</si>
  <si>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</si>
  <si>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</si>
  <si>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</si>
  <si>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</si>
  <si>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</si>
  <si>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</si>
  <si>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</si>
  <si>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</si>
  <si>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</si>
  <si>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</si>
  <si>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</si>
  <si>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</si>
  <si>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</si>
  <si>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</si>
  <si>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</si>
  <si>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</si>
  <si>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</si>
  <si>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</si>
  <si>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</si>
  <si>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</si>
  <si>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</si>
  <si>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</si>
  <si>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</si>
  <si>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</si>
  <si>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</si>
  <si>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</si>
  <si>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</si>
  <si>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</si>
  <si>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</si>
  <si>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</si>
  <si>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</si>
  <si>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</si>
  <si>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</si>
  <si>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</si>
  <si>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</si>
  <si>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</si>
  <si>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</si>
  <si>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</si>
  <si>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</si>
  <si>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</si>
  <si>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</si>
  <si>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</si>
  <si>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</si>
  <si>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</si>
  <si>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</si>
  <si>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</si>
  <si>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</si>
  <si>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</si>
  <si>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</si>
  <si>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</si>
  <si>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</si>
  <si>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</si>
  <si>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</si>
  <si>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</si>
  <si>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</si>
  <si>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</si>
  <si>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</si>
  <si>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</si>
  <si>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</si>
  <si>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</si>
  <si>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</si>
  <si>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</si>
  <si>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</si>
  <si>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</si>
  <si>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</si>
  <si>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</si>
  <si>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</si>
  <si>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</si>
  <si>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</si>
  <si>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</si>
  <si>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</si>
  <si>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</si>
  <si>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</si>
  <si>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</si>
  <si>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</si>
  <si>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</si>
  <si>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</si>
  <si>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</si>
  <si>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</si>
  <si>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</si>
  <si>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</si>
  <si>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</si>
  <si>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</si>
  <si>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</si>
  <si>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</si>
  <si>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</si>
  <si>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</si>
  <si>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</si>
  <si>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</si>
  <si>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</si>
  <si>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</si>
  <si>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</si>
  <si>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</si>
  <si>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</si>
  <si>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</si>
  <si>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</si>
  <si>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</si>
  <si>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</si>
  <si>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</si>
  <si>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</si>
  <si>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</si>
  <si>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</si>
  <si>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</si>
  <si>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</si>
  <si>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</si>
  <si>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</si>
  <si>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</si>
  <si>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</si>
  <si>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</si>
  <si>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</si>
  <si>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</si>
  <si>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</si>
  <si>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</si>
  <si>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</si>
  <si>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</si>
  <si>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</si>
  <si>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</si>
  <si>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</si>
  <si>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</si>
  <si>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</si>
  <si>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</si>
  <si>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</si>
  <si>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</si>
  <si>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</si>
  <si>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</si>
  <si>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</si>
  <si>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</si>
  <si>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</si>
  <si>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</si>
  <si>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</si>
  <si>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</si>
  <si>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</si>
  <si>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</si>
  <si>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</si>
  <si>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</si>
  <si>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</si>
  <si>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</si>
  <si>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</si>
  <si>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</si>
  <si>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</si>
  <si>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</si>
  <si>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</si>
  <si>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</si>
  <si>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</si>
  <si>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</si>
  <si>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</si>
  <si>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</si>
  <si>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</si>
  <si>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</si>
  <si>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</si>
  <si>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</si>
  <si>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</si>
  <si>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</si>
  <si>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</si>
  <si>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</si>
  <si>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</si>
  <si>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</si>
  <si>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</si>
  <si>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</si>
  <si>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</si>
  <si>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</si>
  <si>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</si>
  <si>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</si>
  <si>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</si>
  <si>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</si>
  <si>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</si>
  <si>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</si>
  <si>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</si>
  <si>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</si>
  <si>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</si>
  <si>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</si>
  <si>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</si>
  <si>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</si>
  <si>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</si>
  <si>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</si>
  <si>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</si>
  <si>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</si>
  <si>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</si>
  <si>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</si>
  <si>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</si>
  <si>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</si>
  <si>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</si>
  <si>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</si>
  <si>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</si>
  <si>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</si>
  <si>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</si>
  <si>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</si>
  <si>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</si>
  <si>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</si>
  <si>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</si>
  <si>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</si>
  <si>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</si>
  <si>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</si>
  <si>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</si>
  <si>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</si>
  <si>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</si>
  <si>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</si>
  <si>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</si>
  <si>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</si>
  <si>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</si>
  <si>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</si>
  <si>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</si>
  <si>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</si>
  <si>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</si>
  <si>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</si>
  <si>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</si>
  <si>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</si>
  <si>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</si>
  <si>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</si>
  <si>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</si>
  <si>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</si>
  <si>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</si>
  <si>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</si>
  <si>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</si>
  <si>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</si>
  <si>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</si>
  <si>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</si>
  <si>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</si>
  <si>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</si>
  <si>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</si>
  <si>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</si>
  <si>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</si>
  <si>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</si>
  <si>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</si>
  <si>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</si>
  <si>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</si>
  <si>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</si>
  <si>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</si>
  <si>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</si>
  <si>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</si>
  <si>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</si>
  <si>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</si>
  <si>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</si>
  <si>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</si>
  <si>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</si>
  <si>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</si>
  <si>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</si>
  <si>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</si>
  <si>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</si>
  <si>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</si>
  <si>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</si>
  <si>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</si>
  <si>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</si>
  <si>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</si>
  <si>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</si>
  <si>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</si>
  <si>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</si>
  <si>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</si>
  <si>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</si>
  <si>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</si>
  <si>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</si>
  <si>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</si>
  <si>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</si>
  <si>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</si>
  <si>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</si>
  <si>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</si>
  <si>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</si>
  <si>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</si>
  <si>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</si>
  <si>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</si>
  <si>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</si>
  <si>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</si>
  <si>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</si>
  <si>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</si>
  <si>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</si>
  <si>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</si>
  <si>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</si>
  <si>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</si>
  <si>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</si>
  <si>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</si>
  <si>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</si>
  <si>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</si>
  <si>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</si>
  <si>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</si>
  <si>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</si>
  <si>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</si>
  <si>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</si>
  <si>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</si>
  <si>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</si>
  <si>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</si>
  <si>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</si>
  <si>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</si>
  <si>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</si>
  <si>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</si>
  <si>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</si>
  <si>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</si>
  <si>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</si>
  <si>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</si>
  <si>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</si>
  <si>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</si>
  <si>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</si>
  <si>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</si>
  <si>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</si>
  <si>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</si>
  <si>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</si>
  <si>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</si>
  <si>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</si>
  <si>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</si>
  <si>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</si>
  <si>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</si>
  <si>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</si>
  <si>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</si>
  <si>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</si>
  <si>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</si>
  <si>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</si>
  <si>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</si>
  <si>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</si>
  <si>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</si>
  <si>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</si>
  <si>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</si>
  <si>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</si>
  <si>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</si>
  <si>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</si>
  <si>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</si>
  <si>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</si>
  <si>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</si>
  <si>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</si>
  <si>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</si>
  <si>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</si>
  <si>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</si>
  <si>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</si>
  <si>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</si>
  <si>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</si>
  <si>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</si>
  <si>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</si>
  <si>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</si>
  <si>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</si>
  <si>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</si>
  <si>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</si>
  <si>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</si>
  <si>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</si>
  <si>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</si>
  <si>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</si>
  <si>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</si>
  <si>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</si>
  <si>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</si>
  <si>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</si>
  <si>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</si>
  <si>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</si>
  <si>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</si>
  <si>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</si>
  <si>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</si>
  <si>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</si>
  <si>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</si>
  <si>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</si>
  <si>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</si>
  <si>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</si>
  <si>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</si>
  <si>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</si>
  <si>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</si>
  <si>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</si>
  <si>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</si>
  <si>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</si>
  <si>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</si>
  <si>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</si>
  <si>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</si>
  <si>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</si>
  <si>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</si>
  <si>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</si>
  <si>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</si>
  <si>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</si>
  <si>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</si>
  <si>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</si>
  <si>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</si>
  <si>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</si>
  <si>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</si>
  <si>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</si>
  <si>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</si>
  <si>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</si>
  <si>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</si>
  <si>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</si>
  <si>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</si>
  <si>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</si>
  <si>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</si>
  <si>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</si>
  <si>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</si>
  <si>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</si>
  <si>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</si>
  <si>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</si>
  <si>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</si>
  <si>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</si>
  <si>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</si>
  <si>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</si>
  <si>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</si>
  <si>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</si>
  <si>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</si>
  <si>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</si>
  <si>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</si>
  <si>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</si>
  <si>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</si>
  <si>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</si>
  <si>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</si>
  <si>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</si>
  <si>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</si>
  <si>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</si>
  <si>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</si>
  <si>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</si>
  <si>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</si>
  <si>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</si>
  <si>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</si>
  <si>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</si>
  <si>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</si>
  <si>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</si>
  <si>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</si>
  <si>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</si>
  <si>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</si>
  <si>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</si>
  <si>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</si>
  <si>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</si>
  <si>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</si>
  <si>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</si>
  <si>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</si>
  <si>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</si>
  <si>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</si>
  <si>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</si>
  <si>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</si>
  <si>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</si>
  <si>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</si>
  <si>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</si>
  <si>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</si>
  <si>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</si>
  <si>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</si>
  <si>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</si>
  <si>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</si>
  <si>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</si>
  <si>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</si>
  <si>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</si>
  <si>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</si>
  <si>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</si>
  <si>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</si>
  <si>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</si>
  <si>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</si>
  <si>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</si>
  <si>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</si>
  <si>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</si>
  <si>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</si>
  <si>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</si>
  <si>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</si>
  <si>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</si>
  <si>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</si>
  <si>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</si>
  <si>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</si>
  <si>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</si>
  <si>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</si>
  <si>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</si>
  <si>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</si>
  <si>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</si>
  <si>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</si>
  <si>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</si>
  <si>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</si>
  <si>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</si>
  <si>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</si>
  <si>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</si>
  <si>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</si>
  <si>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</si>
  <si>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</si>
  <si>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</si>
  <si>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</si>
  <si>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</si>
  <si>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</si>
  <si>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</si>
  <si>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</si>
  <si>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</si>
  <si>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</si>
  <si>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</si>
  <si>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</si>
  <si>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</si>
  <si>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</si>
  <si>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</si>
  <si>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</si>
  <si>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</si>
  <si>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</si>
  <si>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</si>
  <si>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</si>
  <si>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</si>
  <si>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</si>
  <si>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</si>
  <si>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</si>
  <si>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</si>
  <si>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</si>
  <si>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</si>
  <si>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</si>
  <si>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</si>
  <si>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</si>
  <si>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</si>
  <si>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</si>
  <si>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</si>
  <si>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</si>
  <si>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</si>
  <si>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</si>
  <si>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</si>
  <si>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</si>
  <si>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</si>
  <si>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</si>
  <si>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</si>
  <si>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</si>
  <si>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</si>
  <si>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</si>
  <si>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</si>
  <si>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</si>
  <si>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</si>
  <si>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</si>
  <si>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</si>
  <si>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</si>
  <si>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</si>
  <si>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</si>
  <si>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</si>
  <si>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</si>
  <si>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</si>
  <si>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</si>
  <si>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</si>
  <si>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</si>
  <si>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</si>
  <si>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</si>
  <si>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</si>
  <si>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</si>
  <si>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</si>
  <si>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</si>
  <si>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</si>
  <si>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</si>
  <si>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</si>
  <si>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</si>
  <si>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</si>
  <si>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</si>
  <si>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</si>
  <si>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</si>
  <si>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</si>
  <si>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</si>
  <si>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</si>
  <si>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</si>
  <si>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</si>
  <si>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</si>
  <si>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</si>
  <si>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</si>
  <si>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</si>
  <si>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</si>
  <si>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</si>
  <si>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</si>
  <si>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</si>
  <si>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</si>
  <si>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</si>
  <si>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</si>
  <si>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</si>
  <si>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</si>
  <si>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</si>
  <si>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</si>
  <si>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</si>
  <si>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</si>
  <si>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</si>
  <si>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</si>
  <si>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</si>
  <si>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</si>
  <si>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</si>
  <si>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</si>
  <si>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</si>
  <si>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</si>
  <si>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</si>
  <si>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</si>
  <si>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</si>
  <si>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</si>
  <si>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</si>
  <si>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</si>
  <si>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</si>
  <si>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</si>
  <si>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</si>
  <si>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</si>
  <si>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</si>
  <si>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</si>
  <si>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</si>
  <si>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</si>
  <si>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</si>
  <si>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</si>
  <si>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</si>
  <si>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</si>
  <si>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</si>
  <si>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</si>
  <si>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</si>
  <si>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</si>
  <si>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</si>
  <si>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</si>
  <si>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</si>
  <si>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</si>
  <si>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</si>
  <si>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</si>
  <si>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</si>
  <si>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</si>
  <si>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</si>
  <si>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</si>
  <si>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</si>
  <si>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</si>
  <si>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</si>
  <si>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</si>
  <si>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</si>
  <si>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</si>
  <si>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</si>
  <si>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</si>
  <si>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</si>
  <si>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</si>
  <si>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</si>
  <si>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</si>
  <si>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</si>
  <si>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</si>
  <si>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</si>
  <si>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</si>
  <si>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</si>
  <si>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</si>
  <si>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</si>
  <si>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</si>
  <si>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</si>
  <si>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</si>
  <si>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</si>
  <si>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</si>
  <si>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</si>
  <si>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</si>
  <si>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</si>
  <si>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</si>
  <si>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</si>
  <si>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</si>
  <si>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</si>
  <si>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</si>
  <si>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</si>
  <si>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</si>
  <si>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</si>
  <si>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</si>
  <si>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</si>
  <si>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</si>
  <si>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</si>
  <si>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</si>
  <si>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</si>
  <si>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</si>
  <si>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</si>
  <si>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</si>
  <si>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</si>
  <si>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</si>
  <si>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</si>
  <si>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</si>
  <si>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</si>
  <si>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</si>
  <si>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</si>
  <si>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</si>
  <si>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</si>
  <si>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</si>
  <si>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</si>
  <si>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</si>
  <si>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</si>
  <si>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</si>
  <si>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</si>
  <si>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</si>
  <si>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</si>
  <si>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</si>
  <si>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</si>
  <si>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</si>
  <si>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</si>
  <si>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</si>
  <si>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</si>
  <si>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</si>
  <si>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</si>
  <si>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</si>
  <si>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</si>
  <si>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</si>
  <si>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</si>
  <si>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</si>
  <si>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</si>
  <si>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</si>
  <si>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</si>
  <si>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</si>
  <si>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</si>
  <si>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</si>
  <si>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</si>
  <si>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</si>
  <si>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</si>
  <si>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</si>
  <si>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</si>
  <si>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</si>
  <si>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</si>
  <si>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</si>
  <si>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</si>
  <si>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</si>
  <si>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</si>
  <si>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</si>
  <si>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</si>
  <si>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</si>
  <si>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</si>
  <si>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</si>
  <si>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</si>
  <si>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</si>
  <si>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</si>
  <si>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</si>
  <si>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</si>
  <si>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</si>
  <si>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</si>
  <si>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</si>
  <si>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</si>
  <si>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</si>
  <si>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</si>
  <si>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</si>
  <si>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</si>
  <si>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</si>
  <si>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</si>
  <si>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</si>
  <si>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</si>
  <si>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</si>
  <si>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</si>
  <si>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</si>
  <si>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</si>
  <si>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</si>
  <si>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</si>
  <si>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</si>
  <si>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</si>
  <si>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</si>
  <si>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</si>
  <si>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</si>
  <si>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</si>
  <si>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</si>
  <si>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</si>
  <si>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</si>
  <si>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</si>
  <si>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</si>
  <si>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</si>
  <si>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</si>
  <si>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</si>
  <si>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</si>
  <si>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</si>
  <si>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</si>
  <si>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</si>
  <si>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</si>
  <si>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</si>
  <si>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</si>
  <si>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</si>
  <si>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</si>
  <si>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</si>
  <si>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</si>
  <si>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</si>
  <si>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</si>
  <si>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</si>
  <si>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</si>
  <si>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</si>
  <si>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</si>
  <si>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</si>
  <si>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</si>
  <si>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</si>
  <si>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</si>
  <si>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</si>
  <si>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</si>
  <si>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</si>
  <si>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</si>
  <si>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</si>
  <si>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</si>
  <si>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</si>
  <si>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</si>
  <si>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</si>
  <si>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</si>
  <si>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</si>
  <si>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</si>
  <si>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</si>
  <si>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</si>
  <si>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</si>
  <si>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</si>
  <si>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</si>
  <si>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</si>
  <si>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</si>
  <si>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</si>
  <si>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</si>
  <si>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</si>
  <si>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</si>
  <si>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</si>
  <si>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</si>
  <si>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</si>
  <si>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</si>
  <si>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</si>
  <si>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</si>
  <si>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</si>
  <si>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</si>
  <si>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</si>
  <si>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</si>
  <si>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</si>
  <si>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</si>
  <si>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</si>
  <si>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</si>
  <si>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</si>
  <si>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</si>
  <si>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</si>
  <si>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</si>
  <si>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</si>
  <si>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</si>
  <si>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</si>
  <si>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</si>
  <si>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</si>
  <si>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</si>
  <si>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</si>
  <si>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</si>
  <si>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</si>
  <si>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</si>
  <si>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</si>
  <si>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</si>
  <si>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</si>
  <si>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</si>
  <si>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</si>
  <si>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</si>
  <si>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</si>
  <si>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</si>
  <si>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</si>
  <si>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</si>
  <si>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</si>
  <si>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</si>
  <si>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</si>
  <si>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</si>
  <si>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</si>
  <si>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</si>
  <si>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</si>
  <si>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</si>
  <si>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</si>
  <si>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</si>
  <si>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</si>
  <si>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</si>
  <si>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</si>
  <si>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</si>
  <si>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</si>
  <si>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</si>
  <si>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</si>
  <si>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</si>
  <si>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</si>
  <si>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</si>
  <si>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</si>
  <si>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</si>
  <si>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</si>
  <si>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</si>
  <si>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</si>
  <si>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</si>
  <si>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</si>
  <si>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</si>
  <si>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</si>
  <si>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</si>
  <si>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</si>
  <si>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</si>
  <si>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</si>
  <si>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</si>
  <si>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</si>
  <si>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</si>
  <si>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</si>
  <si>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</si>
  <si>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</si>
  <si>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</si>
  <si>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</si>
  <si>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</si>
  <si>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</si>
  <si>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</si>
  <si>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</si>
  <si>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</si>
  <si>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</si>
  <si>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</si>
  <si>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</si>
  <si>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</si>
  <si>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</si>
  <si>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</si>
  <si>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</si>
  <si>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</si>
  <si>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</si>
  <si>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</si>
  <si>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</si>
  <si>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</si>
  <si>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</si>
  <si>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</si>
  <si>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</si>
  <si>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</si>
  <si>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</si>
  <si>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</si>
  <si>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</si>
  <si>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</si>
  <si>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</si>
  <si>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</si>
  <si>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</si>
  <si>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</si>
  <si>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</si>
  <si>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</si>
  <si>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</si>
  <si>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</si>
  <si>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</si>
  <si>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</si>
  <si>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</si>
  <si>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</si>
  <si>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</si>
  <si>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</si>
  <si>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</si>
  <si>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</si>
  <si>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</si>
  <si>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</si>
  <si>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</si>
  <si>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</si>
  <si>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</si>
  <si>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</si>
  <si>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</si>
  <si>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</si>
  <si>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</si>
  <si>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</si>
  <si>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</si>
  <si>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</si>
  <si>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</si>
  <si>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</si>
  <si>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</si>
  <si>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</si>
  <si>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</si>
  <si>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</si>
  <si>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</si>
  <si>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</si>
  <si>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</si>
  <si>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</si>
  <si>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</si>
  <si>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</si>
  <si>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</si>
  <si>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</si>
  <si>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</si>
  <si>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</si>
  <si>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</si>
  <si>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</si>
  <si>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</si>
  <si>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</si>
  <si>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</si>
  <si>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</si>
  <si>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</si>
  <si>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</si>
  <si>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</si>
  <si>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</si>
  <si>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</si>
  <si>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</si>
  <si>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</si>
  <si>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</si>
  <si>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</si>
  <si>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</si>
  <si>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</si>
  <si>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</si>
  <si>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</si>
  <si>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</si>
  <si>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</si>
  <si>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</si>
  <si>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</si>
  <si>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</si>
  <si>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</si>
  <si>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</si>
  <si>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</si>
  <si>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</si>
  <si>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</si>
  <si>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</si>
  <si>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</si>
  <si>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</si>
  <si>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</si>
  <si>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</si>
  <si>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</si>
  <si>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</si>
  <si>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</si>
  <si>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</si>
  <si>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</si>
  <si>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</si>
  <si>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</si>
  <si>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</si>
  <si>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</si>
  <si>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</si>
  <si>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</si>
  <si>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</si>
  <si>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</si>
  <si>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</si>
  <si>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</si>
  <si>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</si>
  <si>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</si>
  <si>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</si>
  <si>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</si>
  <si>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</si>
  <si>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</si>
  <si>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</si>
  <si>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</si>
  <si>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</si>
  <si>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</si>
  <si>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</si>
  <si>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</si>
  <si>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</si>
  <si>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</si>
  <si>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</si>
  <si>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</si>
  <si>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</si>
  <si>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</si>
  <si>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</si>
  <si>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</si>
  <si>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</si>
  <si>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</si>
  <si>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</si>
  <si>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</si>
  <si>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</si>
  <si>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</si>
  <si>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</si>
  <si>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</si>
  <si>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</si>
  <si>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</si>
  <si>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</si>
  <si>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</si>
  <si>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</si>
  <si>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</si>
  <si>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</si>
  <si>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</si>
  <si>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</si>
  <si>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</si>
  <si>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</si>
  <si>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</si>
  <si>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</si>
  <si>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</si>
  <si>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</si>
  <si>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</si>
  <si>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</si>
  <si>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</si>
  <si>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</si>
  <si>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</si>
  <si>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</si>
  <si>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</si>
  <si>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</si>
  <si>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</si>
  <si>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</si>
  <si>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</si>
  <si>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</si>
  <si>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</si>
  <si>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</si>
  <si>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</si>
  <si>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</si>
  <si>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</si>
  <si>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</si>
  <si>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</si>
  <si>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</si>
  <si>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</si>
  <si>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</si>
  <si>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</si>
  <si>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</si>
  <si>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</si>
  <si>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</si>
  <si>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</si>
  <si>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</si>
  <si>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</si>
  <si>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</si>
  <si>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</si>
  <si>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</si>
  <si>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</si>
  <si>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</si>
  <si>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</si>
  <si>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</si>
  <si>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</si>
  <si>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</si>
  <si>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</si>
  <si>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</si>
  <si>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</si>
  <si>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</si>
  <si>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</si>
  <si>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</si>
  <si>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</si>
  <si>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</si>
  <si>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</si>
  <si>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</si>
  <si>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</si>
  <si>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</si>
  <si>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</si>
  <si>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</si>
  <si>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</si>
  <si>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</si>
  <si>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</si>
  <si>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</si>
  <si>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</si>
  <si>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</si>
  <si>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</si>
  <si>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</si>
  <si>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</si>
  <si>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</si>
  <si>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</si>
  <si>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</si>
  <si>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</si>
  <si>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</si>
  <si>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</si>
  <si>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</si>
  <si>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</si>
  <si>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</si>
  <si>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</si>
  <si>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</si>
  <si>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</si>
  <si>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</si>
  <si>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</si>
  <si>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</si>
  <si>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</si>
  <si>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</si>
  <si>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</si>
  <si>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</si>
  <si>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</si>
  <si>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</si>
  <si>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</si>
  <si>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</si>
  <si>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</si>
  <si>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</si>
  <si>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</si>
  <si>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</si>
  <si>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</si>
  <si>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</si>
  <si>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</si>
  <si>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</si>
  <si>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</si>
  <si>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</si>
  <si>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</si>
  <si>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</si>
  <si>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</si>
  <si>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</si>
  <si>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</si>
  <si>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</si>
  <si>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</si>
  <si>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</si>
  <si>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</si>
  <si>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</si>
  <si>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</si>
  <si>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</si>
  <si>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</si>
  <si>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</si>
  <si>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</si>
  <si>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</si>
  <si>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</si>
  <si>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</si>
  <si>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</si>
  <si>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</si>
  <si>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</si>
  <si>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</si>
  <si>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</si>
  <si>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</si>
  <si>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</si>
  <si>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</si>
  <si>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</si>
  <si>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</si>
  <si>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</si>
  <si>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</si>
  <si>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</si>
  <si>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</si>
  <si>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</si>
  <si>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</si>
  <si>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</si>
  <si>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</si>
  <si>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</si>
  <si>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</si>
  <si>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</si>
  <si>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</si>
  <si>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</si>
  <si>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</si>
  <si>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</si>
  <si>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</si>
  <si>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</si>
  <si>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</si>
  <si>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</si>
  <si>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</si>
  <si>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</si>
  <si>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</si>
  <si>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</si>
  <si>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</si>
  <si>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</si>
  <si>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</si>
  <si>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</si>
  <si>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</si>
  <si>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</si>
  <si>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</si>
  <si>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</si>
  <si>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</si>
  <si>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</si>
  <si>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</si>
  <si>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</si>
  <si>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</si>
  <si>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</si>
  <si>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</si>
  <si>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</si>
  <si>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</si>
  <si>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</si>
  <si>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</si>
  <si>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</si>
  <si>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</si>
  <si>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</si>
  <si>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</si>
  <si>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</si>
  <si>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</si>
  <si>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</si>
  <si>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</si>
  <si>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</si>
  <si>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</si>
  <si>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</si>
  <si>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</si>
  <si>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</si>
  <si>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</si>
  <si>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</si>
  <si>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</si>
  <si>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</si>
  <si>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</si>
  <si>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</si>
  <si>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</si>
  <si>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</si>
  <si>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</si>
  <si>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</si>
  <si>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</si>
  <si>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</si>
  <si>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</si>
  <si>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</si>
  <si>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</si>
  <si>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</si>
  <si>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</si>
  <si>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</si>
  <si>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</si>
  <si>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</si>
  <si>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</si>
  <si>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</si>
  <si>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</si>
  <si>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</si>
  <si>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</si>
  <si>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</si>
  <si>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</si>
  <si>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</si>
  <si>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</si>
  <si>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</si>
  <si>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</si>
  <si>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</si>
  <si>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</si>
  <si>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</si>
  <si>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</si>
  <si>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</si>
  <si>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</si>
  <si>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</si>
  <si>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</si>
  <si>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</si>
  <si>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</si>
  <si>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</si>
  <si>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</si>
  <si>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</si>
  <si>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</si>
  <si>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</si>
  <si>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</si>
  <si>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</si>
  <si>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</si>
  <si>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</si>
  <si>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</si>
  <si>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</si>
  <si>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</si>
  <si>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</si>
  <si>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</si>
  <si>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</si>
  <si>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</si>
  <si>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</si>
  <si>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</si>
  <si>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</si>
  <si>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</si>
  <si>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</si>
  <si>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</si>
  <si>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</si>
  <si>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</si>
  <si>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</si>
  <si>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</si>
  <si>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</si>
  <si>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</si>
  <si>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</si>
  <si>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</si>
  <si>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</si>
  <si>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</si>
  <si>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</si>
  <si>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</si>
  <si>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</si>
  <si>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</si>
  <si>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</si>
  <si>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</si>
  <si>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</si>
  <si>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</si>
  <si>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</si>
  <si>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</si>
  <si>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</si>
  <si>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</si>
  <si>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</si>
  <si>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</si>
  <si>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</si>
  <si>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</si>
  <si>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</si>
  <si>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</si>
  <si>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</si>
  <si>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</si>
  <si>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</si>
  <si>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</si>
  <si>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</si>
  <si>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</si>
  <si>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</si>
  <si>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</si>
  <si>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</si>
  <si>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</si>
  <si>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</si>
  <si>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</si>
  <si>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</si>
  <si>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</si>
  <si>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</si>
  <si>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</si>
  <si>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</si>
  <si>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</si>
  <si>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</si>
  <si>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</si>
  <si>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</si>
  <si>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</si>
  <si>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</si>
  <si>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</si>
  <si>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</si>
  <si>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</si>
  <si>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</si>
  <si>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</si>
  <si>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</si>
  <si>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</si>
  <si>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</si>
  <si>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</si>
  <si>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</si>
  <si>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</si>
  <si>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</si>
  <si>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</si>
  <si>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</si>
  <si>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</si>
  <si>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</si>
  <si>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</si>
  <si>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</si>
  <si>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</si>
  <si>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</si>
  <si>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</si>
  <si>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</si>
  <si>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</si>
  <si>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</si>
  <si>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</si>
  <si>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</si>
  <si>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</si>
  <si>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</si>
  <si>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</si>
  <si>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</si>
  <si>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</si>
  <si>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</si>
  <si>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</si>
  <si>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</si>
  <si>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</si>
  <si>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</si>
  <si>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</si>
  <si>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</si>
  <si>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</si>
  <si>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</si>
  <si>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</si>
  <si>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</si>
  <si>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</si>
  <si>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</si>
  <si>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</si>
  <si>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</si>
  <si>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</si>
  <si>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</si>
  <si>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</si>
  <si>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</si>
  <si>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</si>
  <si>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</si>
  <si>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</si>
  <si>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</si>
  <si>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</si>
  <si>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</si>
  <si>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</si>
  <si>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</si>
  <si>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</si>
  <si>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</si>
  <si>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</si>
  <si>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</si>
  <si>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</si>
  <si>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</si>
  <si>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</si>
  <si>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</si>
  <si>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</si>
  <si>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</si>
  <si>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</si>
  <si>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</si>
  <si>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</si>
  <si>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</si>
  <si>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</si>
  <si>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</si>
  <si>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</si>
  <si>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</si>
  <si>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</si>
  <si>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</si>
  <si>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</si>
  <si>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</si>
  <si>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</si>
  <si>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</si>
  <si>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</si>
  <si>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</si>
  <si>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</si>
  <si>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</si>
  <si>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</si>
  <si>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</si>
  <si>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</si>
  <si>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</si>
  <si>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</si>
  <si>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</si>
  <si>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</si>
  <si>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</si>
  <si>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</si>
  <si>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</si>
  <si>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</si>
  <si>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</si>
  <si>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</si>
  <si>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</si>
  <si>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</si>
  <si>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</si>
  <si>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</si>
  <si>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</si>
  <si>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</si>
  <si>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</si>
  <si>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</si>
  <si>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</si>
  <si>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</si>
  <si>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</si>
  <si>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</si>
  <si>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</si>
  <si>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</si>
  <si>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</si>
  <si>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</si>
  <si>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</si>
  <si>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</si>
  <si>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</si>
  <si>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</si>
  <si>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</si>
  <si>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</si>
  <si>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</si>
  <si>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</si>
  <si>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</si>
  <si>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</si>
  <si>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</si>
  <si>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</si>
  <si>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</si>
  <si>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</si>
  <si>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</si>
  <si>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</si>
  <si>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</si>
  <si>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</si>
  <si>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</si>
  <si>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</si>
  <si>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</si>
  <si>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</si>
  <si>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</si>
  <si>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</si>
  <si>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</si>
  <si>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</si>
  <si>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</si>
  <si>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</si>
  <si>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</si>
  <si>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</si>
  <si>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</si>
  <si>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</si>
  <si>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</si>
  <si>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</si>
  <si>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</si>
  <si>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</si>
  <si>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</si>
  <si>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</si>
  <si>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</si>
  <si>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</si>
  <si>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</si>
  <si>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</si>
  <si>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</si>
  <si>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</si>
  <si>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</si>
  <si>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</si>
  <si>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</si>
  <si>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</si>
  <si>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</si>
  <si>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</si>
  <si>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</si>
  <si>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</si>
  <si>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</si>
  <si>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</si>
  <si>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</si>
  <si>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</si>
  <si>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</si>
  <si>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</si>
  <si>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</si>
  <si>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</si>
  <si>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</si>
  <si>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</si>
  <si>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</si>
  <si>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</si>
  <si>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</si>
  <si>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</si>
  <si>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</si>
  <si>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</si>
  <si>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</si>
  <si>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</si>
  <si>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</si>
  <si>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</si>
  <si>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</si>
  <si>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</si>
  <si>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</si>
  <si>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</si>
  <si>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</si>
  <si>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</si>
  <si>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</si>
  <si>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</si>
  <si>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</si>
  <si>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</si>
  <si>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</si>
  <si>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</si>
  <si>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</si>
  <si>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</si>
  <si>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</si>
  <si>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</si>
  <si>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</si>
  <si>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</si>
  <si>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</si>
  <si>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</si>
  <si>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</si>
  <si>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</si>
  <si>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</si>
  <si>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</si>
  <si>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</si>
  <si>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</si>
  <si>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</si>
  <si>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</si>
  <si>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</si>
  <si>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</si>
  <si>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</si>
  <si>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</si>
  <si>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</si>
  <si>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</si>
  <si>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</si>
  <si>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</si>
  <si>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</si>
  <si>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</si>
  <si>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</si>
  <si>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</si>
  <si>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</si>
  <si>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</si>
  <si>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</si>
  <si>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</si>
  <si>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</si>
  <si>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</si>
  <si>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</si>
  <si>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</si>
  <si>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</si>
  <si>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</si>
  <si>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</si>
  <si>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</si>
  <si>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</si>
  <si>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</si>
  <si>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</si>
  <si>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</si>
  <si>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</si>
  <si>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</si>
  <si>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</si>
  <si>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</si>
  <si>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</si>
  <si>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</si>
  <si>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</si>
  <si>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</si>
  <si>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</si>
  <si>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</si>
  <si>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</si>
  <si>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</si>
  <si>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</si>
  <si>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</si>
  <si>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</si>
  <si>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</si>
  <si>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</si>
  <si>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</si>
  <si>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</si>
  <si>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</si>
  <si>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</si>
  <si>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</si>
  <si>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</si>
  <si>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</si>
  <si>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</si>
  <si>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</si>
  <si>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</si>
  <si>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</si>
  <si>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</si>
  <si>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</si>
  <si>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</si>
  <si>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</si>
  <si>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</si>
  <si>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</si>
  <si>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</si>
  <si>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</si>
  <si>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</si>
  <si>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</si>
  <si>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</si>
  <si>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</si>
  <si>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</si>
  <si>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</si>
  <si>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</si>
  <si>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</si>
  <si>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</si>
  <si>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</si>
  <si>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</si>
  <si>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</si>
  <si>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</si>
  <si>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</si>
  <si>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</si>
  <si>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</si>
  <si>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</si>
  <si>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</si>
  <si>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</si>
  <si>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</si>
  <si>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</si>
  <si>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</si>
  <si>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</si>
  <si>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</si>
  <si>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</si>
  <si>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</si>
  <si>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</si>
  <si>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</si>
  <si>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</si>
  <si>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</si>
  <si>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</si>
  <si>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</si>
  <si>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</si>
  <si>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</si>
  <si>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</si>
  <si>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</si>
  <si>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</si>
  <si>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</si>
  <si>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</si>
  <si>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</si>
  <si>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</si>
  <si>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</si>
  <si>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</si>
  <si>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</si>
  <si>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</si>
  <si>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</si>
  <si>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</si>
  <si>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</si>
  <si>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</si>
  <si>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</si>
  <si>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</si>
  <si>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</si>
  <si>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</si>
  <si>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</si>
  <si>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</si>
  <si>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</si>
  <si>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</si>
  <si>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</si>
  <si>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</si>
  <si>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</si>
  <si>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</si>
  <si>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</si>
  <si>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</si>
  <si>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</si>
  <si>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</si>
  <si>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</si>
  <si>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</si>
  <si>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</si>
  <si>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</si>
  <si>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</si>
  <si>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</si>
  <si>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</si>
  <si>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</si>
  <si>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</si>
  <si>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</si>
  <si>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</si>
  <si>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</si>
  <si>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</si>
  <si>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</si>
  <si>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</si>
  <si>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</si>
  <si>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</si>
  <si>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</si>
  <si>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</si>
  <si>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</si>
  <si>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</si>
  <si>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</si>
  <si>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</si>
  <si>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</si>
  <si>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</si>
  <si>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</si>
  <si>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</si>
  <si>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</si>
  <si>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</si>
  <si>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</si>
  <si>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</si>
  <si>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</si>
  <si>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</si>
  <si>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</si>
  <si>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</si>
  <si>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</si>
  <si>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</si>
  <si>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</si>
  <si>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</si>
  <si>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</si>
  <si>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</si>
  <si>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</si>
  <si>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</si>
  <si>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</si>
  <si>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</si>
  <si>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</si>
  <si>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</si>
  <si>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</si>
  <si>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</si>
  <si>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</si>
  <si>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</si>
  <si>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</si>
  <si>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</si>
  <si>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</si>
  <si>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</si>
  <si>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</si>
  <si>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</si>
  <si>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</si>
  <si>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</si>
  <si>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</si>
  <si>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</si>
  <si>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</si>
  <si>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</si>
  <si>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</si>
  <si>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</si>
  <si>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</si>
  <si>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</si>
  <si>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</si>
  <si>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</si>
  <si>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</si>
  <si>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</si>
  <si>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</si>
  <si>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</si>
  <si>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</si>
  <si>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</si>
  <si>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</si>
  <si>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</si>
  <si>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</si>
  <si>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</si>
  <si>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</si>
  <si>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</si>
  <si>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</si>
  <si>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</si>
  <si>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</si>
  <si>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</si>
  <si>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</si>
  <si>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</si>
  <si>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</si>
  <si>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</si>
  <si>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</si>
  <si>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</si>
  <si>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</si>
  <si>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</si>
  <si>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</si>
  <si>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</si>
  <si>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</si>
  <si>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</si>
  <si>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</si>
  <si>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</si>
  <si>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</si>
  <si>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</si>
  <si>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</si>
  <si>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</si>
  <si>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</si>
  <si>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</si>
  <si>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</si>
  <si>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</si>
  <si>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</si>
  <si>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</si>
  <si>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</si>
  <si>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</si>
  <si>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</si>
  <si>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</si>
  <si>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</si>
  <si>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</si>
  <si>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</si>
  <si>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</si>
  <si>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</si>
  <si>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</si>
  <si>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</si>
  <si>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</si>
  <si>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</si>
  <si>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</si>
  <si>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</si>
  <si>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</si>
  <si>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</si>
  <si>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</si>
  <si>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</si>
  <si>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</si>
  <si>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</si>
  <si>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</si>
  <si>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</si>
  <si>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</si>
  <si>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</si>
  <si>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</si>
  <si>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</si>
  <si>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</si>
  <si>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</si>
  <si>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</si>
  <si>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</si>
  <si>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</si>
  <si>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</si>
  <si>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</si>
  <si>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</si>
  <si>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</si>
  <si>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</si>
  <si>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</si>
  <si>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</si>
  <si>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</si>
  <si>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</si>
  <si>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</si>
  <si>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</si>
  <si>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</si>
  <si>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</si>
  <si>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</si>
  <si>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</si>
  <si>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</si>
  <si>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</si>
  <si>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</si>
  <si>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</si>
  <si>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</si>
  <si>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</si>
  <si>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</si>
  <si>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</si>
  <si>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</si>
  <si>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</si>
  <si>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</si>
  <si>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</si>
  <si>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</si>
  <si>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</si>
  <si>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</si>
  <si>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</si>
  <si>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</si>
  <si>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</si>
  <si>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</si>
  <si>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</si>
  <si>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</si>
  <si>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</si>
  <si>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</si>
  <si>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</si>
  <si>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</si>
  <si>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</si>
  <si>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</si>
  <si>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</si>
  <si>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</si>
  <si>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</si>
  <si>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</si>
  <si>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</si>
  <si>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</si>
  <si>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</si>
  <si>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</si>
  <si>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</si>
  <si>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</si>
  <si>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</si>
  <si>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</si>
  <si>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</si>
  <si>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</si>
  <si>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</si>
  <si>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</si>
  <si>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</si>
  <si>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</si>
  <si>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</si>
  <si>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</si>
  <si>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</si>
  <si>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</si>
  <si>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</si>
  <si>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</si>
  <si>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</si>
  <si>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</si>
  <si>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</si>
  <si>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</si>
  <si>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</si>
  <si>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</si>
  <si>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</si>
  <si>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</si>
  <si>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</si>
  <si>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</si>
  <si>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</si>
  <si>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</si>
  <si>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</si>
  <si>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</si>
  <si>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</si>
  <si>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</si>
  <si>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</si>
  <si>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</si>
  <si>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</si>
  <si>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</si>
  <si>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</si>
  <si>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</si>
  <si>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</si>
  <si>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</si>
  <si>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</si>
  <si>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</si>
  <si>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</si>
  <si>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</si>
  <si>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</si>
  <si>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</si>
  <si>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</si>
  <si>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</si>
  <si>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</si>
  <si>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</si>
  <si>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</si>
  <si>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</si>
  <si>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</si>
  <si>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</si>
  <si>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</si>
  <si>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</si>
  <si>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</si>
  <si>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</si>
  <si>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</si>
  <si>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</si>
  <si>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</si>
  <si>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</si>
  <si>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</si>
  <si>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</si>
  <si>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</si>
  <si>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</si>
  <si>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</si>
  <si>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</si>
  <si>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</si>
  <si>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</si>
  <si>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</si>
  <si>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</si>
  <si>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</si>
  <si>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</si>
  <si>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</si>
  <si>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</si>
  <si>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</si>
  <si>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</si>
  <si>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</si>
  <si>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</si>
  <si>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</si>
  <si>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</si>
  <si>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</si>
  <si>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</si>
  <si>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</si>
  <si>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</si>
  <si>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</si>
  <si>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</si>
  <si>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</si>
  <si>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</si>
  <si>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</si>
  <si>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</si>
  <si>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</si>
  <si>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</si>
  <si>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</si>
  <si>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</si>
  <si>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</si>
  <si>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</si>
  <si>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</si>
  <si>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</si>
  <si>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</si>
  <si>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</si>
  <si>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</si>
  <si>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</si>
  <si>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</si>
  <si>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</si>
  <si>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</si>
  <si>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</si>
  <si>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</si>
  <si>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</si>
  <si>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</si>
  <si>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</si>
  <si>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</si>
  <si>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</si>
  <si>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</si>
  <si>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</si>
  <si>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</si>
  <si>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</si>
  <si>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</si>
  <si>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</si>
  <si>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</si>
  <si>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</si>
  <si>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</si>
  <si>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</si>
  <si>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</si>
  <si>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</si>
  <si>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</si>
  <si>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</si>
  <si>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</si>
  <si>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</si>
  <si>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</si>
  <si>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</si>
  <si>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</si>
  <si>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</si>
  <si>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</si>
  <si>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</si>
  <si>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</si>
  <si>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</si>
  <si>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</si>
  <si>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</si>
  <si>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</si>
  <si>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</si>
  <si>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</si>
  <si>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</si>
  <si>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</si>
  <si>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</si>
  <si>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</si>
  <si>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</si>
  <si>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</si>
  <si>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</si>
  <si>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</si>
  <si>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</si>
  <si>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</si>
  <si>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</si>
  <si>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</si>
  <si>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</si>
  <si>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</si>
  <si>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</si>
  <si>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</si>
  <si>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</si>
  <si>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</si>
  <si>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</si>
  <si>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</si>
  <si>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</si>
  <si>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</si>
  <si>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</si>
  <si>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</si>
  <si>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</si>
  <si>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</si>
  <si>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</si>
  <si>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</si>
  <si>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</si>
  <si>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</si>
  <si>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</si>
  <si>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</si>
  <si>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</si>
  <si>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</si>
  <si>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</si>
  <si>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</si>
  <si>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</si>
  <si>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</si>
  <si>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</si>
  <si>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</si>
  <si>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</si>
  <si>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</si>
  <si>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</si>
  <si>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</si>
  <si>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</si>
  <si>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</si>
  <si>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</si>
  <si>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</si>
  <si>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</si>
  <si>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</si>
  <si>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</si>
  <si>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</si>
  <si>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</si>
  <si>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</si>
  <si>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</si>
  <si>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</si>
  <si>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</si>
  <si>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</si>
  <si>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</si>
  <si>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</si>
  <si>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</si>
  <si>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</si>
  <si>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</si>
  <si>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</si>
  <si>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</si>
  <si>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</si>
  <si>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</si>
  <si>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</si>
  <si>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</si>
  <si>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</si>
  <si>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</si>
  <si>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</si>
  <si>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</si>
  <si>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</si>
  <si>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</si>
  <si>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</si>
  <si>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</si>
  <si>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</si>
  <si>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</si>
  <si>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</si>
  <si>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</si>
  <si>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</si>
  <si>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</si>
  <si>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</si>
  <si>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</si>
  <si>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</si>
  <si>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</si>
  <si>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</si>
  <si>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</si>
  <si>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</si>
  <si>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</si>
  <si>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</si>
  <si>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</si>
  <si>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</si>
  <si>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</si>
  <si>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</si>
  <si>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</si>
  <si>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</si>
  <si>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</si>
  <si>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</si>
  <si>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</si>
  <si>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</si>
  <si>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</si>
  <si>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</si>
  <si>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</si>
  <si>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</si>
  <si>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</si>
  <si>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</si>
  <si>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</si>
  <si>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</si>
  <si>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</si>
  <si>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</si>
  <si>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</si>
  <si>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</si>
  <si>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</si>
  <si>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</si>
  <si>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</si>
  <si>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</si>
  <si>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</si>
  <si>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</si>
  <si>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</si>
  <si>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</si>
  <si>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</si>
  <si>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</si>
  <si>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</si>
  <si>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</si>
  <si>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</si>
  <si>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</si>
  <si>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</si>
  <si>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</si>
  <si>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</si>
  <si>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</si>
  <si>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</si>
  <si>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</si>
  <si>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</si>
  <si>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</si>
  <si>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</si>
  <si>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</si>
  <si>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</si>
  <si>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</si>
  <si>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</si>
  <si>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</si>
  <si>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</si>
  <si>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</si>
  <si>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</si>
  <si>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</si>
  <si>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</si>
  <si>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</si>
  <si>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</si>
  <si>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</si>
  <si>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</si>
  <si>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</si>
  <si>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</si>
  <si>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</si>
  <si>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</si>
  <si>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</si>
  <si>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</si>
  <si>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</si>
  <si>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</si>
  <si>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</si>
  <si>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</si>
  <si>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</si>
  <si>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</si>
  <si>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</si>
  <si>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</si>
  <si>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</si>
  <si>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</si>
  <si>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</si>
  <si>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</si>
  <si>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</si>
  <si>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</si>
  <si>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</si>
  <si>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</si>
  <si>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</si>
  <si>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</si>
  <si>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</si>
  <si>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</si>
  <si>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</si>
  <si>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</si>
  <si>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</si>
  <si>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</si>
  <si>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</si>
  <si>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</si>
  <si>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</si>
  <si>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</si>
  <si>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</si>
  <si>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</si>
  <si>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</si>
  <si>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</si>
  <si>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</si>
  <si>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</si>
  <si>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</si>
  <si>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</si>
  <si>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</si>
  <si>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</si>
  <si>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</si>
  <si>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</si>
  <si>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</si>
  <si>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</si>
  <si>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</si>
  <si>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</si>
  <si>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</si>
  <si>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</si>
  <si>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</si>
  <si>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</si>
  <si>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</si>
  <si>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</si>
  <si>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</si>
  <si>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</si>
  <si>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</si>
  <si>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</si>
  <si>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</si>
  <si>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</si>
  <si>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</si>
  <si>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</si>
  <si>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</si>
  <si>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</si>
  <si>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</si>
  <si>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</si>
  <si>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</si>
  <si>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</si>
  <si>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</si>
  <si>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</si>
  <si>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</si>
  <si>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</si>
  <si>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</si>
  <si>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</si>
  <si>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</si>
  <si>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</si>
  <si>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</si>
  <si>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</si>
  <si>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</si>
  <si>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</si>
  <si>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</si>
  <si>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</si>
  <si>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</si>
  <si>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</si>
  <si>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</si>
  <si>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</si>
  <si>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</si>
  <si>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</si>
  <si>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</si>
  <si>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</si>
  <si>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</si>
  <si>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</si>
  <si>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</si>
  <si>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</si>
  <si>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</si>
  <si>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</si>
  <si>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</si>
  <si>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</si>
  <si>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</si>
  <si>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</si>
  <si>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</si>
  <si>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</si>
  <si>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</si>
  <si>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</si>
  <si>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</si>
  <si>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</si>
  <si>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</si>
  <si>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</si>
  <si>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</si>
  <si>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</si>
  <si>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</si>
  <si>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</si>
  <si>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</si>
  <si>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</si>
  <si>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</si>
  <si>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</si>
  <si>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</si>
  <si>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</si>
  <si>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</si>
  <si>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</si>
  <si>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</si>
  <si>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</si>
  <si>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</si>
  <si>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</si>
  <si>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</si>
  <si>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</si>
  <si>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</si>
  <si>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</si>
  <si>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</si>
  <si>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</si>
  <si>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</si>
  <si>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</si>
  <si>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</si>
  <si>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</si>
  <si>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</si>
  <si>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</si>
  <si>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</si>
  <si>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</si>
  <si>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</si>
  <si>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</si>
  <si>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</si>
  <si>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</si>
  <si>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</si>
  <si>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</si>
  <si>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</si>
  <si>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</si>
  <si>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</si>
  <si>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</si>
  <si>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</si>
  <si>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</si>
  <si>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</si>
  <si>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</si>
  <si>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</si>
  <si>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</si>
  <si>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</si>
  <si>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</si>
  <si>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</si>
  <si>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</si>
  <si>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</si>
  <si>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</si>
  <si>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</si>
  <si>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</si>
  <si>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</si>
  <si>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</si>
  <si>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</si>
  <si>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</si>
  <si>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</si>
  <si>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</si>
  <si>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</si>
  <si>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</si>
  <si>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</si>
  <si>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</si>
  <si>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</si>
  <si>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</si>
  <si>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</si>
  <si>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</si>
  <si>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</si>
  <si>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</si>
  <si>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</si>
  <si>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</si>
  <si>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</si>
  <si>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</si>
  <si>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</si>
  <si>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</si>
  <si>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</si>
  <si>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</si>
  <si>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</si>
  <si>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</si>
  <si>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</si>
  <si>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</si>
  <si>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</si>
  <si>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</si>
  <si>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</si>
  <si>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</si>
  <si>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</si>
  <si>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</si>
  <si>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</si>
  <si>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</si>
  <si>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</si>
  <si>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</si>
  <si>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</si>
  <si>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</si>
  <si>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</si>
  <si>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</si>
  <si>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</si>
  <si>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</si>
  <si>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</si>
  <si>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</si>
  <si>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</si>
  <si>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</si>
  <si>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</si>
  <si>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</si>
  <si>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</si>
  <si>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</si>
  <si>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</si>
  <si>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</si>
  <si>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</si>
  <si>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</si>
  <si>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</si>
  <si>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</si>
  <si>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</si>
  <si>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</si>
  <si>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</si>
  <si>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</si>
  <si>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</si>
  <si>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</si>
  <si>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</si>
  <si>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</si>
  <si>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</si>
  <si>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</si>
  <si>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</si>
  <si>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</si>
  <si>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</si>
  <si>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</si>
  <si>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</si>
  <si>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</si>
  <si>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</si>
  <si>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</si>
  <si>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</si>
  <si>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</si>
  <si>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</si>
  <si>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</si>
  <si>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</si>
  <si>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</si>
  <si>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</si>
  <si>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</si>
  <si>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</si>
  <si>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</si>
  <si>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</si>
  <si>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</si>
  <si>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</si>
  <si>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</si>
  <si>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</si>
  <si>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</si>
  <si>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</si>
  <si>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</si>
  <si>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</si>
  <si>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</si>
  <si>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</si>
  <si>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</si>
  <si>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</si>
  <si>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</si>
  <si>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</si>
  <si>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</si>
  <si>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</si>
  <si>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</si>
  <si>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</si>
  <si>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</si>
  <si>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</si>
  <si>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</si>
  <si>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</si>
  <si>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</si>
  <si>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</si>
  <si>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</si>
  <si>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</si>
  <si>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</si>
  <si>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</si>
  <si>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</si>
  <si>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</si>
  <si>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</si>
  <si>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</si>
  <si>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</si>
  <si>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</si>
  <si>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</si>
  <si>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</si>
  <si>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</si>
  <si>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</si>
  <si>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</si>
  <si>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</si>
  <si>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</si>
  <si>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</si>
  <si>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</si>
  <si>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</si>
  <si>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</si>
  <si>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</si>
  <si>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</si>
  <si>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</si>
  <si>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</si>
  <si>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</si>
  <si>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</si>
  <si>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</si>
  <si>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</si>
  <si>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</si>
  <si>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</si>
  <si>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</si>
  <si>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</si>
  <si>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</si>
  <si>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</si>
  <si>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</si>
  <si>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</si>
  <si>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</si>
  <si>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</si>
  <si>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</si>
  <si>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</si>
  <si>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</si>
  <si>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</si>
  <si>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</si>
  <si>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</si>
  <si>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</si>
  <si>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</si>
  <si>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</si>
  <si>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</si>
  <si>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</si>
  <si>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</si>
  <si>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</si>
  <si>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</si>
  <si>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</si>
  <si>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</si>
  <si>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</si>
  <si>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</si>
  <si>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</si>
  <si>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</si>
  <si>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</si>
  <si>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</si>
  <si>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</si>
  <si>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</si>
  <si>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</si>
  <si>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</si>
  <si>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</si>
  <si>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</si>
  <si>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</si>
  <si>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</si>
  <si>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</si>
  <si>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</si>
  <si>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</si>
  <si>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</si>
  <si>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</si>
  <si>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</si>
  <si>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</si>
  <si>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</si>
  <si>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</si>
  <si>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</si>
  <si>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</si>
  <si>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</si>
  <si>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</si>
  <si>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</si>
  <si>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</si>
  <si>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</si>
  <si>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</si>
  <si>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</si>
  <si>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</si>
  <si>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</si>
  <si>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</si>
  <si>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</si>
  <si>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</si>
  <si>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</si>
  <si>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</si>
  <si>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</si>
  <si>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</si>
  <si>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</si>
  <si>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</si>
  <si>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</si>
  <si>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</si>
  <si>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</si>
  <si>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</si>
  <si>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</si>
  <si>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</si>
  <si>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</si>
  <si>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</si>
  <si>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</si>
  <si>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</si>
  <si>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</si>
  <si>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</si>
  <si>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</si>
  <si>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</si>
  <si>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</si>
  <si>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</si>
  <si>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</si>
  <si>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</si>
  <si>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</si>
  <si>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</si>
  <si>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</si>
  <si>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</si>
  <si>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</si>
  <si>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</si>
  <si>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</si>
  <si>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</si>
  <si>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</si>
  <si>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</si>
  <si>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</si>
  <si>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</si>
  <si>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</si>
  <si>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</si>
  <si>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</si>
  <si>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</si>
  <si>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</si>
  <si>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</si>
  <si>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</si>
  <si>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</si>
  <si>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</si>
  <si>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</si>
  <si>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</si>
  <si>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</si>
  <si>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</si>
  <si>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</si>
  <si>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</si>
  <si>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</si>
  <si>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</si>
  <si>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</si>
  <si>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</si>
  <si>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</si>
  <si>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</si>
  <si>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</si>
  <si>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</si>
  <si>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</si>
  <si>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</si>
  <si>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</si>
  <si>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</si>
  <si>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</si>
  <si>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</si>
  <si>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</si>
  <si>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</si>
  <si>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</si>
  <si>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</si>
  <si>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</si>
  <si>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</si>
  <si>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</si>
  <si>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</si>
  <si>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</si>
  <si>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</si>
  <si>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</si>
  <si>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</si>
  <si>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</si>
  <si>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</si>
  <si>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</si>
  <si>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</si>
  <si>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</si>
  <si>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</si>
  <si>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</si>
  <si>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</si>
  <si>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</si>
  <si>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</si>
  <si>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</si>
  <si>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</si>
  <si>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</si>
  <si>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</si>
  <si>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</si>
  <si>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</si>
  <si>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</si>
  <si>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</si>
  <si>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</si>
  <si>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</si>
  <si>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</si>
  <si>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</si>
  <si>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</si>
  <si>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</si>
  <si>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</si>
  <si>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</si>
  <si>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</si>
  <si>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</si>
  <si>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</si>
  <si>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</si>
  <si>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</si>
  <si>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</si>
  <si>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</si>
  <si>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</si>
  <si>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</si>
  <si>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</si>
  <si>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</si>
  <si>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</si>
  <si>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</si>
  <si>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</si>
  <si>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</si>
  <si>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</si>
  <si>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</si>
  <si>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</si>
  <si>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</si>
  <si>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</si>
  <si>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</si>
  <si>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</si>
  <si>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</si>
  <si>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</si>
  <si>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</si>
  <si>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</si>
  <si>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</si>
  <si>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</si>
  <si>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</si>
  <si>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</si>
  <si>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</si>
  <si>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</si>
  <si>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</si>
  <si>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</si>
  <si>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</si>
  <si>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</si>
  <si>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</si>
  <si>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</si>
  <si>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</si>
  <si>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</si>
  <si>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</si>
  <si>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</si>
  <si>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</si>
  <si>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</si>
  <si>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</si>
  <si>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</si>
  <si>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</si>
  <si>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</si>
  <si>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</si>
  <si>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</si>
  <si>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</si>
  <si>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</si>
  <si>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</si>
  <si>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</si>
  <si>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</si>
  <si>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</si>
  <si>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</si>
  <si>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</si>
  <si>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</si>
  <si>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</si>
  <si>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</si>
  <si>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</si>
  <si>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</si>
  <si>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</si>
  <si>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</si>
  <si>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</si>
  <si>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</si>
  <si>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</si>
  <si>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</si>
  <si>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</si>
  <si>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</si>
  <si>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</si>
  <si>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</si>
  <si>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</si>
  <si>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</si>
  <si>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</si>
  <si>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</si>
  <si>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</si>
  <si>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</si>
  <si>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</si>
  <si>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</si>
  <si>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</si>
  <si>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</si>
  <si>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</si>
  <si>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</si>
  <si>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</si>
  <si>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</si>
  <si>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</si>
  <si>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</si>
  <si>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</si>
  <si>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</si>
  <si>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</si>
  <si>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</si>
  <si>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</si>
  <si>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</si>
  <si>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</si>
  <si>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</si>
  <si>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</si>
  <si>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</si>
  <si>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</si>
  <si>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</si>
  <si>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</si>
  <si>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</si>
  <si>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</si>
  <si>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</si>
  <si>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</si>
  <si>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</si>
  <si>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</si>
  <si>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</si>
  <si>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</si>
  <si>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</si>
  <si>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</si>
  <si>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</si>
  <si>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</si>
  <si>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</si>
  <si>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</si>
  <si>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</si>
  <si>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</si>
  <si>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</si>
  <si>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</si>
  <si>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</si>
  <si>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</si>
  <si>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</si>
  <si>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</si>
  <si>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</si>
  <si>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</si>
  <si>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</si>
  <si>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</si>
  <si>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</si>
  <si>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</si>
  <si>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</si>
  <si>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</si>
  <si>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</si>
  <si>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</si>
  <si>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</si>
  <si>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</si>
  <si>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</si>
  <si>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</si>
  <si>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</si>
  <si>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</si>
  <si>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</si>
  <si>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</si>
  <si>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</si>
  <si>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</si>
  <si>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</si>
  <si>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</si>
  <si>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</si>
  <si>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</si>
  <si>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</si>
  <si>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</si>
  <si>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</si>
  <si>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</si>
  <si>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</si>
  <si>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</si>
  <si>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</si>
  <si>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</si>
  <si>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</si>
  <si>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</si>
  <si>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</si>
  <si>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</si>
  <si>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</si>
  <si>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</si>
  <si>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</si>
  <si>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</si>
  <si>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</si>
  <si>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</si>
  <si>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</si>
  <si>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</si>
  <si>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</si>
  <si>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</si>
  <si>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</si>
  <si>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</si>
  <si>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</si>
  <si>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</si>
  <si>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</si>
  <si>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</si>
  <si>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</si>
  <si>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</si>
  <si>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</si>
  <si>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</si>
  <si>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</si>
  <si>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</si>
  <si>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</si>
  <si>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</si>
  <si>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</si>
  <si>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</si>
  <si>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</si>
  <si>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</si>
  <si>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</si>
  <si>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</si>
  <si>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</si>
  <si>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</si>
  <si>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</si>
  <si>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</si>
  <si>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</si>
  <si>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</si>
  <si>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</si>
  <si>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</si>
  <si>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</si>
  <si>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</si>
  <si>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</si>
  <si>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</si>
  <si>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</si>
  <si>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</si>
  <si>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</si>
  <si>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</si>
  <si>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</si>
  <si>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</si>
  <si>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</si>
  <si>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</si>
  <si>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</si>
  <si>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</si>
  <si>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</si>
  <si>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</si>
  <si>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</si>
  <si>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</si>
  <si>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</si>
  <si>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</si>
  <si>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</si>
  <si>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</si>
  <si>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</si>
  <si>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</si>
  <si>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</si>
  <si>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</si>
  <si>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</si>
  <si>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</si>
  <si>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</si>
  <si>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</si>
  <si>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</si>
  <si>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</si>
  <si>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</si>
  <si>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</si>
  <si>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</si>
  <si>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</si>
  <si>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</si>
  <si>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</si>
  <si>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</si>
  <si>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</si>
  <si>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</si>
  <si>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</si>
  <si>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</si>
  <si>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</si>
  <si>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</si>
  <si>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</si>
  <si>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</si>
  <si>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</si>
  <si>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</si>
  <si>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</si>
  <si>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</si>
  <si>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</si>
  <si>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</si>
  <si>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</si>
  <si>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</si>
  <si>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</si>
  <si>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</si>
  <si>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</si>
  <si>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</si>
  <si>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</si>
  <si>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</si>
  <si>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</si>
  <si>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</si>
  <si>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</si>
  <si>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</si>
  <si>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</si>
  <si>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</si>
  <si>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</si>
  <si>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</si>
  <si>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</si>
  <si>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</si>
  <si>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</si>
  <si>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</si>
  <si>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</si>
  <si>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</si>
  <si>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</si>
  <si>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</si>
  <si>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</si>
  <si>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</si>
  <si>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</si>
  <si>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</si>
  <si>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</si>
  <si>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</si>
  <si>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</si>
  <si>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</si>
  <si>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</si>
  <si>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</si>
  <si>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</si>
  <si>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</si>
  <si>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</si>
  <si>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</si>
  <si>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</si>
  <si>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</si>
  <si>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</si>
  <si>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</si>
  <si>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</si>
  <si>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</si>
  <si>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</si>
  <si>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</si>
  <si>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</si>
  <si>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</si>
  <si>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</si>
  <si>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</si>
  <si>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</si>
  <si>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</si>
  <si>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</si>
  <si>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</si>
  <si>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</si>
  <si>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</si>
  <si>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</si>
  <si>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</si>
  <si>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</si>
  <si>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</si>
  <si>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</si>
  <si>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</si>
  <si>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</si>
  <si>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</si>
  <si>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</si>
  <si>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</si>
  <si>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</si>
  <si>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</si>
  <si>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</si>
  <si>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</si>
  <si>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</si>
  <si>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</si>
  <si>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</si>
  <si>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</si>
  <si>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</si>
  <si>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</si>
  <si>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</si>
  <si>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</si>
  <si>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</si>
  <si>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</si>
  <si>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</si>
  <si>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</si>
  <si>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</si>
  <si>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</si>
  <si>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</si>
  <si>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</si>
  <si>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</si>
  <si>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</si>
  <si>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</si>
  <si>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</si>
  <si>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</si>
  <si>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</si>
  <si>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</si>
  <si>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</si>
  <si>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</si>
  <si>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</si>
  <si>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</si>
  <si>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</si>
  <si>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</si>
  <si>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</si>
  <si>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</si>
  <si>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</si>
  <si>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</si>
  <si>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</si>
  <si>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</si>
  <si>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</si>
  <si>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</si>
  <si>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</si>
  <si>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</si>
  <si>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</si>
  <si>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</si>
  <si>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</si>
  <si>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</si>
  <si>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</si>
  <si>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</si>
  <si>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</si>
  <si>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</si>
  <si>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</si>
  <si>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</si>
  <si>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</si>
  <si>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</si>
  <si>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</si>
  <si>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</si>
  <si>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</si>
  <si>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</si>
  <si>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</si>
  <si>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</si>
  <si>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</si>
  <si>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</si>
  <si>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</si>
  <si>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</si>
  <si>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</si>
  <si>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</si>
  <si>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</si>
  <si>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</si>
  <si>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</si>
  <si>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</si>
  <si>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</si>
  <si>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</si>
  <si>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</si>
  <si>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</si>
  <si>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</si>
  <si>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</si>
  <si>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</si>
  <si>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</si>
  <si>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</si>
  <si>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</si>
  <si>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</si>
  <si>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</si>
  <si>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</si>
  <si>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</si>
  <si>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</si>
  <si>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</si>
  <si>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</si>
  <si>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</si>
  <si>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</si>
  <si>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</si>
  <si>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</si>
  <si>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</si>
  <si>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</si>
  <si>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</si>
  <si>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</si>
  <si>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</si>
  <si>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</si>
  <si>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</si>
  <si>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</si>
  <si>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</si>
  <si>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</si>
  <si>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</si>
  <si>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</si>
  <si>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</si>
  <si>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</si>
  <si>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</si>
  <si>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</si>
  <si>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</si>
  <si>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</si>
  <si>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</si>
  <si>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</si>
  <si>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</si>
  <si>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</si>
  <si>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</si>
  <si>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</si>
  <si>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</si>
  <si>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</si>
  <si>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</si>
  <si>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</si>
  <si>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</si>
  <si>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</si>
  <si>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</si>
  <si>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</si>
  <si>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</si>
  <si>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</si>
  <si>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</si>
  <si>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</si>
  <si>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</si>
  <si>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</si>
  <si>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</si>
  <si>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</si>
  <si>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</si>
  <si>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</si>
  <si>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</si>
  <si>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</si>
  <si>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</si>
  <si>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</si>
  <si>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</si>
  <si>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</si>
  <si>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</si>
  <si>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</si>
  <si>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</si>
  <si>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</si>
  <si>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</si>
  <si>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</si>
  <si>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</si>
  <si>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</si>
  <si>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</si>
  <si>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</si>
  <si>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</si>
  <si>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</si>
  <si>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</si>
  <si>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</si>
  <si>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</si>
  <si>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</si>
  <si>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</si>
  <si>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</si>
  <si>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</si>
  <si>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</si>
  <si>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</si>
  <si>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</si>
  <si>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</si>
  <si>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</si>
  <si>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</si>
  <si>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</si>
  <si>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</si>
  <si>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</si>
  <si>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</si>
  <si>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</si>
  <si>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</si>
  <si>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</si>
  <si>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</si>
  <si>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</si>
  <si>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</si>
  <si>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</si>
  <si>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</si>
  <si>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</si>
  <si>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</si>
  <si>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</si>
  <si>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</si>
  <si>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</si>
  <si>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</si>
  <si>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</si>
  <si>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</si>
  <si>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</si>
  <si>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</si>
  <si>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</si>
  <si>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</si>
  <si>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</si>
  <si>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</si>
  <si>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</si>
  <si>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</si>
  <si>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</si>
  <si>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</si>
  <si>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</si>
  <si>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</si>
  <si>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</si>
  <si>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</si>
  <si>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</si>
  <si>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</si>
  <si>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</si>
  <si>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</si>
  <si>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</si>
  <si>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</si>
  <si>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</si>
  <si>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</si>
  <si>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</si>
  <si>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</si>
  <si>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</si>
  <si>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</si>
  <si>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</si>
  <si>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</si>
  <si>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</si>
  <si>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</si>
  <si>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</si>
  <si>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</si>
  <si>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</si>
  <si>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</si>
  <si>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</si>
  <si>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</si>
  <si>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</si>
  <si>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</si>
  <si>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</si>
  <si>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</si>
  <si>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</si>
  <si>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</si>
  <si>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</si>
  <si>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</si>
  <si>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</si>
  <si>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</si>
  <si>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</si>
  <si>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</si>
  <si>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</si>
  <si>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</si>
  <si>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</si>
  <si>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</si>
  <si>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</si>
  <si>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</si>
  <si>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</si>
  <si>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</si>
  <si>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</si>
  <si>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</si>
  <si>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</si>
  <si>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</si>
  <si>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</si>
  <si>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</si>
  <si>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</si>
  <si>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</si>
  <si>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</si>
  <si>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</si>
  <si>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</si>
  <si>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</si>
  <si>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</si>
  <si>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</si>
  <si>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</si>
  <si>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</si>
  <si>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</si>
  <si>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</si>
  <si>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</si>
  <si>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</si>
  <si>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</si>
  <si>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</si>
  <si>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</si>
  <si>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</si>
  <si>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</si>
  <si>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</si>
  <si>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</si>
  <si>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</si>
  <si>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</si>
  <si>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</si>
  <si>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</si>
  <si>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</si>
  <si>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</si>
  <si>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</si>
  <si>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</si>
  <si>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</si>
  <si>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</si>
  <si>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</si>
  <si>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</si>
  <si>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</si>
  <si>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</si>
  <si>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</si>
  <si>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</si>
  <si>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</si>
  <si>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</si>
  <si>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</si>
  <si>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</si>
  <si>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</si>
  <si>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</si>
  <si>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</si>
  <si>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</si>
  <si>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</si>
  <si>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</si>
  <si>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</si>
  <si>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</si>
  <si>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</si>
  <si>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</si>
  <si>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</si>
  <si>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</si>
  <si>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</si>
  <si>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</si>
  <si>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</si>
  <si>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</si>
  <si>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</si>
  <si>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</si>
  <si>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</si>
  <si>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</si>
  <si>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</si>
  <si>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</si>
  <si>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</si>
  <si>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</si>
  <si>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</si>
  <si>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</si>
  <si>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</si>
  <si>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</si>
  <si>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</si>
  <si>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</si>
  <si>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</si>
  <si>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</si>
  <si>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</si>
  <si>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</si>
  <si>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</si>
  <si>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</si>
  <si>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</si>
  <si>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</si>
  <si>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</si>
  <si>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</si>
  <si>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</si>
  <si>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</si>
  <si>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</si>
  <si>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</si>
  <si>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</si>
  <si>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</si>
  <si>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</si>
  <si>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</si>
  <si>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</si>
  <si>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</si>
  <si>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</si>
  <si>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</si>
  <si>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</si>
  <si>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</si>
  <si>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</si>
  <si>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</si>
  <si>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</si>
  <si>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</si>
  <si>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</si>
  <si>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</si>
  <si>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</si>
  <si>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</si>
  <si>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</si>
  <si>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</si>
  <si>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</si>
  <si>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</si>
  <si>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</si>
  <si>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</si>
  <si>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</si>
  <si>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</si>
  <si>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</si>
  <si>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</si>
  <si>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</si>
  <si>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</si>
  <si>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</si>
  <si>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</si>
  <si>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</si>
  <si>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</si>
  <si>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</si>
  <si>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</si>
  <si>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</si>
  <si>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</si>
  <si>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</si>
  <si>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</si>
  <si>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</si>
  <si>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</si>
  <si>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</si>
  <si>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</si>
  <si>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</si>
  <si>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</si>
  <si>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</si>
  <si>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</si>
  <si>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</si>
  <si>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</si>
  <si>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</si>
  <si>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</si>
  <si>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</si>
  <si>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</si>
  <si>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</si>
  <si>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</si>
  <si>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</si>
  <si>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</si>
  <si>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</si>
  <si>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</si>
  <si>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</si>
  <si>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</si>
  <si>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</si>
  <si>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</si>
  <si>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</si>
  <si>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</si>
  <si>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</si>
  <si>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</si>
  <si>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</si>
  <si>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</si>
  <si>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</si>
  <si>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</si>
  <si>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</si>
  <si>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</si>
  <si>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</si>
  <si>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</si>
  <si>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</si>
  <si>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</si>
  <si>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</si>
  <si>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</si>
  <si>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</si>
  <si>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</si>
  <si>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</si>
  <si>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</si>
  <si>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</si>
  <si>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</si>
  <si>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</si>
  <si>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</si>
  <si>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</si>
  <si>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</si>
  <si>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</si>
  <si>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</si>
  <si>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</si>
  <si>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</si>
  <si>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</si>
  <si>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</si>
  <si>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</si>
  <si>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</si>
  <si>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</si>
  <si>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</si>
  <si>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</si>
  <si>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</si>
  <si>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</si>
  <si>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</si>
  <si>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</si>
  <si>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</si>
  <si>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</si>
  <si>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</si>
  <si>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</si>
  <si>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</si>
  <si>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</si>
  <si>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</si>
  <si>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</si>
  <si>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</si>
  <si>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</si>
  <si>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</si>
  <si>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</si>
  <si>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</si>
  <si>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</si>
  <si>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</si>
  <si>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</si>
  <si>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</si>
  <si>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</si>
  <si>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</si>
  <si>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</si>
  <si>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</si>
  <si>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</si>
  <si>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</si>
  <si>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</si>
  <si>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</si>
  <si>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</si>
  <si>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</si>
  <si>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</si>
  <si>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</si>
  <si>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</si>
  <si>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</si>
  <si>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</si>
  <si>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</si>
  <si>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</si>
  <si>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</si>
  <si>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</si>
  <si>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</si>
  <si>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</si>
  <si>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</si>
  <si>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</si>
  <si>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</si>
  <si>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</si>
  <si>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</si>
  <si>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</si>
  <si>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</si>
  <si>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</si>
  <si>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</si>
  <si>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</si>
  <si>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</si>
  <si>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</si>
  <si>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</si>
  <si>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</si>
  <si>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</si>
  <si>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</si>
  <si>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</si>
  <si>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</si>
  <si>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</si>
  <si>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</si>
  <si>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</si>
  <si>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</si>
  <si>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</si>
  <si>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</si>
  <si>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</si>
  <si>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</si>
  <si>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</si>
  <si>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</si>
  <si>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</si>
  <si>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</si>
  <si>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</si>
  <si>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</si>
  <si>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</si>
  <si>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</si>
  <si>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</si>
  <si>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</si>
  <si>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</si>
  <si>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</si>
  <si>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</si>
  <si>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</si>
  <si>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</si>
  <si>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</si>
  <si>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</si>
  <si>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</si>
  <si>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</si>
  <si>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</si>
  <si>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</si>
  <si>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</si>
  <si>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</si>
  <si>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</si>
  <si>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</si>
  <si>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</si>
  <si>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</si>
  <si>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</si>
  <si>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</si>
  <si>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</si>
  <si>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</si>
  <si>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</si>
  <si>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</si>
  <si>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</si>
  <si>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</si>
  <si>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</si>
  <si>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</si>
  <si>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</si>
  <si>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</si>
  <si>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</si>
  <si>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</si>
  <si>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</si>
  <si>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</si>
  <si>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</si>
  <si>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</si>
  <si>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</si>
  <si>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</si>
  <si>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</si>
  <si>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</si>
  <si>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</si>
  <si>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</si>
  <si>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</si>
  <si>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</si>
  <si>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</si>
  <si>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</si>
  <si>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</si>
  <si>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</si>
  <si>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</si>
  <si>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</si>
  <si>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</si>
  <si>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</si>
  <si>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</si>
  <si>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</si>
  <si>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</si>
  <si>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</si>
  <si>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</si>
  <si>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</si>
  <si>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</si>
  <si>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</si>
  <si>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</si>
  <si>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</si>
  <si>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</si>
  <si>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</si>
  <si>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</si>
  <si>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</si>
  <si>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</si>
  <si>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</si>
  <si>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</si>
  <si>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</si>
  <si>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</si>
  <si>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</si>
  <si>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</si>
  <si>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</si>
  <si>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</si>
  <si>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</si>
  <si>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</si>
  <si>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</si>
  <si>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</si>
  <si>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</si>
  <si>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</si>
  <si>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</si>
  <si>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</si>
  <si>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</si>
  <si>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</si>
  <si>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</si>
  <si>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</si>
  <si>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</si>
  <si>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</si>
  <si>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</si>
  <si>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</si>
  <si>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</si>
  <si>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</si>
  <si>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</si>
  <si>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</si>
  <si>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</si>
  <si>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</si>
  <si>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</si>
  <si>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</si>
  <si>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</si>
  <si>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</si>
  <si>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</si>
  <si>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</si>
  <si>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</si>
  <si>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</si>
  <si>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</si>
  <si>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</si>
  <si>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</si>
  <si>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</si>
  <si>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</si>
  <si>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</si>
  <si>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</si>
  <si>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</si>
  <si>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</si>
  <si>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</si>
  <si>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</si>
  <si>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</si>
  <si>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</si>
  <si>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</si>
  <si>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</si>
  <si>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</si>
  <si>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</si>
  <si>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</si>
  <si>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</si>
  <si>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</si>
  <si>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</si>
  <si>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</si>
  <si>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</si>
  <si>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</si>
  <si>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</si>
  <si>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</si>
  <si>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</si>
  <si>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</si>
  <si>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</si>
  <si>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</si>
  <si>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</si>
  <si>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</si>
  <si>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</si>
  <si>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</si>
  <si>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</si>
  <si>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</si>
  <si>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</si>
  <si>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</si>
  <si>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</si>
  <si>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</si>
  <si>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</si>
  <si>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</si>
  <si>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</si>
  <si>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</si>
  <si>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</si>
  <si>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</si>
  <si>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</si>
  <si>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</si>
  <si>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</si>
  <si>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</si>
  <si>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</si>
  <si>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</si>
  <si>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</si>
  <si>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</si>
  <si>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</si>
  <si>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</si>
  <si>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</si>
  <si>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</si>
  <si>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</si>
  <si>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</si>
  <si>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</si>
  <si>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</si>
  <si>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</si>
  <si>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</si>
  <si>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</si>
  <si>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</si>
  <si>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</si>
  <si>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</si>
  <si>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</si>
  <si>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</si>
  <si>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</si>
  <si>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</si>
  <si>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</si>
  <si>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</si>
  <si>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</si>
  <si>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</si>
  <si>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</si>
  <si>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</si>
  <si>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</si>
  <si>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</si>
  <si>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</si>
  <si>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</si>
  <si>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</si>
  <si>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</si>
  <si>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</si>
  <si>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</si>
  <si>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</si>
  <si>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</si>
  <si>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</si>
  <si>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</si>
  <si>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</si>
  <si>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</si>
  <si>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</si>
  <si>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</si>
  <si>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</si>
  <si>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</si>
  <si>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</si>
  <si>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</si>
  <si>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</si>
  <si>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</si>
  <si>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</si>
  <si>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</si>
  <si>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</si>
  <si>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</si>
  <si>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</si>
  <si>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</si>
  <si>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</si>
  <si>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</si>
  <si>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</si>
  <si>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</si>
  <si>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</si>
  <si>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</si>
  <si>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</si>
  <si>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</si>
  <si>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</si>
  <si>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</si>
  <si>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</si>
  <si>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</si>
  <si>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</si>
  <si>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</si>
  <si>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</si>
  <si>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</si>
  <si>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</si>
  <si>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</si>
  <si>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</si>
  <si>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</si>
  <si>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</si>
  <si>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</si>
  <si>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</si>
  <si>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</si>
  <si>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</si>
  <si>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</si>
  <si>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</si>
  <si>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</si>
  <si>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</si>
  <si>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</si>
  <si>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</si>
  <si>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</si>
  <si>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</si>
  <si>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</si>
  <si>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</si>
  <si>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</si>
  <si>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</si>
  <si>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</si>
  <si>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</si>
  <si>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</si>
  <si>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</si>
  <si>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</si>
  <si>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</si>
  <si>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</si>
  <si>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</si>
  <si>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</si>
  <si>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</si>
  <si>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</si>
  <si>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</si>
  <si>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</si>
  <si>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</si>
  <si>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</si>
  <si>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</si>
  <si>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</si>
  <si>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</si>
  <si>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</si>
  <si>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</si>
  <si>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</si>
  <si>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</si>
  <si>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</si>
  <si>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</si>
  <si>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</si>
  <si>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</si>
  <si>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</si>
  <si>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</si>
  <si>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</si>
  <si>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</si>
  <si>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</si>
  <si>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</si>
  <si>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</si>
  <si>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</si>
  <si>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</si>
  <si>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</si>
  <si>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</si>
  <si>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</si>
  <si>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</si>
  <si>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</si>
  <si>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</si>
  <si>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</si>
  <si>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</si>
  <si>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</si>
  <si>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</si>
  <si>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</si>
  <si>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</si>
  <si>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</si>
  <si>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</si>
  <si>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</si>
  <si>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</si>
  <si>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</si>
  <si>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</si>
  <si>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</si>
  <si>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</si>
  <si>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</si>
  <si>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</si>
  <si>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</si>
  <si>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</si>
  <si>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</si>
  <si>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</si>
  <si>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</si>
  <si>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</si>
  <si>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</si>
  <si>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</si>
  <si>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</si>
  <si>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</si>
  <si>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</si>
  <si>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</si>
  <si>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</si>
  <si>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</si>
  <si>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</si>
  <si>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</si>
  <si>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</si>
  <si>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</si>
  <si>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</si>
  <si>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</si>
  <si>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</si>
  <si>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</si>
  <si>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</si>
  <si>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</si>
  <si>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</si>
  <si>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</si>
  <si>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</si>
  <si>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</si>
  <si>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</si>
  <si>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</si>
  <si>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</si>
  <si>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</si>
  <si>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</si>
  <si>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</si>
  <si>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</si>
  <si>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</si>
  <si>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</si>
  <si>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</si>
  <si>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</si>
  <si>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</si>
  <si>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</si>
  <si>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</si>
  <si>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</si>
  <si>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</si>
  <si>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</si>
  <si>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</si>
  <si>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</si>
  <si>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</si>
  <si>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</si>
  <si>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</si>
  <si>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</si>
  <si>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</si>
  <si>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</si>
  <si>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</si>
  <si>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</si>
  <si>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</si>
  <si>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</si>
  <si>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</si>
  <si>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</si>
  <si>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</si>
  <si>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</si>
  <si>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</si>
  <si>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</si>
  <si>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</si>
  <si>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</si>
  <si>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</si>
  <si>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</si>
  <si>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</si>
  <si>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</si>
  <si>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</si>
  <si>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</si>
  <si>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</si>
  <si>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</si>
  <si>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</si>
  <si>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</si>
  <si>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</si>
  <si>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</si>
  <si>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</si>
  <si>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</si>
  <si>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</si>
  <si>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</si>
  <si>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</si>
  <si>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</si>
  <si>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</si>
  <si>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</si>
  <si>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</si>
  <si>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</si>
  <si>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</si>
  <si>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</si>
  <si>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</si>
  <si>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</si>
  <si>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</si>
  <si>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</si>
  <si>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</si>
  <si>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</si>
  <si>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</si>
  <si>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</si>
  <si>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</si>
  <si>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</si>
  <si>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</si>
  <si>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</si>
  <si>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</si>
  <si>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</si>
  <si>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</si>
  <si>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</si>
  <si>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</si>
  <si>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</si>
  <si>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</si>
  <si>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</si>
  <si>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</si>
  <si>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</si>
  <si>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</si>
  <si>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</si>
  <si>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</si>
  <si>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</si>
  <si>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</si>
  <si>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</si>
  <si>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</si>
  <si>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</si>
  <si>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</si>
  <si>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</si>
  <si>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</si>
  <si>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</si>
  <si>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</si>
  <si>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</si>
  <si>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</si>
  <si>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</si>
  <si>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</si>
  <si>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</si>
  <si>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</si>
  <si>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</si>
  <si>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</si>
  <si>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</si>
  <si>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</si>
  <si>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</si>
  <si>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</si>
  <si>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</si>
  <si>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</si>
  <si>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</si>
  <si>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</si>
  <si>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</si>
  <si>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</si>
  <si>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</si>
  <si>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</si>
  <si>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</si>
  <si>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</si>
  <si>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</si>
  <si>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</si>
  <si>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</si>
  <si>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</si>
  <si>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</si>
  <si>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</si>
  <si>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</si>
  <si>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</si>
  <si>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</si>
  <si>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</si>
  <si>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</si>
  <si>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</si>
  <si>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</si>
  <si>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</si>
  <si>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</si>
  <si>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</si>
  <si>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</si>
  <si>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</si>
  <si>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</si>
  <si>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</si>
  <si>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</si>
  <si>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</si>
  <si>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</si>
  <si>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</si>
  <si>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</si>
  <si>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</si>
  <si>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</si>
  <si>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</si>
  <si>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</si>
  <si>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</si>
  <si>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</si>
  <si>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</si>
  <si>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</si>
  <si>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</si>
  <si>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</si>
  <si>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</si>
  <si>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</si>
  <si>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</si>
  <si>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</si>
  <si>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</si>
  <si>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</si>
  <si>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</si>
  <si>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</si>
  <si>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</si>
  <si>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</si>
  <si>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</si>
  <si>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</si>
  <si>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</si>
  <si>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</si>
  <si>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</si>
  <si>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</si>
  <si>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</si>
  <si>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</si>
  <si>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</si>
  <si>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</si>
  <si>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</si>
  <si>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</si>
  <si>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</si>
  <si>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</si>
  <si>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</si>
  <si>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</si>
  <si>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</si>
  <si>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</si>
  <si>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</si>
  <si>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</si>
  <si>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</si>
  <si>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</si>
  <si>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</si>
  <si>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</si>
  <si>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</si>
  <si>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</si>
  <si>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</si>
  <si>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</si>
  <si>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</si>
  <si>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</si>
  <si>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</si>
  <si>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</si>
  <si>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</si>
  <si>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</si>
  <si>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</si>
  <si>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</si>
  <si>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</si>
  <si>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</si>
  <si>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</si>
  <si>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</si>
  <si>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</si>
  <si>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</si>
  <si>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</si>
  <si>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</si>
  <si>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</si>
  <si>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</si>
  <si>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</si>
  <si>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</si>
  <si>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</si>
  <si>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</si>
  <si>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</si>
  <si>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</si>
  <si>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</si>
  <si>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</si>
  <si>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</si>
  <si>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</si>
  <si>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</si>
  <si>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</si>
  <si>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</si>
  <si>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</si>
  <si>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</si>
  <si>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</si>
  <si>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</si>
  <si>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</si>
  <si>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</si>
  <si>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</si>
  <si>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</si>
  <si>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</si>
  <si>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</si>
  <si>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</si>
  <si>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</si>
  <si>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</si>
  <si>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</si>
  <si>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</si>
  <si>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</si>
  <si>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</si>
  <si>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</si>
  <si>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</si>
  <si>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</si>
  <si>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</si>
  <si>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</si>
  <si>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</si>
  <si>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</si>
  <si>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</si>
  <si>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</si>
  <si>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</si>
  <si>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</si>
  <si>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</si>
  <si>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</si>
  <si>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</si>
  <si>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</si>
  <si>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</si>
  <si>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</si>
  <si>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</si>
  <si>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</si>
  <si>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</si>
  <si>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</si>
  <si>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</si>
  <si>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</si>
  <si>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</si>
  <si>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</si>
  <si>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</si>
  <si>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</si>
  <si>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</si>
  <si>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</si>
  <si>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</si>
  <si>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</si>
  <si>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</si>
  <si>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</si>
  <si>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</si>
  <si>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</si>
  <si>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</si>
  <si>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</si>
  <si>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</si>
  <si>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</si>
  <si>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</si>
  <si>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</si>
  <si>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</si>
  <si>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</si>
  <si>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</si>
  <si>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</si>
  <si>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</si>
  <si>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</si>
  <si>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</si>
  <si>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</si>
  <si>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</si>
  <si>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</si>
  <si>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</si>
  <si>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</si>
  <si>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</si>
  <si>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</si>
  <si>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</si>
  <si>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</si>
  <si>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</si>
  <si>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</si>
  <si>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</si>
  <si>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</si>
  <si>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</si>
  <si>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</si>
  <si>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</si>
  <si>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</si>
  <si>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</si>
  <si>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</si>
  <si>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</si>
  <si>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</si>
  <si>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</si>
  <si>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</si>
  <si>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</si>
  <si>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</si>
  <si>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</si>
  <si>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</si>
  <si>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</si>
  <si>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</si>
  <si>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</si>
  <si>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</si>
  <si>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</si>
  <si>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</si>
  <si>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</si>
  <si>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</si>
  <si>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</si>
  <si>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</si>
  <si>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</si>
  <si>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</si>
  <si>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</si>
  <si>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</si>
  <si>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</si>
  <si>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</si>
  <si>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</si>
  <si>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</si>
  <si>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</si>
  <si>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</si>
  <si>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</si>
  <si>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</si>
  <si>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</si>
  <si>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</si>
  <si>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</si>
  <si>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</si>
  <si>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</si>
  <si>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</si>
  <si>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</si>
  <si>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</si>
  <si>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</si>
  <si>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</si>
  <si>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</si>
  <si>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</si>
  <si>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</si>
  <si>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</si>
  <si>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</si>
  <si>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</si>
  <si>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</si>
  <si>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</si>
  <si>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</si>
  <si>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</si>
  <si>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</si>
  <si>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</si>
  <si>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</si>
  <si>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</si>
  <si>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</si>
  <si>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</si>
  <si>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</si>
  <si>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</si>
  <si>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</si>
  <si>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</si>
  <si>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</si>
  <si>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</si>
  <si>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</si>
  <si>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</si>
  <si>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</si>
  <si>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</si>
  <si>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</si>
  <si>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</si>
  <si>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</si>
  <si>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</si>
  <si>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</si>
  <si>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</si>
  <si>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</si>
  <si>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</si>
  <si>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</si>
  <si>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</si>
  <si>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</si>
  <si>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</si>
  <si>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</si>
  <si>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</si>
  <si>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</si>
  <si>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</si>
  <si>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</si>
  <si>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</si>
  <si>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</si>
  <si>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</si>
  <si>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</si>
  <si>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</si>
  <si>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</si>
  <si>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</si>
  <si>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</si>
  <si>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</si>
  <si>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</si>
  <si>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</si>
  <si>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</si>
  <si>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</si>
  <si>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</si>
  <si>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</si>
  <si>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</si>
  <si>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</si>
  <si>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</si>
  <si>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</si>
  <si>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</si>
  <si>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</si>
  <si>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</si>
  <si>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</si>
  <si>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</si>
  <si>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</si>
  <si>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</si>
  <si>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</si>
  <si>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</si>
  <si>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</si>
  <si>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</si>
  <si>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</si>
  <si>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</si>
  <si>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</si>
  <si>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</si>
  <si>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</si>
  <si>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</si>
  <si>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</si>
  <si>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</si>
  <si>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</si>
  <si>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</si>
  <si>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</si>
  <si>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</si>
  <si>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</si>
  <si>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</si>
  <si>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</si>
  <si>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</si>
  <si>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</si>
  <si>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</si>
  <si>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</si>
  <si>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</si>
  <si>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</si>
  <si>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</si>
  <si>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</si>
  <si>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</si>
  <si>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</si>
  <si>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</si>
  <si>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</si>
  <si>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</si>
  <si>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</si>
  <si>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</si>
  <si>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</si>
  <si>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</si>
  <si>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</si>
  <si>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</si>
  <si>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</si>
  <si>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</si>
  <si>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</si>
  <si>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</si>
  <si>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</si>
  <si>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</si>
  <si>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</si>
  <si>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</si>
  <si>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</si>
  <si>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</si>
  <si>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</si>
  <si>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</si>
  <si>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</si>
  <si>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</si>
  <si>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</si>
  <si>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</si>
  <si>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</si>
  <si>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</si>
  <si>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</si>
  <si>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</si>
  <si>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</si>
  <si>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</si>
  <si>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</si>
  <si>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</si>
  <si>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</si>
  <si>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</si>
  <si>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</si>
  <si>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</si>
  <si>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</si>
  <si>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</si>
  <si>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</si>
  <si>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</si>
  <si>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</si>
  <si>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</si>
  <si>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</si>
  <si>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</si>
  <si>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</si>
  <si>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</si>
  <si>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</si>
  <si>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</si>
  <si>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</si>
  <si>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</si>
  <si>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</si>
  <si>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</si>
  <si>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</si>
  <si>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</si>
  <si>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</si>
  <si>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</si>
  <si>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</si>
  <si>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</si>
  <si>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</si>
  <si>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</si>
  <si>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</si>
  <si>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</si>
  <si>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</si>
  <si>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</si>
  <si>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</si>
  <si>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</si>
  <si>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</si>
  <si>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</si>
  <si>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</si>
  <si>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</si>
  <si>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</si>
  <si>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</si>
  <si>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</si>
  <si>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</si>
  <si>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</si>
  <si>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</si>
  <si>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</si>
  <si>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</si>
  <si>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</si>
  <si>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</si>
  <si>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</si>
  <si>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</si>
  <si>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</si>
  <si>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</si>
  <si>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</si>
  <si>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</si>
  <si>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</si>
  <si>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</si>
  <si>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</si>
  <si>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</si>
  <si>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</si>
  <si>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</si>
  <si>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</si>
  <si>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</si>
  <si>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</si>
  <si>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</si>
  <si>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</si>
  <si>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</si>
  <si>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</si>
  <si>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</si>
  <si>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</si>
  <si>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</si>
  <si>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</si>
  <si>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</si>
  <si>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</si>
  <si>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</si>
  <si>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</si>
  <si>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</si>
  <si>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</si>
  <si>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</si>
  <si>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</si>
  <si>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</si>
  <si>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</si>
  <si>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</si>
  <si>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</si>
  <si>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</si>
  <si>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</si>
  <si>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</si>
  <si>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</si>
  <si>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</si>
  <si>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</si>
  <si>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</si>
  <si>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</si>
  <si>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</si>
  <si>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</si>
  <si>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</si>
  <si>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</si>
  <si>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</si>
  <si>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</si>
  <si>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</si>
  <si>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</si>
  <si>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</si>
  <si>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</si>
  <si>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</si>
  <si>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</si>
  <si>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</si>
  <si>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</si>
  <si>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</si>
  <si>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</si>
  <si>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</si>
  <si>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</si>
  <si>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</si>
  <si>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</si>
  <si>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</si>
  <si>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</si>
  <si>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</si>
  <si>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</si>
  <si>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</si>
  <si>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</si>
  <si>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</si>
  <si>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</si>
  <si>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</si>
  <si>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</si>
  <si>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</si>
  <si>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</si>
  <si>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</si>
  <si>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</si>
  <si>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</si>
  <si>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</si>
  <si>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</si>
  <si>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</si>
  <si>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</si>
  <si>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</si>
  <si>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</si>
  <si>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</si>
  <si>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</si>
  <si>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</si>
  <si>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</si>
  <si>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</si>
  <si>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</si>
  <si>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</si>
  <si>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</si>
  <si>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</si>
  <si>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</si>
  <si>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</si>
  <si>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</si>
  <si>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</si>
  <si>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</si>
  <si>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</si>
  <si>
    <t>Pre &amp; Post cleaning Comparison</t>
  </si>
  <si>
    <t>Unique payment methods</t>
  </si>
  <si>
    <t>Number of unqiue prodcts</t>
  </si>
  <si>
    <t>Shipped, Delivered, Pending, Cancelled, Return</t>
  </si>
  <si>
    <t>Identified and confirmed no duplicate Order IDs</t>
  </si>
  <si>
    <t>Identified and confirmed no duplicate Tracking Numbers</t>
  </si>
  <si>
    <t>Product Analysis</t>
  </si>
  <si>
    <t>Row Labels</t>
  </si>
  <si>
    <t>Grand Total</t>
  </si>
  <si>
    <t>Count of OrderID</t>
  </si>
  <si>
    <t>Payment Analysis</t>
  </si>
  <si>
    <t>2023</t>
  </si>
  <si>
    <t>2024</t>
  </si>
  <si>
    <t>2025</t>
  </si>
  <si>
    <t>Sum of TotalPrice</t>
  </si>
  <si>
    <t>01 January 2023 - 30 June 2025</t>
  </si>
  <si>
    <t>Date Analysis</t>
  </si>
  <si>
    <t>Outlier Analysis</t>
  </si>
  <si>
    <t>Q1</t>
  </si>
  <si>
    <t>Q3</t>
  </si>
  <si>
    <t>IQR</t>
  </si>
  <si>
    <t xml:space="preserve">Lower Bound </t>
  </si>
  <si>
    <t>Upper Bound</t>
  </si>
  <si>
    <t>No of outliers</t>
  </si>
  <si>
    <t>Order Status Analysis</t>
  </si>
  <si>
    <t>Qtr1</t>
  </si>
  <si>
    <t>Qtr2</t>
  </si>
  <si>
    <t>Qtr3</t>
  </si>
  <si>
    <t>Qtr4</t>
  </si>
  <si>
    <t>coupon_usage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</si>
</sst>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/>
    <xf numFmtId="0" fontId="3" fillId="0" borderId="0" xfId="0" applyFont="1" applyFill="1" applyBorder="1" applyAlignment="1">
      <alignment horizontal="center"/>
    </xf>
    <xf numFmtId="0" fontId="3" fillId="0" borderId="0" xfId="0" applyFont="1" applyFill="1"/>
    <xf numFmtId="0" fontId="0" fillId="0" borderId="0" xfId="0" applyFont="1" applyFill="1"/>
    <xf numFmtId="0" fontId="2" fillId="0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164" fontId="0" fillId="0" borderId="0" xfId="0" applyNumberFormat="1" applyAlignment="1">
      <alignment horizontal="left" indent="1"/>
    </xf>
    <xf numFmtId="0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horizontal="left"/>
    </xf>
  </cellXfs>
  <cellStyles count="2">
    <cellStyle name="Currency" xfId="1" builtinId="4"/>
    <cellStyle name="Normal" xfId="0" builtinId="0"/>
  </cellStyles>
  <dxfs count="36">
    <dxf>
      <numFmt numFmtId="0" formatCode="General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64" formatCode="yyyy\-mm\-dd;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164" formatCode="yyyy\-mm\-dd;@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gunl" refreshedDate="46168.867336921299" createdVersion="7" refreshedVersion="7" minRefreshableVersion="3" recordCount="1200" xr:uid="{07DB80DA-3CB1-4FF8-A66B-4474E82523F1}">
  <cacheSource type="worksheet">
    <worksheetSource name="Table2"/>
  </cacheSource>
  <cacheFields count="15">
    <cacheField name="OrderID" numFmtId="49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4"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CustomerID" numFmtId="49">
      <sharedItems/>
    </cacheField>
    <cacheField name="Product" numFmtId="49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49">
      <sharedItems count="5">
        <s v="Debit Card"/>
        <s v="Online"/>
        <s v="Credit Card"/>
        <s v="Gift Card"/>
        <s v="Cash"/>
      </sharedItems>
    </cacheField>
    <cacheField name="OrderStatus" numFmtId="49">
      <sharedItems count="5">
        <s v="Shipped"/>
        <s v="Cancelled"/>
        <s v="Returned"/>
        <s v="Delivered"/>
        <s v="Pending"/>
      </sharedItems>
    </cacheField>
    <cacheField name="TrackingNumber" numFmtId="49">
      <sharedItems/>
    </cacheField>
    <cacheField name="ItemsInCart" numFmtId="1">
      <sharedItems containsSemiMixedTypes="0" containsString="0" containsNumber="1" containsInteger="1" minValue="1" maxValue="10"/>
    </cacheField>
    <cacheField name="CouponCode" numFmtId="49">
      <sharedItems/>
    </cacheField>
    <cacheField name="ReferralSource" numFmtId="49">
      <sharedItems count="5">
        <s v="Instagram"/>
        <s v="Referral"/>
        <s v="Email"/>
        <s v="Facebook"/>
        <s v="Google"/>
      </sharedItems>
    </cacheField>
    <cacheField name="TotalPrice" numFmtId="2">
      <sharedItems containsSemiMixedTypes="0" containsString="0" containsNumber="1" minValue="11.39" maxValue="3456.4"/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n v="570.62"/>
    <s v="928 Main St"/>
    <x v="0"/>
    <x v="0"/>
    <s v="TRK37947903"/>
    <n v="7"/>
    <s v="SAVE10"/>
    <x v="0"/>
    <n v="2853.1"/>
  </r>
  <r>
    <x v="1"/>
    <x v="1"/>
    <s v="C75739"/>
    <x v="1"/>
    <n v="2"/>
    <n v="151.35"/>
    <s v="823 Main St"/>
    <x v="1"/>
    <x v="0"/>
    <s v="TRK91186779"/>
    <n v="3"/>
    <s v="SAVE10"/>
    <x v="1"/>
    <n v="302.7"/>
  </r>
  <r>
    <x v="2"/>
    <x v="2"/>
    <s v="C81728"/>
    <x v="2"/>
    <n v="5"/>
    <n v="550.67999999999995"/>
    <s v="512 Main St"/>
    <x v="2"/>
    <x v="1"/>
    <s v="TRK42903982"/>
    <n v="8"/>
    <s v="FREESHIP"/>
    <x v="2"/>
    <n v="2753.4"/>
  </r>
  <r>
    <x v="3"/>
    <x v="3"/>
    <s v="C33540"/>
    <x v="3"/>
    <n v="1"/>
    <n v="273.19"/>
    <s v="275 Main St"/>
    <x v="0"/>
    <x v="2"/>
    <s v="TRK62788070"/>
    <n v="5"/>
    <s v="SAVE10"/>
    <x v="3"/>
    <n v="273.19"/>
  </r>
  <r>
    <x v="4"/>
    <x v="4"/>
    <s v="C81840"/>
    <x v="4"/>
    <n v="4"/>
    <n v="626.01"/>
    <s v="668 Main St"/>
    <x v="1"/>
    <x v="3"/>
    <s v="TRK29241424"/>
    <n v="8"/>
    <s v="SAVE10"/>
    <x v="2"/>
    <n v="2504.04"/>
  </r>
  <r>
    <x v="5"/>
    <x v="5"/>
    <s v="C37249"/>
    <x v="1"/>
    <n v="2"/>
    <n v="245.86"/>
    <s v="934 Main St"/>
    <x v="2"/>
    <x v="0"/>
    <s v="TRK72976927"/>
    <n v="4"/>
    <s v="SAVE10"/>
    <x v="0"/>
    <n v="491.72"/>
  </r>
  <r>
    <x v="6"/>
    <x v="6"/>
    <s v="C83492"/>
    <x v="5"/>
    <n v="1"/>
    <n v="664.42"/>
    <s v="986 Main St"/>
    <x v="3"/>
    <x v="2"/>
    <s v="TRK96417362"/>
    <n v="6"/>
    <s v="SAVE10"/>
    <x v="3"/>
    <n v="664.42"/>
  </r>
  <r>
    <x v="7"/>
    <x v="7"/>
    <s v="C41460"/>
    <x v="0"/>
    <n v="5"/>
    <n v="149.55000000000001"/>
    <s v="706 Main St"/>
    <x v="4"/>
    <x v="0"/>
    <s v="TRK78809193"/>
    <n v="9"/>
    <s v="FREESHIP"/>
    <x v="3"/>
    <n v="747.75"/>
  </r>
  <r>
    <x v="8"/>
    <x v="8"/>
    <s v="C26817"/>
    <x v="1"/>
    <n v="2"/>
    <n v="134.28"/>
    <s v="904 Main St"/>
    <x v="3"/>
    <x v="1"/>
    <s v="TRK61042692"/>
    <n v="2"/>
    <s v="N/A"/>
    <x v="2"/>
    <n v="268.56"/>
  </r>
  <r>
    <x v="9"/>
    <x v="9"/>
    <s v="C31946"/>
    <x v="6"/>
    <n v="4"/>
    <n v="509.38"/>
    <s v="102 Main St"/>
    <x v="2"/>
    <x v="0"/>
    <s v="TRK33478363"/>
    <n v="6"/>
    <s v="SAVE10"/>
    <x v="4"/>
    <n v="2037.52"/>
  </r>
  <r>
    <x v="10"/>
    <x v="10"/>
    <s v="C43443"/>
    <x v="2"/>
    <n v="5"/>
    <n v="625.97"/>
    <s v="333 Main St"/>
    <x v="2"/>
    <x v="2"/>
    <s v="TRK98859248"/>
    <n v="9"/>
    <s v="WINTER15"/>
    <x v="0"/>
    <n v="3129.85"/>
  </r>
  <r>
    <x v="11"/>
    <x v="11"/>
    <s v="C93861"/>
    <x v="0"/>
    <n v="3"/>
    <n v="49.14"/>
    <s v="831 Main St"/>
    <x v="1"/>
    <x v="2"/>
    <s v="TRK48234646"/>
    <n v="7"/>
    <s v="SAVE10"/>
    <x v="2"/>
    <n v="147.41999999999999"/>
  </r>
  <r>
    <x v="12"/>
    <x v="12"/>
    <s v="C38785"/>
    <x v="0"/>
    <n v="2"/>
    <n v="180.5"/>
    <s v="179 Main St"/>
    <x v="0"/>
    <x v="4"/>
    <s v="TRK20419991"/>
    <n v="6"/>
    <s v="FREESHIP"/>
    <x v="1"/>
    <n v="361"/>
  </r>
  <r>
    <x v="13"/>
    <x v="13"/>
    <s v="C88348"/>
    <x v="5"/>
    <n v="3"/>
    <n v="201.49"/>
    <s v="903 Main St"/>
    <x v="2"/>
    <x v="2"/>
    <s v="TRK81913874"/>
    <n v="4"/>
    <s v="FREESHIP"/>
    <x v="3"/>
    <n v="604.47"/>
  </r>
  <r>
    <x v="14"/>
    <x v="14"/>
    <s v="C98474"/>
    <x v="2"/>
    <n v="2"/>
    <n v="393.33"/>
    <s v="980 Main St"/>
    <x v="0"/>
    <x v="4"/>
    <s v="TRK79186539"/>
    <n v="3"/>
    <s v="SAVE10"/>
    <x v="0"/>
    <n v="786.66"/>
  </r>
  <r>
    <x v="15"/>
    <x v="15"/>
    <s v="C39416"/>
    <x v="4"/>
    <n v="1"/>
    <n v="473.96"/>
    <s v="942 Main St"/>
    <x v="4"/>
    <x v="3"/>
    <s v="TRK54930938"/>
    <n v="3"/>
    <s v="N/A"/>
    <x v="4"/>
    <n v="473.96"/>
  </r>
  <r>
    <x v="16"/>
    <x v="16"/>
    <s v="C28976"/>
    <x v="4"/>
    <n v="2"/>
    <n v="533.80999999999995"/>
    <s v="914 Main St"/>
    <x v="2"/>
    <x v="4"/>
    <s v="TRK13194259"/>
    <n v="3"/>
    <s v="FREESHIP"/>
    <x v="2"/>
    <n v="1067.6199999999999"/>
  </r>
  <r>
    <x v="17"/>
    <x v="17"/>
    <s v="C60672"/>
    <x v="2"/>
    <n v="1"/>
    <n v="423.4"/>
    <s v="382 Main St"/>
    <x v="0"/>
    <x v="0"/>
    <s v="TRK11972116"/>
    <n v="3"/>
    <s v="N/A"/>
    <x v="1"/>
    <n v="423.4"/>
  </r>
  <r>
    <x v="18"/>
    <x v="18"/>
    <s v="C84329"/>
    <x v="6"/>
    <n v="1"/>
    <n v="431.44"/>
    <s v="891 Main St"/>
    <x v="3"/>
    <x v="4"/>
    <s v="TRK65191045"/>
    <n v="3"/>
    <s v="SAVE10"/>
    <x v="3"/>
    <n v="431.44"/>
  </r>
  <r>
    <x v="19"/>
    <x v="19"/>
    <s v="C14552"/>
    <x v="0"/>
    <n v="5"/>
    <n v="224"/>
    <s v="273 Main St"/>
    <x v="4"/>
    <x v="2"/>
    <s v="TRK59101365"/>
    <n v="9"/>
    <s v="SAVE10"/>
    <x v="4"/>
    <n v="1120"/>
  </r>
  <r>
    <x v="20"/>
    <x v="20"/>
    <s v="C54829"/>
    <x v="3"/>
    <n v="5"/>
    <n v="62.51"/>
    <s v="587 Main St"/>
    <x v="4"/>
    <x v="4"/>
    <s v="TRK16718651"/>
    <n v="9"/>
    <s v="WINTER15"/>
    <x v="0"/>
    <n v="312.55"/>
  </r>
  <r>
    <x v="21"/>
    <x v="21"/>
    <s v="C99023"/>
    <x v="0"/>
    <n v="4"/>
    <n v="342.95"/>
    <s v="569 Main St"/>
    <x v="4"/>
    <x v="3"/>
    <s v="TRK52646983"/>
    <n v="6"/>
    <s v="N/A"/>
    <x v="4"/>
    <n v="1371.8"/>
  </r>
  <r>
    <x v="22"/>
    <x v="22"/>
    <s v="C34416"/>
    <x v="0"/>
    <n v="2"/>
    <n v="49.62"/>
    <s v="633 Main St"/>
    <x v="1"/>
    <x v="4"/>
    <s v="TRK75937350"/>
    <n v="2"/>
    <s v="SAVE10"/>
    <x v="4"/>
    <n v="99.24"/>
  </r>
  <r>
    <x v="23"/>
    <x v="23"/>
    <s v="C42372"/>
    <x v="1"/>
    <n v="4"/>
    <n v="273.25"/>
    <s v="755 Main St"/>
    <x v="0"/>
    <x v="1"/>
    <s v="TRK36168083"/>
    <n v="5"/>
    <s v="FREESHIP"/>
    <x v="1"/>
    <n v="1093"/>
  </r>
  <r>
    <x v="24"/>
    <x v="24"/>
    <s v="C17470"/>
    <x v="5"/>
    <n v="2"/>
    <n v="230.95"/>
    <s v="956 Main St"/>
    <x v="1"/>
    <x v="3"/>
    <s v="TRK28775057"/>
    <n v="3"/>
    <s v="WINTER15"/>
    <x v="1"/>
    <n v="461.9"/>
  </r>
  <r>
    <x v="25"/>
    <x v="25"/>
    <s v="C42577"/>
    <x v="0"/>
    <n v="1"/>
    <n v="399.98"/>
    <s v="709 Main St"/>
    <x v="0"/>
    <x v="3"/>
    <s v="TRK69423327"/>
    <n v="3"/>
    <s v="WINTER15"/>
    <x v="2"/>
    <n v="399.98"/>
  </r>
  <r>
    <x v="26"/>
    <x v="26"/>
    <s v="C21944"/>
    <x v="5"/>
    <n v="5"/>
    <n v="59.55"/>
    <s v="296 Main St"/>
    <x v="1"/>
    <x v="3"/>
    <s v="TRK80276812"/>
    <n v="6"/>
    <s v="N/A"/>
    <x v="1"/>
    <n v="297.75"/>
  </r>
  <r>
    <x v="27"/>
    <x v="27"/>
    <s v="C97593"/>
    <x v="4"/>
    <n v="1"/>
    <n v="472.74"/>
    <s v="881 Main St"/>
    <x v="1"/>
    <x v="0"/>
    <s v="TRK89117573"/>
    <n v="6"/>
    <s v="WINTER15"/>
    <x v="4"/>
    <n v="472.74"/>
  </r>
  <r>
    <x v="28"/>
    <x v="9"/>
    <s v="C59823"/>
    <x v="1"/>
    <n v="4"/>
    <n v="160.07"/>
    <s v="568 Main St"/>
    <x v="1"/>
    <x v="4"/>
    <s v="TRK65895539"/>
    <n v="5"/>
    <s v="N/A"/>
    <x v="2"/>
    <n v="640.28"/>
  </r>
  <r>
    <x v="29"/>
    <x v="28"/>
    <s v="C33260"/>
    <x v="6"/>
    <n v="3"/>
    <n v="423.53"/>
    <s v="930 Main St"/>
    <x v="2"/>
    <x v="3"/>
    <s v="TRK59744090"/>
    <n v="6"/>
    <s v="SAVE10"/>
    <x v="1"/>
    <n v="1270.5899999999999"/>
  </r>
  <r>
    <x v="30"/>
    <x v="29"/>
    <s v="C44267"/>
    <x v="0"/>
    <n v="2"/>
    <n v="426.7"/>
    <s v="895 Main St"/>
    <x v="1"/>
    <x v="4"/>
    <s v="TRK54751444"/>
    <n v="5"/>
    <s v="SAVE10"/>
    <x v="1"/>
    <n v="853.4"/>
  </r>
  <r>
    <x v="31"/>
    <x v="30"/>
    <s v="C26445"/>
    <x v="3"/>
    <n v="3"/>
    <n v="500.08"/>
    <s v="996 Main St"/>
    <x v="0"/>
    <x v="2"/>
    <s v="TRK31229981"/>
    <n v="6"/>
    <s v="N/A"/>
    <x v="3"/>
    <n v="1500.24"/>
  </r>
  <r>
    <x v="32"/>
    <x v="31"/>
    <s v="C12388"/>
    <x v="2"/>
    <n v="5"/>
    <n v="536.72"/>
    <s v="830 Main St"/>
    <x v="4"/>
    <x v="3"/>
    <s v="TRK99261395"/>
    <n v="10"/>
    <s v="N/A"/>
    <x v="2"/>
    <n v="2683.6"/>
  </r>
  <r>
    <x v="33"/>
    <x v="32"/>
    <s v="C52184"/>
    <x v="3"/>
    <n v="1"/>
    <n v="162.77000000000001"/>
    <s v="912 Main St"/>
    <x v="1"/>
    <x v="1"/>
    <s v="TRK73312471"/>
    <n v="4"/>
    <s v="WINTER15"/>
    <x v="3"/>
    <n v="162.77000000000001"/>
  </r>
  <r>
    <x v="34"/>
    <x v="33"/>
    <s v="C67195"/>
    <x v="3"/>
    <n v="4"/>
    <n v="576.52"/>
    <s v="926 Main St"/>
    <x v="2"/>
    <x v="4"/>
    <s v="TRK55467915"/>
    <n v="5"/>
    <s v="WINTER15"/>
    <x v="3"/>
    <n v="2306.08"/>
  </r>
  <r>
    <x v="35"/>
    <x v="34"/>
    <s v="C50304"/>
    <x v="0"/>
    <n v="2"/>
    <n v="465.15"/>
    <s v="128 Main St"/>
    <x v="1"/>
    <x v="0"/>
    <s v="TRK46850888"/>
    <n v="2"/>
    <s v="SAVE10"/>
    <x v="3"/>
    <n v="930.3"/>
  </r>
  <r>
    <x v="36"/>
    <x v="4"/>
    <s v="C59337"/>
    <x v="5"/>
    <n v="2"/>
    <n v="534.42999999999995"/>
    <s v="465 Main St"/>
    <x v="0"/>
    <x v="4"/>
    <s v="TRK50961250"/>
    <n v="5"/>
    <s v="N/A"/>
    <x v="3"/>
    <n v="1068.8599999999999"/>
  </r>
  <r>
    <x v="37"/>
    <x v="35"/>
    <s v="C10054"/>
    <x v="5"/>
    <n v="2"/>
    <n v="76.739999999999995"/>
    <s v="409 Main St"/>
    <x v="4"/>
    <x v="2"/>
    <s v="TRK94005261"/>
    <n v="7"/>
    <s v="SAVE10"/>
    <x v="0"/>
    <n v="153.47999999999999"/>
  </r>
  <r>
    <x v="38"/>
    <x v="36"/>
    <s v="C15924"/>
    <x v="5"/>
    <n v="1"/>
    <n v="245.89"/>
    <s v="549 Main St"/>
    <x v="0"/>
    <x v="3"/>
    <s v="TRK14835975"/>
    <n v="3"/>
    <s v="SAVE10"/>
    <x v="4"/>
    <n v="245.89"/>
  </r>
  <r>
    <x v="39"/>
    <x v="37"/>
    <s v="C96664"/>
    <x v="4"/>
    <n v="3"/>
    <n v="256.45999999999998"/>
    <s v="666 Main St"/>
    <x v="2"/>
    <x v="3"/>
    <s v="TRK85508960"/>
    <n v="4"/>
    <s v="SAVE10"/>
    <x v="1"/>
    <n v="769.37999999999988"/>
  </r>
  <r>
    <x v="40"/>
    <x v="38"/>
    <s v="C84766"/>
    <x v="6"/>
    <n v="2"/>
    <n v="344.02"/>
    <s v="267 Main St"/>
    <x v="1"/>
    <x v="3"/>
    <s v="TRK78967923"/>
    <n v="4"/>
    <s v="FREESHIP"/>
    <x v="0"/>
    <n v="688.04"/>
  </r>
  <r>
    <x v="41"/>
    <x v="39"/>
    <s v="C20212"/>
    <x v="0"/>
    <n v="3"/>
    <n v="611.45000000000005"/>
    <s v="657 Main St"/>
    <x v="3"/>
    <x v="4"/>
    <s v="TRK69733327"/>
    <n v="4"/>
    <s v="FREESHIP"/>
    <x v="0"/>
    <n v="1834.35"/>
  </r>
  <r>
    <x v="42"/>
    <x v="40"/>
    <s v="C28712"/>
    <x v="4"/>
    <n v="2"/>
    <n v="151.66"/>
    <s v="980 Main St"/>
    <x v="4"/>
    <x v="1"/>
    <s v="TRK40772558"/>
    <n v="6"/>
    <s v="N/A"/>
    <x v="0"/>
    <n v="303.32"/>
  </r>
  <r>
    <x v="43"/>
    <x v="41"/>
    <s v="C60572"/>
    <x v="3"/>
    <n v="3"/>
    <n v="499.21"/>
    <s v="871 Main St"/>
    <x v="1"/>
    <x v="1"/>
    <s v="TRK20351666"/>
    <n v="8"/>
    <s v="N/A"/>
    <x v="0"/>
    <n v="1497.63"/>
  </r>
  <r>
    <x v="44"/>
    <x v="42"/>
    <s v="C73225"/>
    <x v="1"/>
    <n v="2"/>
    <n v="550.17999999999995"/>
    <s v="996 Main St"/>
    <x v="3"/>
    <x v="2"/>
    <s v="TRK73848522"/>
    <n v="3"/>
    <s v="FREESHIP"/>
    <x v="1"/>
    <n v="1100.3599999999999"/>
  </r>
  <r>
    <x v="45"/>
    <x v="43"/>
    <s v="C17388"/>
    <x v="3"/>
    <n v="1"/>
    <n v="317.25"/>
    <s v="157 Main St"/>
    <x v="0"/>
    <x v="2"/>
    <s v="TRK47077395"/>
    <n v="1"/>
    <s v="SAVE10"/>
    <x v="3"/>
    <n v="317.25"/>
  </r>
  <r>
    <x v="46"/>
    <x v="44"/>
    <s v="C43212"/>
    <x v="0"/>
    <n v="4"/>
    <n v="550.14"/>
    <s v="223 Main St"/>
    <x v="0"/>
    <x v="4"/>
    <s v="TRK25100762"/>
    <n v="4"/>
    <s v="FREESHIP"/>
    <x v="0"/>
    <n v="2200.56"/>
  </r>
  <r>
    <x v="47"/>
    <x v="45"/>
    <s v="C38134"/>
    <x v="6"/>
    <n v="2"/>
    <n v="209.94"/>
    <s v="323 Main St"/>
    <x v="2"/>
    <x v="2"/>
    <s v="TRK42450754"/>
    <n v="3"/>
    <s v="FREESHIP"/>
    <x v="2"/>
    <n v="419.88"/>
  </r>
  <r>
    <x v="48"/>
    <x v="46"/>
    <s v="C12408"/>
    <x v="0"/>
    <n v="2"/>
    <n v="80.77"/>
    <s v="464 Main St"/>
    <x v="0"/>
    <x v="0"/>
    <s v="TRK38938858"/>
    <n v="4"/>
    <s v="N/A"/>
    <x v="4"/>
    <n v="161.54"/>
  </r>
  <r>
    <x v="49"/>
    <x v="47"/>
    <s v="C11985"/>
    <x v="4"/>
    <n v="1"/>
    <n v="30.44"/>
    <s v="633 Main St"/>
    <x v="2"/>
    <x v="0"/>
    <s v="TRK53272402"/>
    <n v="1"/>
    <s v="SAVE10"/>
    <x v="2"/>
    <n v="30.44"/>
  </r>
  <r>
    <x v="50"/>
    <x v="48"/>
    <s v="C96494"/>
    <x v="2"/>
    <n v="1"/>
    <n v="179.22"/>
    <s v="446 Main St"/>
    <x v="1"/>
    <x v="1"/>
    <s v="TRK14675049"/>
    <n v="6"/>
    <s v="FREESHIP"/>
    <x v="0"/>
    <n v="179.22"/>
  </r>
  <r>
    <x v="51"/>
    <x v="49"/>
    <s v="C36778"/>
    <x v="2"/>
    <n v="1"/>
    <n v="388.33"/>
    <s v="434 Main St"/>
    <x v="4"/>
    <x v="2"/>
    <s v="TRK67610289"/>
    <n v="2"/>
    <s v="SAVE10"/>
    <x v="3"/>
    <n v="388.33"/>
  </r>
  <r>
    <x v="52"/>
    <x v="50"/>
    <s v="C30513"/>
    <x v="2"/>
    <n v="1"/>
    <n v="586.44000000000005"/>
    <s v="232 Main St"/>
    <x v="1"/>
    <x v="2"/>
    <s v="TRK64320429"/>
    <n v="5"/>
    <s v="SAVE10"/>
    <x v="3"/>
    <n v="586.44000000000005"/>
  </r>
  <r>
    <x v="53"/>
    <x v="51"/>
    <s v="C67551"/>
    <x v="1"/>
    <n v="4"/>
    <n v="488.78"/>
    <s v="512 Main St"/>
    <x v="1"/>
    <x v="2"/>
    <s v="TRK94992552"/>
    <n v="5"/>
    <s v="FREESHIP"/>
    <x v="4"/>
    <n v="1955.12"/>
  </r>
  <r>
    <x v="54"/>
    <x v="52"/>
    <s v="C48120"/>
    <x v="3"/>
    <n v="1"/>
    <n v="280.25"/>
    <s v="623 Main St"/>
    <x v="1"/>
    <x v="4"/>
    <s v="TRK11014449"/>
    <n v="5"/>
    <s v="WINTER15"/>
    <x v="2"/>
    <n v="280.25"/>
  </r>
  <r>
    <x v="55"/>
    <x v="53"/>
    <s v="C95984"/>
    <x v="4"/>
    <n v="3"/>
    <n v="344.4"/>
    <s v="565 Main St"/>
    <x v="1"/>
    <x v="1"/>
    <s v="TRK67434829"/>
    <n v="3"/>
    <s v="N/A"/>
    <x v="3"/>
    <n v="1033.2"/>
  </r>
  <r>
    <x v="56"/>
    <x v="54"/>
    <s v="C54298"/>
    <x v="2"/>
    <n v="3"/>
    <n v="479.21"/>
    <s v="566 Main St"/>
    <x v="4"/>
    <x v="1"/>
    <s v="TRK62902341"/>
    <n v="5"/>
    <s v="WINTER15"/>
    <x v="1"/>
    <n v="1437.63"/>
  </r>
  <r>
    <x v="57"/>
    <x v="55"/>
    <s v="C88036"/>
    <x v="4"/>
    <n v="5"/>
    <n v="314.27"/>
    <s v="842 Main St"/>
    <x v="4"/>
    <x v="2"/>
    <s v="TRK52470128"/>
    <n v="6"/>
    <s v="SAVE10"/>
    <x v="0"/>
    <n v="1571.35"/>
  </r>
  <r>
    <x v="58"/>
    <x v="56"/>
    <s v="C60190"/>
    <x v="1"/>
    <n v="4"/>
    <n v="474.69"/>
    <s v="202 Main St"/>
    <x v="3"/>
    <x v="1"/>
    <s v="TRK70857868"/>
    <n v="6"/>
    <s v="SAVE10"/>
    <x v="4"/>
    <n v="1898.76"/>
  </r>
  <r>
    <x v="59"/>
    <x v="57"/>
    <s v="C97603"/>
    <x v="3"/>
    <n v="4"/>
    <n v="593.27"/>
    <s v="811 Main St"/>
    <x v="1"/>
    <x v="0"/>
    <s v="TRK47055028"/>
    <n v="5"/>
    <s v="N/A"/>
    <x v="3"/>
    <n v="2373.08"/>
  </r>
  <r>
    <x v="60"/>
    <x v="58"/>
    <s v="C39256"/>
    <x v="6"/>
    <n v="1"/>
    <n v="417.1"/>
    <s v="634 Main St"/>
    <x v="0"/>
    <x v="2"/>
    <s v="TRK23412025"/>
    <n v="3"/>
    <s v="FREESHIP"/>
    <x v="1"/>
    <n v="417.1"/>
  </r>
  <r>
    <x v="61"/>
    <x v="59"/>
    <s v="C61618"/>
    <x v="6"/>
    <n v="4"/>
    <n v="122.2"/>
    <s v="104 Main St"/>
    <x v="4"/>
    <x v="3"/>
    <s v="TRK43458485"/>
    <n v="7"/>
    <s v="FREESHIP"/>
    <x v="3"/>
    <n v="488.8"/>
  </r>
  <r>
    <x v="62"/>
    <x v="60"/>
    <s v="C36497"/>
    <x v="6"/>
    <n v="2"/>
    <n v="43.15"/>
    <s v="691 Main St"/>
    <x v="0"/>
    <x v="4"/>
    <s v="TRK12102911"/>
    <n v="3"/>
    <s v="WINTER15"/>
    <x v="2"/>
    <n v="86.3"/>
  </r>
  <r>
    <x v="63"/>
    <x v="61"/>
    <s v="C96695"/>
    <x v="3"/>
    <n v="1"/>
    <n v="564.86"/>
    <s v="813 Main St"/>
    <x v="0"/>
    <x v="0"/>
    <s v="TRK64283851"/>
    <n v="6"/>
    <s v="WINTER15"/>
    <x v="1"/>
    <n v="564.86"/>
  </r>
  <r>
    <x v="64"/>
    <x v="62"/>
    <s v="C49720"/>
    <x v="4"/>
    <n v="3"/>
    <n v="130.61000000000001"/>
    <s v="752 Main St"/>
    <x v="0"/>
    <x v="1"/>
    <s v="TRK55785217"/>
    <n v="4"/>
    <s v="FREESHIP"/>
    <x v="3"/>
    <n v="391.83"/>
  </r>
  <r>
    <x v="65"/>
    <x v="63"/>
    <s v="C97735"/>
    <x v="0"/>
    <n v="5"/>
    <n v="81.7"/>
    <s v="385 Main St"/>
    <x v="2"/>
    <x v="3"/>
    <s v="TRK13743703"/>
    <n v="6"/>
    <s v="N/A"/>
    <x v="0"/>
    <n v="408.5"/>
  </r>
  <r>
    <x v="66"/>
    <x v="64"/>
    <s v="C18104"/>
    <x v="3"/>
    <n v="5"/>
    <n v="127.18"/>
    <s v="715 Main St"/>
    <x v="4"/>
    <x v="1"/>
    <s v="TRK15488568"/>
    <n v="9"/>
    <s v="SAVE10"/>
    <x v="1"/>
    <n v="635.90000000000009"/>
  </r>
  <r>
    <x v="67"/>
    <x v="65"/>
    <s v="C25587"/>
    <x v="4"/>
    <n v="4"/>
    <n v="12.1"/>
    <s v="440 Main St"/>
    <x v="0"/>
    <x v="1"/>
    <s v="TRK55105323"/>
    <n v="8"/>
    <s v="N/A"/>
    <x v="4"/>
    <n v="48.4"/>
  </r>
  <r>
    <x v="68"/>
    <x v="66"/>
    <s v="C41598"/>
    <x v="3"/>
    <n v="3"/>
    <n v="490.92"/>
    <s v="709 Main St"/>
    <x v="2"/>
    <x v="4"/>
    <s v="TRK81665940"/>
    <n v="5"/>
    <s v="FREESHIP"/>
    <x v="2"/>
    <n v="1472.76"/>
  </r>
  <r>
    <x v="69"/>
    <x v="67"/>
    <s v="C43338"/>
    <x v="0"/>
    <n v="3"/>
    <n v="478.65"/>
    <s v="552 Main St"/>
    <x v="1"/>
    <x v="0"/>
    <s v="TRK35241775"/>
    <n v="4"/>
    <s v="N/A"/>
    <x v="1"/>
    <n v="1435.95"/>
  </r>
  <r>
    <x v="70"/>
    <x v="68"/>
    <s v="C25123"/>
    <x v="6"/>
    <n v="1"/>
    <n v="629.21"/>
    <s v="384 Main St"/>
    <x v="3"/>
    <x v="4"/>
    <s v="TRK27812282"/>
    <n v="2"/>
    <s v="FREESHIP"/>
    <x v="0"/>
    <n v="629.21"/>
  </r>
  <r>
    <x v="71"/>
    <x v="69"/>
    <s v="C37454"/>
    <x v="0"/>
    <n v="3"/>
    <n v="434.45"/>
    <s v="923 Main St"/>
    <x v="2"/>
    <x v="4"/>
    <s v="TRK28252730"/>
    <n v="4"/>
    <s v="N/A"/>
    <x v="1"/>
    <n v="1303.3499999999999"/>
  </r>
  <r>
    <x v="72"/>
    <x v="70"/>
    <s v="C19451"/>
    <x v="2"/>
    <n v="4"/>
    <n v="589.44000000000005"/>
    <s v="942 Main St"/>
    <x v="3"/>
    <x v="2"/>
    <s v="TRK87787793"/>
    <n v="5"/>
    <s v="N/A"/>
    <x v="3"/>
    <n v="2357.7600000000002"/>
  </r>
  <r>
    <x v="73"/>
    <x v="71"/>
    <s v="C17269"/>
    <x v="0"/>
    <n v="4"/>
    <n v="433.45"/>
    <s v="129 Main St"/>
    <x v="3"/>
    <x v="1"/>
    <s v="TRK79608389"/>
    <n v="4"/>
    <s v="N/A"/>
    <x v="3"/>
    <n v="1733.8"/>
  </r>
  <r>
    <x v="74"/>
    <x v="72"/>
    <s v="C25382"/>
    <x v="1"/>
    <n v="5"/>
    <n v="90.87"/>
    <s v="622 Main St"/>
    <x v="4"/>
    <x v="4"/>
    <s v="TRK64691287"/>
    <n v="5"/>
    <s v="N/A"/>
    <x v="0"/>
    <n v="454.35"/>
  </r>
  <r>
    <x v="75"/>
    <x v="73"/>
    <s v="C80651"/>
    <x v="2"/>
    <n v="3"/>
    <n v="398.17"/>
    <s v="917 Main St"/>
    <x v="0"/>
    <x v="3"/>
    <s v="TRK14846720"/>
    <n v="5"/>
    <s v="SAVE10"/>
    <x v="2"/>
    <n v="1194.51"/>
  </r>
  <r>
    <x v="76"/>
    <x v="74"/>
    <s v="C58638"/>
    <x v="5"/>
    <n v="4"/>
    <n v="382.88"/>
    <s v="239 Main St"/>
    <x v="4"/>
    <x v="1"/>
    <s v="TRK38224871"/>
    <n v="6"/>
    <s v="WINTER15"/>
    <x v="2"/>
    <n v="1531.52"/>
  </r>
  <r>
    <x v="77"/>
    <x v="75"/>
    <s v="C50121"/>
    <x v="1"/>
    <n v="1"/>
    <n v="583.17999999999995"/>
    <s v="348 Main St"/>
    <x v="2"/>
    <x v="2"/>
    <s v="TRK79810059"/>
    <n v="5"/>
    <s v="N/A"/>
    <x v="4"/>
    <n v="583.17999999999995"/>
  </r>
  <r>
    <x v="78"/>
    <x v="76"/>
    <s v="C32029"/>
    <x v="4"/>
    <n v="4"/>
    <n v="175.36"/>
    <s v="146 Main St"/>
    <x v="0"/>
    <x v="3"/>
    <s v="TRK68535532"/>
    <n v="4"/>
    <s v="FREESHIP"/>
    <x v="0"/>
    <n v="701.44"/>
  </r>
  <r>
    <x v="79"/>
    <x v="77"/>
    <s v="C76700"/>
    <x v="2"/>
    <n v="2"/>
    <n v="311.91000000000003"/>
    <s v="103 Main St"/>
    <x v="1"/>
    <x v="0"/>
    <s v="TRK13036341"/>
    <n v="2"/>
    <s v="N/A"/>
    <x v="3"/>
    <n v="623.82000000000005"/>
  </r>
  <r>
    <x v="80"/>
    <x v="78"/>
    <s v="C29041"/>
    <x v="1"/>
    <n v="3"/>
    <n v="589.55999999999995"/>
    <s v="591 Main St"/>
    <x v="1"/>
    <x v="2"/>
    <s v="TRK28840655"/>
    <n v="6"/>
    <s v="N/A"/>
    <x v="3"/>
    <n v="1768.68"/>
  </r>
  <r>
    <x v="81"/>
    <x v="79"/>
    <s v="C29314"/>
    <x v="0"/>
    <n v="2"/>
    <n v="394.3"/>
    <s v="496 Main St"/>
    <x v="4"/>
    <x v="0"/>
    <s v="TRK59876213"/>
    <n v="6"/>
    <s v="FREESHIP"/>
    <x v="2"/>
    <n v="788.6"/>
  </r>
  <r>
    <x v="82"/>
    <x v="80"/>
    <s v="C65799"/>
    <x v="2"/>
    <n v="4"/>
    <n v="565.20000000000005"/>
    <s v="971 Main St"/>
    <x v="0"/>
    <x v="0"/>
    <s v="TRK66906607"/>
    <n v="9"/>
    <s v="SAVE10"/>
    <x v="4"/>
    <n v="2260.8000000000002"/>
  </r>
  <r>
    <x v="83"/>
    <x v="60"/>
    <s v="C15681"/>
    <x v="5"/>
    <n v="4"/>
    <n v="540.41"/>
    <s v="989 Main St"/>
    <x v="2"/>
    <x v="1"/>
    <s v="TRK75112172"/>
    <n v="6"/>
    <s v="N/A"/>
    <x v="1"/>
    <n v="2161.64"/>
  </r>
  <r>
    <x v="84"/>
    <x v="81"/>
    <s v="C64160"/>
    <x v="0"/>
    <n v="2"/>
    <n v="165.49"/>
    <s v="967 Main St"/>
    <x v="1"/>
    <x v="0"/>
    <s v="TRK34121529"/>
    <n v="4"/>
    <s v="WINTER15"/>
    <x v="0"/>
    <n v="330.98"/>
  </r>
  <r>
    <x v="85"/>
    <x v="82"/>
    <s v="C14553"/>
    <x v="2"/>
    <n v="3"/>
    <n v="146.72999999999999"/>
    <s v="768 Main St"/>
    <x v="4"/>
    <x v="3"/>
    <s v="TRK93538334"/>
    <n v="8"/>
    <s v="FREESHIP"/>
    <x v="2"/>
    <n v="440.18999999999988"/>
  </r>
  <r>
    <x v="86"/>
    <x v="83"/>
    <s v="C88205"/>
    <x v="4"/>
    <n v="5"/>
    <n v="643.03"/>
    <s v="447 Main St"/>
    <x v="1"/>
    <x v="1"/>
    <s v="TRK93504166"/>
    <n v="5"/>
    <s v="FREESHIP"/>
    <x v="1"/>
    <n v="3215.15"/>
  </r>
  <r>
    <x v="87"/>
    <x v="84"/>
    <s v="C91245"/>
    <x v="2"/>
    <n v="3"/>
    <n v="225.11"/>
    <s v="915 Main St"/>
    <x v="4"/>
    <x v="0"/>
    <s v="TRK46976391"/>
    <n v="4"/>
    <s v="SAVE10"/>
    <x v="3"/>
    <n v="675.33"/>
  </r>
  <r>
    <x v="88"/>
    <x v="85"/>
    <s v="C75439"/>
    <x v="6"/>
    <n v="3"/>
    <n v="114.81"/>
    <s v="318 Main St"/>
    <x v="3"/>
    <x v="1"/>
    <s v="TRK19831653"/>
    <n v="7"/>
    <s v="N/A"/>
    <x v="4"/>
    <n v="344.43"/>
  </r>
  <r>
    <x v="89"/>
    <x v="86"/>
    <s v="C17181"/>
    <x v="4"/>
    <n v="5"/>
    <n v="455.33"/>
    <s v="291 Main St"/>
    <x v="2"/>
    <x v="1"/>
    <s v="TRK78912978"/>
    <n v="8"/>
    <s v="FREESHIP"/>
    <x v="4"/>
    <n v="2276.65"/>
  </r>
  <r>
    <x v="90"/>
    <x v="87"/>
    <s v="C36540"/>
    <x v="3"/>
    <n v="4"/>
    <n v="182.08"/>
    <s v="611 Main St"/>
    <x v="3"/>
    <x v="3"/>
    <s v="TRK35828122"/>
    <n v="4"/>
    <s v="SAVE10"/>
    <x v="2"/>
    <n v="728.32"/>
  </r>
  <r>
    <x v="91"/>
    <x v="88"/>
    <s v="C98216"/>
    <x v="5"/>
    <n v="5"/>
    <n v="492.75"/>
    <s v="196 Main St"/>
    <x v="4"/>
    <x v="0"/>
    <s v="TRK40986666"/>
    <n v="6"/>
    <s v="WINTER15"/>
    <x v="1"/>
    <n v="2463.75"/>
  </r>
  <r>
    <x v="92"/>
    <x v="89"/>
    <s v="C29568"/>
    <x v="4"/>
    <n v="4"/>
    <n v="48.61"/>
    <s v="203 Main St"/>
    <x v="1"/>
    <x v="0"/>
    <s v="TRK46531075"/>
    <n v="7"/>
    <s v="FREESHIP"/>
    <x v="3"/>
    <n v="194.44"/>
  </r>
  <r>
    <x v="93"/>
    <x v="90"/>
    <s v="C97262"/>
    <x v="6"/>
    <n v="4"/>
    <n v="431.01"/>
    <s v="837 Main St"/>
    <x v="2"/>
    <x v="2"/>
    <s v="TRK65990229"/>
    <n v="7"/>
    <s v="N/A"/>
    <x v="1"/>
    <n v="1724.04"/>
  </r>
  <r>
    <x v="94"/>
    <x v="91"/>
    <s v="C79821"/>
    <x v="3"/>
    <n v="1"/>
    <n v="531.17999999999995"/>
    <s v="781 Main St"/>
    <x v="3"/>
    <x v="2"/>
    <s v="TRK12780193"/>
    <n v="6"/>
    <s v="WINTER15"/>
    <x v="0"/>
    <n v="531.17999999999995"/>
  </r>
  <r>
    <x v="95"/>
    <x v="92"/>
    <s v="C76761"/>
    <x v="4"/>
    <n v="4"/>
    <n v="117.51"/>
    <s v="839 Main St"/>
    <x v="0"/>
    <x v="2"/>
    <s v="TRK60179774"/>
    <n v="7"/>
    <s v="N/A"/>
    <x v="1"/>
    <n v="470.04"/>
  </r>
  <r>
    <x v="96"/>
    <x v="93"/>
    <s v="C93007"/>
    <x v="1"/>
    <n v="2"/>
    <n v="232.83"/>
    <s v="103 Main St"/>
    <x v="3"/>
    <x v="3"/>
    <s v="TRK85696091"/>
    <n v="7"/>
    <s v="N/A"/>
    <x v="0"/>
    <n v="465.66"/>
  </r>
  <r>
    <x v="97"/>
    <x v="94"/>
    <s v="C15624"/>
    <x v="2"/>
    <n v="5"/>
    <n v="619.52"/>
    <s v="922 Main St"/>
    <x v="0"/>
    <x v="4"/>
    <s v="TRK40621141"/>
    <n v="9"/>
    <s v="N/A"/>
    <x v="2"/>
    <n v="3097.6"/>
  </r>
  <r>
    <x v="98"/>
    <x v="90"/>
    <s v="C70921"/>
    <x v="4"/>
    <n v="2"/>
    <n v="228.54"/>
    <s v="533 Main St"/>
    <x v="0"/>
    <x v="4"/>
    <s v="TRK54983109"/>
    <n v="3"/>
    <s v="N/A"/>
    <x v="2"/>
    <n v="457.08"/>
  </r>
  <r>
    <x v="99"/>
    <x v="95"/>
    <s v="C30477"/>
    <x v="4"/>
    <n v="1"/>
    <n v="201.58"/>
    <s v="717 Main St"/>
    <x v="0"/>
    <x v="1"/>
    <s v="TRK51829648"/>
    <n v="2"/>
    <s v="WINTER15"/>
    <x v="2"/>
    <n v="201.58"/>
  </r>
  <r>
    <x v="100"/>
    <x v="96"/>
    <s v="C74866"/>
    <x v="1"/>
    <n v="3"/>
    <n v="664.79"/>
    <s v="743 Main St"/>
    <x v="1"/>
    <x v="3"/>
    <s v="TRK53783265"/>
    <n v="6"/>
    <s v="N/A"/>
    <x v="3"/>
    <n v="1994.37"/>
  </r>
  <r>
    <x v="101"/>
    <x v="97"/>
    <s v="C15283"/>
    <x v="4"/>
    <n v="1"/>
    <n v="381.02"/>
    <s v="152 Main St"/>
    <x v="4"/>
    <x v="0"/>
    <s v="TRK19286291"/>
    <n v="6"/>
    <s v="N/A"/>
    <x v="4"/>
    <n v="381.02"/>
  </r>
  <r>
    <x v="102"/>
    <x v="98"/>
    <s v="C18037"/>
    <x v="5"/>
    <n v="2"/>
    <n v="70.34"/>
    <s v="944 Main St"/>
    <x v="3"/>
    <x v="1"/>
    <s v="TRK47362236"/>
    <n v="3"/>
    <s v="FREESHIP"/>
    <x v="2"/>
    <n v="140.68"/>
  </r>
  <r>
    <x v="103"/>
    <x v="99"/>
    <s v="C62656"/>
    <x v="1"/>
    <n v="4"/>
    <n v="218.43"/>
    <s v="514 Main St"/>
    <x v="2"/>
    <x v="1"/>
    <s v="TRK86296459"/>
    <n v="9"/>
    <s v="SAVE10"/>
    <x v="2"/>
    <n v="873.72"/>
  </r>
  <r>
    <x v="104"/>
    <x v="100"/>
    <s v="C65744"/>
    <x v="1"/>
    <n v="1"/>
    <n v="582.04"/>
    <s v="647 Main St"/>
    <x v="3"/>
    <x v="3"/>
    <s v="TRK39906058"/>
    <n v="1"/>
    <s v="FREESHIP"/>
    <x v="2"/>
    <n v="582.04"/>
  </r>
  <r>
    <x v="105"/>
    <x v="101"/>
    <s v="C72290"/>
    <x v="4"/>
    <n v="3"/>
    <n v="185.4"/>
    <s v="810 Main St"/>
    <x v="3"/>
    <x v="1"/>
    <s v="TRK68792129"/>
    <n v="7"/>
    <s v="N/A"/>
    <x v="3"/>
    <n v="556.20000000000005"/>
  </r>
  <r>
    <x v="106"/>
    <x v="102"/>
    <s v="C73514"/>
    <x v="6"/>
    <n v="3"/>
    <n v="465.05"/>
    <s v="126 Main St"/>
    <x v="2"/>
    <x v="1"/>
    <s v="TRK96777924"/>
    <n v="3"/>
    <s v="SAVE10"/>
    <x v="2"/>
    <n v="1395.15"/>
  </r>
  <r>
    <x v="107"/>
    <x v="14"/>
    <s v="C16775"/>
    <x v="4"/>
    <n v="5"/>
    <n v="670.75"/>
    <s v="848 Main St"/>
    <x v="3"/>
    <x v="0"/>
    <s v="TRK34392124"/>
    <n v="8"/>
    <s v="FREESHIP"/>
    <x v="0"/>
    <n v="3353.75"/>
  </r>
  <r>
    <x v="108"/>
    <x v="103"/>
    <s v="C33099"/>
    <x v="5"/>
    <n v="5"/>
    <n v="48.38"/>
    <s v="522 Main St"/>
    <x v="3"/>
    <x v="3"/>
    <s v="TRK28522330"/>
    <n v="9"/>
    <s v="WINTER15"/>
    <x v="2"/>
    <n v="241.9"/>
  </r>
  <r>
    <x v="109"/>
    <x v="104"/>
    <s v="C51157"/>
    <x v="6"/>
    <n v="3"/>
    <n v="592.87"/>
    <s v="131 Main St"/>
    <x v="3"/>
    <x v="0"/>
    <s v="TRK18674578"/>
    <n v="3"/>
    <s v="FREESHIP"/>
    <x v="1"/>
    <n v="1778.61"/>
  </r>
  <r>
    <x v="110"/>
    <x v="105"/>
    <s v="C74562"/>
    <x v="2"/>
    <n v="1"/>
    <n v="220.77"/>
    <s v="388 Main St"/>
    <x v="3"/>
    <x v="4"/>
    <s v="TRK32062079"/>
    <n v="5"/>
    <s v="FREESHIP"/>
    <x v="0"/>
    <n v="220.77"/>
  </r>
  <r>
    <x v="111"/>
    <x v="106"/>
    <s v="C95271"/>
    <x v="6"/>
    <n v="3"/>
    <n v="309.22000000000003"/>
    <s v="620 Main St"/>
    <x v="1"/>
    <x v="1"/>
    <s v="TRK74904969"/>
    <n v="7"/>
    <s v="FREESHIP"/>
    <x v="4"/>
    <n v="927.66000000000008"/>
  </r>
  <r>
    <x v="112"/>
    <x v="107"/>
    <s v="C81366"/>
    <x v="0"/>
    <n v="1"/>
    <n v="410.6"/>
    <s v="423 Main St"/>
    <x v="1"/>
    <x v="1"/>
    <s v="TRK17062206"/>
    <n v="2"/>
    <s v="WINTER15"/>
    <x v="1"/>
    <n v="410.6"/>
  </r>
  <r>
    <x v="113"/>
    <x v="108"/>
    <s v="C65905"/>
    <x v="5"/>
    <n v="5"/>
    <n v="190.08"/>
    <s v="605 Main St"/>
    <x v="4"/>
    <x v="0"/>
    <s v="TRK73954365"/>
    <n v="9"/>
    <s v="FREESHIP"/>
    <x v="0"/>
    <n v="950.40000000000009"/>
  </r>
  <r>
    <x v="114"/>
    <x v="109"/>
    <s v="C77272"/>
    <x v="0"/>
    <n v="5"/>
    <n v="498.48"/>
    <s v="115 Main St"/>
    <x v="1"/>
    <x v="4"/>
    <s v="TRK29708128"/>
    <n v="8"/>
    <s v="SAVE10"/>
    <x v="4"/>
    <n v="2492.4"/>
  </r>
  <r>
    <x v="115"/>
    <x v="110"/>
    <s v="C32580"/>
    <x v="1"/>
    <n v="5"/>
    <n v="374.99"/>
    <s v="122 Main St"/>
    <x v="1"/>
    <x v="0"/>
    <s v="TRK23670394"/>
    <n v="9"/>
    <s v="SAVE10"/>
    <x v="3"/>
    <n v="1874.95"/>
  </r>
  <r>
    <x v="116"/>
    <x v="111"/>
    <s v="C47761"/>
    <x v="4"/>
    <n v="4"/>
    <n v="291.35000000000002"/>
    <s v="109 Main St"/>
    <x v="2"/>
    <x v="1"/>
    <s v="TRK66669207"/>
    <n v="6"/>
    <s v="WINTER15"/>
    <x v="3"/>
    <n v="1165.4000000000001"/>
  </r>
  <r>
    <x v="117"/>
    <x v="98"/>
    <s v="C49187"/>
    <x v="2"/>
    <n v="1"/>
    <n v="535.5"/>
    <s v="593 Main St"/>
    <x v="3"/>
    <x v="1"/>
    <s v="TRK81888598"/>
    <n v="5"/>
    <s v="WINTER15"/>
    <x v="1"/>
    <n v="535.5"/>
  </r>
  <r>
    <x v="118"/>
    <x v="112"/>
    <s v="C27898"/>
    <x v="4"/>
    <n v="5"/>
    <n v="502.71"/>
    <s v="807 Main St"/>
    <x v="3"/>
    <x v="0"/>
    <s v="TRK61957665"/>
    <n v="7"/>
    <s v="FREESHIP"/>
    <x v="4"/>
    <n v="2513.5500000000002"/>
  </r>
  <r>
    <x v="119"/>
    <x v="113"/>
    <s v="C14683"/>
    <x v="6"/>
    <n v="2"/>
    <n v="534.66999999999996"/>
    <s v="187 Main St"/>
    <x v="0"/>
    <x v="0"/>
    <s v="TRK47373682"/>
    <n v="7"/>
    <s v="FREESHIP"/>
    <x v="1"/>
    <n v="1069.3399999999999"/>
  </r>
  <r>
    <x v="120"/>
    <x v="114"/>
    <s v="C58108"/>
    <x v="2"/>
    <n v="4"/>
    <n v="629.34"/>
    <s v="986 Main St"/>
    <x v="4"/>
    <x v="1"/>
    <s v="TRK66218053"/>
    <n v="4"/>
    <s v="WINTER15"/>
    <x v="0"/>
    <n v="2517.36"/>
  </r>
  <r>
    <x v="121"/>
    <x v="115"/>
    <s v="C89822"/>
    <x v="6"/>
    <n v="1"/>
    <n v="410.78"/>
    <s v="673 Main St"/>
    <x v="4"/>
    <x v="1"/>
    <s v="TRK24138598"/>
    <n v="1"/>
    <s v="FREESHIP"/>
    <x v="0"/>
    <n v="410.78"/>
  </r>
  <r>
    <x v="122"/>
    <x v="116"/>
    <s v="C96787"/>
    <x v="5"/>
    <n v="2"/>
    <n v="533.02"/>
    <s v="588 Main St"/>
    <x v="3"/>
    <x v="0"/>
    <s v="TRK30422853"/>
    <n v="2"/>
    <s v="N/A"/>
    <x v="3"/>
    <n v="1066.04"/>
  </r>
  <r>
    <x v="123"/>
    <x v="117"/>
    <s v="C86064"/>
    <x v="6"/>
    <n v="3"/>
    <n v="278.04000000000002"/>
    <s v="727 Main St"/>
    <x v="1"/>
    <x v="3"/>
    <s v="TRK62182901"/>
    <n v="5"/>
    <s v="N/A"/>
    <x v="0"/>
    <n v="834.12000000000012"/>
  </r>
  <r>
    <x v="124"/>
    <x v="118"/>
    <s v="C97148"/>
    <x v="4"/>
    <n v="4"/>
    <n v="283.79000000000002"/>
    <s v="563 Main St"/>
    <x v="1"/>
    <x v="4"/>
    <s v="TRK85321126"/>
    <n v="8"/>
    <s v="N/A"/>
    <x v="4"/>
    <n v="1135.1600000000001"/>
  </r>
  <r>
    <x v="125"/>
    <x v="119"/>
    <s v="C91099"/>
    <x v="1"/>
    <n v="2"/>
    <n v="512.65"/>
    <s v="758 Main St"/>
    <x v="2"/>
    <x v="0"/>
    <s v="TRK81846174"/>
    <n v="5"/>
    <s v="SAVE10"/>
    <x v="2"/>
    <n v="1025.3"/>
  </r>
  <r>
    <x v="126"/>
    <x v="120"/>
    <s v="C55606"/>
    <x v="6"/>
    <n v="4"/>
    <n v="275.5"/>
    <s v="353 Main St"/>
    <x v="3"/>
    <x v="0"/>
    <s v="TRK68250319"/>
    <n v="8"/>
    <s v="FREESHIP"/>
    <x v="4"/>
    <n v="1102"/>
  </r>
  <r>
    <x v="127"/>
    <x v="121"/>
    <s v="C71486"/>
    <x v="6"/>
    <n v="3"/>
    <n v="469.32"/>
    <s v="365 Main St"/>
    <x v="0"/>
    <x v="0"/>
    <s v="TRK73929833"/>
    <n v="3"/>
    <s v="N/A"/>
    <x v="4"/>
    <n v="1407.96"/>
  </r>
  <r>
    <x v="128"/>
    <x v="96"/>
    <s v="C86408"/>
    <x v="2"/>
    <n v="4"/>
    <n v="21.07"/>
    <s v="244 Main St"/>
    <x v="3"/>
    <x v="3"/>
    <s v="TRK41432648"/>
    <n v="4"/>
    <s v="FREESHIP"/>
    <x v="4"/>
    <n v="84.28"/>
  </r>
  <r>
    <x v="129"/>
    <x v="122"/>
    <s v="C52751"/>
    <x v="5"/>
    <n v="4"/>
    <n v="263.93"/>
    <s v="427 Main St"/>
    <x v="0"/>
    <x v="0"/>
    <s v="TRK72481234"/>
    <n v="4"/>
    <s v="FREESHIP"/>
    <x v="3"/>
    <n v="1055.72"/>
  </r>
  <r>
    <x v="130"/>
    <x v="123"/>
    <s v="C29059"/>
    <x v="6"/>
    <n v="3"/>
    <n v="501.3"/>
    <s v="513 Main St"/>
    <x v="1"/>
    <x v="1"/>
    <s v="TRK88360704"/>
    <n v="3"/>
    <s v="WINTER15"/>
    <x v="3"/>
    <n v="1503.9"/>
  </r>
  <r>
    <x v="131"/>
    <x v="124"/>
    <s v="C72862"/>
    <x v="2"/>
    <n v="1"/>
    <n v="84.8"/>
    <s v="606 Main St"/>
    <x v="3"/>
    <x v="4"/>
    <s v="TRK51648833"/>
    <n v="5"/>
    <s v="N/A"/>
    <x v="0"/>
    <n v="84.8"/>
  </r>
  <r>
    <x v="132"/>
    <x v="125"/>
    <s v="C96257"/>
    <x v="2"/>
    <n v="4"/>
    <n v="450.75"/>
    <s v="583 Main St"/>
    <x v="2"/>
    <x v="0"/>
    <s v="TRK13137948"/>
    <n v="6"/>
    <s v="WINTER15"/>
    <x v="2"/>
    <n v="1803"/>
  </r>
  <r>
    <x v="133"/>
    <x v="126"/>
    <s v="C87432"/>
    <x v="3"/>
    <n v="4"/>
    <n v="302.05"/>
    <s v="636 Main St"/>
    <x v="0"/>
    <x v="1"/>
    <s v="TRK68969625"/>
    <n v="6"/>
    <s v="SAVE10"/>
    <x v="4"/>
    <n v="1208.2"/>
  </r>
  <r>
    <x v="134"/>
    <x v="127"/>
    <s v="C16253"/>
    <x v="5"/>
    <n v="2"/>
    <n v="199.7"/>
    <s v="583 Main St"/>
    <x v="4"/>
    <x v="4"/>
    <s v="TRK17354894"/>
    <n v="4"/>
    <s v="N/A"/>
    <x v="2"/>
    <n v="399.4"/>
  </r>
  <r>
    <x v="135"/>
    <x v="128"/>
    <s v="C79909"/>
    <x v="4"/>
    <n v="2"/>
    <n v="68.81"/>
    <s v="642 Main St"/>
    <x v="3"/>
    <x v="0"/>
    <s v="TRK86742257"/>
    <n v="5"/>
    <s v="SAVE10"/>
    <x v="1"/>
    <n v="137.62"/>
  </r>
  <r>
    <x v="136"/>
    <x v="129"/>
    <s v="C73370"/>
    <x v="5"/>
    <n v="1"/>
    <n v="44.35"/>
    <s v="595 Main St"/>
    <x v="3"/>
    <x v="1"/>
    <s v="TRK67820278"/>
    <n v="1"/>
    <s v="SAVE10"/>
    <x v="0"/>
    <n v="44.35"/>
  </r>
  <r>
    <x v="137"/>
    <x v="130"/>
    <s v="C50682"/>
    <x v="0"/>
    <n v="2"/>
    <n v="250.98"/>
    <s v="598 Main St"/>
    <x v="2"/>
    <x v="3"/>
    <s v="TRK12242337"/>
    <n v="5"/>
    <s v="N/A"/>
    <x v="4"/>
    <n v="501.96"/>
  </r>
  <r>
    <x v="138"/>
    <x v="131"/>
    <s v="C21905"/>
    <x v="2"/>
    <n v="1"/>
    <n v="298.06"/>
    <s v="478 Main St"/>
    <x v="0"/>
    <x v="4"/>
    <s v="TRK31863841"/>
    <n v="3"/>
    <s v="WINTER15"/>
    <x v="4"/>
    <n v="298.06"/>
  </r>
  <r>
    <x v="139"/>
    <x v="132"/>
    <s v="C61440"/>
    <x v="1"/>
    <n v="1"/>
    <n v="583.9"/>
    <s v="714 Main St"/>
    <x v="4"/>
    <x v="2"/>
    <s v="TRK33114521"/>
    <n v="1"/>
    <s v="N/A"/>
    <x v="2"/>
    <n v="583.9"/>
  </r>
  <r>
    <x v="140"/>
    <x v="133"/>
    <s v="C33110"/>
    <x v="3"/>
    <n v="3"/>
    <n v="528.14"/>
    <s v="388 Main St"/>
    <x v="1"/>
    <x v="3"/>
    <s v="TRK38624225"/>
    <n v="3"/>
    <s v="FREESHIP"/>
    <x v="2"/>
    <n v="1584.42"/>
  </r>
  <r>
    <x v="141"/>
    <x v="134"/>
    <s v="C80004"/>
    <x v="4"/>
    <n v="3"/>
    <n v="684.14"/>
    <s v="151 Main St"/>
    <x v="4"/>
    <x v="1"/>
    <s v="TRK66230753"/>
    <n v="3"/>
    <s v="WINTER15"/>
    <x v="0"/>
    <n v="2052.42"/>
  </r>
  <r>
    <x v="142"/>
    <x v="135"/>
    <s v="C86374"/>
    <x v="6"/>
    <n v="5"/>
    <n v="272.77"/>
    <s v="573 Main St"/>
    <x v="4"/>
    <x v="4"/>
    <s v="TRK79451491"/>
    <n v="7"/>
    <s v="WINTER15"/>
    <x v="2"/>
    <n v="1363.85"/>
  </r>
  <r>
    <x v="143"/>
    <x v="136"/>
    <s v="C66521"/>
    <x v="3"/>
    <n v="4"/>
    <n v="400.07"/>
    <s v="933 Main St"/>
    <x v="1"/>
    <x v="0"/>
    <s v="TRK34654244"/>
    <n v="5"/>
    <s v="N/A"/>
    <x v="1"/>
    <n v="1600.28"/>
  </r>
  <r>
    <x v="144"/>
    <x v="128"/>
    <s v="C63365"/>
    <x v="6"/>
    <n v="5"/>
    <n v="219.78"/>
    <s v="895 Main St"/>
    <x v="2"/>
    <x v="4"/>
    <s v="TRK80100887"/>
    <n v="8"/>
    <s v="N/A"/>
    <x v="3"/>
    <n v="1098.9000000000001"/>
  </r>
  <r>
    <x v="145"/>
    <x v="17"/>
    <s v="C85929"/>
    <x v="4"/>
    <n v="3"/>
    <n v="146.91"/>
    <s v="798 Main St"/>
    <x v="2"/>
    <x v="3"/>
    <s v="TRK29318610"/>
    <n v="6"/>
    <s v="FREESHIP"/>
    <x v="4"/>
    <n v="440.73"/>
  </r>
  <r>
    <x v="146"/>
    <x v="137"/>
    <s v="C84645"/>
    <x v="2"/>
    <n v="2"/>
    <n v="411.49"/>
    <s v="404 Main St"/>
    <x v="2"/>
    <x v="2"/>
    <s v="TRK68893369"/>
    <n v="4"/>
    <s v="N/A"/>
    <x v="0"/>
    <n v="822.98"/>
  </r>
  <r>
    <x v="147"/>
    <x v="138"/>
    <s v="C46316"/>
    <x v="5"/>
    <n v="2"/>
    <n v="465.18"/>
    <s v="893 Main St"/>
    <x v="2"/>
    <x v="1"/>
    <s v="TRK16196000"/>
    <n v="2"/>
    <s v="SAVE10"/>
    <x v="4"/>
    <n v="930.36"/>
  </r>
  <r>
    <x v="148"/>
    <x v="139"/>
    <s v="C35100"/>
    <x v="1"/>
    <n v="2"/>
    <n v="319.91000000000003"/>
    <s v="139 Main St"/>
    <x v="2"/>
    <x v="1"/>
    <s v="TRK56853491"/>
    <n v="3"/>
    <s v="WINTER15"/>
    <x v="4"/>
    <n v="639.82000000000005"/>
  </r>
  <r>
    <x v="149"/>
    <x v="140"/>
    <s v="C39671"/>
    <x v="5"/>
    <n v="1"/>
    <n v="217.56"/>
    <s v="174 Main St"/>
    <x v="0"/>
    <x v="3"/>
    <s v="TRK47153818"/>
    <n v="3"/>
    <s v="N/A"/>
    <x v="3"/>
    <n v="217.56"/>
  </r>
  <r>
    <x v="150"/>
    <x v="141"/>
    <s v="C25503"/>
    <x v="1"/>
    <n v="2"/>
    <n v="105.57"/>
    <s v="981 Main St"/>
    <x v="0"/>
    <x v="2"/>
    <s v="TRK29878837"/>
    <n v="5"/>
    <s v="WINTER15"/>
    <x v="4"/>
    <n v="211.14"/>
  </r>
  <r>
    <x v="151"/>
    <x v="142"/>
    <s v="C32960"/>
    <x v="4"/>
    <n v="5"/>
    <n v="444.76"/>
    <s v="947 Main St"/>
    <x v="0"/>
    <x v="2"/>
    <s v="TRK91226500"/>
    <n v="7"/>
    <s v="N/A"/>
    <x v="2"/>
    <n v="2223.8000000000002"/>
  </r>
  <r>
    <x v="152"/>
    <x v="143"/>
    <s v="C77736"/>
    <x v="3"/>
    <n v="2"/>
    <n v="399.04"/>
    <s v="659 Main St"/>
    <x v="4"/>
    <x v="1"/>
    <s v="TRK90329250"/>
    <n v="3"/>
    <s v="FREESHIP"/>
    <x v="1"/>
    <n v="798.08"/>
  </r>
  <r>
    <x v="153"/>
    <x v="144"/>
    <s v="C71570"/>
    <x v="3"/>
    <n v="4"/>
    <n v="534.48"/>
    <s v="437 Main St"/>
    <x v="1"/>
    <x v="2"/>
    <s v="TRK95992269"/>
    <n v="9"/>
    <s v="WINTER15"/>
    <x v="0"/>
    <n v="2137.92"/>
  </r>
  <r>
    <x v="154"/>
    <x v="145"/>
    <s v="C73587"/>
    <x v="1"/>
    <n v="4"/>
    <n v="408.21"/>
    <s v="727 Main St"/>
    <x v="2"/>
    <x v="4"/>
    <s v="TRK13955543"/>
    <n v="9"/>
    <s v="N/A"/>
    <x v="0"/>
    <n v="1632.84"/>
  </r>
  <r>
    <x v="155"/>
    <x v="146"/>
    <s v="C62740"/>
    <x v="1"/>
    <n v="1"/>
    <n v="424.4"/>
    <s v="446 Main St"/>
    <x v="1"/>
    <x v="0"/>
    <s v="TRK20706408"/>
    <n v="6"/>
    <s v="WINTER15"/>
    <x v="1"/>
    <n v="424.4"/>
  </r>
  <r>
    <x v="156"/>
    <x v="147"/>
    <s v="C58808"/>
    <x v="3"/>
    <n v="2"/>
    <n v="269.83"/>
    <s v="651 Main St"/>
    <x v="1"/>
    <x v="3"/>
    <s v="TRK24451893"/>
    <n v="4"/>
    <s v="SAVE10"/>
    <x v="2"/>
    <n v="539.66"/>
  </r>
  <r>
    <x v="157"/>
    <x v="148"/>
    <s v="C50422"/>
    <x v="0"/>
    <n v="2"/>
    <n v="564.58000000000004"/>
    <s v="636 Main St"/>
    <x v="1"/>
    <x v="2"/>
    <s v="TRK71227815"/>
    <n v="4"/>
    <s v="WINTER15"/>
    <x v="3"/>
    <n v="1129.1600000000001"/>
  </r>
  <r>
    <x v="158"/>
    <x v="149"/>
    <s v="C23334"/>
    <x v="2"/>
    <n v="1"/>
    <n v="331.06"/>
    <s v="737 Main St"/>
    <x v="2"/>
    <x v="4"/>
    <s v="TRK46335144"/>
    <n v="5"/>
    <s v="WINTER15"/>
    <x v="0"/>
    <n v="331.06"/>
  </r>
  <r>
    <x v="159"/>
    <x v="150"/>
    <s v="C48965"/>
    <x v="4"/>
    <n v="1"/>
    <n v="299.35000000000002"/>
    <s v="819 Main St"/>
    <x v="2"/>
    <x v="1"/>
    <s v="TRK50921780"/>
    <n v="5"/>
    <s v="WINTER15"/>
    <x v="2"/>
    <n v="299.35000000000002"/>
  </r>
  <r>
    <x v="160"/>
    <x v="96"/>
    <s v="C38669"/>
    <x v="0"/>
    <n v="4"/>
    <n v="101.32"/>
    <s v="240 Main St"/>
    <x v="4"/>
    <x v="4"/>
    <s v="TRK81738254"/>
    <n v="7"/>
    <s v="N/A"/>
    <x v="1"/>
    <n v="405.28"/>
  </r>
  <r>
    <x v="161"/>
    <x v="151"/>
    <s v="C35091"/>
    <x v="0"/>
    <n v="1"/>
    <n v="211.14"/>
    <s v="513 Main St"/>
    <x v="2"/>
    <x v="1"/>
    <s v="TRK53784452"/>
    <n v="1"/>
    <s v="SAVE10"/>
    <x v="3"/>
    <n v="211.14"/>
  </r>
  <r>
    <x v="162"/>
    <x v="152"/>
    <s v="C82313"/>
    <x v="3"/>
    <n v="3"/>
    <n v="65.86"/>
    <s v="917 Main St"/>
    <x v="1"/>
    <x v="4"/>
    <s v="TRK79854624"/>
    <n v="8"/>
    <s v="WINTER15"/>
    <x v="4"/>
    <n v="197.58"/>
  </r>
  <r>
    <x v="163"/>
    <x v="53"/>
    <s v="C99589"/>
    <x v="2"/>
    <n v="1"/>
    <n v="641.39"/>
    <s v="277 Main St"/>
    <x v="1"/>
    <x v="1"/>
    <s v="TRK16695001"/>
    <n v="1"/>
    <s v="N/A"/>
    <x v="1"/>
    <n v="641.39"/>
  </r>
  <r>
    <x v="164"/>
    <x v="153"/>
    <s v="C70566"/>
    <x v="6"/>
    <n v="5"/>
    <n v="536.58000000000004"/>
    <s v="667 Main St"/>
    <x v="3"/>
    <x v="4"/>
    <s v="TRK49673411"/>
    <n v="5"/>
    <s v="SAVE10"/>
    <x v="4"/>
    <n v="2682.9"/>
  </r>
  <r>
    <x v="165"/>
    <x v="154"/>
    <s v="C60355"/>
    <x v="0"/>
    <n v="2"/>
    <n v="500.29"/>
    <s v="226 Main St"/>
    <x v="1"/>
    <x v="2"/>
    <s v="TRK30155194"/>
    <n v="7"/>
    <s v="WINTER15"/>
    <x v="4"/>
    <n v="1000.58"/>
  </r>
  <r>
    <x v="166"/>
    <x v="155"/>
    <s v="C28889"/>
    <x v="3"/>
    <n v="3"/>
    <n v="86.29"/>
    <s v="565 Main St"/>
    <x v="4"/>
    <x v="3"/>
    <s v="TRK23791726"/>
    <n v="6"/>
    <s v="WINTER15"/>
    <x v="0"/>
    <n v="258.87"/>
  </r>
  <r>
    <x v="167"/>
    <x v="156"/>
    <s v="C88304"/>
    <x v="3"/>
    <n v="2"/>
    <n v="384.14"/>
    <s v="219 Main St"/>
    <x v="1"/>
    <x v="2"/>
    <s v="TRK44268941"/>
    <n v="2"/>
    <s v="WINTER15"/>
    <x v="2"/>
    <n v="768.28"/>
  </r>
  <r>
    <x v="168"/>
    <x v="157"/>
    <s v="C49517"/>
    <x v="4"/>
    <n v="1"/>
    <n v="594.96"/>
    <s v="878 Main St"/>
    <x v="4"/>
    <x v="2"/>
    <s v="TRK78551375"/>
    <n v="6"/>
    <s v="N/A"/>
    <x v="3"/>
    <n v="594.96"/>
  </r>
  <r>
    <x v="169"/>
    <x v="158"/>
    <s v="C35785"/>
    <x v="4"/>
    <n v="1"/>
    <n v="427.82"/>
    <s v="732 Main St"/>
    <x v="1"/>
    <x v="3"/>
    <s v="TRK78923089"/>
    <n v="2"/>
    <s v="WINTER15"/>
    <x v="2"/>
    <n v="427.82"/>
  </r>
  <r>
    <x v="170"/>
    <x v="159"/>
    <s v="C80223"/>
    <x v="6"/>
    <n v="4"/>
    <n v="662.94"/>
    <s v="535 Main St"/>
    <x v="4"/>
    <x v="1"/>
    <s v="TRK68632951"/>
    <n v="8"/>
    <s v="SAVE10"/>
    <x v="0"/>
    <n v="2651.76"/>
  </r>
  <r>
    <x v="171"/>
    <x v="160"/>
    <s v="C20448"/>
    <x v="2"/>
    <n v="2"/>
    <n v="148.22"/>
    <s v="336 Main St"/>
    <x v="2"/>
    <x v="3"/>
    <s v="TRK67379895"/>
    <n v="7"/>
    <s v="WINTER15"/>
    <x v="0"/>
    <n v="296.44"/>
  </r>
  <r>
    <x v="172"/>
    <x v="161"/>
    <s v="C34134"/>
    <x v="4"/>
    <n v="1"/>
    <n v="254.12"/>
    <s v="365 Main St"/>
    <x v="1"/>
    <x v="3"/>
    <s v="TRK43074303"/>
    <n v="1"/>
    <s v="WINTER15"/>
    <x v="2"/>
    <n v="254.12"/>
  </r>
  <r>
    <x v="173"/>
    <x v="59"/>
    <s v="C95901"/>
    <x v="1"/>
    <n v="3"/>
    <n v="664.46"/>
    <s v="806 Main St"/>
    <x v="1"/>
    <x v="3"/>
    <s v="TRK56989066"/>
    <n v="4"/>
    <s v="FREESHIP"/>
    <x v="4"/>
    <n v="1993.38"/>
  </r>
  <r>
    <x v="174"/>
    <x v="162"/>
    <s v="C51145"/>
    <x v="4"/>
    <n v="4"/>
    <n v="600.80999999999995"/>
    <s v="790 Main St"/>
    <x v="0"/>
    <x v="3"/>
    <s v="TRK59154274"/>
    <n v="9"/>
    <s v="SAVE10"/>
    <x v="2"/>
    <n v="2403.2399999999998"/>
  </r>
  <r>
    <x v="175"/>
    <x v="163"/>
    <s v="C78170"/>
    <x v="3"/>
    <n v="5"/>
    <n v="68.34"/>
    <s v="332 Main St"/>
    <x v="0"/>
    <x v="4"/>
    <s v="TRK71410605"/>
    <n v="6"/>
    <s v="WINTER15"/>
    <x v="1"/>
    <n v="341.7"/>
  </r>
  <r>
    <x v="176"/>
    <x v="164"/>
    <s v="C80151"/>
    <x v="2"/>
    <n v="4"/>
    <n v="430.83"/>
    <s v="553 Main St"/>
    <x v="3"/>
    <x v="4"/>
    <s v="TRK88251529"/>
    <n v="8"/>
    <s v="WINTER15"/>
    <x v="1"/>
    <n v="1723.32"/>
  </r>
  <r>
    <x v="177"/>
    <x v="165"/>
    <s v="C55632"/>
    <x v="3"/>
    <n v="5"/>
    <n v="431.69"/>
    <s v="354 Main St"/>
    <x v="2"/>
    <x v="4"/>
    <s v="TRK13003066"/>
    <n v="10"/>
    <s v="N/A"/>
    <x v="3"/>
    <n v="2158.4499999999998"/>
  </r>
  <r>
    <x v="178"/>
    <x v="166"/>
    <s v="C53070"/>
    <x v="3"/>
    <n v="4"/>
    <n v="512.05999999999995"/>
    <s v="283 Main St"/>
    <x v="1"/>
    <x v="3"/>
    <s v="TRK49791755"/>
    <n v="5"/>
    <s v="SAVE10"/>
    <x v="4"/>
    <n v="2048.2399999999998"/>
  </r>
  <r>
    <x v="179"/>
    <x v="167"/>
    <s v="C27401"/>
    <x v="5"/>
    <n v="3"/>
    <n v="539.91"/>
    <s v="500 Main St"/>
    <x v="2"/>
    <x v="3"/>
    <s v="TRK14332053"/>
    <n v="8"/>
    <s v="N/A"/>
    <x v="2"/>
    <n v="1619.73"/>
  </r>
  <r>
    <x v="180"/>
    <x v="168"/>
    <s v="C87216"/>
    <x v="2"/>
    <n v="5"/>
    <n v="316.07"/>
    <s v="970 Main St"/>
    <x v="4"/>
    <x v="2"/>
    <s v="TRK18713727"/>
    <n v="10"/>
    <s v="N/A"/>
    <x v="4"/>
    <n v="1580.35"/>
  </r>
  <r>
    <x v="181"/>
    <x v="169"/>
    <s v="C38966"/>
    <x v="4"/>
    <n v="5"/>
    <n v="404.39"/>
    <s v="247 Main St"/>
    <x v="1"/>
    <x v="0"/>
    <s v="TRK17205146"/>
    <n v="10"/>
    <s v="N/A"/>
    <x v="1"/>
    <n v="2021.95"/>
  </r>
  <r>
    <x v="182"/>
    <x v="170"/>
    <s v="C16612"/>
    <x v="6"/>
    <n v="1"/>
    <n v="600.54"/>
    <s v="596 Main St"/>
    <x v="0"/>
    <x v="4"/>
    <s v="TRK96188223"/>
    <n v="4"/>
    <s v="WINTER15"/>
    <x v="4"/>
    <n v="600.54"/>
  </r>
  <r>
    <x v="183"/>
    <x v="171"/>
    <s v="C39246"/>
    <x v="0"/>
    <n v="5"/>
    <n v="186.28"/>
    <s v="258 Main St"/>
    <x v="0"/>
    <x v="3"/>
    <s v="TRK16658182"/>
    <n v="8"/>
    <s v="SAVE10"/>
    <x v="2"/>
    <n v="931.4"/>
  </r>
  <r>
    <x v="184"/>
    <x v="172"/>
    <s v="C65180"/>
    <x v="2"/>
    <n v="4"/>
    <n v="214.54"/>
    <s v="231 Main St"/>
    <x v="3"/>
    <x v="1"/>
    <s v="TRK39255469"/>
    <n v="7"/>
    <s v="N/A"/>
    <x v="1"/>
    <n v="858.16"/>
  </r>
  <r>
    <x v="185"/>
    <x v="61"/>
    <s v="C46877"/>
    <x v="5"/>
    <n v="1"/>
    <n v="210.7"/>
    <s v="572 Main St"/>
    <x v="1"/>
    <x v="0"/>
    <s v="TRK96935978"/>
    <n v="2"/>
    <s v="WINTER15"/>
    <x v="1"/>
    <n v="210.7"/>
  </r>
  <r>
    <x v="186"/>
    <x v="173"/>
    <s v="C30334"/>
    <x v="1"/>
    <n v="2"/>
    <n v="133.55000000000001"/>
    <s v="322 Main St"/>
    <x v="4"/>
    <x v="4"/>
    <s v="TRK66388885"/>
    <n v="7"/>
    <s v="FREESHIP"/>
    <x v="3"/>
    <n v="267.10000000000002"/>
  </r>
  <r>
    <x v="187"/>
    <x v="174"/>
    <s v="C21227"/>
    <x v="3"/>
    <n v="1"/>
    <n v="590.87"/>
    <s v="689 Main St"/>
    <x v="3"/>
    <x v="2"/>
    <s v="TRK79129657"/>
    <n v="6"/>
    <s v="FREESHIP"/>
    <x v="1"/>
    <n v="590.87"/>
  </r>
  <r>
    <x v="188"/>
    <x v="175"/>
    <s v="C97715"/>
    <x v="3"/>
    <n v="2"/>
    <n v="363.91"/>
    <s v="927 Main St"/>
    <x v="3"/>
    <x v="0"/>
    <s v="TRK19515949"/>
    <n v="2"/>
    <s v="FREESHIP"/>
    <x v="1"/>
    <n v="727.82"/>
  </r>
  <r>
    <x v="189"/>
    <x v="176"/>
    <s v="C48939"/>
    <x v="4"/>
    <n v="5"/>
    <n v="429.45"/>
    <s v="597 Main St"/>
    <x v="3"/>
    <x v="1"/>
    <s v="TRK62786764"/>
    <n v="5"/>
    <s v="WINTER15"/>
    <x v="2"/>
    <n v="2147.25"/>
  </r>
  <r>
    <x v="190"/>
    <x v="169"/>
    <s v="C35483"/>
    <x v="4"/>
    <n v="3"/>
    <n v="223.7"/>
    <s v="725 Main St"/>
    <x v="4"/>
    <x v="2"/>
    <s v="TRK79638203"/>
    <n v="3"/>
    <s v="SAVE10"/>
    <x v="2"/>
    <n v="671.09999999999991"/>
  </r>
  <r>
    <x v="191"/>
    <x v="177"/>
    <s v="C51494"/>
    <x v="5"/>
    <n v="2"/>
    <n v="488.87"/>
    <s v="505 Main St"/>
    <x v="1"/>
    <x v="1"/>
    <s v="TRK58520306"/>
    <n v="4"/>
    <s v="FREESHIP"/>
    <x v="4"/>
    <n v="977.74"/>
  </r>
  <r>
    <x v="192"/>
    <x v="178"/>
    <s v="C58410"/>
    <x v="6"/>
    <n v="1"/>
    <n v="645.46"/>
    <s v="151 Main St"/>
    <x v="3"/>
    <x v="1"/>
    <s v="TRK19749672"/>
    <n v="5"/>
    <s v="SAVE10"/>
    <x v="4"/>
    <n v="645.46"/>
  </r>
  <r>
    <x v="193"/>
    <x v="179"/>
    <s v="C11644"/>
    <x v="4"/>
    <n v="1"/>
    <n v="46.66"/>
    <s v="429 Main St"/>
    <x v="4"/>
    <x v="1"/>
    <s v="TRK81320339"/>
    <n v="6"/>
    <s v="N/A"/>
    <x v="4"/>
    <n v="46.66"/>
  </r>
  <r>
    <x v="194"/>
    <x v="180"/>
    <s v="C53501"/>
    <x v="0"/>
    <n v="1"/>
    <n v="249.57"/>
    <s v="899 Main St"/>
    <x v="4"/>
    <x v="0"/>
    <s v="TRK90144892"/>
    <n v="3"/>
    <s v="FREESHIP"/>
    <x v="4"/>
    <n v="249.57"/>
  </r>
  <r>
    <x v="195"/>
    <x v="181"/>
    <s v="C63619"/>
    <x v="3"/>
    <n v="3"/>
    <n v="619.21"/>
    <s v="801 Main St"/>
    <x v="0"/>
    <x v="1"/>
    <s v="TRK65385674"/>
    <n v="6"/>
    <s v="N/A"/>
    <x v="2"/>
    <n v="1857.63"/>
  </r>
  <r>
    <x v="196"/>
    <x v="182"/>
    <s v="C40882"/>
    <x v="6"/>
    <n v="4"/>
    <n v="217.13"/>
    <s v="719 Main St"/>
    <x v="4"/>
    <x v="3"/>
    <s v="TRK64165503"/>
    <n v="8"/>
    <s v="WINTER15"/>
    <x v="2"/>
    <n v="868.52"/>
  </r>
  <r>
    <x v="197"/>
    <x v="183"/>
    <s v="C80135"/>
    <x v="5"/>
    <n v="5"/>
    <n v="221.51"/>
    <s v="723 Main St"/>
    <x v="4"/>
    <x v="2"/>
    <s v="TRK95222269"/>
    <n v="5"/>
    <s v="WINTER15"/>
    <x v="1"/>
    <n v="1107.55"/>
  </r>
  <r>
    <x v="198"/>
    <x v="184"/>
    <s v="C37594"/>
    <x v="5"/>
    <n v="4"/>
    <n v="340.3"/>
    <s v="926 Main St"/>
    <x v="4"/>
    <x v="1"/>
    <s v="TRK94405162"/>
    <n v="8"/>
    <s v="SAVE10"/>
    <x v="1"/>
    <n v="1361.2"/>
  </r>
  <r>
    <x v="199"/>
    <x v="185"/>
    <s v="C87524"/>
    <x v="1"/>
    <n v="1"/>
    <n v="625"/>
    <s v="358 Main St"/>
    <x v="1"/>
    <x v="2"/>
    <s v="TRK21114341"/>
    <n v="5"/>
    <s v="WINTER15"/>
    <x v="4"/>
    <n v="625"/>
  </r>
  <r>
    <x v="200"/>
    <x v="186"/>
    <s v="C97681"/>
    <x v="2"/>
    <n v="5"/>
    <n v="433.26"/>
    <s v="895 Main St"/>
    <x v="2"/>
    <x v="3"/>
    <s v="TRK37531040"/>
    <n v="9"/>
    <s v="SAVE10"/>
    <x v="4"/>
    <n v="2166.3000000000002"/>
  </r>
  <r>
    <x v="201"/>
    <x v="187"/>
    <s v="C10126"/>
    <x v="0"/>
    <n v="2"/>
    <n v="674.9"/>
    <s v="146 Main St"/>
    <x v="1"/>
    <x v="0"/>
    <s v="TRK75607531"/>
    <n v="4"/>
    <s v="SAVE10"/>
    <x v="3"/>
    <n v="1349.8"/>
  </r>
  <r>
    <x v="202"/>
    <x v="188"/>
    <s v="C36938"/>
    <x v="0"/>
    <n v="3"/>
    <n v="253.98"/>
    <s v="636 Main St"/>
    <x v="2"/>
    <x v="1"/>
    <s v="TRK52522904"/>
    <n v="3"/>
    <s v="FREESHIP"/>
    <x v="2"/>
    <n v="761.93999999999994"/>
  </r>
  <r>
    <x v="203"/>
    <x v="94"/>
    <s v="C99173"/>
    <x v="4"/>
    <n v="3"/>
    <n v="356.84"/>
    <s v="172 Main St"/>
    <x v="1"/>
    <x v="0"/>
    <s v="TRK89849342"/>
    <n v="5"/>
    <s v="SAVE10"/>
    <x v="0"/>
    <n v="1070.52"/>
  </r>
  <r>
    <x v="204"/>
    <x v="189"/>
    <s v="C99775"/>
    <x v="5"/>
    <n v="4"/>
    <n v="413.71"/>
    <s v="478 Main St"/>
    <x v="3"/>
    <x v="1"/>
    <s v="TRK21638425"/>
    <n v="9"/>
    <s v="FREESHIP"/>
    <x v="3"/>
    <n v="1654.84"/>
  </r>
  <r>
    <x v="205"/>
    <x v="190"/>
    <s v="C19266"/>
    <x v="6"/>
    <n v="3"/>
    <n v="147.38999999999999"/>
    <s v="609 Main St"/>
    <x v="0"/>
    <x v="2"/>
    <s v="TRK58357269"/>
    <n v="3"/>
    <s v="N/A"/>
    <x v="2"/>
    <n v="442.17"/>
  </r>
  <r>
    <x v="206"/>
    <x v="162"/>
    <s v="C31072"/>
    <x v="5"/>
    <n v="4"/>
    <n v="229.1"/>
    <s v="729 Main St"/>
    <x v="3"/>
    <x v="2"/>
    <s v="TRK77172975"/>
    <n v="8"/>
    <s v="WINTER15"/>
    <x v="2"/>
    <n v="916.4"/>
  </r>
  <r>
    <x v="207"/>
    <x v="191"/>
    <s v="C54595"/>
    <x v="1"/>
    <n v="1"/>
    <n v="121.96"/>
    <s v="999 Main St"/>
    <x v="0"/>
    <x v="3"/>
    <s v="TRK44416659"/>
    <n v="3"/>
    <s v="N/A"/>
    <x v="4"/>
    <n v="121.96"/>
  </r>
  <r>
    <x v="208"/>
    <x v="192"/>
    <s v="C87777"/>
    <x v="6"/>
    <n v="2"/>
    <n v="408.32"/>
    <s v="597 Main St"/>
    <x v="1"/>
    <x v="0"/>
    <s v="TRK29003608"/>
    <n v="3"/>
    <s v="FREESHIP"/>
    <x v="3"/>
    <n v="816.64"/>
  </r>
  <r>
    <x v="209"/>
    <x v="193"/>
    <s v="C35854"/>
    <x v="2"/>
    <n v="5"/>
    <n v="187.97"/>
    <s v="706 Main St"/>
    <x v="4"/>
    <x v="2"/>
    <s v="TRK30615168"/>
    <n v="9"/>
    <s v="SAVE10"/>
    <x v="4"/>
    <n v="939.85"/>
  </r>
  <r>
    <x v="210"/>
    <x v="194"/>
    <s v="C93821"/>
    <x v="3"/>
    <n v="3"/>
    <n v="358.48"/>
    <s v="513 Main St"/>
    <x v="3"/>
    <x v="3"/>
    <s v="TRK10658539"/>
    <n v="7"/>
    <s v="FREESHIP"/>
    <x v="3"/>
    <n v="1075.44"/>
  </r>
  <r>
    <x v="211"/>
    <x v="195"/>
    <s v="C54390"/>
    <x v="4"/>
    <n v="3"/>
    <n v="193.58"/>
    <s v="185 Main St"/>
    <x v="3"/>
    <x v="4"/>
    <s v="TRK83853742"/>
    <n v="7"/>
    <s v="FREESHIP"/>
    <x v="2"/>
    <n v="580.74"/>
  </r>
  <r>
    <x v="212"/>
    <x v="196"/>
    <s v="C53215"/>
    <x v="0"/>
    <n v="1"/>
    <n v="265.38"/>
    <s v="367 Main St"/>
    <x v="2"/>
    <x v="1"/>
    <s v="TRK34751835"/>
    <n v="6"/>
    <s v="WINTER15"/>
    <x v="2"/>
    <n v="265.38"/>
  </r>
  <r>
    <x v="213"/>
    <x v="197"/>
    <s v="C71122"/>
    <x v="5"/>
    <n v="1"/>
    <n v="634.4"/>
    <s v="317 Main St"/>
    <x v="4"/>
    <x v="1"/>
    <s v="TRK54757882"/>
    <n v="6"/>
    <s v="SAVE10"/>
    <x v="2"/>
    <n v="634.4"/>
  </r>
  <r>
    <x v="214"/>
    <x v="58"/>
    <s v="C29483"/>
    <x v="6"/>
    <n v="4"/>
    <n v="305.72000000000003"/>
    <s v="673 Main St"/>
    <x v="1"/>
    <x v="3"/>
    <s v="TRK89423603"/>
    <n v="5"/>
    <s v="N/A"/>
    <x v="3"/>
    <n v="1222.8800000000001"/>
  </r>
  <r>
    <x v="215"/>
    <x v="121"/>
    <s v="C26767"/>
    <x v="4"/>
    <n v="1"/>
    <n v="303.60000000000002"/>
    <s v="432 Main St"/>
    <x v="4"/>
    <x v="0"/>
    <s v="TRK24585307"/>
    <n v="5"/>
    <s v="FREESHIP"/>
    <x v="3"/>
    <n v="303.60000000000002"/>
  </r>
  <r>
    <x v="216"/>
    <x v="198"/>
    <s v="C70492"/>
    <x v="0"/>
    <n v="4"/>
    <n v="496"/>
    <s v="811 Main St"/>
    <x v="1"/>
    <x v="1"/>
    <s v="TRK84625405"/>
    <n v="8"/>
    <s v="WINTER15"/>
    <x v="4"/>
    <n v="1984"/>
  </r>
  <r>
    <x v="217"/>
    <x v="199"/>
    <s v="C61549"/>
    <x v="6"/>
    <n v="4"/>
    <n v="321.51"/>
    <s v="908 Main St"/>
    <x v="4"/>
    <x v="2"/>
    <s v="TRK65596914"/>
    <n v="9"/>
    <s v="N/A"/>
    <x v="4"/>
    <n v="1286.04"/>
  </r>
  <r>
    <x v="218"/>
    <x v="200"/>
    <s v="C11665"/>
    <x v="2"/>
    <n v="3"/>
    <n v="112.46"/>
    <s v="882 Main St"/>
    <x v="3"/>
    <x v="0"/>
    <s v="TRK10993930"/>
    <n v="6"/>
    <s v="SAVE10"/>
    <x v="0"/>
    <n v="337.38"/>
  </r>
  <r>
    <x v="219"/>
    <x v="201"/>
    <s v="C48946"/>
    <x v="5"/>
    <n v="5"/>
    <n v="61.97"/>
    <s v="457 Main St"/>
    <x v="4"/>
    <x v="3"/>
    <s v="TRK99387220"/>
    <n v="6"/>
    <s v="SAVE10"/>
    <x v="2"/>
    <n v="309.85000000000002"/>
  </r>
  <r>
    <x v="220"/>
    <x v="202"/>
    <s v="C79506"/>
    <x v="5"/>
    <n v="2"/>
    <n v="373.17"/>
    <s v="497 Main St"/>
    <x v="2"/>
    <x v="4"/>
    <s v="TRK95188748"/>
    <n v="6"/>
    <s v="SAVE10"/>
    <x v="1"/>
    <n v="746.34"/>
  </r>
  <r>
    <x v="221"/>
    <x v="203"/>
    <s v="C93473"/>
    <x v="2"/>
    <n v="5"/>
    <n v="639.37"/>
    <s v="552 Main St"/>
    <x v="0"/>
    <x v="4"/>
    <s v="TRK50003989"/>
    <n v="6"/>
    <s v="SAVE10"/>
    <x v="4"/>
    <n v="3196.85"/>
  </r>
  <r>
    <x v="222"/>
    <x v="204"/>
    <s v="C43124"/>
    <x v="3"/>
    <n v="4"/>
    <n v="693.36"/>
    <s v="931 Main St"/>
    <x v="1"/>
    <x v="0"/>
    <s v="TRK17293348"/>
    <n v="8"/>
    <s v="N/A"/>
    <x v="0"/>
    <n v="2773.44"/>
  </r>
  <r>
    <x v="223"/>
    <x v="57"/>
    <s v="C22783"/>
    <x v="1"/>
    <n v="4"/>
    <n v="692.91"/>
    <s v="673 Main St"/>
    <x v="2"/>
    <x v="4"/>
    <s v="TRK55009149"/>
    <n v="9"/>
    <s v="SAVE10"/>
    <x v="0"/>
    <n v="2771.64"/>
  </r>
  <r>
    <x v="224"/>
    <x v="205"/>
    <s v="C18567"/>
    <x v="4"/>
    <n v="4"/>
    <n v="91.46"/>
    <s v="507 Main St"/>
    <x v="4"/>
    <x v="1"/>
    <s v="TRK17554673"/>
    <n v="9"/>
    <s v="SAVE10"/>
    <x v="1"/>
    <n v="365.84"/>
  </r>
  <r>
    <x v="225"/>
    <x v="206"/>
    <s v="C99879"/>
    <x v="1"/>
    <n v="3"/>
    <n v="273.95999999999998"/>
    <s v="692 Main St"/>
    <x v="0"/>
    <x v="2"/>
    <s v="TRK50246700"/>
    <n v="8"/>
    <s v="SAVE10"/>
    <x v="4"/>
    <n v="821.87999999999988"/>
  </r>
  <r>
    <x v="226"/>
    <x v="207"/>
    <s v="C31501"/>
    <x v="6"/>
    <n v="3"/>
    <n v="588.04999999999995"/>
    <s v="242 Main St"/>
    <x v="3"/>
    <x v="3"/>
    <s v="TRK93063929"/>
    <n v="8"/>
    <s v="N/A"/>
    <x v="0"/>
    <n v="1764.15"/>
  </r>
  <r>
    <x v="227"/>
    <x v="208"/>
    <s v="C93220"/>
    <x v="0"/>
    <n v="2"/>
    <n v="365.17"/>
    <s v="353 Main St"/>
    <x v="1"/>
    <x v="1"/>
    <s v="TRK89023251"/>
    <n v="4"/>
    <s v="FREESHIP"/>
    <x v="3"/>
    <n v="730.34"/>
  </r>
  <r>
    <x v="228"/>
    <x v="209"/>
    <s v="C57867"/>
    <x v="3"/>
    <n v="4"/>
    <n v="385.92"/>
    <s v="579 Main St"/>
    <x v="2"/>
    <x v="1"/>
    <s v="TRK92055007"/>
    <n v="8"/>
    <s v="N/A"/>
    <x v="0"/>
    <n v="1543.68"/>
  </r>
  <r>
    <x v="229"/>
    <x v="210"/>
    <s v="C62622"/>
    <x v="2"/>
    <n v="1"/>
    <n v="562.61"/>
    <s v="762 Main St"/>
    <x v="2"/>
    <x v="3"/>
    <s v="TRK70997648"/>
    <n v="3"/>
    <s v="WINTER15"/>
    <x v="3"/>
    <n v="562.61"/>
  </r>
  <r>
    <x v="230"/>
    <x v="211"/>
    <s v="C94595"/>
    <x v="6"/>
    <n v="4"/>
    <n v="61.91"/>
    <s v="948 Main St"/>
    <x v="3"/>
    <x v="3"/>
    <s v="TRK24497305"/>
    <n v="6"/>
    <s v="WINTER15"/>
    <x v="2"/>
    <n v="247.64"/>
  </r>
  <r>
    <x v="231"/>
    <x v="212"/>
    <s v="C30955"/>
    <x v="1"/>
    <n v="4"/>
    <n v="41.9"/>
    <s v="327 Main St"/>
    <x v="3"/>
    <x v="4"/>
    <s v="TRK46898848"/>
    <n v="9"/>
    <s v="FREESHIP"/>
    <x v="0"/>
    <n v="167.6"/>
  </r>
  <r>
    <x v="232"/>
    <x v="213"/>
    <s v="C20731"/>
    <x v="4"/>
    <n v="4"/>
    <n v="444.44"/>
    <s v="610 Main St"/>
    <x v="0"/>
    <x v="1"/>
    <s v="TRK75568437"/>
    <n v="8"/>
    <s v="WINTER15"/>
    <x v="4"/>
    <n v="1777.76"/>
  </r>
  <r>
    <x v="233"/>
    <x v="214"/>
    <s v="C30168"/>
    <x v="1"/>
    <n v="3"/>
    <n v="311.33"/>
    <s v="146 Main St"/>
    <x v="4"/>
    <x v="1"/>
    <s v="TRK73699939"/>
    <n v="3"/>
    <s v="WINTER15"/>
    <x v="0"/>
    <n v="933.99"/>
  </r>
  <r>
    <x v="234"/>
    <x v="130"/>
    <s v="C79842"/>
    <x v="4"/>
    <n v="4"/>
    <n v="236.41"/>
    <s v="337 Main St"/>
    <x v="0"/>
    <x v="4"/>
    <s v="TRK26957950"/>
    <n v="7"/>
    <s v="SAVE10"/>
    <x v="4"/>
    <n v="945.64"/>
  </r>
  <r>
    <x v="235"/>
    <x v="215"/>
    <s v="C32854"/>
    <x v="6"/>
    <n v="1"/>
    <n v="65.45"/>
    <s v="815 Main St"/>
    <x v="4"/>
    <x v="4"/>
    <s v="TRK30009218"/>
    <n v="2"/>
    <s v="WINTER15"/>
    <x v="4"/>
    <n v="65.45"/>
  </r>
  <r>
    <x v="236"/>
    <x v="107"/>
    <s v="C14847"/>
    <x v="0"/>
    <n v="1"/>
    <n v="318.81"/>
    <s v="562 Main St"/>
    <x v="0"/>
    <x v="4"/>
    <s v="TRK39663243"/>
    <n v="3"/>
    <s v="WINTER15"/>
    <x v="2"/>
    <n v="318.81"/>
  </r>
  <r>
    <x v="237"/>
    <x v="216"/>
    <s v="C88645"/>
    <x v="0"/>
    <n v="3"/>
    <n v="583.72"/>
    <s v="783 Main St"/>
    <x v="2"/>
    <x v="0"/>
    <s v="TRK74097570"/>
    <n v="5"/>
    <s v="FREESHIP"/>
    <x v="3"/>
    <n v="1751.16"/>
  </r>
  <r>
    <x v="238"/>
    <x v="217"/>
    <s v="C66149"/>
    <x v="6"/>
    <n v="4"/>
    <n v="384.32"/>
    <s v="770 Main St"/>
    <x v="2"/>
    <x v="4"/>
    <s v="TRK76307307"/>
    <n v="6"/>
    <s v="WINTER15"/>
    <x v="4"/>
    <n v="1537.28"/>
  </r>
  <r>
    <x v="239"/>
    <x v="218"/>
    <s v="C20256"/>
    <x v="2"/>
    <n v="3"/>
    <n v="538.74"/>
    <s v="456 Main St"/>
    <x v="1"/>
    <x v="0"/>
    <s v="TRK71127943"/>
    <n v="6"/>
    <s v="FREESHIP"/>
    <x v="2"/>
    <n v="1616.22"/>
  </r>
  <r>
    <x v="240"/>
    <x v="219"/>
    <s v="C14983"/>
    <x v="2"/>
    <n v="1"/>
    <n v="17.239999999999998"/>
    <s v="255 Main St"/>
    <x v="1"/>
    <x v="4"/>
    <s v="TRK93444157"/>
    <n v="2"/>
    <s v="FREESHIP"/>
    <x v="0"/>
    <n v="17.239999999999998"/>
  </r>
  <r>
    <x v="241"/>
    <x v="220"/>
    <s v="C20817"/>
    <x v="3"/>
    <n v="5"/>
    <n v="615.66999999999996"/>
    <s v="407 Main St"/>
    <x v="1"/>
    <x v="4"/>
    <s v="TRK44164590"/>
    <n v="6"/>
    <s v="SAVE10"/>
    <x v="2"/>
    <n v="3078.35"/>
  </r>
  <r>
    <x v="242"/>
    <x v="221"/>
    <s v="C94921"/>
    <x v="4"/>
    <n v="2"/>
    <n v="219.1"/>
    <s v="134 Main St"/>
    <x v="1"/>
    <x v="4"/>
    <s v="TRK97794327"/>
    <n v="4"/>
    <s v="SAVE10"/>
    <x v="1"/>
    <n v="438.2"/>
  </r>
  <r>
    <x v="243"/>
    <x v="222"/>
    <s v="C54725"/>
    <x v="3"/>
    <n v="2"/>
    <n v="144.66"/>
    <s v="506 Main St"/>
    <x v="1"/>
    <x v="1"/>
    <s v="TRK30601940"/>
    <n v="7"/>
    <s v="FREESHIP"/>
    <x v="4"/>
    <n v="289.32"/>
  </r>
  <r>
    <x v="244"/>
    <x v="223"/>
    <s v="C98096"/>
    <x v="6"/>
    <n v="2"/>
    <n v="317.77"/>
    <s v="838 Main St"/>
    <x v="0"/>
    <x v="1"/>
    <s v="TRK51518631"/>
    <n v="4"/>
    <s v="WINTER15"/>
    <x v="3"/>
    <n v="635.54"/>
  </r>
  <r>
    <x v="245"/>
    <x v="224"/>
    <s v="C12667"/>
    <x v="5"/>
    <n v="1"/>
    <n v="223.3"/>
    <s v="306 Main St"/>
    <x v="1"/>
    <x v="2"/>
    <s v="TRK25390491"/>
    <n v="1"/>
    <s v="N/A"/>
    <x v="3"/>
    <n v="223.3"/>
  </r>
  <r>
    <x v="246"/>
    <x v="225"/>
    <s v="C55354"/>
    <x v="6"/>
    <n v="2"/>
    <n v="342.11"/>
    <s v="164 Main St"/>
    <x v="3"/>
    <x v="0"/>
    <s v="TRK15439493"/>
    <n v="2"/>
    <s v="WINTER15"/>
    <x v="0"/>
    <n v="684.22"/>
  </r>
  <r>
    <x v="247"/>
    <x v="145"/>
    <s v="C14600"/>
    <x v="4"/>
    <n v="2"/>
    <n v="220.9"/>
    <s v="785 Main St"/>
    <x v="3"/>
    <x v="0"/>
    <s v="TRK84984764"/>
    <n v="4"/>
    <s v="N/A"/>
    <x v="2"/>
    <n v="441.8"/>
  </r>
  <r>
    <x v="248"/>
    <x v="226"/>
    <s v="C97187"/>
    <x v="5"/>
    <n v="1"/>
    <n v="670.54"/>
    <s v="471 Main St"/>
    <x v="4"/>
    <x v="0"/>
    <s v="TRK62283713"/>
    <n v="6"/>
    <s v="FREESHIP"/>
    <x v="1"/>
    <n v="670.54"/>
  </r>
  <r>
    <x v="249"/>
    <x v="227"/>
    <s v="C39106"/>
    <x v="4"/>
    <n v="1"/>
    <n v="546.19000000000005"/>
    <s v="245 Main St"/>
    <x v="4"/>
    <x v="4"/>
    <s v="TRK35464433"/>
    <n v="5"/>
    <s v="FREESHIP"/>
    <x v="1"/>
    <n v="546.19000000000005"/>
  </r>
  <r>
    <x v="250"/>
    <x v="228"/>
    <s v="C93379"/>
    <x v="6"/>
    <n v="3"/>
    <n v="42.95"/>
    <s v="318 Main St"/>
    <x v="3"/>
    <x v="2"/>
    <s v="TRK67954150"/>
    <n v="8"/>
    <s v="SAVE10"/>
    <x v="2"/>
    <n v="128.85"/>
  </r>
  <r>
    <x v="251"/>
    <x v="229"/>
    <s v="C93175"/>
    <x v="0"/>
    <n v="4"/>
    <n v="14.69"/>
    <s v="814 Main St"/>
    <x v="4"/>
    <x v="1"/>
    <s v="TRK32995144"/>
    <n v="9"/>
    <s v="N/A"/>
    <x v="2"/>
    <n v="58.76"/>
  </r>
  <r>
    <x v="252"/>
    <x v="28"/>
    <s v="C19648"/>
    <x v="1"/>
    <n v="4"/>
    <n v="668.36"/>
    <s v="821 Main St"/>
    <x v="3"/>
    <x v="1"/>
    <s v="TRK51297879"/>
    <n v="5"/>
    <s v="FREESHIP"/>
    <x v="3"/>
    <n v="2673.44"/>
  </r>
  <r>
    <x v="253"/>
    <x v="230"/>
    <s v="C14891"/>
    <x v="3"/>
    <n v="4"/>
    <n v="413.74"/>
    <s v="743 Main St"/>
    <x v="3"/>
    <x v="2"/>
    <s v="TRK79471534"/>
    <n v="7"/>
    <s v="FREESHIP"/>
    <x v="0"/>
    <n v="1654.96"/>
  </r>
  <r>
    <x v="254"/>
    <x v="231"/>
    <s v="C10866"/>
    <x v="0"/>
    <n v="3"/>
    <n v="263.19"/>
    <s v="770 Main St"/>
    <x v="1"/>
    <x v="3"/>
    <s v="TRK34809583"/>
    <n v="5"/>
    <s v="N/A"/>
    <x v="0"/>
    <n v="789.56999999999994"/>
  </r>
  <r>
    <x v="255"/>
    <x v="232"/>
    <s v="C47283"/>
    <x v="0"/>
    <n v="1"/>
    <n v="263.95999999999998"/>
    <s v="806 Main St"/>
    <x v="3"/>
    <x v="2"/>
    <s v="TRK56235117"/>
    <n v="2"/>
    <s v="SAVE10"/>
    <x v="4"/>
    <n v="263.95999999999998"/>
  </r>
  <r>
    <x v="256"/>
    <x v="233"/>
    <s v="C94323"/>
    <x v="3"/>
    <n v="5"/>
    <n v="75.81"/>
    <s v="463 Main St"/>
    <x v="3"/>
    <x v="2"/>
    <s v="TRK22663277"/>
    <n v="10"/>
    <s v="WINTER15"/>
    <x v="0"/>
    <n v="379.05"/>
  </r>
  <r>
    <x v="257"/>
    <x v="234"/>
    <s v="C89732"/>
    <x v="1"/>
    <n v="1"/>
    <n v="406.22"/>
    <s v="712 Main St"/>
    <x v="2"/>
    <x v="1"/>
    <s v="TRK41059233"/>
    <n v="5"/>
    <s v="SAVE10"/>
    <x v="1"/>
    <n v="406.22"/>
  </r>
  <r>
    <x v="258"/>
    <x v="235"/>
    <s v="C87764"/>
    <x v="2"/>
    <n v="2"/>
    <n v="103.41"/>
    <s v="294 Main St"/>
    <x v="1"/>
    <x v="0"/>
    <s v="TRK94082469"/>
    <n v="2"/>
    <s v="FREESHIP"/>
    <x v="1"/>
    <n v="206.82"/>
  </r>
  <r>
    <x v="259"/>
    <x v="236"/>
    <s v="C20977"/>
    <x v="3"/>
    <n v="4"/>
    <n v="435.12"/>
    <s v="636 Main St"/>
    <x v="2"/>
    <x v="3"/>
    <s v="TRK54991561"/>
    <n v="9"/>
    <s v="SAVE10"/>
    <x v="0"/>
    <n v="1740.48"/>
  </r>
  <r>
    <x v="260"/>
    <x v="209"/>
    <s v="C12245"/>
    <x v="0"/>
    <n v="2"/>
    <n v="407.79"/>
    <s v="153 Main St"/>
    <x v="0"/>
    <x v="0"/>
    <s v="TRK22000463"/>
    <n v="3"/>
    <s v="N/A"/>
    <x v="4"/>
    <n v="815.58"/>
  </r>
  <r>
    <x v="261"/>
    <x v="237"/>
    <s v="C68976"/>
    <x v="1"/>
    <n v="5"/>
    <n v="173.65"/>
    <s v="460 Main St"/>
    <x v="3"/>
    <x v="3"/>
    <s v="TRK25491356"/>
    <n v="9"/>
    <s v="SAVE10"/>
    <x v="2"/>
    <n v="868.25"/>
  </r>
  <r>
    <x v="262"/>
    <x v="238"/>
    <s v="C69476"/>
    <x v="1"/>
    <n v="4"/>
    <n v="249.07"/>
    <s v="642 Main St"/>
    <x v="2"/>
    <x v="2"/>
    <s v="TRK65869386"/>
    <n v="5"/>
    <s v="WINTER15"/>
    <x v="1"/>
    <n v="996.28"/>
  </r>
  <r>
    <x v="263"/>
    <x v="239"/>
    <s v="C71040"/>
    <x v="1"/>
    <n v="4"/>
    <n v="434.85"/>
    <s v="250 Main St"/>
    <x v="2"/>
    <x v="4"/>
    <s v="TRK41397604"/>
    <n v="4"/>
    <s v="WINTER15"/>
    <x v="4"/>
    <n v="1739.4"/>
  </r>
  <r>
    <x v="264"/>
    <x v="240"/>
    <s v="C71035"/>
    <x v="2"/>
    <n v="1"/>
    <n v="436.77"/>
    <s v="977 Main St"/>
    <x v="4"/>
    <x v="2"/>
    <s v="TRK19599578"/>
    <n v="5"/>
    <s v="FREESHIP"/>
    <x v="4"/>
    <n v="436.77"/>
  </r>
  <r>
    <x v="265"/>
    <x v="241"/>
    <s v="C20752"/>
    <x v="4"/>
    <n v="1"/>
    <n v="572.13"/>
    <s v="150 Main St"/>
    <x v="0"/>
    <x v="1"/>
    <s v="TRK22298450"/>
    <n v="4"/>
    <s v="SAVE10"/>
    <x v="4"/>
    <n v="572.13"/>
  </r>
  <r>
    <x v="266"/>
    <x v="180"/>
    <s v="C38840"/>
    <x v="3"/>
    <n v="4"/>
    <n v="583.07000000000005"/>
    <s v="589 Main St"/>
    <x v="2"/>
    <x v="1"/>
    <s v="TRK48484633"/>
    <n v="6"/>
    <s v="FREESHIP"/>
    <x v="1"/>
    <n v="2332.2800000000002"/>
  </r>
  <r>
    <x v="267"/>
    <x v="242"/>
    <s v="C84480"/>
    <x v="3"/>
    <n v="5"/>
    <n v="468.51"/>
    <s v="803 Main St"/>
    <x v="0"/>
    <x v="3"/>
    <s v="TRK62361867"/>
    <n v="9"/>
    <s v="N/A"/>
    <x v="3"/>
    <n v="2342.5500000000002"/>
  </r>
  <r>
    <x v="268"/>
    <x v="178"/>
    <s v="C37032"/>
    <x v="1"/>
    <n v="2"/>
    <n v="423.88"/>
    <s v="655 Main St"/>
    <x v="0"/>
    <x v="3"/>
    <s v="TRK48639226"/>
    <n v="7"/>
    <s v="SAVE10"/>
    <x v="1"/>
    <n v="847.76"/>
  </r>
  <r>
    <x v="269"/>
    <x v="97"/>
    <s v="C48942"/>
    <x v="2"/>
    <n v="4"/>
    <n v="663.67"/>
    <s v="129 Main St"/>
    <x v="2"/>
    <x v="4"/>
    <s v="TRK29355120"/>
    <n v="7"/>
    <s v="FREESHIP"/>
    <x v="4"/>
    <n v="2654.68"/>
  </r>
  <r>
    <x v="270"/>
    <x v="243"/>
    <s v="C13540"/>
    <x v="4"/>
    <n v="4"/>
    <n v="309.91000000000003"/>
    <s v="127 Main St"/>
    <x v="0"/>
    <x v="0"/>
    <s v="TRK81087373"/>
    <n v="5"/>
    <s v="WINTER15"/>
    <x v="4"/>
    <n v="1239.6400000000001"/>
  </r>
  <r>
    <x v="271"/>
    <x v="125"/>
    <s v="C59572"/>
    <x v="0"/>
    <n v="1"/>
    <n v="542.07000000000005"/>
    <s v="791 Main St"/>
    <x v="4"/>
    <x v="0"/>
    <s v="TRK16792991"/>
    <n v="6"/>
    <s v="WINTER15"/>
    <x v="1"/>
    <n v="542.07000000000005"/>
  </r>
  <r>
    <x v="272"/>
    <x v="244"/>
    <s v="C29758"/>
    <x v="3"/>
    <n v="2"/>
    <n v="399.32"/>
    <s v="119 Main St"/>
    <x v="1"/>
    <x v="4"/>
    <s v="TRK12990043"/>
    <n v="6"/>
    <s v="WINTER15"/>
    <x v="0"/>
    <n v="798.64"/>
  </r>
  <r>
    <x v="273"/>
    <x v="245"/>
    <s v="C11849"/>
    <x v="2"/>
    <n v="2"/>
    <n v="238.25"/>
    <s v="974 Main St"/>
    <x v="1"/>
    <x v="1"/>
    <s v="TRK91195261"/>
    <n v="7"/>
    <s v="FREESHIP"/>
    <x v="2"/>
    <n v="476.5"/>
  </r>
  <r>
    <x v="274"/>
    <x v="246"/>
    <s v="C50967"/>
    <x v="1"/>
    <n v="2"/>
    <n v="182.4"/>
    <s v="884 Main St"/>
    <x v="3"/>
    <x v="1"/>
    <s v="TRK65300814"/>
    <n v="5"/>
    <s v="SAVE10"/>
    <x v="1"/>
    <n v="364.8"/>
  </r>
  <r>
    <x v="275"/>
    <x v="247"/>
    <s v="C80735"/>
    <x v="3"/>
    <n v="2"/>
    <n v="65.069999999999993"/>
    <s v="360 Main St"/>
    <x v="2"/>
    <x v="1"/>
    <s v="TRK99880231"/>
    <n v="4"/>
    <s v="SAVE10"/>
    <x v="4"/>
    <n v="130.13999999999999"/>
  </r>
  <r>
    <x v="276"/>
    <x v="248"/>
    <s v="C99050"/>
    <x v="4"/>
    <n v="2"/>
    <n v="600.57000000000005"/>
    <s v="654 Main St"/>
    <x v="0"/>
    <x v="2"/>
    <s v="TRK56927089"/>
    <n v="3"/>
    <s v="WINTER15"/>
    <x v="0"/>
    <n v="1201.1400000000001"/>
  </r>
  <r>
    <x v="277"/>
    <x v="82"/>
    <s v="C11210"/>
    <x v="3"/>
    <n v="5"/>
    <n v="90.92"/>
    <s v="910 Main St"/>
    <x v="2"/>
    <x v="3"/>
    <s v="TRK44929965"/>
    <n v="9"/>
    <s v="SAVE10"/>
    <x v="3"/>
    <n v="454.6"/>
  </r>
  <r>
    <x v="278"/>
    <x v="249"/>
    <s v="C46015"/>
    <x v="5"/>
    <n v="5"/>
    <n v="362.46"/>
    <s v="299 Main St"/>
    <x v="4"/>
    <x v="3"/>
    <s v="TRK46598430"/>
    <n v="6"/>
    <s v="FREESHIP"/>
    <x v="0"/>
    <n v="1812.3"/>
  </r>
  <r>
    <x v="279"/>
    <x v="250"/>
    <s v="C69167"/>
    <x v="3"/>
    <n v="3"/>
    <n v="55.01"/>
    <s v="263 Main St"/>
    <x v="1"/>
    <x v="4"/>
    <s v="TRK12425655"/>
    <n v="7"/>
    <s v="WINTER15"/>
    <x v="2"/>
    <n v="165.03"/>
  </r>
  <r>
    <x v="280"/>
    <x v="14"/>
    <s v="C55388"/>
    <x v="2"/>
    <n v="3"/>
    <n v="404.62"/>
    <s v="740 Main St"/>
    <x v="3"/>
    <x v="3"/>
    <s v="TRK75741001"/>
    <n v="6"/>
    <s v="FREESHIP"/>
    <x v="0"/>
    <n v="1213.8599999999999"/>
  </r>
  <r>
    <x v="281"/>
    <x v="152"/>
    <s v="C87181"/>
    <x v="6"/>
    <n v="4"/>
    <n v="654.79"/>
    <s v="195 Main St"/>
    <x v="4"/>
    <x v="4"/>
    <s v="TRK60093390"/>
    <n v="9"/>
    <s v="N/A"/>
    <x v="1"/>
    <n v="2619.16"/>
  </r>
  <r>
    <x v="282"/>
    <x v="251"/>
    <s v="C30411"/>
    <x v="4"/>
    <n v="4"/>
    <n v="637.79"/>
    <s v="375 Main St"/>
    <x v="3"/>
    <x v="1"/>
    <s v="TRK71810536"/>
    <n v="9"/>
    <s v="FREESHIP"/>
    <x v="4"/>
    <n v="2551.16"/>
  </r>
  <r>
    <x v="283"/>
    <x v="252"/>
    <s v="C39638"/>
    <x v="5"/>
    <n v="4"/>
    <n v="540.33000000000004"/>
    <s v="990 Main St"/>
    <x v="4"/>
    <x v="0"/>
    <s v="TRK69745608"/>
    <n v="6"/>
    <s v="N/A"/>
    <x v="4"/>
    <n v="2161.3200000000002"/>
  </r>
  <r>
    <x v="284"/>
    <x v="223"/>
    <s v="C27203"/>
    <x v="5"/>
    <n v="5"/>
    <n v="208.17"/>
    <s v="516 Main St"/>
    <x v="2"/>
    <x v="2"/>
    <s v="TRK22023906"/>
    <n v="6"/>
    <s v="SAVE10"/>
    <x v="3"/>
    <n v="1040.8499999999999"/>
  </r>
  <r>
    <x v="285"/>
    <x v="69"/>
    <s v="C67583"/>
    <x v="1"/>
    <n v="1"/>
    <n v="338.31"/>
    <s v="974 Main St"/>
    <x v="1"/>
    <x v="3"/>
    <s v="TRK93281700"/>
    <n v="3"/>
    <s v="N/A"/>
    <x v="4"/>
    <n v="338.31"/>
  </r>
  <r>
    <x v="286"/>
    <x v="253"/>
    <s v="C70554"/>
    <x v="0"/>
    <n v="3"/>
    <n v="139.44999999999999"/>
    <s v="187 Main St"/>
    <x v="3"/>
    <x v="2"/>
    <s v="TRK61086952"/>
    <n v="8"/>
    <s v="WINTER15"/>
    <x v="4"/>
    <n v="418.35"/>
  </r>
  <r>
    <x v="287"/>
    <x v="254"/>
    <s v="C70437"/>
    <x v="3"/>
    <n v="4"/>
    <n v="655.17999999999995"/>
    <s v="630 Main St"/>
    <x v="1"/>
    <x v="0"/>
    <s v="TRK26628830"/>
    <n v="5"/>
    <s v="N/A"/>
    <x v="3"/>
    <n v="2620.7199999999998"/>
  </r>
  <r>
    <x v="288"/>
    <x v="255"/>
    <s v="C97643"/>
    <x v="5"/>
    <n v="4"/>
    <n v="512.75"/>
    <s v="537 Main St"/>
    <x v="0"/>
    <x v="2"/>
    <s v="TRK60831391"/>
    <n v="8"/>
    <s v="WINTER15"/>
    <x v="4"/>
    <n v="2051"/>
  </r>
  <r>
    <x v="289"/>
    <x v="256"/>
    <s v="C17136"/>
    <x v="3"/>
    <n v="4"/>
    <n v="160.49"/>
    <s v="333 Main St"/>
    <x v="2"/>
    <x v="0"/>
    <s v="TRK55362541"/>
    <n v="8"/>
    <s v="WINTER15"/>
    <x v="1"/>
    <n v="641.96"/>
  </r>
  <r>
    <x v="290"/>
    <x v="257"/>
    <s v="C24901"/>
    <x v="3"/>
    <n v="3"/>
    <n v="99.9"/>
    <s v="258 Main St"/>
    <x v="4"/>
    <x v="3"/>
    <s v="TRK14029489"/>
    <n v="8"/>
    <s v="FREESHIP"/>
    <x v="3"/>
    <n v="299.7"/>
  </r>
  <r>
    <x v="291"/>
    <x v="258"/>
    <s v="C61521"/>
    <x v="1"/>
    <n v="2"/>
    <n v="345.01"/>
    <s v="670 Main St"/>
    <x v="2"/>
    <x v="3"/>
    <s v="TRK93676567"/>
    <n v="6"/>
    <s v="FREESHIP"/>
    <x v="4"/>
    <n v="690.02"/>
  </r>
  <r>
    <x v="292"/>
    <x v="259"/>
    <s v="C39639"/>
    <x v="0"/>
    <n v="1"/>
    <n v="65.95"/>
    <s v="185 Main St"/>
    <x v="2"/>
    <x v="3"/>
    <s v="TRK31042152"/>
    <n v="5"/>
    <s v="N/A"/>
    <x v="3"/>
    <n v="65.95"/>
  </r>
  <r>
    <x v="293"/>
    <x v="223"/>
    <s v="C33220"/>
    <x v="2"/>
    <n v="4"/>
    <n v="463.04"/>
    <s v="564 Main St"/>
    <x v="3"/>
    <x v="2"/>
    <s v="TRK40450219"/>
    <n v="9"/>
    <s v="N/A"/>
    <x v="0"/>
    <n v="1852.16"/>
  </r>
  <r>
    <x v="294"/>
    <x v="260"/>
    <s v="C65414"/>
    <x v="1"/>
    <n v="2"/>
    <n v="297.70999999999998"/>
    <s v="208 Main St"/>
    <x v="1"/>
    <x v="0"/>
    <s v="TRK67562517"/>
    <n v="7"/>
    <s v="SAVE10"/>
    <x v="1"/>
    <n v="595.41999999999996"/>
  </r>
  <r>
    <x v="295"/>
    <x v="261"/>
    <s v="C49009"/>
    <x v="4"/>
    <n v="5"/>
    <n v="107.48"/>
    <s v="278 Main St"/>
    <x v="0"/>
    <x v="1"/>
    <s v="TRK46285799"/>
    <n v="9"/>
    <s v="FREESHIP"/>
    <x v="2"/>
    <n v="537.4"/>
  </r>
  <r>
    <x v="296"/>
    <x v="83"/>
    <s v="C48453"/>
    <x v="6"/>
    <n v="5"/>
    <n v="638.79999999999995"/>
    <s v="434 Main St"/>
    <x v="0"/>
    <x v="1"/>
    <s v="TRK52110494"/>
    <n v="10"/>
    <s v="WINTER15"/>
    <x v="1"/>
    <n v="3194"/>
  </r>
  <r>
    <x v="297"/>
    <x v="262"/>
    <s v="C68078"/>
    <x v="6"/>
    <n v="2"/>
    <n v="493.88"/>
    <s v="252 Main St"/>
    <x v="2"/>
    <x v="2"/>
    <s v="TRK64862812"/>
    <n v="7"/>
    <s v="SAVE10"/>
    <x v="0"/>
    <n v="987.76"/>
  </r>
  <r>
    <x v="298"/>
    <x v="263"/>
    <s v="C19402"/>
    <x v="4"/>
    <n v="4"/>
    <n v="301.17"/>
    <s v="267 Main St"/>
    <x v="1"/>
    <x v="1"/>
    <s v="TRK97825212"/>
    <n v="6"/>
    <s v="N/A"/>
    <x v="2"/>
    <n v="1204.68"/>
  </r>
  <r>
    <x v="299"/>
    <x v="264"/>
    <s v="C30711"/>
    <x v="0"/>
    <n v="1"/>
    <n v="278.66000000000003"/>
    <s v="856 Main St"/>
    <x v="3"/>
    <x v="1"/>
    <s v="TRK42696593"/>
    <n v="2"/>
    <s v="FREESHIP"/>
    <x v="0"/>
    <n v="278.66000000000003"/>
  </r>
  <r>
    <x v="300"/>
    <x v="265"/>
    <s v="C39000"/>
    <x v="1"/>
    <n v="1"/>
    <n v="287.45999999999998"/>
    <s v="894 Main St"/>
    <x v="0"/>
    <x v="2"/>
    <s v="TRK33753945"/>
    <n v="3"/>
    <s v="FREESHIP"/>
    <x v="3"/>
    <n v="287.45999999999998"/>
  </r>
  <r>
    <x v="301"/>
    <x v="67"/>
    <s v="C31105"/>
    <x v="3"/>
    <n v="1"/>
    <n v="583.99"/>
    <s v="726 Main St"/>
    <x v="4"/>
    <x v="1"/>
    <s v="TRK40149095"/>
    <n v="2"/>
    <s v="SAVE10"/>
    <x v="2"/>
    <n v="583.99"/>
  </r>
  <r>
    <x v="302"/>
    <x v="220"/>
    <s v="C29432"/>
    <x v="3"/>
    <n v="3"/>
    <n v="468.74"/>
    <s v="121 Main St"/>
    <x v="4"/>
    <x v="4"/>
    <s v="TRK44142517"/>
    <n v="4"/>
    <s v="FREESHIP"/>
    <x v="0"/>
    <n v="1406.22"/>
  </r>
  <r>
    <x v="303"/>
    <x v="34"/>
    <s v="C48531"/>
    <x v="2"/>
    <n v="1"/>
    <n v="30.54"/>
    <s v="368 Main St"/>
    <x v="0"/>
    <x v="2"/>
    <s v="TRK95462192"/>
    <n v="1"/>
    <s v="N/A"/>
    <x v="4"/>
    <n v="30.54"/>
  </r>
  <r>
    <x v="304"/>
    <x v="266"/>
    <s v="C86762"/>
    <x v="0"/>
    <n v="5"/>
    <n v="408.73"/>
    <s v="326 Main St"/>
    <x v="3"/>
    <x v="3"/>
    <s v="TRK75686292"/>
    <n v="10"/>
    <s v="FREESHIP"/>
    <x v="0"/>
    <n v="2043.65"/>
  </r>
  <r>
    <x v="305"/>
    <x v="97"/>
    <s v="C63822"/>
    <x v="5"/>
    <n v="4"/>
    <n v="126.89"/>
    <s v="235 Main St"/>
    <x v="4"/>
    <x v="4"/>
    <s v="TRK59353216"/>
    <n v="9"/>
    <s v="FREESHIP"/>
    <x v="0"/>
    <n v="507.56"/>
  </r>
  <r>
    <x v="306"/>
    <x v="267"/>
    <s v="C70495"/>
    <x v="4"/>
    <n v="2"/>
    <n v="57.07"/>
    <s v="238 Main St"/>
    <x v="0"/>
    <x v="2"/>
    <s v="TRK65511225"/>
    <n v="3"/>
    <s v="SAVE10"/>
    <x v="0"/>
    <n v="114.14"/>
  </r>
  <r>
    <x v="307"/>
    <x v="268"/>
    <s v="C92407"/>
    <x v="5"/>
    <n v="3"/>
    <n v="557.41"/>
    <s v="135 Main St"/>
    <x v="1"/>
    <x v="3"/>
    <s v="TRK11755610"/>
    <n v="4"/>
    <s v="N/A"/>
    <x v="2"/>
    <n v="1672.23"/>
  </r>
  <r>
    <x v="308"/>
    <x v="66"/>
    <s v="C75888"/>
    <x v="4"/>
    <n v="3"/>
    <n v="448.9"/>
    <s v="790 Main St"/>
    <x v="0"/>
    <x v="2"/>
    <s v="TRK98467398"/>
    <n v="7"/>
    <s v="SAVE10"/>
    <x v="0"/>
    <n v="1346.7"/>
  </r>
  <r>
    <x v="309"/>
    <x v="269"/>
    <s v="C63153"/>
    <x v="3"/>
    <n v="4"/>
    <n v="549.76"/>
    <s v="625 Main St"/>
    <x v="0"/>
    <x v="3"/>
    <s v="TRK38033305"/>
    <n v="4"/>
    <s v="FREESHIP"/>
    <x v="3"/>
    <n v="2199.04"/>
  </r>
  <r>
    <x v="310"/>
    <x v="270"/>
    <s v="C85863"/>
    <x v="4"/>
    <n v="3"/>
    <n v="132.47999999999999"/>
    <s v="968 Main St"/>
    <x v="1"/>
    <x v="0"/>
    <s v="TRK16094218"/>
    <n v="4"/>
    <s v="N/A"/>
    <x v="1"/>
    <n v="397.43999999999988"/>
  </r>
  <r>
    <x v="311"/>
    <x v="271"/>
    <s v="C71698"/>
    <x v="6"/>
    <n v="5"/>
    <n v="489.37"/>
    <s v="274 Main St"/>
    <x v="1"/>
    <x v="2"/>
    <s v="TRK34786818"/>
    <n v="8"/>
    <s v="N/A"/>
    <x v="0"/>
    <n v="2446.85"/>
  </r>
  <r>
    <x v="312"/>
    <x v="272"/>
    <s v="C35397"/>
    <x v="4"/>
    <n v="5"/>
    <n v="66.31"/>
    <s v="579 Main St"/>
    <x v="3"/>
    <x v="4"/>
    <s v="TRK64742535"/>
    <n v="7"/>
    <s v="FREESHIP"/>
    <x v="1"/>
    <n v="331.55"/>
  </r>
  <r>
    <x v="313"/>
    <x v="273"/>
    <s v="C67687"/>
    <x v="3"/>
    <n v="2"/>
    <n v="434.3"/>
    <s v="978 Main St"/>
    <x v="4"/>
    <x v="3"/>
    <s v="TRK22838735"/>
    <n v="7"/>
    <s v="SAVE10"/>
    <x v="0"/>
    <n v="868.6"/>
  </r>
  <r>
    <x v="314"/>
    <x v="274"/>
    <s v="C29931"/>
    <x v="6"/>
    <n v="4"/>
    <n v="153.09"/>
    <s v="540 Main St"/>
    <x v="1"/>
    <x v="3"/>
    <s v="TRK48712417"/>
    <n v="4"/>
    <s v="FREESHIP"/>
    <x v="1"/>
    <n v="612.36"/>
  </r>
  <r>
    <x v="315"/>
    <x v="275"/>
    <s v="C59139"/>
    <x v="2"/>
    <n v="5"/>
    <n v="91.67"/>
    <s v="301 Main St"/>
    <x v="1"/>
    <x v="1"/>
    <s v="TRK45507090"/>
    <n v="9"/>
    <s v="FREESHIP"/>
    <x v="2"/>
    <n v="458.35"/>
  </r>
  <r>
    <x v="316"/>
    <x v="276"/>
    <s v="C66078"/>
    <x v="6"/>
    <n v="4"/>
    <n v="275.27999999999997"/>
    <s v="101 Main St"/>
    <x v="3"/>
    <x v="0"/>
    <s v="TRK86474559"/>
    <n v="9"/>
    <s v="WINTER15"/>
    <x v="3"/>
    <n v="1101.1199999999999"/>
  </r>
  <r>
    <x v="317"/>
    <x v="132"/>
    <s v="C88370"/>
    <x v="0"/>
    <n v="2"/>
    <n v="139.94999999999999"/>
    <s v="339 Main St"/>
    <x v="1"/>
    <x v="2"/>
    <s v="TRK22575151"/>
    <n v="5"/>
    <s v="N/A"/>
    <x v="0"/>
    <n v="279.89999999999998"/>
  </r>
  <r>
    <x v="318"/>
    <x v="277"/>
    <s v="C93375"/>
    <x v="3"/>
    <n v="3"/>
    <n v="148.72"/>
    <s v="317 Main St"/>
    <x v="0"/>
    <x v="1"/>
    <s v="TRK95706967"/>
    <n v="7"/>
    <s v="SAVE10"/>
    <x v="4"/>
    <n v="446.16"/>
  </r>
  <r>
    <x v="319"/>
    <x v="278"/>
    <s v="C53049"/>
    <x v="5"/>
    <n v="2"/>
    <n v="563.05999999999995"/>
    <s v="413 Main St"/>
    <x v="4"/>
    <x v="2"/>
    <s v="TRK48974907"/>
    <n v="6"/>
    <s v="N/A"/>
    <x v="0"/>
    <n v="1126.1199999999999"/>
  </r>
  <r>
    <x v="320"/>
    <x v="36"/>
    <s v="C55590"/>
    <x v="4"/>
    <n v="1"/>
    <n v="625.51"/>
    <s v="772 Main St"/>
    <x v="2"/>
    <x v="0"/>
    <s v="TRK48792951"/>
    <n v="1"/>
    <s v="FREESHIP"/>
    <x v="3"/>
    <n v="625.51"/>
  </r>
  <r>
    <x v="321"/>
    <x v="279"/>
    <s v="C47086"/>
    <x v="1"/>
    <n v="4"/>
    <n v="152.29"/>
    <s v="135 Main St"/>
    <x v="0"/>
    <x v="1"/>
    <s v="TRK44194358"/>
    <n v="6"/>
    <s v="WINTER15"/>
    <x v="4"/>
    <n v="609.16"/>
  </r>
  <r>
    <x v="322"/>
    <x v="280"/>
    <s v="C48646"/>
    <x v="1"/>
    <n v="5"/>
    <n v="231.82"/>
    <s v="339 Main St"/>
    <x v="0"/>
    <x v="3"/>
    <s v="TRK18233748"/>
    <n v="6"/>
    <s v="SAVE10"/>
    <x v="3"/>
    <n v="1159.0999999999999"/>
  </r>
  <r>
    <x v="323"/>
    <x v="281"/>
    <s v="C29416"/>
    <x v="5"/>
    <n v="1"/>
    <n v="150.16999999999999"/>
    <s v="414 Main St"/>
    <x v="0"/>
    <x v="2"/>
    <s v="TRK63820842"/>
    <n v="1"/>
    <s v="SAVE10"/>
    <x v="1"/>
    <n v="150.16999999999999"/>
  </r>
  <r>
    <x v="324"/>
    <x v="136"/>
    <s v="C13525"/>
    <x v="2"/>
    <n v="3"/>
    <n v="70.930000000000007"/>
    <s v="847 Main St"/>
    <x v="0"/>
    <x v="2"/>
    <s v="TRK70193221"/>
    <n v="5"/>
    <s v="N/A"/>
    <x v="1"/>
    <n v="212.79"/>
  </r>
  <r>
    <x v="325"/>
    <x v="282"/>
    <s v="C53545"/>
    <x v="6"/>
    <n v="3"/>
    <n v="361.39"/>
    <s v="665 Main St"/>
    <x v="2"/>
    <x v="0"/>
    <s v="TRK61123177"/>
    <n v="8"/>
    <s v="N/A"/>
    <x v="1"/>
    <n v="1084.17"/>
  </r>
  <r>
    <x v="326"/>
    <x v="283"/>
    <s v="C65986"/>
    <x v="5"/>
    <n v="5"/>
    <n v="670.48"/>
    <s v="273 Main St"/>
    <x v="3"/>
    <x v="2"/>
    <s v="TRK98353867"/>
    <n v="5"/>
    <s v="SAVE10"/>
    <x v="3"/>
    <n v="3352.4"/>
  </r>
  <r>
    <x v="327"/>
    <x v="284"/>
    <s v="C17302"/>
    <x v="1"/>
    <n v="1"/>
    <n v="359.99"/>
    <s v="385 Main St"/>
    <x v="3"/>
    <x v="1"/>
    <s v="TRK43940016"/>
    <n v="5"/>
    <s v="SAVE10"/>
    <x v="2"/>
    <n v="359.99"/>
  </r>
  <r>
    <x v="328"/>
    <x v="285"/>
    <s v="C18404"/>
    <x v="2"/>
    <n v="5"/>
    <n v="674.04"/>
    <s v="546 Main St"/>
    <x v="1"/>
    <x v="1"/>
    <s v="TRK89401624"/>
    <n v="7"/>
    <s v="SAVE10"/>
    <x v="4"/>
    <n v="3370.2"/>
  </r>
  <r>
    <x v="329"/>
    <x v="286"/>
    <s v="C88371"/>
    <x v="3"/>
    <n v="4"/>
    <n v="283.16000000000003"/>
    <s v="306 Main St"/>
    <x v="2"/>
    <x v="0"/>
    <s v="TRK63224811"/>
    <n v="6"/>
    <s v="N/A"/>
    <x v="4"/>
    <n v="1132.6400000000001"/>
  </r>
  <r>
    <x v="330"/>
    <x v="287"/>
    <s v="C38068"/>
    <x v="6"/>
    <n v="5"/>
    <n v="260.52999999999997"/>
    <s v="532 Main St"/>
    <x v="3"/>
    <x v="4"/>
    <s v="TRK54059198"/>
    <n v="5"/>
    <s v="SAVE10"/>
    <x v="0"/>
    <n v="1302.6500000000001"/>
  </r>
  <r>
    <x v="331"/>
    <x v="288"/>
    <s v="C78724"/>
    <x v="4"/>
    <n v="3"/>
    <n v="422.13"/>
    <s v="187 Main St"/>
    <x v="1"/>
    <x v="3"/>
    <s v="TRK25703134"/>
    <n v="7"/>
    <s v="SAVE10"/>
    <x v="3"/>
    <n v="1266.3900000000001"/>
  </r>
  <r>
    <x v="332"/>
    <x v="289"/>
    <s v="C26163"/>
    <x v="6"/>
    <n v="5"/>
    <n v="125.02"/>
    <s v="607 Main St"/>
    <x v="0"/>
    <x v="4"/>
    <s v="TRK67499316"/>
    <n v="9"/>
    <s v="SAVE10"/>
    <x v="4"/>
    <n v="625.1"/>
  </r>
  <r>
    <x v="333"/>
    <x v="162"/>
    <s v="C87124"/>
    <x v="1"/>
    <n v="1"/>
    <n v="198.51"/>
    <s v="818 Main St"/>
    <x v="2"/>
    <x v="2"/>
    <s v="TRK52086740"/>
    <n v="5"/>
    <s v="WINTER15"/>
    <x v="0"/>
    <n v="198.51"/>
  </r>
  <r>
    <x v="334"/>
    <x v="290"/>
    <s v="C90348"/>
    <x v="3"/>
    <n v="4"/>
    <n v="224.75"/>
    <s v="728 Main St"/>
    <x v="1"/>
    <x v="3"/>
    <s v="TRK20635777"/>
    <n v="7"/>
    <s v="WINTER15"/>
    <x v="3"/>
    <n v="899"/>
  </r>
  <r>
    <x v="335"/>
    <x v="291"/>
    <s v="C58721"/>
    <x v="2"/>
    <n v="3"/>
    <n v="205.86"/>
    <s v="978 Main St"/>
    <x v="3"/>
    <x v="0"/>
    <s v="TRK34801199"/>
    <n v="4"/>
    <s v="N/A"/>
    <x v="2"/>
    <n v="617.58000000000004"/>
  </r>
  <r>
    <x v="336"/>
    <x v="10"/>
    <s v="C88174"/>
    <x v="5"/>
    <n v="1"/>
    <n v="18.2"/>
    <s v="441 Main St"/>
    <x v="0"/>
    <x v="4"/>
    <s v="TRK10143345"/>
    <n v="4"/>
    <s v="SAVE10"/>
    <x v="0"/>
    <n v="18.2"/>
  </r>
  <r>
    <x v="337"/>
    <x v="292"/>
    <s v="C77763"/>
    <x v="2"/>
    <n v="3"/>
    <n v="502.77"/>
    <s v="599 Main St"/>
    <x v="0"/>
    <x v="2"/>
    <s v="TRK66980447"/>
    <n v="8"/>
    <s v="WINTER15"/>
    <x v="2"/>
    <n v="1508.31"/>
  </r>
  <r>
    <x v="338"/>
    <x v="293"/>
    <s v="C53627"/>
    <x v="1"/>
    <n v="5"/>
    <n v="305.49"/>
    <s v="704 Main St"/>
    <x v="0"/>
    <x v="0"/>
    <s v="TRK64112352"/>
    <n v="10"/>
    <s v="N/A"/>
    <x v="1"/>
    <n v="1527.45"/>
  </r>
  <r>
    <x v="339"/>
    <x v="294"/>
    <s v="C84563"/>
    <x v="4"/>
    <n v="2"/>
    <n v="236.33"/>
    <s v="398 Main St"/>
    <x v="1"/>
    <x v="4"/>
    <s v="TRK62422797"/>
    <n v="3"/>
    <s v="SAVE10"/>
    <x v="0"/>
    <n v="472.66"/>
  </r>
  <r>
    <x v="340"/>
    <x v="295"/>
    <s v="C76207"/>
    <x v="5"/>
    <n v="5"/>
    <n v="521.25"/>
    <s v="826 Main St"/>
    <x v="4"/>
    <x v="1"/>
    <s v="TRK25569378"/>
    <n v="8"/>
    <s v="N/A"/>
    <x v="2"/>
    <n v="2606.25"/>
  </r>
  <r>
    <x v="341"/>
    <x v="296"/>
    <s v="C94671"/>
    <x v="2"/>
    <n v="1"/>
    <n v="167.15"/>
    <s v="293 Main St"/>
    <x v="3"/>
    <x v="0"/>
    <s v="TRK61357272"/>
    <n v="5"/>
    <s v="WINTER15"/>
    <x v="2"/>
    <n v="167.15"/>
  </r>
  <r>
    <x v="342"/>
    <x v="53"/>
    <s v="C69994"/>
    <x v="0"/>
    <n v="5"/>
    <n v="466.42"/>
    <s v="619 Main St"/>
    <x v="3"/>
    <x v="2"/>
    <s v="TRK95935805"/>
    <n v="5"/>
    <s v="N/A"/>
    <x v="1"/>
    <n v="2332.1"/>
  </r>
  <r>
    <x v="343"/>
    <x v="297"/>
    <s v="C64638"/>
    <x v="4"/>
    <n v="1"/>
    <n v="527.57000000000005"/>
    <s v="919 Main St"/>
    <x v="0"/>
    <x v="4"/>
    <s v="TRK64087938"/>
    <n v="3"/>
    <s v="FREESHIP"/>
    <x v="3"/>
    <n v="527.57000000000005"/>
  </r>
  <r>
    <x v="344"/>
    <x v="298"/>
    <s v="C95623"/>
    <x v="2"/>
    <n v="3"/>
    <n v="623.34"/>
    <s v="248 Main St"/>
    <x v="1"/>
    <x v="1"/>
    <s v="TRK67558189"/>
    <n v="3"/>
    <s v="SAVE10"/>
    <x v="0"/>
    <n v="1870.02"/>
  </r>
  <r>
    <x v="345"/>
    <x v="173"/>
    <s v="C24751"/>
    <x v="2"/>
    <n v="5"/>
    <n v="501.26"/>
    <s v="259 Main St"/>
    <x v="3"/>
    <x v="0"/>
    <s v="TRK37285406"/>
    <n v="10"/>
    <s v="FREESHIP"/>
    <x v="1"/>
    <n v="2506.3000000000002"/>
  </r>
  <r>
    <x v="346"/>
    <x v="299"/>
    <s v="C31764"/>
    <x v="2"/>
    <n v="1"/>
    <n v="655.09"/>
    <s v="876 Main St"/>
    <x v="4"/>
    <x v="4"/>
    <s v="TRK44680433"/>
    <n v="6"/>
    <s v="N/A"/>
    <x v="1"/>
    <n v="655.09"/>
  </r>
  <r>
    <x v="347"/>
    <x v="300"/>
    <s v="C83556"/>
    <x v="4"/>
    <n v="4"/>
    <n v="264.79000000000002"/>
    <s v="380 Main St"/>
    <x v="2"/>
    <x v="4"/>
    <s v="TRK21109187"/>
    <n v="5"/>
    <s v="SAVE10"/>
    <x v="4"/>
    <n v="1059.1600000000001"/>
  </r>
  <r>
    <x v="348"/>
    <x v="206"/>
    <s v="C24369"/>
    <x v="5"/>
    <n v="3"/>
    <n v="359.73"/>
    <s v="885 Main St"/>
    <x v="0"/>
    <x v="2"/>
    <s v="TRK72633998"/>
    <n v="7"/>
    <s v="FREESHIP"/>
    <x v="2"/>
    <n v="1079.19"/>
  </r>
  <r>
    <x v="349"/>
    <x v="115"/>
    <s v="C39648"/>
    <x v="3"/>
    <n v="1"/>
    <n v="465.33"/>
    <s v="824 Main St"/>
    <x v="3"/>
    <x v="3"/>
    <s v="TRK56016905"/>
    <n v="2"/>
    <s v="FREESHIP"/>
    <x v="4"/>
    <n v="465.33"/>
  </r>
  <r>
    <x v="350"/>
    <x v="301"/>
    <s v="C13296"/>
    <x v="3"/>
    <n v="2"/>
    <n v="54.41"/>
    <s v="495 Main St"/>
    <x v="1"/>
    <x v="0"/>
    <s v="TRK60127216"/>
    <n v="6"/>
    <s v="N/A"/>
    <x v="0"/>
    <n v="108.82"/>
  </r>
  <r>
    <x v="351"/>
    <x v="302"/>
    <s v="C94248"/>
    <x v="5"/>
    <n v="1"/>
    <n v="64.66"/>
    <s v="494 Main St"/>
    <x v="0"/>
    <x v="3"/>
    <s v="TRK89406816"/>
    <n v="4"/>
    <s v="N/A"/>
    <x v="0"/>
    <n v="64.66"/>
  </r>
  <r>
    <x v="352"/>
    <x v="303"/>
    <s v="C26637"/>
    <x v="3"/>
    <n v="5"/>
    <n v="173.96"/>
    <s v="995 Main St"/>
    <x v="0"/>
    <x v="4"/>
    <s v="TRK59546992"/>
    <n v="8"/>
    <s v="WINTER15"/>
    <x v="0"/>
    <n v="869.80000000000007"/>
  </r>
  <r>
    <x v="353"/>
    <x v="210"/>
    <s v="C16012"/>
    <x v="2"/>
    <n v="1"/>
    <n v="630.82000000000005"/>
    <s v="171 Main St"/>
    <x v="1"/>
    <x v="3"/>
    <s v="TRK15195225"/>
    <n v="5"/>
    <s v="FREESHIP"/>
    <x v="4"/>
    <n v="630.82000000000005"/>
  </r>
  <r>
    <x v="354"/>
    <x v="304"/>
    <s v="C31772"/>
    <x v="1"/>
    <n v="1"/>
    <n v="693.41"/>
    <s v="992 Main St"/>
    <x v="0"/>
    <x v="0"/>
    <s v="TRK11970357"/>
    <n v="4"/>
    <s v="N/A"/>
    <x v="0"/>
    <n v="693.41"/>
  </r>
  <r>
    <x v="355"/>
    <x v="305"/>
    <s v="C18353"/>
    <x v="2"/>
    <n v="3"/>
    <n v="433.33"/>
    <s v="677 Main St"/>
    <x v="2"/>
    <x v="1"/>
    <s v="TRK78766533"/>
    <n v="4"/>
    <s v="FREESHIP"/>
    <x v="1"/>
    <n v="1299.99"/>
  </r>
  <r>
    <x v="356"/>
    <x v="306"/>
    <s v="C26966"/>
    <x v="4"/>
    <n v="5"/>
    <n v="374.58"/>
    <s v="907 Main St"/>
    <x v="3"/>
    <x v="1"/>
    <s v="TRK83889574"/>
    <n v="10"/>
    <s v="FREESHIP"/>
    <x v="0"/>
    <n v="1872.9"/>
  </r>
  <r>
    <x v="357"/>
    <x v="307"/>
    <s v="C74982"/>
    <x v="5"/>
    <n v="5"/>
    <n v="408.56"/>
    <s v="398 Main St"/>
    <x v="0"/>
    <x v="3"/>
    <s v="TRK98700702"/>
    <n v="8"/>
    <s v="FREESHIP"/>
    <x v="0"/>
    <n v="2042.8"/>
  </r>
  <r>
    <x v="358"/>
    <x v="158"/>
    <s v="C70633"/>
    <x v="2"/>
    <n v="2"/>
    <n v="183.67"/>
    <s v="747 Main St"/>
    <x v="1"/>
    <x v="1"/>
    <s v="TRK82540521"/>
    <n v="3"/>
    <s v="SAVE10"/>
    <x v="4"/>
    <n v="367.34"/>
  </r>
  <r>
    <x v="359"/>
    <x v="308"/>
    <s v="C95643"/>
    <x v="6"/>
    <n v="4"/>
    <n v="606.57000000000005"/>
    <s v="303 Main St"/>
    <x v="0"/>
    <x v="3"/>
    <s v="TRK23286689"/>
    <n v="5"/>
    <s v="WINTER15"/>
    <x v="1"/>
    <n v="2426.2800000000002"/>
  </r>
  <r>
    <x v="360"/>
    <x v="309"/>
    <s v="C53810"/>
    <x v="1"/>
    <n v="4"/>
    <n v="589.57000000000005"/>
    <s v="779 Main St"/>
    <x v="4"/>
    <x v="4"/>
    <s v="TRK34630612"/>
    <n v="8"/>
    <s v="N/A"/>
    <x v="0"/>
    <n v="2358.2800000000002"/>
  </r>
  <r>
    <x v="361"/>
    <x v="310"/>
    <s v="C53464"/>
    <x v="4"/>
    <n v="5"/>
    <n v="659.85"/>
    <s v="197 Main St"/>
    <x v="2"/>
    <x v="3"/>
    <s v="TRK32743531"/>
    <n v="9"/>
    <s v="SAVE10"/>
    <x v="3"/>
    <n v="3299.25"/>
  </r>
  <r>
    <x v="362"/>
    <x v="78"/>
    <s v="C53697"/>
    <x v="0"/>
    <n v="4"/>
    <n v="206.84"/>
    <s v="312 Main St"/>
    <x v="4"/>
    <x v="1"/>
    <s v="TRK60476656"/>
    <n v="5"/>
    <s v="WINTER15"/>
    <x v="0"/>
    <n v="827.36"/>
  </r>
  <r>
    <x v="363"/>
    <x v="75"/>
    <s v="C31668"/>
    <x v="5"/>
    <n v="5"/>
    <n v="113.87"/>
    <s v="871 Main St"/>
    <x v="2"/>
    <x v="4"/>
    <s v="TRK42584392"/>
    <n v="6"/>
    <s v="SAVE10"/>
    <x v="2"/>
    <n v="569.35"/>
  </r>
  <r>
    <x v="364"/>
    <x v="254"/>
    <s v="C85282"/>
    <x v="1"/>
    <n v="5"/>
    <n v="628.74"/>
    <s v="740 Main St"/>
    <x v="4"/>
    <x v="1"/>
    <s v="TRK86767206"/>
    <n v="9"/>
    <s v="FREESHIP"/>
    <x v="3"/>
    <n v="3143.7"/>
  </r>
  <r>
    <x v="365"/>
    <x v="311"/>
    <s v="C56796"/>
    <x v="1"/>
    <n v="1"/>
    <n v="678.38"/>
    <s v="607 Main St"/>
    <x v="2"/>
    <x v="1"/>
    <s v="TRK74263180"/>
    <n v="4"/>
    <s v="SAVE10"/>
    <x v="1"/>
    <n v="678.38"/>
  </r>
  <r>
    <x v="366"/>
    <x v="312"/>
    <s v="C95213"/>
    <x v="4"/>
    <n v="3"/>
    <n v="602.24"/>
    <s v="603 Main St"/>
    <x v="0"/>
    <x v="4"/>
    <s v="TRK40630538"/>
    <n v="8"/>
    <s v="N/A"/>
    <x v="1"/>
    <n v="1806.72"/>
  </r>
  <r>
    <x v="367"/>
    <x v="313"/>
    <s v="C13108"/>
    <x v="5"/>
    <n v="5"/>
    <n v="658.77"/>
    <s v="712 Main St"/>
    <x v="3"/>
    <x v="4"/>
    <s v="TRK82284400"/>
    <n v="10"/>
    <s v="FREESHIP"/>
    <x v="0"/>
    <n v="3293.85"/>
  </r>
  <r>
    <x v="368"/>
    <x v="31"/>
    <s v="C85322"/>
    <x v="0"/>
    <n v="3"/>
    <n v="271.02"/>
    <s v="403 Main St"/>
    <x v="2"/>
    <x v="1"/>
    <s v="TRK89728869"/>
    <n v="6"/>
    <s v="N/A"/>
    <x v="4"/>
    <n v="813.06"/>
  </r>
  <r>
    <x v="369"/>
    <x v="70"/>
    <s v="C43545"/>
    <x v="0"/>
    <n v="5"/>
    <n v="375.25"/>
    <s v="216 Main St"/>
    <x v="3"/>
    <x v="4"/>
    <s v="TRK73937402"/>
    <n v="9"/>
    <s v="SAVE10"/>
    <x v="2"/>
    <n v="1876.25"/>
  </r>
  <r>
    <x v="370"/>
    <x v="120"/>
    <s v="C80649"/>
    <x v="1"/>
    <n v="1"/>
    <n v="312.11"/>
    <s v="870 Main St"/>
    <x v="1"/>
    <x v="1"/>
    <s v="TRK41143313"/>
    <n v="4"/>
    <s v="WINTER15"/>
    <x v="3"/>
    <n v="312.11"/>
  </r>
  <r>
    <x v="371"/>
    <x v="314"/>
    <s v="C59752"/>
    <x v="1"/>
    <n v="5"/>
    <n v="307.76"/>
    <s v="179 Main St"/>
    <x v="3"/>
    <x v="4"/>
    <s v="TRK82229639"/>
    <n v="9"/>
    <s v="FREESHIP"/>
    <x v="4"/>
    <n v="1538.8"/>
  </r>
  <r>
    <x v="372"/>
    <x v="311"/>
    <s v="C53645"/>
    <x v="3"/>
    <n v="3"/>
    <n v="483.53"/>
    <s v="166 Main St"/>
    <x v="4"/>
    <x v="2"/>
    <s v="TRK12123939"/>
    <n v="4"/>
    <s v="N/A"/>
    <x v="1"/>
    <n v="1450.59"/>
  </r>
  <r>
    <x v="373"/>
    <x v="315"/>
    <s v="C60178"/>
    <x v="5"/>
    <n v="3"/>
    <n v="341.15"/>
    <s v="969 Main St"/>
    <x v="4"/>
    <x v="4"/>
    <s v="TRK84505143"/>
    <n v="4"/>
    <s v="FREESHIP"/>
    <x v="0"/>
    <n v="1023.45"/>
  </r>
  <r>
    <x v="374"/>
    <x v="316"/>
    <s v="C20286"/>
    <x v="0"/>
    <n v="1"/>
    <n v="571.9"/>
    <s v="129 Main St"/>
    <x v="3"/>
    <x v="4"/>
    <s v="TRK67648338"/>
    <n v="1"/>
    <s v="WINTER15"/>
    <x v="0"/>
    <n v="571.9"/>
  </r>
  <r>
    <x v="375"/>
    <x v="317"/>
    <s v="C87547"/>
    <x v="0"/>
    <n v="4"/>
    <n v="95.03"/>
    <s v="400 Main St"/>
    <x v="1"/>
    <x v="0"/>
    <s v="TRK71027262"/>
    <n v="8"/>
    <s v="FREESHIP"/>
    <x v="3"/>
    <n v="380.12"/>
  </r>
  <r>
    <x v="376"/>
    <x v="318"/>
    <s v="C64549"/>
    <x v="0"/>
    <n v="5"/>
    <n v="201.22"/>
    <s v="341 Main St"/>
    <x v="0"/>
    <x v="4"/>
    <s v="TRK20788231"/>
    <n v="6"/>
    <s v="FREESHIP"/>
    <x v="3"/>
    <n v="1006.1"/>
  </r>
  <r>
    <x v="377"/>
    <x v="319"/>
    <s v="C24884"/>
    <x v="0"/>
    <n v="1"/>
    <n v="260.26"/>
    <s v="625 Main St"/>
    <x v="1"/>
    <x v="4"/>
    <s v="TRK44538419"/>
    <n v="5"/>
    <s v="WINTER15"/>
    <x v="0"/>
    <n v="260.26"/>
  </r>
  <r>
    <x v="378"/>
    <x v="320"/>
    <s v="C62666"/>
    <x v="3"/>
    <n v="5"/>
    <n v="64.5"/>
    <s v="148 Main St"/>
    <x v="2"/>
    <x v="4"/>
    <s v="TRK91029390"/>
    <n v="8"/>
    <s v="WINTER15"/>
    <x v="0"/>
    <n v="322.5"/>
  </r>
  <r>
    <x v="379"/>
    <x v="321"/>
    <s v="C47284"/>
    <x v="1"/>
    <n v="3"/>
    <n v="297.67"/>
    <s v="500 Main St"/>
    <x v="1"/>
    <x v="0"/>
    <s v="TRK85756094"/>
    <n v="6"/>
    <s v="N/A"/>
    <x v="4"/>
    <n v="893.01"/>
  </r>
  <r>
    <x v="380"/>
    <x v="322"/>
    <s v="C35355"/>
    <x v="4"/>
    <n v="4"/>
    <n v="331.9"/>
    <s v="127 Main St"/>
    <x v="4"/>
    <x v="4"/>
    <s v="TRK52935059"/>
    <n v="5"/>
    <s v="SAVE10"/>
    <x v="0"/>
    <n v="1327.6"/>
  </r>
  <r>
    <x v="381"/>
    <x v="323"/>
    <s v="C29467"/>
    <x v="3"/>
    <n v="1"/>
    <n v="191.76"/>
    <s v="223 Main St"/>
    <x v="2"/>
    <x v="2"/>
    <s v="TRK98103385"/>
    <n v="1"/>
    <s v="FREESHIP"/>
    <x v="0"/>
    <n v="191.76"/>
  </r>
  <r>
    <x v="382"/>
    <x v="324"/>
    <s v="C26718"/>
    <x v="4"/>
    <n v="4"/>
    <n v="263.08999999999997"/>
    <s v="272 Main St"/>
    <x v="0"/>
    <x v="0"/>
    <s v="TRK91702525"/>
    <n v="8"/>
    <s v="SAVE10"/>
    <x v="4"/>
    <n v="1052.3599999999999"/>
  </r>
  <r>
    <x v="383"/>
    <x v="325"/>
    <s v="C18944"/>
    <x v="3"/>
    <n v="4"/>
    <n v="393.8"/>
    <s v="837 Main St"/>
    <x v="2"/>
    <x v="4"/>
    <s v="TRK45275439"/>
    <n v="7"/>
    <s v="SAVE10"/>
    <x v="2"/>
    <n v="1575.2"/>
  </r>
  <r>
    <x v="384"/>
    <x v="167"/>
    <s v="C35628"/>
    <x v="3"/>
    <n v="3"/>
    <n v="553.57000000000005"/>
    <s v="147 Main St"/>
    <x v="2"/>
    <x v="2"/>
    <s v="TRK45688220"/>
    <n v="4"/>
    <s v="FREESHIP"/>
    <x v="3"/>
    <n v="1660.71"/>
  </r>
  <r>
    <x v="385"/>
    <x v="150"/>
    <s v="C56851"/>
    <x v="3"/>
    <n v="5"/>
    <n v="191.63"/>
    <s v="752 Main St"/>
    <x v="3"/>
    <x v="3"/>
    <s v="TRK65290904"/>
    <n v="6"/>
    <s v="FREESHIP"/>
    <x v="3"/>
    <n v="958.15"/>
  </r>
  <r>
    <x v="386"/>
    <x v="200"/>
    <s v="C12421"/>
    <x v="2"/>
    <n v="1"/>
    <n v="93.02"/>
    <s v="373 Main St"/>
    <x v="1"/>
    <x v="2"/>
    <s v="TRK32588504"/>
    <n v="4"/>
    <s v="N/A"/>
    <x v="2"/>
    <n v="93.02"/>
  </r>
  <r>
    <x v="387"/>
    <x v="326"/>
    <s v="C25316"/>
    <x v="4"/>
    <n v="2"/>
    <n v="39.53"/>
    <s v="904 Main St"/>
    <x v="2"/>
    <x v="0"/>
    <s v="TRK55423551"/>
    <n v="3"/>
    <s v="WINTER15"/>
    <x v="4"/>
    <n v="79.06"/>
  </r>
  <r>
    <x v="388"/>
    <x v="153"/>
    <s v="C22657"/>
    <x v="4"/>
    <n v="3"/>
    <n v="633.97"/>
    <s v="152 Main St"/>
    <x v="4"/>
    <x v="4"/>
    <s v="TRK49157047"/>
    <n v="7"/>
    <s v="WINTER15"/>
    <x v="3"/>
    <n v="1901.91"/>
  </r>
  <r>
    <x v="389"/>
    <x v="327"/>
    <s v="C29703"/>
    <x v="6"/>
    <n v="4"/>
    <n v="697.5"/>
    <s v="558 Main St"/>
    <x v="4"/>
    <x v="0"/>
    <s v="TRK40543461"/>
    <n v="7"/>
    <s v="FREESHIP"/>
    <x v="1"/>
    <n v="2790"/>
  </r>
  <r>
    <x v="390"/>
    <x v="328"/>
    <s v="C55996"/>
    <x v="4"/>
    <n v="5"/>
    <n v="508.69"/>
    <s v="885 Main St"/>
    <x v="4"/>
    <x v="3"/>
    <s v="TRK30547638"/>
    <n v="10"/>
    <s v="FREESHIP"/>
    <x v="4"/>
    <n v="2543.4499999999998"/>
  </r>
  <r>
    <x v="391"/>
    <x v="317"/>
    <s v="C60037"/>
    <x v="5"/>
    <n v="2"/>
    <n v="527.46"/>
    <s v="516 Main St"/>
    <x v="0"/>
    <x v="1"/>
    <s v="TRK82009557"/>
    <n v="3"/>
    <s v="FREESHIP"/>
    <x v="1"/>
    <n v="1054.92"/>
  </r>
  <r>
    <x v="392"/>
    <x v="329"/>
    <s v="C95100"/>
    <x v="1"/>
    <n v="1"/>
    <n v="627.20000000000005"/>
    <s v="197 Main St"/>
    <x v="1"/>
    <x v="3"/>
    <s v="TRK47366265"/>
    <n v="1"/>
    <s v="WINTER15"/>
    <x v="2"/>
    <n v="627.20000000000005"/>
  </r>
  <r>
    <x v="393"/>
    <x v="330"/>
    <s v="C39906"/>
    <x v="4"/>
    <n v="1"/>
    <n v="75.010000000000005"/>
    <s v="921 Main St"/>
    <x v="2"/>
    <x v="2"/>
    <s v="TRK24632134"/>
    <n v="3"/>
    <s v="N/A"/>
    <x v="4"/>
    <n v="75.010000000000005"/>
  </r>
  <r>
    <x v="394"/>
    <x v="176"/>
    <s v="C70148"/>
    <x v="6"/>
    <n v="5"/>
    <n v="529.54999999999995"/>
    <s v="359 Main St"/>
    <x v="3"/>
    <x v="0"/>
    <s v="TRK34848650"/>
    <n v="10"/>
    <s v="N/A"/>
    <x v="3"/>
    <n v="2647.75"/>
  </r>
  <r>
    <x v="395"/>
    <x v="331"/>
    <s v="C30010"/>
    <x v="1"/>
    <n v="3"/>
    <n v="127.41"/>
    <s v="830 Main St"/>
    <x v="3"/>
    <x v="3"/>
    <s v="TRK35386084"/>
    <n v="7"/>
    <s v="SAVE10"/>
    <x v="1"/>
    <n v="382.23"/>
  </r>
  <r>
    <x v="396"/>
    <x v="142"/>
    <s v="C99217"/>
    <x v="2"/>
    <n v="5"/>
    <n v="287.13"/>
    <s v="778 Main St"/>
    <x v="1"/>
    <x v="0"/>
    <s v="TRK82004594"/>
    <n v="10"/>
    <s v="SAVE10"/>
    <x v="2"/>
    <n v="1435.65"/>
  </r>
  <r>
    <x v="397"/>
    <x v="332"/>
    <s v="C30184"/>
    <x v="0"/>
    <n v="1"/>
    <n v="427.06"/>
    <s v="987 Main St"/>
    <x v="1"/>
    <x v="1"/>
    <s v="TRK86674704"/>
    <n v="1"/>
    <s v="WINTER15"/>
    <x v="1"/>
    <n v="427.06"/>
  </r>
  <r>
    <x v="398"/>
    <x v="333"/>
    <s v="C50275"/>
    <x v="1"/>
    <n v="5"/>
    <n v="53.93"/>
    <s v="729 Main St"/>
    <x v="3"/>
    <x v="0"/>
    <s v="TRK98925264"/>
    <n v="7"/>
    <s v="SAVE10"/>
    <x v="0"/>
    <n v="269.64999999999998"/>
  </r>
  <r>
    <x v="399"/>
    <x v="334"/>
    <s v="C64641"/>
    <x v="2"/>
    <n v="5"/>
    <n v="423.93"/>
    <s v="319 Main St"/>
    <x v="0"/>
    <x v="2"/>
    <s v="TRK32012588"/>
    <n v="5"/>
    <s v="FREESHIP"/>
    <x v="3"/>
    <n v="2119.65"/>
  </r>
  <r>
    <x v="400"/>
    <x v="335"/>
    <s v="C56266"/>
    <x v="6"/>
    <n v="4"/>
    <n v="160.22"/>
    <s v="304 Main St"/>
    <x v="0"/>
    <x v="2"/>
    <s v="TRK60088901"/>
    <n v="9"/>
    <s v="WINTER15"/>
    <x v="0"/>
    <n v="640.88"/>
  </r>
  <r>
    <x v="401"/>
    <x v="23"/>
    <s v="C98635"/>
    <x v="4"/>
    <n v="1"/>
    <n v="538.67999999999995"/>
    <s v="197 Main St"/>
    <x v="0"/>
    <x v="2"/>
    <s v="TRK14225465"/>
    <n v="6"/>
    <s v="N/A"/>
    <x v="1"/>
    <n v="538.67999999999995"/>
  </r>
  <r>
    <x v="402"/>
    <x v="336"/>
    <s v="C83026"/>
    <x v="4"/>
    <n v="5"/>
    <n v="337.38"/>
    <s v="858 Main St"/>
    <x v="3"/>
    <x v="0"/>
    <s v="TRK79746259"/>
    <n v="5"/>
    <s v="N/A"/>
    <x v="1"/>
    <n v="1686.9"/>
  </r>
  <r>
    <x v="403"/>
    <x v="337"/>
    <s v="C28893"/>
    <x v="2"/>
    <n v="1"/>
    <n v="620.21"/>
    <s v="740 Main St"/>
    <x v="1"/>
    <x v="2"/>
    <s v="TRK98333066"/>
    <n v="1"/>
    <s v="FREESHIP"/>
    <x v="1"/>
    <n v="620.21"/>
  </r>
  <r>
    <x v="404"/>
    <x v="338"/>
    <s v="C45482"/>
    <x v="0"/>
    <n v="2"/>
    <n v="99.1"/>
    <s v="440 Main St"/>
    <x v="4"/>
    <x v="3"/>
    <s v="TRK54571699"/>
    <n v="6"/>
    <s v="N/A"/>
    <x v="0"/>
    <n v="198.2"/>
  </r>
  <r>
    <x v="405"/>
    <x v="281"/>
    <s v="C97774"/>
    <x v="0"/>
    <n v="4"/>
    <n v="451.97"/>
    <s v="603 Main St"/>
    <x v="1"/>
    <x v="1"/>
    <s v="TRK64664424"/>
    <n v="7"/>
    <s v="WINTER15"/>
    <x v="2"/>
    <n v="1807.88"/>
  </r>
  <r>
    <x v="406"/>
    <x v="339"/>
    <s v="C11657"/>
    <x v="2"/>
    <n v="4"/>
    <n v="66.099999999999994"/>
    <s v="572 Main St"/>
    <x v="4"/>
    <x v="2"/>
    <s v="TRK50284486"/>
    <n v="9"/>
    <s v="WINTER15"/>
    <x v="4"/>
    <n v="264.39999999999998"/>
  </r>
  <r>
    <x v="407"/>
    <x v="340"/>
    <s v="C85993"/>
    <x v="2"/>
    <n v="4"/>
    <n v="547.32000000000005"/>
    <s v="250 Main St"/>
    <x v="4"/>
    <x v="2"/>
    <s v="TRK72547640"/>
    <n v="8"/>
    <s v="FREESHIP"/>
    <x v="0"/>
    <n v="2189.2800000000002"/>
  </r>
  <r>
    <x v="408"/>
    <x v="341"/>
    <s v="C11906"/>
    <x v="4"/>
    <n v="3"/>
    <n v="412.53"/>
    <s v="536 Main St"/>
    <x v="1"/>
    <x v="4"/>
    <s v="TRK31140158"/>
    <n v="6"/>
    <s v="WINTER15"/>
    <x v="4"/>
    <n v="1237.5899999999999"/>
  </r>
  <r>
    <x v="409"/>
    <x v="342"/>
    <s v="C45187"/>
    <x v="6"/>
    <n v="5"/>
    <n v="84.13"/>
    <s v="767 Main St"/>
    <x v="1"/>
    <x v="3"/>
    <s v="TRK12320793"/>
    <n v="9"/>
    <s v="SAVE10"/>
    <x v="4"/>
    <n v="420.65"/>
  </r>
  <r>
    <x v="410"/>
    <x v="343"/>
    <s v="C37375"/>
    <x v="2"/>
    <n v="2"/>
    <n v="518.23"/>
    <s v="184 Main St"/>
    <x v="0"/>
    <x v="0"/>
    <s v="TRK52470162"/>
    <n v="5"/>
    <s v="N/A"/>
    <x v="2"/>
    <n v="1036.46"/>
  </r>
  <r>
    <x v="411"/>
    <x v="83"/>
    <s v="C66567"/>
    <x v="6"/>
    <n v="2"/>
    <n v="39.51"/>
    <s v="981 Main St"/>
    <x v="1"/>
    <x v="0"/>
    <s v="TRK21174822"/>
    <n v="5"/>
    <s v="N/A"/>
    <x v="3"/>
    <n v="79.02"/>
  </r>
  <r>
    <x v="412"/>
    <x v="344"/>
    <s v="C42451"/>
    <x v="2"/>
    <n v="5"/>
    <n v="133.01"/>
    <s v="246 Main St"/>
    <x v="2"/>
    <x v="2"/>
    <s v="TRK31313343"/>
    <n v="10"/>
    <s v="N/A"/>
    <x v="3"/>
    <n v="665.05"/>
  </r>
  <r>
    <x v="413"/>
    <x v="345"/>
    <s v="C13923"/>
    <x v="2"/>
    <n v="1"/>
    <n v="118.8"/>
    <s v="123 Main St"/>
    <x v="1"/>
    <x v="3"/>
    <s v="TRK87598790"/>
    <n v="6"/>
    <s v="SAVE10"/>
    <x v="2"/>
    <n v="118.8"/>
  </r>
  <r>
    <x v="414"/>
    <x v="346"/>
    <s v="C11829"/>
    <x v="6"/>
    <n v="2"/>
    <n v="139.57"/>
    <s v="797 Main St"/>
    <x v="4"/>
    <x v="3"/>
    <s v="TRK84229257"/>
    <n v="4"/>
    <s v="WINTER15"/>
    <x v="3"/>
    <n v="279.14"/>
  </r>
  <r>
    <x v="415"/>
    <x v="161"/>
    <s v="C62169"/>
    <x v="3"/>
    <n v="1"/>
    <n v="184.15"/>
    <s v="655 Main St"/>
    <x v="3"/>
    <x v="0"/>
    <s v="TRK64558985"/>
    <n v="5"/>
    <s v="FREESHIP"/>
    <x v="3"/>
    <n v="184.15"/>
  </r>
  <r>
    <x v="416"/>
    <x v="202"/>
    <s v="C20881"/>
    <x v="5"/>
    <n v="2"/>
    <n v="644.04999999999995"/>
    <s v="652 Main St"/>
    <x v="3"/>
    <x v="1"/>
    <s v="TRK26263902"/>
    <n v="5"/>
    <s v="WINTER15"/>
    <x v="1"/>
    <n v="1288.0999999999999"/>
  </r>
  <r>
    <x v="417"/>
    <x v="347"/>
    <s v="C44492"/>
    <x v="5"/>
    <n v="5"/>
    <n v="55.41"/>
    <s v="954 Main St"/>
    <x v="1"/>
    <x v="1"/>
    <s v="TRK51429869"/>
    <n v="5"/>
    <s v="N/A"/>
    <x v="4"/>
    <n v="277.05"/>
  </r>
  <r>
    <x v="418"/>
    <x v="348"/>
    <s v="C74169"/>
    <x v="4"/>
    <n v="1"/>
    <n v="310.93"/>
    <s v="862 Main St"/>
    <x v="1"/>
    <x v="1"/>
    <s v="TRK66144809"/>
    <n v="3"/>
    <s v="N/A"/>
    <x v="3"/>
    <n v="310.93"/>
  </r>
  <r>
    <x v="419"/>
    <x v="349"/>
    <s v="C70999"/>
    <x v="2"/>
    <n v="2"/>
    <n v="216.66"/>
    <s v="885 Main St"/>
    <x v="0"/>
    <x v="4"/>
    <s v="TRK75644156"/>
    <n v="6"/>
    <s v="FREESHIP"/>
    <x v="0"/>
    <n v="433.32"/>
  </r>
  <r>
    <x v="420"/>
    <x v="350"/>
    <s v="C11921"/>
    <x v="1"/>
    <n v="1"/>
    <n v="452.7"/>
    <s v="439 Main St"/>
    <x v="0"/>
    <x v="0"/>
    <s v="TRK91362635"/>
    <n v="5"/>
    <s v="FREESHIP"/>
    <x v="0"/>
    <n v="452.7"/>
  </r>
  <r>
    <x v="421"/>
    <x v="3"/>
    <s v="C50683"/>
    <x v="3"/>
    <n v="2"/>
    <n v="288.20999999999998"/>
    <s v="769 Main St"/>
    <x v="0"/>
    <x v="1"/>
    <s v="TRK53032122"/>
    <n v="5"/>
    <s v="N/A"/>
    <x v="2"/>
    <n v="576.41999999999996"/>
  </r>
  <r>
    <x v="422"/>
    <x v="32"/>
    <s v="C76140"/>
    <x v="1"/>
    <n v="4"/>
    <n v="206.6"/>
    <s v="914 Main St"/>
    <x v="3"/>
    <x v="2"/>
    <s v="TRK25861469"/>
    <n v="6"/>
    <s v="WINTER15"/>
    <x v="1"/>
    <n v="826.4"/>
  </r>
  <r>
    <x v="423"/>
    <x v="351"/>
    <s v="C94311"/>
    <x v="4"/>
    <n v="4"/>
    <n v="685.2"/>
    <s v="195 Main St"/>
    <x v="3"/>
    <x v="1"/>
    <s v="TRK97308771"/>
    <n v="6"/>
    <s v="WINTER15"/>
    <x v="4"/>
    <n v="2740.8"/>
  </r>
  <r>
    <x v="424"/>
    <x v="352"/>
    <s v="C49491"/>
    <x v="3"/>
    <n v="5"/>
    <n v="22.94"/>
    <s v="339 Main St"/>
    <x v="4"/>
    <x v="4"/>
    <s v="TRK64012257"/>
    <n v="10"/>
    <s v="N/A"/>
    <x v="2"/>
    <n v="114.7"/>
  </r>
  <r>
    <x v="425"/>
    <x v="338"/>
    <s v="C40648"/>
    <x v="5"/>
    <n v="2"/>
    <n v="301.88"/>
    <s v="488 Main St"/>
    <x v="3"/>
    <x v="2"/>
    <s v="TRK25325993"/>
    <n v="5"/>
    <s v="WINTER15"/>
    <x v="2"/>
    <n v="603.76"/>
  </r>
  <r>
    <x v="426"/>
    <x v="353"/>
    <s v="C40967"/>
    <x v="0"/>
    <n v="5"/>
    <n v="57.45"/>
    <s v="315 Main St"/>
    <x v="4"/>
    <x v="1"/>
    <s v="TRK24839296"/>
    <n v="10"/>
    <s v="N/A"/>
    <x v="3"/>
    <n v="287.25"/>
  </r>
  <r>
    <x v="427"/>
    <x v="144"/>
    <s v="C25406"/>
    <x v="6"/>
    <n v="1"/>
    <n v="161.24"/>
    <s v="379 Main St"/>
    <x v="2"/>
    <x v="4"/>
    <s v="TRK70952564"/>
    <n v="3"/>
    <s v="WINTER15"/>
    <x v="0"/>
    <n v="161.24"/>
  </r>
  <r>
    <x v="428"/>
    <x v="130"/>
    <s v="C77085"/>
    <x v="3"/>
    <n v="4"/>
    <n v="262.58"/>
    <s v="895 Main St"/>
    <x v="1"/>
    <x v="1"/>
    <s v="TRK57227640"/>
    <n v="8"/>
    <s v="WINTER15"/>
    <x v="2"/>
    <n v="1050.32"/>
  </r>
  <r>
    <x v="429"/>
    <x v="36"/>
    <s v="C38126"/>
    <x v="4"/>
    <n v="4"/>
    <n v="515.19000000000005"/>
    <s v="522 Main St"/>
    <x v="2"/>
    <x v="4"/>
    <s v="TRK90838498"/>
    <n v="9"/>
    <s v="SAVE10"/>
    <x v="3"/>
    <n v="2060.7600000000002"/>
  </r>
  <r>
    <x v="430"/>
    <x v="323"/>
    <s v="C87448"/>
    <x v="1"/>
    <n v="1"/>
    <n v="450.07"/>
    <s v="433 Main St"/>
    <x v="3"/>
    <x v="0"/>
    <s v="TRK44134016"/>
    <n v="6"/>
    <s v="FREESHIP"/>
    <x v="4"/>
    <n v="450.07"/>
  </r>
  <r>
    <x v="431"/>
    <x v="354"/>
    <s v="C62312"/>
    <x v="4"/>
    <n v="1"/>
    <n v="52.54"/>
    <s v="651 Main St"/>
    <x v="0"/>
    <x v="1"/>
    <s v="TRK59623037"/>
    <n v="6"/>
    <s v="WINTER15"/>
    <x v="3"/>
    <n v="52.54"/>
  </r>
  <r>
    <x v="432"/>
    <x v="355"/>
    <s v="C58443"/>
    <x v="2"/>
    <n v="2"/>
    <n v="424.32"/>
    <s v="662 Main St"/>
    <x v="2"/>
    <x v="2"/>
    <s v="TRK77163738"/>
    <n v="6"/>
    <s v="N/A"/>
    <x v="1"/>
    <n v="848.64"/>
  </r>
  <r>
    <x v="433"/>
    <x v="46"/>
    <s v="C36613"/>
    <x v="0"/>
    <n v="3"/>
    <n v="631.64"/>
    <s v="785 Main St"/>
    <x v="2"/>
    <x v="2"/>
    <s v="TRK13282106"/>
    <n v="3"/>
    <s v="FREESHIP"/>
    <x v="3"/>
    <n v="1894.92"/>
  </r>
  <r>
    <x v="434"/>
    <x v="356"/>
    <s v="C73893"/>
    <x v="4"/>
    <n v="5"/>
    <n v="327.68"/>
    <s v="384 Main St"/>
    <x v="2"/>
    <x v="2"/>
    <s v="TRK85939879"/>
    <n v="6"/>
    <s v="N/A"/>
    <x v="3"/>
    <n v="1638.4"/>
  </r>
  <r>
    <x v="435"/>
    <x v="156"/>
    <s v="C48601"/>
    <x v="4"/>
    <n v="1"/>
    <n v="414.47"/>
    <s v="101 Main St"/>
    <x v="0"/>
    <x v="2"/>
    <s v="TRK97868309"/>
    <n v="3"/>
    <s v="FREESHIP"/>
    <x v="0"/>
    <n v="414.47"/>
  </r>
  <r>
    <x v="436"/>
    <x v="91"/>
    <s v="C14568"/>
    <x v="5"/>
    <n v="4"/>
    <n v="221.33"/>
    <s v="651 Main St"/>
    <x v="1"/>
    <x v="4"/>
    <s v="TRK73545796"/>
    <n v="5"/>
    <s v="N/A"/>
    <x v="4"/>
    <n v="885.32"/>
  </r>
  <r>
    <x v="437"/>
    <x v="171"/>
    <s v="C63378"/>
    <x v="1"/>
    <n v="1"/>
    <n v="512.39"/>
    <s v="955 Main St"/>
    <x v="1"/>
    <x v="3"/>
    <s v="TRK20863705"/>
    <n v="2"/>
    <s v="FREESHIP"/>
    <x v="0"/>
    <n v="512.39"/>
  </r>
  <r>
    <x v="438"/>
    <x v="195"/>
    <s v="C77800"/>
    <x v="2"/>
    <n v="3"/>
    <n v="459.34"/>
    <s v="436 Main St"/>
    <x v="3"/>
    <x v="4"/>
    <s v="TRK27439574"/>
    <n v="3"/>
    <s v="SAVE10"/>
    <x v="0"/>
    <n v="1378.02"/>
  </r>
  <r>
    <x v="439"/>
    <x v="50"/>
    <s v="C91155"/>
    <x v="2"/>
    <n v="1"/>
    <n v="146.32"/>
    <s v="321 Main St"/>
    <x v="1"/>
    <x v="0"/>
    <s v="TRK36260319"/>
    <n v="4"/>
    <s v="WINTER15"/>
    <x v="3"/>
    <n v="146.32"/>
  </r>
  <r>
    <x v="440"/>
    <x v="357"/>
    <s v="C60215"/>
    <x v="6"/>
    <n v="4"/>
    <n v="83.6"/>
    <s v="978 Main St"/>
    <x v="0"/>
    <x v="4"/>
    <s v="TRK31727767"/>
    <n v="4"/>
    <s v="SAVE10"/>
    <x v="3"/>
    <n v="334.4"/>
  </r>
  <r>
    <x v="441"/>
    <x v="141"/>
    <s v="C52915"/>
    <x v="4"/>
    <n v="2"/>
    <n v="328.54"/>
    <s v="475 Main St"/>
    <x v="3"/>
    <x v="2"/>
    <s v="TRK79466982"/>
    <n v="6"/>
    <s v="FREESHIP"/>
    <x v="2"/>
    <n v="657.08"/>
  </r>
  <r>
    <x v="442"/>
    <x v="40"/>
    <s v="C72588"/>
    <x v="3"/>
    <n v="5"/>
    <n v="314.94"/>
    <s v="661 Main St"/>
    <x v="4"/>
    <x v="4"/>
    <s v="TRK43410829"/>
    <n v="8"/>
    <s v="SAVE10"/>
    <x v="0"/>
    <n v="1574.7"/>
  </r>
  <r>
    <x v="443"/>
    <x v="358"/>
    <s v="C61668"/>
    <x v="3"/>
    <n v="2"/>
    <n v="69.64"/>
    <s v="813 Main St"/>
    <x v="4"/>
    <x v="2"/>
    <s v="TRK58970302"/>
    <n v="6"/>
    <s v="N/A"/>
    <x v="3"/>
    <n v="139.28"/>
  </r>
  <r>
    <x v="444"/>
    <x v="180"/>
    <s v="C79508"/>
    <x v="4"/>
    <n v="1"/>
    <n v="135.16999999999999"/>
    <s v="585 Main St"/>
    <x v="1"/>
    <x v="0"/>
    <s v="TRK61882353"/>
    <n v="6"/>
    <s v="FREESHIP"/>
    <x v="0"/>
    <n v="135.16999999999999"/>
  </r>
  <r>
    <x v="445"/>
    <x v="230"/>
    <s v="C94569"/>
    <x v="1"/>
    <n v="1"/>
    <n v="487.21"/>
    <s v="227 Main St"/>
    <x v="4"/>
    <x v="3"/>
    <s v="TRK31351770"/>
    <n v="3"/>
    <s v="SAVE10"/>
    <x v="1"/>
    <n v="487.21"/>
  </r>
  <r>
    <x v="446"/>
    <x v="359"/>
    <s v="C89592"/>
    <x v="5"/>
    <n v="5"/>
    <n v="509.58"/>
    <s v="262 Main St"/>
    <x v="1"/>
    <x v="3"/>
    <s v="TRK49442402"/>
    <n v="6"/>
    <s v="FREESHIP"/>
    <x v="0"/>
    <n v="2547.9"/>
  </r>
  <r>
    <x v="447"/>
    <x v="158"/>
    <s v="C48207"/>
    <x v="4"/>
    <n v="2"/>
    <n v="416.81"/>
    <s v="356 Main St"/>
    <x v="4"/>
    <x v="2"/>
    <s v="TRK45355655"/>
    <n v="2"/>
    <s v="N/A"/>
    <x v="3"/>
    <n v="833.62"/>
  </r>
  <r>
    <x v="448"/>
    <x v="355"/>
    <s v="C16776"/>
    <x v="5"/>
    <n v="2"/>
    <n v="160"/>
    <s v="854 Main St"/>
    <x v="4"/>
    <x v="4"/>
    <s v="TRK12860600"/>
    <n v="4"/>
    <s v="SAVE10"/>
    <x v="0"/>
    <n v="320"/>
  </r>
  <r>
    <x v="449"/>
    <x v="360"/>
    <s v="C91518"/>
    <x v="2"/>
    <n v="3"/>
    <n v="253.05"/>
    <s v="286 Main St"/>
    <x v="1"/>
    <x v="4"/>
    <s v="TRK48688724"/>
    <n v="3"/>
    <s v="N/A"/>
    <x v="0"/>
    <n v="759.15000000000009"/>
  </r>
  <r>
    <x v="450"/>
    <x v="361"/>
    <s v="C36408"/>
    <x v="0"/>
    <n v="5"/>
    <n v="615.1"/>
    <s v="160 Main St"/>
    <x v="3"/>
    <x v="2"/>
    <s v="TRK94023253"/>
    <n v="10"/>
    <s v="WINTER15"/>
    <x v="0"/>
    <n v="3075.5"/>
  </r>
  <r>
    <x v="451"/>
    <x v="362"/>
    <s v="C14837"/>
    <x v="0"/>
    <n v="1"/>
    <n v="183.18"/>
    <s v="647 Main St"/>
    <x v="0"/>
    <x v="1"/>
    <s v="TRK17501136"/>
    <n v="6"/>
    <s v="SAVE10"/>
    <x v="2"/>
    <n v="183.18"/>
  </r>
  <r>
    <x v="452"/>
    <x v="363"/>
    <s v="C36467"/>
    <x v="4"/>
    <n v="1"/>
    <n v="75.78"/>
    <s v="581 Main St"/>
    <x v="4"/>
    <x v="4"/>
    <s v="TRK20863987"/>
    <n v="5"/>
    <s v="SAVE10"/>
    <x v="4"/>
    <n v="75.78"/>
  </r>
  <r>
    <x v="453"/>
    <x v="201"/>
    <s v="C15017"/>
    <x v="2"/>
    <n v="1"/>
    <n v="675.57"/>
    <s v="492 Main St"/>
    <x v="4"/>
    <x v="0"/>
    <s v="TRK51241924"/>
    <n v="1"/>
    <s v="WINTER15"/>
    <x v="3"/>
    <n v="675.57"/>
  </r>
  <r>
    <x v="454"/>
    <x v="364"/>
    <s v="C54759"/>
    <x v="5"/>
    <n v="1"/>
    <n v="109.29"/>
    <s v="686 Main St"/>
    <x v="0"/>
    <x v="1"/>
    <s v="TRK75583042"/>
    <n v="5"/>
    <s v="FREESHIP"/>
    <x v="4"/>
    <n v="109.29"/>
  </r>
  <r>
    <x v="455"/>
    <x v="290"/>
    <s v="C58341"/>
    <x v="1"/>
    <n v="1"/>
    <n v="639.83000000000004"/>
    <s v="874 Main St"/>
    <x v="0"/>
    <x v="4"/>
    <s v="TRK32856728"/>
    <n v="2"/>
    <s v="SAVE10"/>
    <x v="1"/>
    <n v="639.83000000000004"/>
  </r>
  <r>
    <x v="456"/>
    <x v="365"/>
    <s v="C94479"/>
    <x v="6"/>
    <n v="5"/>
    <n v="62.81"/>
    <s v="259 Main St"/>
    <x v="2"/>
    <x v="0"/>
    <s v="TRK69089975"/>
    <n v="9"/>
    <s v="SAVE10"/>
    <x v="3"/>
    <n v="314.05"/>
  </r>
  <r>
    <x v="457"/>
    <x v="366"/>
    <s v="C50236"/>
    <x v="6"/>
    <n v="4"/>
    <n v="615.83000000000004"/>
    <s v="545 Main St"/>
    <x v="1"/>
    <x v="2"/>
    <s v="TRK67692578"/>
    <n v="4"/>
    <s v="WINTER15"/>
    <x v="0"/>
    <n v="2463.3200000000002"/>
  </r>
  <r>
    <x v="458"/>
    <x v="367"/>
    <s v="C31412"/>
    <x v="0"/>
    <n v="4"/>
    <n v="510.58"/>
    <s v="196 Main St"/>
    <x v="2"/>
    <x v="2"/>
    <s v="TRK61946127"/>
    <n v="7"/>
    <s v="WINTER15"/>
    <x v="2"/>
    <n v="2042.32"/>
  </r>
  <r>
    <x v="459"/>
    <x v="25"/>
    <s v="C90142"/>
    <x v="6"/>
    <n v="1"/>
    <n v="334.39"/>
    <s v="433 Main St"/>
    <x v="2"/>
    <x v="2"/>
    <s v="TRK39717191"/>
    <n v="2"/>
    <s v="N/A"/>
    <x v="0"/>
    <n v="334.39"/>
  </r>
  <r>
    <x v="460"/>
    <x v="354"/>
    <s v="C83548"/>
    <x v="5"/>
    <n v="1"/>
    <n v="144.25"/>
    <s v="474 Main St"/>
    <x v="4"/>
    <x v="2"/>
    <s v="TRK93822942"/>
    <n v="2"/>
    <s v="WINTER15"/>
    <x v="1"/>
    <n v="144.25"/>
  </r>
  <r>
    <x v="461"/>
    <x v="180"/>
    <s v="C29697"/>
    <x v="2"/>
    <n v="1"/>
    <n v="401.82"/>
    <s v="407 Main St"/>
    <x v="2"/>
    <x v="0"/>
    <s v="TRK47776482"/>
    <n v="5"/>
    <s v="FREESHIP"/>
    <x v="4"/>
    <n v="401.82"/>
  </r>
  <r>
    <x v="462"/>
    <x v="368"/>
    <s v="C22991"/>
    <x v="1"/>
    <n v="1"/>
    <n v="252.68"/>
    <s v="731 Main St"/>
    <x v="1"/>
    <x v="1"/>
    <s v="TRK32796086"/>
    <n v="1"/>
    <s v="N/A"/>
    <x v="1"/>
    <n v="252.68"/>
  </r>
  <r>
    <x v="463"/>
    <x v="68"/>
    <s v="C25276"/>
    <x v="5"/>
    <n v="5"/>
    <n v="662.78"/>
    <s v="214 Main St"/>
    <x v="0"/>
    <x v="0"/>
    <s v="TRK14011732"/>
    <n v="9"/>
    <s v="SAVE10"/>
    <x v="0"/>
    <n v="3313.9"/>
  </r>
  <r>
    <x v="464"/>
    <x v="369"/>
    <s v="C39176"/>
    <x v="2"/>
    <n v="4"/>
    <n v="434.42"/>
    <s v="739 Main St"/>
    <x v="1"/>
    <x v="1"/>
    <s v="TRK71418686"/>
    <n v="6"/>
    <s v="FREESHIP"/>
    <x v="4"/>
    <n v="1737.68"/>
  </r>
  <r>
    <x v="465"/>
    <x v="235"/>
    <s v="C58773"/>
    <x v="4"/>
    <n v="5"/>
    <n v="513.49"/>
    <s v="391 Main St"/>
    <x v="3"/>
    <x v="1"/>
    <s v="TRK65438300"/>
    <n v="8"/>
    <s v="N/A"/>
    <x v="4"/>
    <n v="2567.4499999999998"/>
  </r>
  <r>
    <x v="466"/>
    <x v="202"/>
    <s v="C37412"/>
    <x v="1"/>
    <n v="1"/>
    <n v="432.47"/>
    <s v="895 Main St"/>
    <x v="4"/>
    <x v="3"/>
    <s v="TRK97829604"/>
    <n v="4"/>
    <s v="FREESHIP"/>
    <x v="1"/>
    <n v="432.47"/>
  </r>
  <r>
    <x v="467"/>
    <x v="225"/>
    <s v="C36492"/>
    <x v="6"/>
    <n v="1"/>
    <n v="45.94"/>
    <s v="572 Main St"/>
    <x v="4"/>
    <x v="1"/>
    <s v="TRK44350440"/>
    <n v="2"/>
    <s v="WINTER15"/>
    <x v="2"/>
    <n v="45.94"/>
  </r>
  <r>
    <x v="468"/>
    <x v="370"/>
    <s v="C90110"/>
    <x v="1"/>
    <n v="1"/>
    <n v="418.36"/>
    <s v="998 Main St"/>
    <x v="2"/>
    <x v="3"/>
    <s v="TRK60203957"/>
    <n v="5"/>
    <s v="FREESHIP"/>
    <x v="2"/>
    <n v="418.36"/>
  </r>
  <r>
    <x v="469"/>
    <x v="371"/>
    <s v="C13877"/>
    <x v="3"/>
    <n v="5"/>
    <n v="676.98"/>
    <s v="893 Main St"/>
    <x v="4"/>
    <x v="1"/>
    <s v="TRK17254691"/>
    <n v="5"/>
    <s v="N/A"/>
    <x v="3"/>
    <n v="3384.9"/>
  </r>
  <r>
    <x v="470"/>
    <x v="372"/>
    <s v="C25149"/>
    <x v="2"/>
    <n v="4"/>
    <n v="263.62"/>
    <s v="672 Main St"/>
    <x v="4"/>
    <x v="0"/>
    <s v="TRK33538608"/>
    <n v="5"/>
    <s v="SAVE10"/>
    <x v="2"/>
    <n v="1054.48"/>
  </r>
  <r>
    <x v="471"/>
    <x v="373"/>
    <s v="C52717"/>
    <x v="6"/>
    <n v="5"/>
    <n v="551.27"/>
    <s v="395 Main St"/>
    <x v="1"/>
    <x v="1"/>
    <s v="TRK27625571"/>
    <n v="7"/>
    <s v="FREESHIP"/>
    <x v="1"/>
    <n v="2756.35"/>
  </r>
  <r>
    <x v="472"/>
    <x v="374"/>
    <s v="C60029"/>
    <x v="3"/>
    <n v="3"/>
    <n v="508.12"/>
    <s v="796 Main St"/>
    <x v="2"/>
    <x v="1"/>
    <s v="TRK86461316"/>
    <n v="8"/>
    <s v="FREESHIP"/>
    <x v="1"/>
    <n v="1524.36"/>
  </r>
  <r>
    <x v="473"/>
    <x v="86"/>
    <s v="C28552"/>
    <x v="3"/>
    <n v="2"/>
    <n v="14.93"/>
    <s v="449 Main St"/>
    <x v="1"/>
    <x v="0"/>
    <s v="TRK71597160"/>
    <n v="4"/>
    <s v="N/A"/>
    <x v="3"/>
    <n v="29.86"/>
  </r>
  <r>
    <x v="474"/>
    <x v="375"/>
    <s v="C72293"/>
    <x v="4"/>
    <n v="3"/>
    <n v="229.34"/>
    <s v="398 Main St"/>
    <x v="2"/>
    <x v="0"/>
    <s v="TRK84378003"/>
    <n v="6"/>
    <s v="SAVE10"/>
    <x v="1"/>
    <n v="688.02"/>
  </r>
  <r>
    <x v="475"/>
    <x v="373"/>
    <s v="C29844"/>
    <x v="2"/>
    <n v="2"/>
    <n v="438.62"/>
    <s v="363 Main St"/>
    <x v="4"/>
    <x v="1"/>
    <s v="TRK91642337"/>
    <n v="3"/>
    <s v="SAVE10"/>
    <x v="3"/>
    <n v="877.24"/>
  </r>
  <r>
    <x v="476"/>
    <x v="361"/>
    <s v="C77872"/>
    <x v="1"/>
    <n v="2"/>
    <n v="513.59"/>
    <s v="867 Main St"/>
    <x v="1"/>
    <x v="2"/>
    <s v="TRK19292184"/>
    <n v="4"/>
    <s v="FREESHIP"/>
    <x v="1"/>
    <n v="1027.18"/>
  </r>
  <r>
    <x v="477"/>
    <x v="376"/>
    <s v="C56564"/>
    <x v="1"/>
    <n v="2"/>
    <n v="253.74"/>
    <s v="481 Main St"/>
    <x v="1"/>
    <x v="0"/>
    <s v="TRK13166044"/>
    <n v="5"/>
    <s v="SAVE10"/>
    <x v="4"/>
    <n v="507.48"/>
  </r>
  <r>
    <x v="478"/>
    <x v="377"/>
    <s v="C16758"/>
    <x v="2"/>
    <n v="3"/>
    <n v="62.77"/>
    <s v="914 Main St"/>
    <x v="3"/>
    <x v="0"/>
    <s v="TRK88544431"/>
    <n v="6"/>
    <s v="FREESHIP"/>
    <x v="1"/>
    <n v="188.31"/>
  </r>
  <r>
    <x v="479"/>
    <x v="378"/>
    <s v="C87011"/>
    <x v="0"/>
    <n v="4"/>
    <n v="25.29"/>
    <s v="943 Main St"/>
    <x v="2"/>
    <x v="4"/>
    <s v="TRK21429162"/>
    <n v="8"/>
    <s v="N/A"/>
    <x v="4"/>
    <n v="101.16"/>
  </r>
  <r>
    <x v="480"/>
    <x v="379"/>
    <s v="C21147"/>
    <x v="3"/>
    <n v="1"/>
    <n v="335.1"/>
    <s v="126 Main St"/>
    <x v="0"/>
    <x v="4"/>
    <s v="TRK93171043"/>
    <n v="6"/>
    <s v="FREESHIP"/>
    <x v="1"/>
    <n v="335.1"/>
  </r>
  <r>
    <x v="481"/>
    <x v="295"/>
    <s v="C94568"/>
    <x v="5"/>
    <n v="4"/>
    <n v="484.85"/>
    <s v="317 Main St"/>
    <x v="0"/>
    <x v="3"/>
    <s v="TRK58653915"/>
    <n v="5"/>
    <s v="WINTER15"/>
    <x v="1"/>
    <n v="1939.4"/>
  </r>
  <r>
    <x v="482"/>
    <x v="380"/>
    <s v="C35852"/>
    <x v="0"/>
    <n v="3"/>
    <n v="381.41"/>
    <s v="989 Main St"/>
    <x v="1"/>
    <x v="4"/>
    <s v="TRK22302049"/>
    <n v="6"/>
    <s v="N/A"/>
    <x v="0"/>
    <n v="1144.23"/>
  </r>
  <r>
    <x v="483"/>
    <x v="381"/>
    <s v="C66462"/>
    <x v="1"/>
    <n v="5"/>
    <n v="347.92"/>
    <s v="982 Main St"/>
    <x v="4"/>
    <x v="4"/>
    <s v="TRK52743700"/>
    <n v="6"/>
    <s v="WINTER15"/>
    <x v="4"/>
    <n v="1739.6"/>
  </r>
  <r>
    <x v="484"/>
    <x v="382"/>
    <s v="C29092"/>
    <x v="3"/>
    <n v="4"/>
    <n v="15.01"/>
    <s v="767 Main St"/>
    <x v="4"/>
    <x v="1"/>
    <s v="TRK90455340"/>
    <n v="6"/>
    <s v="N/A"/>
    <x v="3"/>
    <n v="60.04"/>
  </r>
  <r>
    <x v="485"/>
    <x v="383"/>
    <s v="C46651"/>
    <x v="3"/>
    <n v="3"/>
    <n v="404.79"/>
    <s v="764 Main St"/>
    <x v="4"/>
    <x v="0"/>
    <s v="TRK67679195"/>
    <n v="6"/>
    <s v="SAVE10"/>
    <x v="0"/>
    <n v="1214.3699999999999"/>
  </r>
  <r>
    <x v="486"/>
    <x v="384"/>
    <s v="C88981"/>
    <x v="4"/>
    <n v="4"/>
    <n v="611.26"/>
    <s v="558 Main St"/>
    <x v="4"/>
    <x v="0"/>
    <s v="TRK75267873"/>
    <n v="5"/>
    <s v="SAVE10"/>
    <x v="1"/>
    <n v="2445.04"/>
  </r>
  <r>
    <x v="487"/>
    <x v="338"/>
    <s v="C40136"/>
    <x v="4"/>
    <n v="3"/>
    <n v="346.52"/>
    <s v="211 Main St"/>
    <x v="2"/>
    <x v="4"/>
    <s v="TRK92924852"/>
    <n v="3"/>
    <s v="SAVE10"/>
    <x v="4"/>
    <n v="1039.56"/>
  </r>
  <r>
    <x v="488"/>
    <x v="194"/>
    <s v="C81573"/>
    <x v="3"/>
    <n v="1"/>
    <n v="36.65"/>
    <s v="556 Main St"/>
    <x v="1"/>
    <x v="1"/>
    <s v="TRK96522994"/>
    <n v="1"/>
    <s v="WINTER15"/>
    <x v="2"/>
    <n v="36.65"/>
  </r>
  <r>
    <x v="489"/>
    <x v="189"/>
    <s v="C11940"/>
    <x v="2"/>
    <n v="3"/>
    <n v="149.34"/>
    <s v="589 Main St"/>
    <x v="3"/>
    <x v="1"/>
    <s v="TRK85466461"/>
    <n v="7"/>
    <s v="WINTER15"/>
    <x v="2"/>
    <n v="448.02"/>
  </r>
  <r>
    <x v="490"/>
    <x v="319"/>
    <s v="C50097"/>
    <x v="3"/>
    <n v="5"/>
    <n v="467.81"/>
    <s v="539 Main St"/>
    <x v="1"/>
    <x v="1"/>
    <s v="TRK62785150"/>
    <n v="10"/>
    <s v="N/A"/>
    <x v="3"/>
    <n v="2339.0500000000002"/>
  </r>
  <r>
    <x v="491"/>
    <x v="314"/>
    <s v="C98168"/>
    <x v="1"/>
    <n v="5"/>
    <n v="420.7"/>
    <s v="481 Main St"/>
    <x v="4"/>
    <x v="4"/>
    <s v="TRK56423359"/>
    <n v="5"/>
    <s v="WINTER15"/>
    <x v="3"/>
    <n v="2103.5"/>
  </r>
  <r>
    <x v="492"/>
    <x v="385"/>
    <s v="C39074"/>
    <x v="5"/>
    <n v="5"/>
    <n v="606.52"/>
    <s v="103 Main St"/>
    <x v="0"/>
    <x v="0"/>
    <s v="TRK13027036"/>
    <n v="6"/>
    <s v="SAVE10"/>
    <x v="0"/>
    <n v="3032.6"/>
  </r>
  <r>
    <x v="493"/>
    <x v="386"/>
    <s v="C84908"/>
    <x v="1"/>
    <n v="1"/>
    <n v="420.26"/>
    <s v="372 Main St"/>
    <x v="2"/>
    <x v="4"/>
    <s v="TRK64135970"/>
    <n v="4"/>
    <s v="FREESHIP"/>
    <x v="3"/>
    <n v="420.26"/>
  </r>
  <r>
    <x v="494"/>
    <x v="45"/>
    <s v="C64516"/>
    <x v="5"/>
    <n v="3"/>
    <n v="505.79"/>
    <s v="459 Main St"/>
    <x v="0"/>
    <x v="4"/>
    <s v="TRK63920573"/>
    <n v="3"/>
    <s v="FREESHIP"/>
    <x v="1"/>
    <n v="1517.37"/>
  </r>
  <r>
    <x v="495"/>
    <x v="85"/>
    <s v="C63827"/>
    <x v="1"/>
    <n v="4"/>
    <n v="493.73"/>
    <s v="947 Main St"/>
    <x v="0"/>
    <x v="4"/>
    <s v="TRK35730581"/>
    <n v="6"/>
    <s v="SAVE10"/>
    <x v="3"/>
    <n v="1974.92"/>
  </r>
  <r>
    <x v="496"/>
    <x v="387"/>
    <s v="C93618"/>
    <x v="4"/>
    <n v="3"/>
    <n v="201.21"/>
    <s v="249 Main St"/>
    <x v="1"/>
    <x v="1"/>
    <s v="TRK66129326"/>
    <n v="3"/>
    <s v="SAVE10"/>
    <x v="4"/>
    <n v="603.63"/>
  </r>
  <r>
    <x v="497"/>
    <x v="101"/>
    <s v="C93948"/>
    <x v="4"/>
    <n v="3"/>
    <n v="112.29"/>
    <s v="454 Main St"/>
    <x v="3"/>
    <x v="0"/>
    <s v="TRK77358113"/>
    <n v="6"/>
    <s v="N/A"/>
    <x v="4"/>
    <n v="336.87"/>
  </r>
  <r>
    <x v="498"/>
    <x v="219"/>
    <s v="C73961"/>
    <x v="2"/>
    <n v="4"/>
    <n v="132.56"/>
    <s v="306 Main St"/>
    <x v="4"/>
    <x v="2"/>
    <s v="TRK32607173"/>
    <n v="8"/>
    <s v="WINTER15"/>
    <x v="0"/>
    <n v="530.24"/>
  </r>
  <r>
    <x v="499"/>
    <x v="388"/>
    <s v="C18138"/>
    <x v="4"/>
    <n v="3"/>
    <n v="539.46"/>
    <s v="520 Main St"/>
    <x v="2"/>
    <x v="0"/>
    <s v="TRK20289483"/>
    <n v="4"/>
    <s v="SAVE10"/>
    <x v="3"/>
    <n v="1618.38"/>
  </r>
  <r>
    <x v="500"/>
    <x v="158"/>
    <s v="C79475"/>
    <x v="5"/>
    <n v="5"/>
    <n v="508.59"/>
    <s v="169 Main St"/>
    <x v="4"/>
    <x v="2"/>
    <s v="TRK42168516"/>
    <n v="8"/>
    <s v="WINTER15"/>
    <x v="3"/>
    <n v="2542.9499999999998"/>
  </r>
  <r>
    <x v="501"/>
    <x v="389"/>
    <s v="C88546"/>
    <x v="6"/>
    <n v="4"/>
    <n v="203.46"/>
    <s v="226 Main St"/>
    <x v="2"/>
    <x v="4"/>
    <s v="TRK19867754"/>
    <n v="7"/>
    <s v="SAVE10"/>
    <x v="1"/>
    <n v="813.84"/>
  </r>
  <r>
    <x v="502"/>
    <x v="390"/>
    <s v="C69332"/>
    <x v="0"/>
    <n v="3"/>
    <n v="565.25"/>
    <s v="745 Main St"/>
    <x v="0"/>
    <x v="2"/>
    <s v="TRK65718848"/>
    <n v="7"/>
    <s v="SAVE10"/>
    <x v="2"/>
    <n v="1695.75"/>
  </r>
  <r>
    <x v="503"/>
    <x v="303"/>
    <s v="C64554"/>
    <x v="2"/>
    <n v="3"/>
    <n v="136.84"/>
    <s v="498 Main St"/>
    <x v="1"/>
    <x v="4"/>
    <s v="TRK95384568"/>
    <n v="4"/>
    <s v="FREESHIP"/>
    <x v="3"/>
    <n v="410.52"/>
  </r>
  <r>
    <x v="504"/>
    <x v="113"/>
    <s v="C11676"/>
    <x v="0"/>
    <n v="2"/>
    <n v="464.5"/>
    <s v="805 Main St"/>
    <x v="1"/>
    <x v="1"/>
    <s v="TRK35726395"/>
    <n v="2"/>
    <s v="WINTER15"/>
    <x v="0"/>
    <n v="929"/>
  </r>
  <r>
    <x v="505"/>
    <x v="236"/>
    <s v="C36014"/>
    <x v="4"/>
    <n v="2"/>
    <n v="434.97"/>
    <s v="558 Main St"/>
    <x v="1"/>
    <x v="0"/>
    <s v="TRK97246526"/>
    <n v="7"/>
    <s v="N/A"/>
    <x v="2"/>
    <n v="869.94"/>
  </r>
  <r>
    <x v="506"/>
    <x v="284"/>
    <s v="C23279"/>
    <x v="0"/>
    <n v="2"/>
    <n v="43.67"/>
    <s v="696 Main St"/>
    <x v="4"/>
    <x v="2"/>
    <s v="TRK58039693"/>
    <n v="4"/>
    <s v="WINTER15"/>
    <x v="0"/>
    <n v="87.34"/>
  </r>
  <r>
    <x v="507"/>
    <x v="176"/>
    <s v="C86481"/>
    <x v="1"/>
    <n v="1"/>
    <n v="171.59"/>
    <s v="546 Main St"/>
    <x v="2"/>
    <x v="4"/>
    <s v="TRK87513944"/>
    <n v="5"/>
    <s v="WINTER15"/>
    <x v="2"/>
    <n v="171.59"/>
  </r>
  <r>
    <x v="508"/>
    <x v="391"/>
    <s v="C39550"/>
    <x v="1"/>
    <n v="1"/>
    <n v="558.27"/>
    <s v="976 Main St"/>
    <x v="1"/>
    <x v="3"/>
    <s v="TRK24120267"/>
    <n v="1"/>
    <s v="N/A"/>
    <x v="1"/>
    <n v="558.27"/>
  </r>
  <r>
    <x v="509"/>
    <x v="392"/>
    <s v="C68937"/>
    <x v="5"/>
    <n v="2"/>
    <n v="425.03"/>
    <s v="560 Main St"/>
    <x v="4"/>
    <x v="2"/>
    <s v="TRK31908657"/>
    <n v="2"/>
    <s v="WINTER15"/>
    <x v="4"/>
    <n v="850.06"/>
  </r>
  <r>
    <x v="510"/>
    <x v="393"/>
    <s v="C72533"/>
    <x v="4"/>
    <n v="1"/>
    <n v="376.76"/>
    <s v="389 Main St"/>
    <x v="0"/>
    <x v="3"/>
    <s v="TRK51288986"/>
    <n v="5"/>
    <s v="SAVE10"/>
    <x v="2"/>
    <n v="376.76"/>
  </r>
  <r>
    <x v="511"/>
    <x v="394"/>
    <s v="C11415"/>
    <x v="0"/>
    <n v="5"/>
    <n v="575.24"/>
    <s v="267 Main St"/>
    <x v="4"/>
    <x v="3"/>
    <s v="TRK65061457"/>
    <n v="7"/>
    <s v="WINTER15"/>
    <x v="2"/>
    <n v="2876.2"/>
  </r>
  <r>
    <x v="512"/>
    <x v="395"/>
    <s v="C14114"/>
    <x v="6"/>
    <n v="3"/>
    <n v="568.02"/>
    <s v="856 Main St"/>
    <x v="1"/>
    <x v="4"/>
    <s v="TRK63290700"/>
    <n v="3"/>
    <s v="FREESHIP"/>
    <x v="0"/>
    <n v="1704.06"/>
  </r>
  <r>
    <x v="513"/>
    <x v="396"/>
    <s v="C64128"/>
    <x v="2"/>
    <n v="3"/>
    <n v="94.88"/>
    <s v="533 Main St"/>
    <x v="3"/>
    <x v="0"/>
    <s v="TRK37053575"/>
    <n v="8"/>
    <s v="N/A"/>
    <x v="1"/>
    <n v="284.64"/>
  </r>
  <r>
    <x v="514"/>
    <x v="397"/>
    <s v="C15629"/>
    <x v="4"/>
    <n v="3"/>
    <n v="304.14999999999998"/>
    <s v="492 Main St"/>
    <x v="3"/>
    <x v="0"/>
    <s v="TRK64926044"/>
    <n v="3"/>
    <s v="WINTER15"/>
    <x v="0"/>
    <n v="912.44999999999993"/>
  </r>
  <r>
    <x v="515"/>
    <x v="369"/>
    <s v="C67561"/>
    <x v="1"/>
    <n v="3"/>
    <n v="553.52"/>
    <s v="160 Main St"/>
    <x v="3"/>
    <x v="0"/>
    <s v="TRK75900717"/>
    <n v="4"/>
    <s v="FREESHIP"/>
    <x v="3"/>
    <n v="1660.56"/>
  </r>
  <r>
    <x v="516"/>
    <x v="158"/>
    <s v="C47022"/>
    <x v="0"/>
    <n v="3"/>
    <n v="166.99"/>
    <s v="208 Main St"/>
    <x v="4"/>
    <x v="2"/>
    <s v="TRK28855040"/>
    <n v="8"/>
    <s v="N/A"/>
    <x v="3"/>
    <n v="500.97"/>
  </r>
  <r>
    <x v="517"/>
    <x v="398"/>
    <s v="C55205"/>
    <x v="2"/>
    <n v="4"/>
    <n v="198.35"/>
    <s v="943 Main St"/>
    <x v="4"/>
    <x v="1"/>
    <s v="TRK88141634"/>
    <n v="7"/>
    <s v="FREESHIP"/>
    <x v="4"/>
    <n v="793.4"/>
  </r>
  <r>
    <x v="518"/>
    <x v="399"/>
    <s v="C30686"/>
    <x v="4"/>
    <n v="4"/>
    <n v="403.58"/>
    <s v="319 Main St"/>
    <x v="1"/>
    <x v="4"/>
    <s v="TRK59807273"/>
    <n v="9"/>
    <s v="SAVE10"/>
    <x v="1"/>
    <n v="1614.32"/>
  </r>
  <r>
    <x v="519"/>
    <x v="400"/>
    <s v="C71797"/>
    <x v="5"/>
    <n v="4"/>
    <n v="464.29"/>
    <s v="941 Main St"/>
    <x v="0"/>
    <x v="2"/>
    <s v="TRK66010667"/>
    <n v="5"/>
    <s v="SAVE10"/>
    <x v="2"/>
    <n v="1857.16"/>
  </r>
  <r>
    <x v="520"/>
    <x v="401"/>
    <s v="C66332"/>
    <x v="0"/>
    <n v="3"/>
    <n v="635.98"/>
    <s v="959 Main St"/>
    <x v="4"/>
    <x v="2"/>
    <s v="TRK27063398"/>
    <n v="5"/>
    <s v="N/A"/>
    <x v="1"/>
    <n v="1907.94"/>
  </r>
  <r>
    <x v="521"/>
    <x v="402"/>
    <s v="C82318"/>
    <x v="1"/>
    <n v="1"/>
    <n v="528.05999999999995"/>
    <s v="991 Main St"/>
    <x v="2"/>
    <x v="0"/>
    <s v="TRK37534165"/>
    <n v="2"/>
    <s v="N/A"/>
    <x v="3"/>
    <n v="528.05999999999995"/>
  </r>
  <r>
    <x v="522"/>
    <x v="322"/>
    <s v="C66254"/>
    <x v="3"/>
    <n v="1"/>
    <n v="515.32000000000005"/>
    <s v="740 Main St"/>
    <x v="3"/>
    <x v="1"/>
    <s v="TRK82843861"/>
    <n v="1"/>
    <s v="FREESHIP"/>
    <x v="2"/>
    <n v="515.32000000000005"/>
  </r>
  <r>
    <x v="523"/>
    <x v="403"/>
    <s v="C65083"/>
    <x v="6"/>
    <n v="4"/>
    <n v="657.79"/>
    <s v="652 Main St"/>
    <x v="2"/>
    <x v="2"/>
    <s v="TRK60937148"/>
    <n v="6"/>
    <s v="WINTER15"/>
    <x v="4"/>
    <n v="2631.16"/>
  </r>
  <r>
    <x v="524"/>
    <x v="385"/>
    <s v="C44778"/>
    <x v="1"/>
    <n v="1"/>
    <n v="153"/>
    <s v="103 Main St"/>
    <x v="2"/>
    <x v="2"/>
    <s v="TRK92617366"/>
    <n v="4"/>
    <s v="N/A"/>
    <x v="1"/>
    <n v="153"/>
  </r>
  <r>
    <x v="525"/>
    <x v="404"/>
    <s v="C54499"/>
    <x v="0"/>
    <n v="1"/>
    <n v="668.48"/>
    <s v="160 Main St"/>
    <x v="0"/>
    <x v="0"/>
    <s v="TRK18061555"/>
    <n v="1"/>
    <s v="SAVE10"/>
    <x v="2"/>
    <n v="668.48"/>
  </r>
  <r>
    <x v="526"/>
    <x v="405"/>
    <s v="C91201"/>
    <x v="6"/>
    <n v="2"/>
    <n v="46.5"/>
    <s v="837 Main St"/>
    <x v="4"/>
    <x v="2"/>
    <s v="TRK63526023"/>
    <n v="7"/>
    <s v="WINTER15"/>
    <x v="4"/>
    <n v="93"/>
  </r>
  <r>
    <x v="527"/>
    <x v="406"/>
    <s v="C27202"/>
    <x v="3"/>
    <n v="5"/>
    <n v="653.47"/>
    <s v="967 Main St"/>
    <x v="2"/>
    <x v="1"/>
    <s v="TRK75406128"/>
    <n v="10"/>
    <s v="SAVE10"/>
    <x v="1"/>
    <n v="3267.35"/>
  </r>
  <r>
    <x v="528"/>
    <x v="407"/>
    <s v="C32011"/>
    <x v="3"/>
    <n v="1"/>
    <n v="628.89"/>
    <s v="686 Main St"/>
    <x v="2"/>
    <x v="2"/>
    <s v="TRK70997744"/>
    <n v="2"/>
    <s v="SAVE10"/>
    <x v="1"/>
    <n v="628.89"/>
  </r>
  <r>
    <x v="529"/>
    <x v="158"/>
    <s v="C21181"/>
    <x v="2"/>
    <n v="2"/>
    <n v="675.1"/>
    <s v="938 Main St"/>
    <x v="4"/>
    <x v="4"/>
    <s v="TRK50363421"/>
    <n v="4"/>
    <s v="FREESHIP"/>
    <x v="4"/>
    <n v="1350.2"/>
  </r>
  <r>
    <x v="530"/>
    <x v="408"/>
    <s v="C98450"/>
    <x v="3"/>
    <n v="4"/>
    <n v="89.41"/>
    <s v="613 Main St"/>
    <x v="1"/>
    <x v="4"/>
    <s v="TRK14809530"/>
    <n v="9"/>
    <s v="N/A"/>
    <x v="4"/>
    <n v="357.64"/>
  </r>
  <r>
    <x v="531"/>
    <x v="367"/>
    <s v="C64502"/>
    <x v="6"/>
    <n v="5"/>
    <n v="320.01"/>
    <s v="722 Main St"/>
    <x v="3"/>
    <x v="3"/>
    <s v="TRK14914388"/>
    <n v="6"/>
    <s v="N/A"/>
    <x v="1"/>
    <n v="1600.05"/>
  </r>
  <r>
    <x v="532"/>
    <x v="120"/>
    <s v="C47365"/>
    <x v="5"/>
    <n v="2"/>
    <n v="41"/>
    <s v="369 Main St"/>
    <x v="1"/>
    <x v="3"/>
    <s v="TRK42207882"/>
    <n v="7"/>
    <s v="N/A"/>
    <x v="2"/>
    <n v="82"/>
  </r>
  <r>
    <x v="533"/>
    <x v="409"/>
    <s v="C66349"/>
    <x v="6"/>
    <n v="1"/>
    <n v="565.85"/>
    <s v="715 Main St"/>
    <x v="3"/>
    <x v="2"/>
    <s v="TRK63550793"/>
    <n v="1"/>
    <s v="FREESHIP"/>
    <x v="3"/>
    <n v="565.85"/>
  </r>
  <r>
    <x v="534"/>
    <x v="309"/>
    <s v="C73289"/>
    <x v="3"/>
    <n v="3"/>
    <n v="648.59"/>
    <s v="906 Main St"/>
    <x v="0"/>
    <x v="1"/>
    <s v="TRK70872738"/>
    <n v="4"/>
    <s v="SAVE10"/>
    <x v="2"/>
    <n v="1945.77"/>
  </r>
  <r>
    <x v="535"/>
    <x v="25"/>
    <s v="C48649"/>
    <x v="0"/>
    <n v="3"/>
    <n v="68.12"/>
    <s v="332 Main St"/>
    <x v="1"/>
    <x v="1"/>
    <s v="TRK45821445"/>
    <n v="3"/>
    <s v="FREESHIP"/>
    <x v="2"/>
    <n v="204.36"/>
  </r>
  <r>
    <x v="536"/>
    <x v="410"/>
    <s v="C18724"/>
    <x v="3"/>
    <n v="1"/>
    <n v="616.1"/>
    <s v="124 Main St"/>
    <x v="4"/>
    <x v="2"/>
    <s v="TRK52508861"/>
    <n v="6"/>
    <s v="N/A"/>
    <x v="2"/>
    <n v="616.1"/>
  </r>
  <r>
    <x v="537"/>
    <x v="411"/>
    <s v="C68553"/>
    <x v="2"/>
    <n v="3"/>
    <n v="247.47"/>
    <s v="385 Main St"/>
    <x v="1"/>
    <x v="3"/>
    <s v="TRK58218971"/>
    <n v="4"/>
    <s v="SAVE10"/>
    <x v="3"/>
    <n v="742.41"/>
  </r>
  <r>
    <x v="538"/>
    <x v="75"/>
    <s v="C61280"/>
    <x v="1"/>
    <n v="3"/>
    <n v="490.74"/>
    <s v="100 Main St"/>
    <x v="4"/>
    <x v="0"/>
    <s v="TRK95487711"/>
    <n v="3"/>
    <s v="WINTER15"/>
    <x v="2"/>
    <n v="1472.22"/>
  </r>
  <r>
    <x v="539"/>
    <x v="403"/>
    <s v="C53277"/>
    <x v="6"/>
    <n v="3"/>
    <n v="531.72"/>
    <s v="473 Main St"/>
    <x v="3"/>
    <x v="3"/>
    <s v="TRK17653832"/>
    <n v="7"/>
    <s v="SAVE10"/>
    <x v="4"/>
    <n v="1595.16"/>
  </r>
  <r>
    <x v="540"/>
    <x v="412"/>
    <s v="C87281"/>
    <x v="5"/>
    <n v="5"/>
    <n v="648.65"/>
    <s v="852 Main St"/>
    <x v="1"/>
    <x v="4"/>
    <s v="TRK81765057"/>
    <n v="7"/>
    <s v="N/A"/>
    <x v="1"/>
    <n v="3243.25"/>
  </r>
  <r>
    <x v="541"/>
    <x v="413"/>
    <s v="C69009"/>
    <x v="4"/>
    <n v="5"/>
    <n v="456.06"/>
    <s v="879 Main St"/>
    <x v="4"/>
    <x v="4"/>
    <s v="TRK61295842"/>
    <n v="10"/>
    <s v="N/A"/>
    <x v="0"/>
    <n v="2280.3000000000002"/>
  </r>
  <r>
    <x v="542"/>
    <x v="414"/>
    <s v="C49726"/>
    <x v="2"/>
    <n v="1"/>
    <n v="17.98"/>
    <s v="934 Main St"/>
    <x v="4"/>
    <x v="1"/>
    <s v="TRK20739460"/>
    <n v="6"/>
    <s v="FREESHIP"/>
    <x v="2"/>
    <n v="17.98"/>
  </r>
  <r>
    <x v="543"/>
    <x v="415"/>
    <s v="C37531"/>
    <x v="6"/>
    <n v="5"/>
    <n v="269.86"/>
    <s v="354 Main St"/>
    <x v="4"/>
    <x v="0"/>
    <s v="TRK93877673"/>
    <n v="6"/>
    <s v="WINTER15"/>
    <x v="3"/>
    <n v="1349.3"/>
  </r>
  <r>
    <x v="544"/>
    <x v="416"/>
    <s v="C48713"/>
    <x v="4"/>
    <n v="5"/>
    <n v="31.96"/>
    <s v="373 Main St"/>
    <x v="2"/>
    <x v="2"/>
    <s v="TRK96334419"/>
    <n v="5"/>
    <s v="FREESHIP"/>
    <x v="1"/>
    <n v="159.80000000000001"/>
  </r>
  <r>
    <x v="545"/>
    <x v="263"/>
    <s v="C74138"/>
    <x v="0"/>
    <n v="2"/>
    <n v="98.47"/>
    <s v="964 Main St"/>
    <x v="4"/>
    <x v="2"/>
    <s v="TRK74091695"/>
    <n v="3"/>
    <s v="N/A"/>
    <x v="0"/>
    <n v="196.94"/>
  </r>
  <r>
    <x v="546"/>
    <x v="417"/>
    <s v="C82399"/>
    <x v="0"/>
    <n v="1"/>
    <n v="158.68"/>
    <s v="928 Main St"/>
    <x v="2"/>
    <x v="2"/>
    <s v="TRK77177284"/>
    <n v="6"/>
    <s v="WINTER15"/>
    <x v="0"/>
    <n v="158.68"/>
  </r>
  <r>
    <x v="547"/>
    <x v="38"/>
    <s v="C40427"/>
    <x v="1"/>
    <n v="1"/>
    <n v="613.98"/>
    <s v="411 Main St"/>
    <x v="1"/>
    <x v="3"/>
    <s v="TRK25392280"/>
    <n v="4"/>
    <s v="FREESHIP"/>
    <x v="3"/>
    <n v="613.98"/>
  </r>
  <r>
    <x v="548"/>
    <x v="80"/>
    <s v="C17103"/>
    <x v="4"/>
    <n v="3"/>
    <n v="426.12"/>
    <s v="922 Main St"/>
    <x v="1"/>
    <x v="3"/>
    <s v="TRK64398650"/>
    <n v="5"/>
    <s v="WINTER15"/>
    <x v="0"/>
    <n v="1278.3599999999999"/>
  </r>
  <r>
    <x v="549"/>
    <x v="86"/>
    <s v="C34266"/>
    <x v="0"/>
    <n v="4"/>
    <n v="629.88"/>
    <s v="550 Main St"/>
    <x v="0"/>
    <x v="1"/>
    <s v="TRK56378197"/>
    <n v="8"/>
    <s v="WINTER15"/>
    <x v="0"/>
    <n v="2519.52"/>
  </r>
  <r>
    <x v="550"/>
    <x v="418"/>
    <s v="C97485"/>
    <x v="5"/>
    <n v="4"/>
    <n v="228.91"/>
    <s v="573 Main St"/>
    <x v="4"/>
    <x v="0"/>
    <s v="TRK81794737"/>
    <n v="4"/>
    <s v="FREESHIP"/>
    <x v="4"/>
    <n v="915.64"/>
  </r>
  <r>
    <x v="551"/>
    <x v="419"/>
    <s v="C23947"/>
    <x v="5"/>
    <n v="1"/>
    <n v="120.98"/>
    <s v="353 Main St"/>
    <x v="0"/>
    <x v="3"/>
    <s v="TRK74812710"/>
    <n v="6"/>
    <s v="WINTER15"/>
    <x v="2"/>
    <n v="120.98"/>
  </r>
  <r>
    <x v="552"/>
    <x v="420"/>
    <s v="C21665"/>
    <x v="3"/>
    <n v="4"/>
    <n v="425.18"/>
    <s v="560 Main St"/>
    <x v="1"/>
    <x v="2"/>
    <s v="TRK29890761"/>
    <n v="8"/>
    <s v="WINTER15"/>
    <x v="3"/>
    <n v="1700.72"/>
  </r>
  <r>
    <x v="553"/>
    <x v="421"/>
    <s v="C82550"/>
    <x v="1"/>
    <n v="2"/>
    <n v="333.83"/>
    <s v="828 Main St"/>
    <x v="3"/>
    <x v="1"/>
    <s v="TRK74103758"/>
    <n v="4"/>
    <s v="FREESHIP"/>
    <x v="1"/>
    <n v="667.66"/>
  </r>
  <r>
    <x v="554"/>
    <x v="422"/>
    <s v="C61943"/>
    <x v="5"/>
    <n v="2"/>
    <n v="492.9"/>
    <s v="610 Main St"/>
    <x v="4"/>
    <x v="2"/>
    <s v="TRK66126496"/>
    <n v="5"/>
    <s v="FREESHIP"/>
    <x v="0"/>
    <n v="985.8"/>
  </r>
  <r>
    <x v="555"/>
    <x v="33"/>
    <s v="C88933"/>
    <x v="2"/>
    <n v="1"/>
    <n v="92.04"/>
    <s v="333 Main St"/>
    <x v="4"/>
    <x v="0"/>
    <s v="TRK89306964"/>
    <n v="2"/>
    <s v="N/A"/>
    <x v="3"/>
    <n v="92.04"/>
  </r>
  <r>
    <x v="556"/>
    <x v="423"/>
    <s v="C30923"/>
    <x v="5"/>
    <n v="1"/>
    <n v="654.27"/>
    <s v="932 Main St"/>
    <x v="3"/>
    <x v="4"/>
    <s v="TRK82609328"/>
    <n v="2"/>
    <s v="SAVE10"/>
    <x v="3"/>
    <n v="654.27"/>
  </r>
  <r>
    <x v="557"/>
    <x v="282"/>
    <s v="C56969"/>
    <x v="2"/>
    <n v="1"/>
    <n v="56.2"/>
    <s v="130 Main St"/>
    <x v="0"/>
    <x v="4"/>
    <s v="TRK40719215"/>
    <n v="1"/>
    <s v="WINTER15"/>
    <x v="3"/>
    <n v="56.2"/>
  </r>
  <r>
    <x v="558"/>
    <x v="424"/>
    <s v="C76766"/>
    <x v="1"/>
    <n v="4"/>
    <n v="628.12"/>
    <s v="485 Main St"/>
    <x v="1"/>
    <x v="3"/>
    <s v="TRK32052962"/>
    <n v="6"/>
    <s v="WINTER15"/>
    <x v="0"/>
    <n v="2512.48"/>
  </r>
  <r>
    <x v="559"/>
    <x v="116"/>
    <s v="C22981"/>
    <x v="6"/>
    <n v="3"/>
    <n v="157.4"/>
    <s v="454 Main St"/>
    <x v="0"/>
    <x v="1"/>
    <s v="TRK10115285"/>
    <n v="7"/>
    <s v="WINTER15"/>
    <x v="2"/>
    <n v="472.2"/>
  </r>
  <r>
    <x v="560"/>
    <x v="425"/>
    <s v="C33634"/>
    <x v="0"/>
    <n v="4"/>
    <n v="588.85"/>
    <s v="524 Main St"/>
    <x v="3"/>
    <x v="4"/>
    <s v="TRK93168008"/>
    <n v="7"/>
    <s v="N/A"/>
    <x v="2"/>
    <n v="2355.4"/>
  </r>
  <r>
    <x v="561"/>
    <x v="425"/>
    <s v="C96822"/>
    <x v="4"/>
    <n v="2"/>
    <n v="494.78"/>
    <s v="198 Main St"/>
    <x v="1"/>
    <x v="0"/>
    <s v="TRK89180077"/>
    <n v="2"/>
    <s v="N/A"/>
    <x v="4"/>
    <n v="989.56"/>
  </r>
  <r>
    <x v="562"/>
    <x v="426"/>
    <s v="C76675"/>
    <x v="5"/>
    <n v="3"/>
    <n v="663.93"/>
    <s v="922 Main St"/>
    <x v="3"/>
    <x v="2"/>
    <s v="TRK28043915"/>
    <n v="6"/>
    <s v="FREESHIP"/>
    <x v="2"/>
    <n v="1991.79"/>
  </r>
  <r>
    <x v="563"/>
    <x v="427"/>
    <s v="C12039"/>
    <x v="5"/>
    <n v="1"/>
    <n v="132.68"/>
    <s v="844 Main St"/>
    <x v="0"/>
    <x v="2"/>
    <s v="TRK68645763"/>
    <n v="1"/>
    <s v="SAVE10"/>
    <x v="1"/>
    <n v="132.68"/>
  </r>
  <r>
    <x v="564"/>
    <x v="428"/>
    <s v="C93309"/>
    <x v="6"/>
    <n v="5"/>
    <n v="364.28"/>
    <s v="734 Main St"/>
    <x v="2"/>
    <x v="1"/>
    <s v="TRK99446987"/>
    <n v="5"/>
    <s v="WINTER15"/>
    <x v="4"/>
    <n v="1821.4"/>
  </r>
  <r>
    <x v="565"/>
    <x v="429"/>
    <s v="C62042"/>
    <x v="2"/>
    <n v="5"/>
    <n v="307.98"/>
    <s v="214 Main St"/>
    <x v="1"/>
    <x v="4"/>
    <s v="TRK42605492"/>
    <n v="10"/>
    <s v="N/A"/>
    <x v="3"/>
    <n v="1539.9"/>
  </r>
  <r>
    <x v="566"/>
    <x v="171"/>
    <s v="C83223"/>
    <x v="1"/>
    <n v="4"/>
    <n v="162.71"/>
    <s v="167 Main St"/>
    <x v="4"/>
    <x v="1"/>
    <s v="TRK54339083"/>
    <n v="7"/>
    <s v="FREESHIP"/>
    <x v="2"/>
    <n v="650.84"/>
  </r>
  <r>
    <x v="567"/>
    <x v="430"/>
    <s v="C92575"/>
    <x v="3"/>
    <n v="5"/>
    <n v="492.94"/>
    <s v="153 Main St"/>
    <x v="4"/>
    <x v="0"/>
    <s v="TRK53579227"/>
    <n v="10"/>
    <s v="FREESHIP"/>
    <x v="2"/>
    <n v="2464.6999999999998"/>
  </r>
  <r>
    <x v="568"/>
    <x v="401"/>
    <s v="C29072"/>
    <x v="5"/>
    <n v="2"/>
    <n v="343.99"/>
    <s v="312 Main St"/>
    <x v="1"/>
    <x v="3"/>
    <s v="TRK72334047"/>
    <n v="4"/>
    <s v="N/A"/>
    <x v="4"/>
    <n v="687.98"/>
  </r>
  <r>
    <x v="569"/>
    <x v="29"/>
    <s v="C25783"/>
    <x v="6"/>
    <n v="5"/>
    <n v="250.68"/>
    <s v="672 Main St"/>
    <x v="4"/>
    <x v="0"/>
    <s v="TRK13289741"/>
    <n v="8"/>
    <s v="SAVE10"/>
    <x v="0"/>
    <n v="1253.4000000000001"/>
  </r>
  <r>
    <x v="570"/>
    <x v="431"/>
    <s v="C63727"/>
    <x v="6"/>
    <n v="2"/>
    <n v="362.14"/>
    <s v="122 Main St"/>
    <x v="0"/>
    <x v="4"/>
    <s v="TRK13611021"/>
    <n v="2"/>
    <s v="SAVE10"/>
    <x v="0"/>
    <n v="724.28"/>
  </r>
  <r>
    <x v="571"/>
    <x v="432"/>
    <s v="C42365"/>
    <x v="2"/>
    <n v="1"/>
    <n v="214.08"/>
    <s v="867 Main St"/>
    <x v="3"/>
    <x v="2"/>
    <s v="TRK39563288"/>
    <n v="2"/>
    <s v="WINTER15"/>
    <x v="4"/>
    <n v="214.08"/>
  </r>
  <r>
    <x v="572"/>
    <x v="433"/>
    <s v="C27438"/>
    <x v="4"/>
    <n v="1"/>
    <n v="70.319999999999993"/>
    <s v="341 Main St"/>
    <x v="4"/>
    <x v="2"/>
    <s v="TRK69125497"/>
    <n v="4"/>
    <s v="WINTER15"/>
    <x v="3"/>
    <n v="70.319999999999993"/>
  </r>
  <r>
    <x v="573"/>
    <x v="261"/>
    <s v="C13205"/>
    <x v="3"/>
    <n v="5"/>
    <n v="421.42"/>
    <s v="522 Main St"/>
    <x v="0"/>
    <x v="1"/>
    <s v="TRK30686578"/>
    <n v="7"/>
    <s v="N/A"/>
    <x v="0"/>
    <n v="2107.1"/>
  </r>
  <r>
    <x v="574"/>
    <x v="434"/>
    <s v="C29685"/>
    <x v="3"/>
    <n v="5"/>
    <n v="384.69"/>
    <s v="275 Main St"/>
    <x v="2"/>
    <x v="4"/>
    <s v="TRK97733212"/>
    <n v="6"/>
    <s v="FREESHIP"/>
    <x v="2"/>
    <n v="1923.45"/>
  </r>
  <r>
    <x v="575"/>
    <x v="323"/>
    <s v="C74005"/>
    <x v="3"/>
    <n v="5"/>
    <n v="448.15"/>
    <s v="528 Main St"/>
    <x v="3"/>
    <x v="2"/>
    <s v="TRK61640534"/>
    <n v="7"/>
    <s v="SAVE10"/>
    <x v="4"/>
    <n v="2240.75"/>
  </r>
  <r>
    <x v="576"/>
    <x v="382"/>
    <s v="C14457"/>
    <x v="5"/>
    <n v="5"/>
    <n v="79.08"/>
    <s v="747 Main St"/>
    <x v="4"/>
    <x v="4"/>
    <s v="TRK42517811"/>
    <n v="8"/>
    <s v="N/A"/>
    <x v="3"/>
    <n v="395.4"/>
  </r>
  <r>
    <x v="577"/>
    <x v="55"/>
    <s v="C77046"/>
    <x v="2"/>
    <n v="4"/>
    <n v="185.41"/>
    <s v="967 Main St"/>
    <x v="1"/>
    <x v="2"/>
    <s v="TRK44401497"/>
    <n v="9"/>
    <s v="WINTER15"/>
    <x v="4"/>
    <n v="741.64"/>
  </r>
  <r>
    <x v="578"/>
    <x v="84"/>
    <s v="C50415"/>
    <x v="0"/>
    <n v="5"/>
    <n v="566.07000000000005"/>
    <s v="587 Main St"/>
    <x v="2"/>
    <x v="3"/>
    <s v="TRK41345634"/>
    <n v="6"/>
    <s v="SAVE10"/>
    <x v="0"/>
    <n v="2830.35"/>
  </r>
  <r>
    <x v="579"/>
    <x v="243"/>
    <s v="C73999"/>
    <x v="2"/>
    <n v="2"/>
    <n v="187.88"/>
    <s v="413 Main St"/>
    <x v="1"/>
    <x v="0"/>
    <s v="TRK67919507"/>
    <n v="4"/>
    <s v="WINTER15"/>
    <x v="3"/>
    <n v="375.76"/>
  </r>
  <r>
    <x v="580"/>
    <x v="414"/>
    <s v="C71076"/>
    <x v="0"/>
    <n v="2"/>
    <n v="255.99"/>
    <s v="340 Main St"/>
    <x v="2"/>
    <x v="3"/>
    <s v="TRK65148292"/>
    <n v="4"/>
    <s v="SAVE10"/>
    <x v="0"/>
    <n v="511.98"/>
  </r>
  <r>
    <x v="581"/>
    <x v="435"/>
    <s v="C44674"/>
    <x v="5"/>
    <n v="1"/>
    <n v="627.34"/>
    <s v="942 Main St"/>
    <x v="1"/>
    <x v="3"/>
    <s v="TRK87158684"/>
    <n v="1"/>
    <s v="N/A"/>
    <x v="1"/>
    <n v="627.34"/>
  </r>
  <r>
    <x v="582"/>
    <x v="436"/>
    <s v="C15228"/>
    <x v="2"/>
    <n v="3"/>
    <n v="474.14"/>
    <s v="558 Main St"/>
    <x v="3"/>
    <x v="0"/>
    <s v="TRK33860620"/>
    <n v="8"/>
    <s v="WINTER15"/>
    <x v="4"/>
    <n v="1422.42"/>
  </r>
  <r>
    <x v="583"/>
    <x v="437"/>
    <s v="C27072"/>
    <x v="3"/>
    <n v="3"/>
    <n v="154.37"/>
    <s v="996 Main St"/>
    <x v="3"/>
    <x v="3"/>
    <s v="TRK29750379"/>
    <n v="4"/>
    <s v="N/A"/>
    <x v="0"/>
    <n v="463.11"/>
  </r>
  <r>
    <x v="584"/>
    <x v="438"/>
    <s v="C15257"/>
    <x v="3"/>
    <n v="4"/>
    <n v="145.05000000000001"/>
    <s v="626 Main St"/>
    <x v="1"/>
    <x v="3"/>
    <s v="TRK28779938"/>
    <n v="6"/>
    <s v="SAVE10"/>
    <x v="4"/>
    <n v="580.20000000000005"/>
  </r>
  <r>
    <x v="585"/>
    <x v="38"/>
    <s v="C91486"/>
    <x v="2"/>
    <n v="4"/>
    <n v="67.08"/>
    <s v="907 Main St"/>
    <x v="4"/>
    <x v="2"/>
    <s v="TRK79617136"/>
    <n v="8"/>
    <s v="WINTER15"/>
    <x v="4"/>
    <n v="268.32"/>
  </r>
  <r>
    <x v="586"/>
    <x v="337"/>
    <s v="C17389"/>
    <x v="0"/>
    <n v="1"/>
    <n v="522.08000000000004"/>
    <s v="905 Main St"/>
    <x v="3"/>
    <x v="2"/>
    <s v="TRK98857880"/>
    <n v="5"/>
    <s v="FREESHIP"/>
    <x v="1"/>
    <n v="522.08000000000004"/>
  </r>
  <r>
    <x v="587"/>
    <x v="439"/>
    <s v="C18820"/>
    <x v="0"/>
    <n v="5"/>
    <n v="514.6"/>
    <s v="347 Main St"/>
    <x v="3"/>
    <x v="3"/>
    <s v="TRK91547425"/>
    <n v="10"/>
    <s v="FREESHIP"/>
    <x v="0"/>
    <n v="2573"/>
  </r>
  <r>
    <x v="588"/>
    <x v="440"/>
    <s v="C61849"/>
    <x v="0"/>
    <n v="4"/>
    <n v="577.82000000000005"/>
    <s v="811 Main St"/>
    <x v="2"/>
    <x v="3"/>
    <s v="TRK47613918"/>
    <n v="9"/>
    <s v="N/A"/>
    <x v="4"/>
    <n v="2311.2800000000002"/>
  </r>
  <r>
    <x v="589"/>
    <x v="441"/>
    <s v="C84041"/>
    <x v="5"/>
    <n v="2"/>
    <n v="500.8"/>
    <s v="900 Main St"/>
    <x v="4"/>
    <x v="3"/>
    <s v="TRK84920444"/>
    <n v="3"/>
    <s v="FREESHIP"/>
    <x v="1"/>
    <n v="1001.6"/>
  </r>
  <r>
    <x v="590"/>
    <x v="442"/>
    <s v="C55757"/>
    <x v="4"/>
    <n v="2"/>
    <n v="461.13"/>
    <s v="175 Main St"/>
    <x v="3"/>
    <x v="2"/>
    <s v="TRK27356242"/>
    <n v="4"/>
    <s v="N/A"/>
    <x v="2"/>
    <n v="922.26"/>
  </r>
  <r>
    <x v="591"/>
    <x v="249"/>
    <s v="C18187"/>
    <x v="5"/>
    <n v="1"/>
    <n v="605.28"/>
    <s v="470 Main St"/>
    <x v="3"/>
    <x v="0"/>
    <s v="TRK50528185"/>
    <n v="3"/>
    <s v="FREESHIP"/>
    <x v="1"/>
    <n v="605.28"/>
  </r>
  <r>
    <x v="592"/>
    <x v="234"/>
    <s v="C42306"/>
    <x v="1"/>
    <n v="3"/>
    <n v="204.27"/>
    <s v="938 Main St"/>
    <x v="1"/>
    <x v="2"/>
    <s v="TRK15499648"/>
    <n v="4"/>
    <s v="N/A"/>
    <x v="4"/>
    <n v="612.81000000000006"/>
  </r>
  <r>
    <x v="593"/>
    <x v="443"/>
    <s v="C51024"/>
    <x v="0"/>
    <n v="1"/>
    <n v="489.8"/>
    <s v="636 Main St"/>
    <x v="3"/>
    <x v="0"/>
    <s v="TRK31375086"/>
    <n v="4"/>
    <s v="FREESHIP"/>
    <x v="3"/>
    <n v="489.8"/>
  </r>
  <r>
    <x v="594"/>
    <x v="444"/>
    <s v="C40140"/>
    <x v="1"/>
    <n v="5"/>
    <n v="72.64"/>
    <s v="598 Main St"/>
    <x v="2"/>
    <x v="1"/>
    <s v="TRK12671989"/>
    <n v="7"/>
    <s v="N/A"/>
    <x v="2"/>
    <n v="363.2"/>
  </r>
  <r>
    <x v="595"/>
    <x v="445"/>
    <s v="C72596"/>
    <x v="4"/>
    <n v="2"/>
    <n v="385.16"/>
    <s v="491 Main St"/>
    <x v="1"/>
    <x v="4"/>
    <s v="TRK83870446"/>
    <n v="7"/>
    <s v="SAVE10"/>
    <x v="2"/>
    <n v="770.32"/>
  </r>
  <r>
    <x v="596"/>
    <x v="439"/>
    <s v="C91805"/>
    <x v="6"/>
    <n v="3"/>
    <n v="606.41"/>
    <s v="653 Main St"/>
    <x v="0"/>
    <x v="2"/>
    <s v="TRK34504030"/>
    <n v="7"/>
    <s v="FREESHIP"/>
    <x v="3"/>
    <n v="1819.23"/>
  </r>
  <r>
    <x v="597"/>
    <x v="446"/>
    <s v="C40538"/>
    <x v="6"/>
    <n v="2"/>
    <n v="211.82"/>
    <s v="700 Main St"/>
    <x v="3"/>
    <x v="1"/>
    <s v="TRK29821356"/>
    <n v="4"/>
    <s v="WINTER15"/>
    <x v="2"/>
    <n v="423.64"/>
  </r>
  <r>
    <x v="598"/>
    <x v="447"/>
    <s v="C60329"/>
    <x v="6"/>
    <n v="5"/>
    <n v="495.35"/>
    <s v="826 Main St"/>
    <x v="2"/>
    <x v="4"/>
    <s v="TRK59069987"/>
    <n v="5"/>
    <s v="N/A"/>
    <x v="3"/>
    <n v="2476.75"/>
  </r>
  <r>
    <x v="599"/>
    <x v="30"/>
    <s v="C28740"/>
    <x v="3"/>
    <n v="3"/>
    <n v="556.99"/>
    <s v="123 Main St"/>
    <x v="1"/>
    <x v="1"/>
    <s v="TRK33642221"/>
    <n v="4"/>
    <s v="FREESHIP"/>
    <x v="3"/>
    <n v="1670.97"/>
  </r>
  <r>
    <x v="600"/>
    <x v="68"/>
    <s v="C87051"/>
    <x v="4"/>
    <n v="1"/>
    <n v="72.31"/>
    <s v="460 Main St"/>
    <x v="3"/>
    <x v="1"/>
    <s v="TRK82056333"/>
    <n v="1"/>
    <s v="FREESHIP"/>
    <x v="3"/>
    <n v="72.31"/>
  </r>
  <r>
    <x v="601"/>
    <x v="276"/>
    <s v="C12479"/>
    <x v="0"/>
    <n v="5"/>
    <n v="24.82"/>
    <s v="529 Main St"/>
    <x v="2"/>
    <x v="0"/>
    <s v="TRK73935314"/>
    <n v="10"/>
    <s v="N/A"/>
    <x v="1"/>
    <n v="124.1"/>
  </r>
  <r>
    <x v="602"/>
    <x v="448"/>
    <s v="C35852"/>
    <x v="2"/>
    <n v="4"/>
    <n v="26.04"/>
    <s v="982 Main St"/>
    <x v="1"/>
    <x v="4"/>
    <s v="TRK64660134"/>
    <n v="5"/>
    <s v="SAVE10"/>
    <x v="0"/>
    <n v="104.16"/>
  </r>
  <r>
    <x v="603"/>
    <x v="449"/>
    <s v="C26223"/>
    <x v="2"/>
    <n v="1"/>
    <n v="657.07"/>
    <s v="800 Main St"/>
    <x v="4"/>
    <x v="4"/>
    <s v="TRK50900547"/>
    <n v="4"/>
    <s v="SAVE10"/>
    <x v="4"/>
    <n v="657.07"/>
  </r>
  <r>
    <x v="604"/>
    <x v="450"/>
    <s v="C99214"/>
    <x v="3"/>
    <n v="3"/>
    <n v="32.619999999999997"/>
    <s v="252 Main St"/>
    <x v="0"/>
    <x v="3"/>
    <s v="TRK81368481"/>
    <n v="6"/>
    <s v="N/A"/>
    <x v="3"/>
    <n v="97.859999999999985"/>
  </r>
  <r>
    <x v="605"/>
    <x v="451"/>
    <s v="C49605"/>
    <x v="0"/>
    <n v="2"/>
    <n v="228.91"/>
    <s v="892 Main St"/>
    <x v="0"/>
    <x v="0"/>
    <s v="TRK95620066"/>
    <n v="4"/>
    <s v="SAVE10"/>
    <x v="1"/>
    <n v="457.82"/>
  </r>
  <r>
    <x v="606"/>
    <x v="119"/>
    <s v="C85018"/>
    <x v="5"/>
    <n v="3"/>
    <n v="274.75"/>
    <s v="783 Main St"/>
    <x v="4"/>
    <x v="1"/>
    <s v="TRK54128886"/>
    <n v="3"/>
    <s v="SAVE10"/>
    <x v="4"/>
    <n v="824.25"/>
  </r>
  <r>
    <x v="607"/>
    <x v="133"/>
    <s v="C96434"/>
    <x v="4"/>
    <n v="4"/>
    <n v="634.04999999999995"/>
    <s v="282 Main St"/>
    <x v="4"/>
    <x v="0"/>
    <s v="TRK56730647"/>
    <n v="6"/>
    <s v="SAVE10"/>
    <x v="4"/>
    <n v="2536.1999999999998"/>
  </r>
  <r>
    <x v="608"/>
    <x v="25"/>
    <s v="C32956"/>
    <x v="5"/>
    <n v="5"/>
    <n v="543.16"/>
    <s v="788 Main St"/>
    <x v="1"/>
    <x v="1"/>
    <s v="TRK73140103"/>
    <n v="6"/>
    <s v="SAVE10"/>
    <x v="0"/>
    <n v="2715.8"/>
  </r>
  <r>
    <x v="609"/>
    <x v="109"/>
    <s v="C41137"/>
    <x v="3"/>
    <n v="3"/>
    <n v="449.13"/>
    <s v="809 Main St"/>
    <x v="4"/>
    <x v="2"/>
    <s v="TRK52732162"/>
    <n v="5"/>
    <s v="WINTER15"/>
    <x v="1"/>
    <n v="1347.39"/>
  </r>
  <r>
    <x v="610"/>
    <x v="452"/>
    <s v="C60361"/>
    <x v="6"/>
    <n v="5"/>
    <n v="389.62"/>
    <s v="623 Main St"/>
    <x v="4"/>
    <x v="2"/>
    <s v="TRK83566924"/>
    <n v="7"/>
    <s v="FREESHIP"/>
    <x v="3"/>
    <n v="1948.1"/>
  </r>
  <r>
    <x v="611"/>
    <x v="453"/>
    <s v="C36688"/>
    <x v="6"/>
    <n v="1"/>
    <n v="305.17"/>
    <s v="700 Main St"/>
    <x v="3"/>
    <x v="2"/>
    <s v="TRK35720426"/>
    <n v="3"/>
    <s v="WINTER15"/>
    <x v="1"/>
    <n v="305.17"/>
  </r>
  <r>
    <x v="612"/>
    <x v="454"/>
    <s v="C51811"/>
    <x v="3"/>
    <n v="3"/>
    <n v="445.12"/>
    <s v="339 Main St"/>
    <x v="3"/>
    <x v="1"/>
    <s v="TRK82377939"/>
    <n v="8"/>
    <s v="N/A"/>
    <x v="4"/>
    <n v="1335.36"/>
  </r>
  <r>
    <x v="613"/>
    <x v="36"/>
    <s v="C62405"/>
    <x v="5"/>
    <n v="2"/>
    <n v="230.36"/>
    <s v="154 Main St"/>
    <x v="1"/>
    <x v="2"/>
    <s v="TRK14721763"/>
    <n v="4"/>
    <s v="WINTER15"/>
    <x v="2"/>
    <n v="460.72"/>
  </r>
  <r>
    <x v="614"/>
    <x v="455"/>
    <s v="C77363"/>
    <x v="1"/>
    <n v="1"/>
    <n v="96.81"/>
    <s v="807 Main St"/>
    <x v="3"/>
    <x v="1"/>
    <s v="TRK12439827"/>
    <n v="3"/>
    <s v="N/A"/>
    <x v="1"/>
    <n v="96.81"/>
  </r>
  <r>
    <x v="615"/>
    <x v="456"/>
    <s v="C97218"/>
    <x v="0"/>
    <n v="5"/>
    <n v="460.14"/>
    <s v="252 Main St"/>
    <x v="2"/>
    <x v="2"/>
    <s v="TRK52632065"/>
    <n v="10"/>
    <s v="WINTER15"/>
    <x v="3"/>
    <n v="2300.6999999999998"/>
  </r>
  <r>
    <x v="616"/>
    <x v="457"/>
    <s v="C43919"/>
    <x v="2"/>
    <n v="3"/>
    <n v="601.6"/>
    <s v="984 Main St"/>
    <x v="2"/>
    <x v="1"/>
    <s v="TRK73113192"/>
    <n v="7"/>
    <s v="SAVE10"/>
    <x v="3"/>
    <n v="1804.8"/>
  </r>
  <r>
    <x v="617"/>
    <x v="458"/>
    <s v="C57093"/>
    <x v="2"/>
    <n v="3"/>
    <n v="184.47"/>
    <s v="834 Main St"/>
    <x v="1"/>
    <x v="1"/>
    <s v="TRK75469057"/>
    <n v="4"/>
    <s v="N/A"/>
    <x v="1"/>
    <n v="553.41"/>
  </r>
  <r>
    <x v="618"/>
    <x v="459"/>
    <s v="C50565"/>
    <x v="2"/>
    <n v="1"/>
    <n v="411.34"/>
    <s v="399 Main St"/>
    <x v="0"/>
    <x v="2"/>
    <s v="TRK97981418"/>
    <n v="5"/>
    <s v="N/A"/>
    <x v="0"/>
    <n v="411.34"/>
  </r>
  <r>
    <x v="619"/>
    <x v="424"/>
    <s v="C38845"/>
    <x v="5"/>
    <n v="1"/>
    <n v="532.89"/>
    <s v="764 Main St"/>
    <x v="3"/>
    <x v="4"/>
    <s v="TRK47637374"/>
    <n v="2"/>
    <s v="N/A"/>
    <x v="1"/>
    <n v="532.89"/>
  </r>
  <r>
    <x v="620"/>
    <x v="460"/>
    <s v="C84834"/>
    <x v="2"/>
    <n v="3"/>
    <n v="136.34"/>
    <s v="866 Main St"/>
    <x v="0"/>
    <x v="2"/>
    <s v="TRK90136001"/>
    <n v="8"/>
    <s v="SAVE10"/>
    <x v="1"/>
    <n v="409.02"/>
  </r>
  <r>
    <x v="621"/>
    <x v="356"/>
    <s v="C37455"/>
    <x v="1"/>
    <n v="5"/>
    <n v="476.01"/>
    <s v="146 Main St"/>
    <x v="2"/>
    <x v="3"/>
    <s v="TRK82685594"/>
    <n v="7"/>
    <s v="WINTER15"/>
    <x v="4"/>
    <n v="2380.0500000000002"/>
  </r>
  <r>
    <x v="622"/>
    <x v="461"/>
    <s v="C27078"/>
    <x v="6"/>
    <n v="5"/>
    <n v="236.38"/>
    <s v="128 Main St"/>
    <x v="2"/>
    <x v="2"/>
    <s v="TRK89314307"/>
    <n v="7"/>
    <s v="N/A"/>
    <x v="3"/>
    <n v="1181.9000000000001"/>
  </r>
  <r>
    <x v="623"/>
    <x v="379"/>
    <s v="C91941"/>
    <x v="4"/>
    <n v="3"/>
    <n v="396"/>
    <s v="269 Main St"/>
    <x v="3"/>
    <x v="1"/>
    <s v="TRK21330732"/>
    <n v="4"/>
    <s v="FREESHIP"/>
    <x v="0"/>
    <n v="1188"/>
  </r>
  <r>
    <x v="624"/>
    <x v="462"/>
    <s v="C25967"/>
    <x v="2"/>
    <n v="5"/>
    <n v="341.96"/>
    <s v="747 Main St"/>
    <x v="0"/>
    <x v="3"/>
    <s v="TRK88559278"/>
    <n v="6"/>
    <s v="N/A"/>
    <x v="2"/>
    <n v="1709.8"/>
  </r>
  <r>
    <x v="625"/>
    <x v="463"/>
    <s v="C22123"/>
    <x v="2"/>
    <n v="1"/>
    <n v="672.89"/>
    <s v="519 Main St"/>
    <x v="2"/>
    <x v="4"/>
    <s v="TRK43250279"/>
    <n v="1"/>
    <s v="WINTER15"/>
    <x v="2"/>
    <n v="672.89"/>
  </r>
  <r>
    <x v="626"/>
    <x v="417"/>
    <s v="C45671"/>
    <x v="2"/>
    <n v="2"/>
    <n v="657.48"/>
    <s v="769 Main St"/>
    <x v="1"/>
    <x v="0"/>
    <s v="TRK18179773"/>
    <n v="5"/>
    <s v="SAVE10"/>
    <x v="1"/>
    <n v="1314.96"/>
  </r>
  <r>
    <x v="627"/>
    <x v="464"/>
    <s v="C53334"/>
    <x v="3"/>
    <n v="3"/>
    <n v="498.68"/>
    <s v="879 Main St"/>
    <x v="1"/>
    <x v="2"/>
    <s v="TRK31724421"/>
    <n v="4"/>
    <s v="FREESHIP"/>
    <x v="2"/>
    <n v="1496.04"/>
  </r>
  <r>
    <x v="628"/>
    <x v="465"/>
    <s v="C18717"/>
    <x v="4"/>
    <n v="5"/>
    <n v="558.63"/>
    <s v="861 Main St"/>
    <x v="4"/>
    <x v="4"/>
    <s v="TRK58568806"/>
    <n v="8"/>
    <s v="FREESHIP"/>
    <x v="1"/>
    <n v="2793.15"/>
  </r>
  <r>
    <x v="629"/>
    <x v="466"/>
    <s v="C50137"/>
    <x v="1"/>
    <n v="3"/>
    <n v="19.73"/>
    <s v="840 Main St"/>
    <x v="1"/>
    <x v="4"/>
    <s v="TRK91836131"/>
    <n v="3"/>
    <s v="N/A"/>
    <x v="1"/>
    <n v="59.19"/>
  </r>
  <r>
    <x v="630"/>
    <x v="467"/>
    <s v="C51481"/>
    <x v="0"/>
    <n v="5"/>
    <n v="248.84"/>
    <s v="140 Main St"/>
    <x v="0"/>
    <x v="1"/>
    <s v="TRK33437701"/>
    <n v="10"/>
    <s v="N/A"/>
    <x v="0"/>
    <n v="1244.2"/>
  </r>
  <r>
    <x v="631"/>
    <x v="169"/>
    <s v="C99128"/>
    <x v="3"/>
    <n v="3"/>
    <n v="46.11"/>
    <s v="360 Main St"/>
    <x v="3"/>
    <x v="2"/>
    <s v="TRK32426808"/>
    <n v="5"/>
    <s v="WINTER15"/>
    <x v="1"/>
    <n v="138.33000000000001"/>
  </r>
  <r>
    <x v="632"/>
    <x v="468"/>
    <s v="C67260"/>
    <x v="5"/>
    <n v="5"/>
    <n v="678.16"/>
    <s v="463 Main St"/>
    <x v="3"/>
    <x v="3"/>
    <s v="TRK38229104"/>
    <n v="7"/>
    <s v="WINTER15"/>
    <x v="3"/>
    <n v="3390.8"/>
  </r>
  <r>
    <x v="633"/>
    <x v="294"/>
    <s v="C79533"/>
    <x v="5"/>
    <n v="5"/>
    <n v="601.72"/>
    <s v="921 Main St"/>
    <x v="3"/>
    <x v="1"/>
    <s v="TRK54711422"/>
    <n v="5"/>
    <s v="WINTER15"/>
    <x v="0"/>
    <n v="3008.6"/>
  </r>
  <r>
    <x v="634"/>
    <x v="313"/>
    <s v="C66906"/>
    <x v="4"/>
    <n v="2"/>
    <n v="259.32"/>
    <s v="117 Main St"/>
    <x v="3"/>
    <x v="3"/>
    <s v="TRK31633755"/>
    <n v="2"/>
    <s v="WINTER15"/>
    <x v="1"/>
    <n v="518.64"/>
  </r>
  <r>
    <x v="635"/>
    <x v="141"/>
    <s v="C12818"/>
    <x v="3"/>
    <n v="3"/>
    <n v="63.68"/>
    <s v="434 Main St"/>
    <x v="4"/>
    <x v="2"/>
    <s v="TRK40879983"/>
    <n v="6"/>
    <s v="N/A"/>
    <x v="3"/>
    <n v="191.04"/>
  </r>
  <r>
    <x v="636"/>
    <x v="469"/>
    <s v="C60384"/>
    <x v="5"/>
    <n v="4"/>
    <n v="371.07"/>
    <s v="336 Main St"/>
    <x v="4"/>
    <x v="1"/>
    <s v="TRK92080037"/>
    <n v="7"/>
    <s v="WINTER15"/>
    <x v="3"/>
    <n v="1484.28"/>
  </r>
  <r>
    <x v="637"/>
    <x v="470"/>
    <s v="C92294"/>
    <x v="3"/>
    <n v="4"/>
    <n v="306.35000000000002"/>
    <s v="784 Main St"/>
    <x v="3"/>
    <x v="0"/>
    <s v="TRK23585765"/>
    <n v="7"/>
    <s v="WINTER15"/>
    <x v="1"/>
    <n v="1225.4000000000001"/>
  </r>
  <r>
    <x v="638"/>
    <x v="3"/>
    <s v="C66840"/>
    <x v="2"/>
    <n v="4"/>
    <n v="578.27"/>
    <s v="547 Main St"/>
    <x v="1"/>
    <x v="3"/>
    <s v="TRK76929637"/>
    <n v="9"/>
    <s v="WINTER15"/>
    <x v="2"/>
    <n v="2313.08"/>
  </r>
  <r>
    <x v="639"/>
    <x v="325"/>
    <s v="C22534"/>
    <x v="3"/>
    <n v="1"/>
    <n v="529.19000000000005"/>
    <s v="391 Main St"/>
    <x v="4"/>
    <x v="1"/>
    <s v="TRK17415798"/>
    <n v="5"/>
    <s v="N/A"/>
    <x v="1"/>
    <n v="529.19000000000005"/>
  </r>
  <r>
    <x v="640"/>
    <x v="2"/>
    <s v="C46509"/>
    <x v="3"/>
    <n v="2"/>
    <n v="587.49"/>
    <s v="647 Main St"/>
    <x v="3"/>
    <x v="2"/>
    <s v="TRK24241664"/>
    <n v="6"/>
    <s v="SAVE10"/>
    <x v="1"/>
    <n v="1174.98"/>
  </r>
  <r>
    <x v="641"/>
    <x v="471"/>
    <s v="C71680"/>
    <x v="4"/>
    <n v="4"/>
    <n v="567.57000000000005"/>
    <s v="814 Main St"/>
    <x v="0"/>
    <x v="4"/>
    <s v="TRK47386650"/>
    <n v="9"/>
    <s v="WINTER15"/>
    <x v="4"/>
    <n v="2270.2800000000002"/>
  </r>
  <r>
    <x v="642"/>
    <x v="472"/>
    <s v="C15063"/>
    <x v="3"/>
    <n v="5"/>
    <n v="85.22"/>
    <s v="527 Main St"/>
    <x v="2"/>
    <x v="1"/>
    <s v="TRK10329390"/>
    <n v="7"/>
    <s v="FREESHIP"/>
    <x v="2"/>
    <n v="426.1"/>
  </r>
  <r>
    <x v="643"/>
    <x v="360"/>
    <s v="C77122"/>
    <x v="5"/>
    <n v="1"/>
    <n v="438.37"/>
    <s v="647 Main St"/>
    <x v="4"/>
    <x v="1"/>
    <s v="TRK75814880"/>
    <n v="4"/>
    <s v="SAVE10"/>
    <x v="1"/>
    <n v="438.37"/>
  </r>
  <r>
    <x v="644"/>
    <x v="375"/>
    <s v="C86524"/>
    <x v="3"/>
    <n v="2"/>
    <n v="366.23"/>
    <s v="961 Main St"/>
    <x v="4"/>
    <x v="0"/>
    <s v="TRK62490506"/>
    <n v="2"/>
    <s v="WINTER15"/>
    <x v="2"/>
    <n v="732.46"/>
  </r>
  <r>
    <x v="645"/>
    <x v="315"/>
    <s v="C82990"/>
    <x v="5"/>
    <n v="2"/>
    <n v="150.05000000000001"/>
    <s v="727 Main St"/>
    <x v="2"/>
    <x v="1"/>
    <s v="TRK68574801"/>
    <n v="4"/>
    <s v="SAVE10"/>
    <x v="3"/>
    <n v="300.10000000000002"/>
  </r>
  <r>
    <x v="646"/>
    <x v="122"/>
    <s v="C98761"/>
    <x v="3"/>
    <n v="4"/>
    <n v="498.51"/>
    <s v="804 Main St"/>
    <x v="0"/>
    <x v="0"/>
    <s v="TRK43262630"/>
    <n v="4"/>
    <s v="SAVE10"/>
    <x v="4"/>
    <n v="1994.04"/>
  </r>
  <r>
    <x v="647"/>
    <x v="473"/>
    <s v="C54409"/>
    <x v="6"/>
    <n v="3"/>
    <n v="339.39"/>
    <s v="667 Main St"/>
    <x v="4"/>
    <x v="2"/>
    <s v="TRK67671316"/>
    <n v="7"/>
    <s v="FREESHIP"/>
    <x v="4"/>
    <n v="1018.17"/>
  </r>
  <r>
    <x v="648"/>
    <x v="474"/>
    <s v="C89674"/>
    <x v="0"/>
    <n v="2"/>
    <n v="575.83000000000004"/>
    <s v="182 Main St"/>
    <x v="1"/>
    <x v="3"/>
    <s v="TRK45902512"/>
    <n v="3"/>
    <s v="WINTER15"/>
    <x v="1"/>
    <n v="1151.6600000000001"/>
  </r>
  <r>
    <x v="649"/>
    <x v="475"/>
    <s v="C45899"/>
    <x v="0"/>
    <n v="2"/>
    <n v="642.98"/>
    <s v="153 Main St"/>
    <x v="0"/>
    <x v="2"/>
    <s v="TRK32932093"/>
    <n v="7"/>
    <s v="FREESHIP"/>
    <x v="2"/>
    <n v="1285.96"/>
  </r>
  <r>
    <x v="650"/>
    <x v="419"/>
    <s v="C74499"/>
    <x v="6"/>
    <n v="2"/>
    <n v="372.23"/>
    <s v="518 Main St"/>
    <x v="3"/>
    <x v="3"/>
    <s v="TRK93767278"/>
    <n v="7"/>
    <s v="SAVE10"/>
    <x v="2"/>
    <n v="744.46"/>
  </r>
  <r>
    <x v="651"/>
    <x v="476"/>
    <s v="C81192"/>
    <x v="3"/>
    <n v="3"/>
    <n v="646.34"/>
    <s v="429 Main St"/>
    <x v="0"/>
    <x v="4"/>
    <s v="TRK76931118"/>
    <n v="5"/>
    <s v="N/A"/>
    <x v="4"/>
    <n v="1939.02"/>
  </r>
  <r>
    <x v="652"/>
    <x v="477"/>
    <s v="C71473"/>
    <x v="3"/>
    <n v="5"/>
    <n v="341.84"/>
    <s v="328 Main St"/>
    <x v="1"/>
    <x v="0"/>
    <s v="TRK94857335"/>
    <n v="8"/>
    <s v="FREESHIP"/>
    <x v="0"/>
    <n v="1709.2"/>
  </r>
  <r>
    <x v="653"/>
    <x v="402"/>
    <s v="C59338"/>
    <x v="4"/>
    <n v="3"/>
    <n v="690.3"/>
    <s v="747 Main St"/>
    <x v="2"/>
    <x v="0"/>
    <s v="TRK12902764"/>
    <n v="6"/>
    <s v="WINTER15"/>
    <x v="4"/>
    <n v="2070.9"/>
  </r>
  <r>
    <x v="654"/>
    <x v="439"/>
    <s v="C62661"/>
    <x v="2"/>
    <n v="3"/>
    <n v="382.37"/>
    <s v="863 Main St"/>
    <x v="0"/>
    <x v="2"/>
    <s v="TRK25748100"/>
    <n v="8"/>
    <s v="N/A"/>
    <x v="0"/>
    <n v="1147.1099999999999"/>
  </r>
  <r>
    <x v="655"/>
    <x v="369"/>
    <s v="C22101"/>
    <x v="3"/>
    <n v="2"/>
    <n v="132.6"/>
    <s v="262 Main St"/>
    <x v="0"/>
    <x v="1"/>
    <s v="TRK70711522"/>
    <n v="4"/>
    <s v="WINTER15"/>
    <x v="2"/>
    <n v="265.2"/>
  </r>
  <r>
    <x v="656"/>
    <x v="343"/>
    <s v="C51404"/>
    <x v="0"/>
    <n v="2"/>
    <n v="189.06"/>
    <s v="835 Main St"/>
    <x v="3"/>
    <x v="0"/>
    <s v="TRK85682500"/>
    <n v="7"/>
    <s v="SAVE10"/>
    <x v="3"/>
    <n v="378.12"/>
  </r>
  <r>
    <x v="657"/>
    <x v="478"/>
    <s v="C19384"/>
    <x v="2"/>
    <n v="4"/>
    <n v="87.79"/>
    <s v="532 Main St"/>
    <x v="4"/>
    <x v="1"/>
    <s v="TRK33207064"/>
    <n v="6"/>
    <s v="FREESHIP"/>
    <x v="0"/>
    <n v="351.16"/>
  </r>
  <r>
    <x v="658"/>
    <x v="479"/>
    <s v="C86864"/>
    <x v="4"/>
    <n v="2"/>
    <n v="46.36"/>
    <s v="670 Main St"/>
    <x v="3"/>
    <x v="2"/>
    <s v="TRK15323191"/>
    <n v="4"/>
    <s v="SAVE10"/>
    <x v="4"/>
    <n v="92.72"/>
  </r>
  <r>
    <x v="659"/>
    <x v="480"/>
    <s v="C24301"/>
    <x v="1"/>
    <n v="2"/>
    <n v="642.04"/>
    <s v="964 Main St"/>
    <x v="3"/>
    <x v="3"/>
    <s v="TRK55000075"/>
    <n v="4"/>
    <s v="WINTER15"/>
    <x v="2"/>
    <n v="1284.08"/>
  </r>
  <r>
    <x v="660"/>
    <x v="481"/>
    <s v="C43842"/>
    <x v="3"/>
    <n v="2"/>
    <n v="651.57000000000005"/>
    <s v="933 Main St"/>
    <x v="0"/>
    <x v="0"/>
    <s v="TRK54084424"/>
    <n v="7"/>
    <s v="WINTER15"/>
    <x v="3"/>
    <n v="1303.1400000000001"/>
  </r>
  <r>
    <x v="661"/>
    <x v="252"/>
    <s v="C63657"/>
    <x v="2"/>
    <n v="3"/>
    <n v="424.89"/>
    <s v="116 Main St"/>
    <x v="0"/>
    <x v="1"/>
    <s v="TRK86378984"/>
    <n v="6"/>
    <s v="FREESHIP"/>
    <x v="4"/>
    <n v="1274.67"/>
  </r>
  <r>
    <x v="662"/>
    <x v="423"/>
    <s v="C98332"/>
    <x v="5"/>
    <n v="3"/>
    <n v="438.89"/>
    <s v="985 Main St"/>
    <x v="4"/>
    <x v="2"/>
    <s v="TRK85744797"/>
    <n v="3"/>
    <s v="N/A"/>
    <x v="3"/>
    <n v="1316.67"/>
  </r>
  <r>
    <x v="663"/>
    <x v="116"/>
    <s v="C59774"/>
    <x v="0"/>
    <n v="1"/>
    <n v="72.599999999999994"/>
    <s v="941 Main St"/>
    <x v="0"/>
    <x v="1"/>
    <s v="TRK87635135"/>
    <n v="6"/>
    <s v="FREESHIP"/>
    <x v="0"/>
    <n v="72.599999999999994"/>
  </r>
  <r>
    <x v="664"/>
    <x v="36"/>
    <s v="C14847"/>
    <x v="5"/>
    <n v="4"/>
    <n v="194.75"/>
    <s v="188 Main St"/>
    <x v="4"/>
    <x v="0"/>
    <s v="TRK46492755"/>
    <n v="5"/>
    <s v="N/A"/>
    <x v="3"/>
    <n v="779"/>
  </r>
  <r>
    <x v="665"/>
    <x v="468"/>
    <s v="C83653"/>
    <x v="2"/>
    <n v="4"/>
    <n v="231.26"/>
    <s v="253 Main St"/>
    <x v="1"/>
    <x v="0"/>
    <s v="TRK32619935"/>
    <n v="6"/>
    <s v="WINTER15"/>
    <x v="4"/>
    <n v="925.04"/>
  </r>
  <r>
    <x v="666"/>
    <x v="169"/>
    <s v="C35711"/>
    <x v="0"/>
    <n v="4"/>
    <n v="327.12"/>
    <s v="788 Main St"/>
    <x v="2"/>
    <x v="1"/>
    <s v="TRK45281495"/>
    <n v="4"/>
    <s v="N/A"/>
    <x v="2"/>
    <n v="1308.48"/>
  </r>
  <r>
    <x v="667"/>
    <x v="71"/>
    <s v="C10477"/>
    <x v="5"/>
    <n v="1"/>
    <n v="466.42"/>
    <s v="172 Main St"/>
    <x v="3"/>
    <x v="4"/>
    <s v="TRK41505339"/>
    <n v="5"/>
    <s v="SAVE10"/>
    <x v="2"/>
    <n v="466.42"/>
  </r>
  <r>
    <x v="668"/>
    <x v="482"/>
    <s v="C61257"/>
    <x v="0"/>
    <n v="2"/>
    <n v="253.67"/>
    <s v="981 Main St"/>
    <x v="4"/>
    <x v="2"/>
    <s v="TRK25226070"/>
    <n v="3"/>
    <s v="WINTER15"/>
    <x v="3"/>
    <n v="507.34"/>
  </r>
  <r>
    <x v="669"/>
    <x v="483"/>
    <s v="C60547"/>
    <x v="6"/>
    <n v="1"/>
    <n v="257"/>
    <s v="812 Main St"/>
    <x v="0"/>
    <x v="1"/>
    <s v="TRK65694249"/>
    <n v="5"/>
    <s v="N/A"/>
    <x v="1"/>
    <n v="257"/>
  </r>
  <r>
    <x v="670"/>
    <x v="171"/>
    <s v="C14576"/>
    <x v="6"/>
    <n v="4"/>
    <n v="539.20000000000005"/>
    <s v="747 Main St"/>
    <x v="2"/>
    <x v="4"/>
    <s v="TRK21637540"/>
    <n v="8"/>
    <s v="FREESHIP"/>
    <x v="4"/>
    <n v="2156.8000000000002"/>
  </r>
  <r>
    <x v="671"/>
    <x v="484"/>
    <s v="C49282"/>
    <x v="3"/>
    <n v="5"/>
    <n v="50.74"/>
    <s v="737 Main St"/>
    <x v="3"/>
    <x v="1"/>
    <s v="TRK88653901"/>
    <n v="7"/>
    <s v="WINTER15"/>
    <x v="4"/>
    <n v="253.7"/>
  </r>
  <r>
    <x v="672"/>
    <x v="221"/>
    <s v="C14017"/>
    <x v="1"/>
    <n v="2"/>
    <n v="624.16"/>
    <s v="984 Main St"/>
    <x v="0"/>
    <x v="0"/>
    <s v="TRK71009446"/>
    <n v="2"/>
    <s v="SAVE10"/>
    <x v="0"/>
    <n v="1248.32"/>
  </r>
  <r>
    <x v="673"/>
    <x v="485"/>
    <s v="C46504"/>
    <x v="2"/>
    <n v="2"/>
    <n v="372.92"/>
    <s v="131 Main St"/>
    <x v="2"/>
    <x v="3"/>
    <s v="TRK95024356"/>
    <n v="7"/>
    <s v="SAVE10"/>
    <x v="2"/>
    <n v="745.84"/>
  </r>
  <r>
    <x v="674"/>
    <x v="486"/>
    <s v="C56928"/>
    <x v="5"/>
    <n v="4"/>
    <n v="358.75"/>
    <s v="860 Main St"/>
    <x v="3"/>
    <x v="3"/>
    <s v="TRK57792939"/>
    <n v="9"/>
    <s v="SAVE10"/>
    <x v="3"/>
    <n v="1435"/>
  </r>
  <r>
    <x v="675"/>
    <x v="76"/>
    <s v="C97749"/>
    <x v="6"/>
    <n v="3"/>
    <n v="342.02"/>
    <s v="906 Main St"/>
    <x v="0"/>
    <x v="4"/>
    <s v="TRK90233116"/>
    <n v="5"/>
    <s v="N/A"/>
    <x v="2"/>
    <n v="1026.06"/>
  </r>
  <r>
    <x v="676"/>
    <x v="127"/>
    <s v="C90431"/>
    <x v="5"/>
    <n v="2"/>
    <n v="422.34"/>
    <s v="985 Main St"/>
    <x v="2"/>
    <x v="1"/>
    <s v="TRK44151723"/>
    <n v="4"/>
    <s v="FREESHIP"/>
    <x v="0"/>
    <n v="844.68"/>
  </r>
  <r>
    <x v="677"/>
    <x v="487"/>
    <s v="C56722"/>
    <x v="2"/>
    <n v="5"/>
    <n v="22.07"/>
    <s v="179 Main St"/>
    <x v="1"/>
    <x v="1"/>
    <s v="TRK78778569"/>
    <n v="7"/>
    <s v="FREESHIP"/>
    <x v="0"/>
    <n v="110.35"/>
  </r>
  <r>
    <x v="678"/>
    <x v="167"/>
    <s v="C40863"/>
    <x v="3"/>
    <n v="3"/>
    <n v="163.13"/>
    <s v="457 Main St"/>
    <x v="3"/>
    <x v="0"/>
    <s v="TRK20553345"/>
    <n v="5"/>
    <s v="WINTER15"/>
    <x v="3"/>
    <n v="489.39"/>
  </r>
  <r>
    <x v="679"/>
    <x v="488"/>
    <s v="C40798"/>
    <x v="2"/>
    <n v="3"/>
    <n v="360.66"/>
    <s v="304 Main St"/>
    <x v="1"/>
    <x v="2"/>
    <s v="TRK66106697"/>
    <n v="5"/>
    <s v="FREESHIP"/>
    <x v="0"/>
    <n v="1081.98"/>
  </r>
  <r>
    <x v="680"/>
    <x v="183"/>
    <s v="C16702"/>
    <x v="0"/>
    <n v="3"/>
    <n v="463.39"/>
    <s v="694 Main St"/>
    <x v="2"/>
    <x v="2"/>
    <s v="TRK16953491"/>
    <n v="3"/>
    <s v="N/A"/>
    <x v="3"/>
    <n v="1390.17"/>
  </r>
  <r>
    <x v="681"/>
    <x v="489"/>
    <s v="C38262"/>
    <x v="2"/>
    <n v="1"/>
    <n v="155.27000000000001"/>
    <s v="548 Main St"/>
    <x v="0"/>
    <x v="0"/>
    <s v="TRK47300502"/>
    <n v="6"/>
    <s v="N/A"/>
    <x v="2"/>
    <n v="155.27000000000001"/>
  </r>
  <r>
    <x v="682"/>
    <x v="363"/>
    <s v="C50274"/>
    <x v="0"/>
    <n v="3"/>
    <n v="509.42"/>
    <s v="449 Main St"/>
    <x v="2"/>
    <x v="1"/>
    <s v="TRK91729086"/>
    <n v="5"/>
    <s v="FREESHIP"/>
    <x v="4"/>
    <n v="1528.26"/>
  </r>
  <r>
    <x v="683"/>
    <x v="490"/>
    <s v="C91591"/>
    <x v="6"/>
    <n v="4"/>
    <n v="652.48"/>
    <s v="887 Main St"/>
    <x v="4"/>
    <x v="4"/>
    <s v="TRK23554043"/>
    <n v="5"/>
    <s v="FREESHIP"/>
    <x v="0"/>
    <n v="2609.92"/>
  </r>
  <r>
    <x v="684"/>
    <x v="491"/>
    <s v="C96583"/>
    <x v="4"/>
    <n v="4"/>
    <n v="34.840000000000003"/>
    <s v="288 Main St"/>
    <x v="2"/>
    <x v="0"/>
    <s v="TRK64353241"/>
    <n v="8"/>
    <s v="N/A"/>
    <x v="2"/>
    <n v="139.36000000000001"/>
  </r>
  <r>
    <x v="685"/>
    <x v="492"/>
    <s v="C64579"/>
    <x v="6"/>
    <n v="1"/>
    <n v="234.37"/>
    <s v="638 Main St"/>
    <x v="0"/>
    <x v="0"/>
    <s v="TRK10276565"/>
    <n v="5"/>
    <s v="FREESHIP"/>
    <x v="2"/>
    <n v="234.37"/>
  </r>
  <r>
    <x v="686"/>
    <x v="112"/>
    <s v="C41903"/>
    <x v="6"/>
    <n v="3"/>
    <n v="53.6"/>
    <s v="525 Main St"/>
    <x v="4"/>
    <x v="4"/>
    <s v="TRK59112382"/>
    <n v="4"/>
    <s v="WINTER15"/>
    <x v="3"/>
    <n v="160.80000000000001"/>
  </r>
  <r>
    <x v="687"/>
    <x v="493"/>
    <s v="C19742"/>
    <x v="2"/>
    <n v="1"/>
    <n v="332.09"/>
    <s v="408 Main St"/>
    <x v="3"/>
    <x v="2"/>
    <s v="TRK68845230"/>
    <n v="5"/>
    <s v="FREESHIP"/>
    <x v="0"/>
    <n v="332.09"/>
  </r>
  <r>
    <x v="688"/>
    <x v="26"/>
    <s v="C20077"/>
    <x v="0"/>
    <n v="4"/>
    <n v="593.22"/>
    <s v="154 Main St"/>
    <x v="2"/>
    <x v="1"/>
    <s v="TRK36415742"/>
    <n v="8"/>
    <s v="WINTER15"/>
    <x v="3"/>
    <n v="2372.88"/>
  </r>
  <r>
    <x v="689"/>
    <x v="193"/>
    <s v="C13186"/>
    <x v="2"/>
    <n v="2"/>
    <n v="444.84"/>
    <s v="787 Main St"/>
    <x v="1"/>
    <x v="0"/>
    <s v="TRK56967415"/>
    <n v="7"/>
    <s v="N/A"/>
    <x v="3"/>
    <n v="889.68"/>
  </r>
  <r>
    <x v="690"/>
    <x v="494"/>
    <s v="C29318"/>
    <x v="0"/>
    <n v="1"/>
    <n v="24.48"/>
    <s v="128 Main St"/>
    <x v="3"/>
    <x v="2"/>
    <s v="TRK88666721"/>
    <n v="1"/>
    <s v="N/A"/>
    <x v="0"/>
    <n v="24.48"/>
  </r>
  <r>
    <x v="691"/>
    <x v="167"/>
    <s v="C36137"/>
    <x v="5"/>
    <n v="3"/>
    <n v="239.08"/>
    <s v="396 Main St"/>
    <x v="4"/>
    <x v="0"/>
    <s v="TRK57376416"/>
    <n v="8"/>
    <s v="N/A"/>
    <x v="4"/>
    <n v="717.24"/>
  </r>
  <r>
    <x v="692"/>
    <x v="19"/>
    <s v="C25534"/>
    <x v="6"/>
    <n v="5"/>
    <n v="196.84"/>
    <s v="319 Main St"/>
    <x v="2"/>
    <x v="3"/>
    <s v="TRK68347402"/>
    <n v="5"/>
    <s v="WINTER15"/>
    <x v="0"/>
    <n v="984.2"/>
  </r>
  <r>
    <x v="693"/>
    <x v="495"/>
    <s v="C62070"/>
    <x v="0"/>
    <n v="1"/>
    <n v="176.58"/>
    <s v="674 Main St"/>
    <x v="0"/>
    <x v="2"/>
    <s v="TRK10267127"/>
    <n v="4"/>
    <s v="N/A"/>
    <x v="1"/>
    <n v="176.58"/>
  </r>
  <r>
    <x v="694"/>
    <x v="276"/>
    <s v="C92049"/>
    <x v="4"/>
    <n v="4"/>
    <n v="666.52"/>
    <s v="619 Main St"/>
    <x v="4"/>
    <x v="0"/>
    <s v="TRK32287092"/>
    <n v="8"/>
    <s v="FREESHIP"/>
    <x v="2"/>
    <n v="2666.08"/>
  </r>
  <r>
    <x v="695"/>
    <x v="432"/>
    <s v="C52604"/>
    <x v="4"/>
    <n v="5"/>
    <n v="101.3"/>
    <s v="553 Main St"/>
    <x v="1"/>
    <x v="0"/>
    <s v="TRK48839788"/>
    <n v="7"/>
    <s v="FREESHIP"/>
    <x v="2"/>
    <n v="506.5"/>
  </r>
  <r>
    <x v="696"/>
    <x v="226"/>
    <s v="C22429"/>
    <x v="3"/>
    <n v="4"/>
    <n v="151.19999999999999"/>
    <s v="965 Main St"/>
    <x v="3"/>
    <x v="4"/>
    <s v="TRK38572927"/>
    <n v="9"/>
    <s v="WINTER15"/>
    <x v="3"/>
    <n v="604.79999999999995"/>
  </r>
  <r>
    <x v="697"/>
    <x v="496"/>
    <s v="C27430"/>
    <x v="4"/>
    <n v="5"/>
    <n v="94.85"/>
    <s v="788 Main St"/>
    <x v="4"/>
    <x v="0"/>
    <s v="TRK45025840"/>
    <n v="6"/>
    <s v="WINTER15"/>
    <x v="2"/>
    <n v="474.25"/>
  </r>
  <r>
    <x v="698"/>
    <x v="0"/>
    <s v="C44366"/>
    <x v="5"/>
    <n v="2"/>
    <n v="388.22"/>
    <s v="169 Main St"/>
    <x v="4"/>
    <x v="3"/>
    <s v="TRK48658394"/>
    <n v="2"/>
    <s v="WINTER15"/>
    <x v="0"/>
    <n v="776.44"/>
  </r>
  <r>
    <x v="699"/>
    <x v="497"/>
    <s v="C36813"/>
    <x v="5"/>
    <n v="3"/>
    <n v="614.15"/>
    <s v="897 Main St"/>
    <x v="3"/>
    <x v="1"/>
    <s v="TRK84088900"/>
    <n v="3"/>
    <s v="N/A"/>
    <x v="3"/>
    <n v="1842.45"/>
  </r>
  <r>
    <x v="700"/>
    <x v="498"/>
    <s v="C40201"/>
    <x v="5"/>
    <n v="2"/>
    <n v="92.91"/>
    <s v="555 Main St"/>
    <x v="4"/>
    <x v="2"/>
    <s v="TRK30198779"/>
    <n v="3"/>
    <s v="WINTER15"/>
    <x v="0"/>
    <n v="185.82"/>
  </r>
  <r>
    <x v="701"/>
    <x v="499"/>
    <s v="C75456"/>
    <x v="0"/>
    <n v="3"/>
    <n v="92.22"/>
    <s v="115 Main St"/>
    <x v="2"/>
    <x v="3"/>
    <s v="TRK90519490"/>
    <n v="5"/>
    <s v="FREESHIP"/>
    <x v="2"/>
    <n v="276.66000000000003"/>
  </r>
  <r>
    <x v="702"/>
    <x v="410"/>
    <s v="C33315"/>
    <x v="4"/>
    <n v="3"/>
    <n v="562.54999999999995"/>
    <s v="154 Main St"/>
    <x v="0"/>
    <x v="2"/>
    <s v="TRK43589369"/>
    <n v="6"/>
    <s v="N/A"/>
    <x v="2"/>
    <n v="1687.65"/>
  </r>
  <r>
    <x v="703"/>
    <x v="500"/>
    <s v="C89336"/>
    <x v="6"/>
    <n v="1"/>
    <n v="92.79"/>
    <s v="799 Main St"/>
    <x v="4"/>
    <x v="4"/>
    <s v="TRK47665103"/>
    <n v="3"/>
    <s v="WINTER15"/>
    <x v="2"/>
    <n v="92.79"/>
  </r>
  <r>
    <x v="704"/>
    <x v="301"/>
    <s v="C96034"/>
    <x v="6"/>
    <n v="4"/>
    <n v="30.27"/>
    <s v="819 Main St"/>
    <x v="1"/>
    <x v="3"/>
    <s v="TRK87261034"/>
    <n v="9"/>
    <s v="FREESHIP"/>
    <x v="4"/>
    <n v="121.08"/>
  </r>
  <r>
    <x v="705"/>
    <x v="501"/>
    <s v="C50114"/>
    <x v="0"/>
    <n v="2"/>
    <n v="49.08"/>
    <s v="420 Main St"/>
    <x v="0"/>
    <x v="2"/>
    <s v="TRK20214786"/>
    <n v="7"/>
    <s v="FREESHIP"/>
    <x v="0"/>
    <n v="98.16"/>
  </r>
  <r>
    <x v="706"/>
    <x v="380"/>
    <s v="C85330"/>
    <x v="6"/>
    <n v="5"/>
    <n v="228.09"/>
    <s v="969 Main St"/>
    <x v="3"/>
    <x v="2"/>
    <s v="TRK97693301"/>
    <n v="9"/>
    <s v="FREESHIP"/>
    <x v="3"/>
    <n v="1140.45"/>
  </r>
  <r>
    <x v="707"/>
    <x v="377"/>
    <s v="C31761"/>
    <x v="3"/>
    <n v="4"/>
    <n v="650.04"/>
    <s v="989 Main St"/>
    <x v="3"/>
    <x v="1"/>
    <s v="TRK17628852"/>
    <n v="6"/>
    <s v="SAVE10"/>
    <x v="3"/>
    <n v="2600.16"/>
  </r>
  <r>
    <x v="708"/>
    <x v="155"/>
    <s v="C25268"/>
    <x v="4"/>
    <n v="1"/>
    <n v="665.11"/>
    <s v="788 Main St"/>
    <x v="4"/>
    <x v="4"/>
    <s v="TRK20481215"/>
    <n v="3"/>
    <s v="FREESHIP"/>
    <x v="0"/>
    <n v="665.11"/>
  </r>
  <r>
    <x v="709"/>
    <x v="34"/>
    <s v="C17132"/>
    <x v="6"/>
    <n v="1"/>
    <n v="386.03"/>
    <s v="855 Main St"/>
    <x v="1"/>
    <x v="4"/>
    <s v="TRK37504692"/>
    <n v="4"/>
    <s v="FREESHIP"/>
    <x v="4"/>
    <n v="386.03"/>
  </r>
  <r>
    <x v="710"/>
    <x v="319"/>
    <s v="C48790"/>
    <x v="5"/>
    <n v="5"/>
    <n v="21.54"/>
    <s v="113 Main St"/>
    <x v="3"/>
    <x v="2"/>
    <s v="TRK19086608"/>
    <n v="10"/>
    <s v="N/A"/>
    <x v="4"/>
    <n v="107.7"/>
  </r>
  <r>
    <x v="711"/>
    <x v="502"/>
    <s v="C61070"/>
    <x v="2"/>
    <n v="2"/>
    <n v="475.78"/>
    <s v="632 Main St"/>
    <x v="1"/>
    <x v="0"/>
    <s v="TRK90764894"/>
    <n v="2"/>
    <s v="WINTER15"/>
    <x v="4"/>
    <n v="951.56"/>
  </r>
  <r>
    <x v="712"/>
    <x v="486"/>
    <s v="C56969"/>
    <x v="2"/>
    <n v="2"/>
    <n v="68.400000000000006"/>
    <s v="993 Main St"/>
    <x v="3"/>
    <x v="4"/>
    <s v="TRK10513339"/>
    <n v="7"/>
    <s v="FREESHIP"/>
    <x v="2"/>
    <n v="136.80000000000001"/>
  </r>
  <r>
    <x v="713"/>
    <x v="370"/>
    <s v="C65056"/>
    <x v="2"/>
    <n v="4"/>
    <n v="532.49"/>
    <s v="638 Main St"/>
    <x v="1"/>
    <x v="1"/>
    <s v="TRK31705278"/>
    <n v="6"/>
    <s v="SAVE10"/>
    <x v="3"/>
    <n v="2129.96"/>
  </r>
  <r>
    <x v="714"/>
    <x v="453"/>
    <s v="C84888"/>
    <x v="5"/>
    <n v="1"/>
    <n v="51.73"/>
    <s v="278 Main St"/>
    <x v="0"/>
    <x v="4"/>
    <s v="TRK23612847"/>
    <n v="1"/>
    <s v="FREESHIP"/>
    <x v="3"/>
    <n v="51.73"/>
  </r>
  <r>
    <x v="715"/>
    <x v="503"/>
    <s v="C68266"/>
    <x v="4"/>
    <n v="3"/>
    <n v="653.63"/>
    <s v="281 Main St"/>
    <x v="1"/>
    <x v="3"/>
    <s v="TRK96161062"/>
    <n v="7"/>
    <s v="FREESHIP"/>
    <x v="2"/>
    <n v="1960.89"/>
  </r>
  <r>
    <x v="716"/>
    <x v="136"/>
    <s v="C84115"/>
    <x v="3"/>
    <n v="3"/>
    <n v="454.29"/>
    <s v="891 Main St"/>
    <x v="2"/>
    <x v="4"/>
    <s v="TRK25466842"/>
    <n v="4"/>
    <s v="WINTER15"/>
    <x v="4"/>
    <n v="1362.87"/>
  </r>
  <r>
    <x v="717"/>
    <x v="504"/>
    <s v="C50087"/>
    <x v="3"/>
    <n v="3"/>
    <n v="122.11"/>
    <s v="707 Main St"/>
    <x v="1"/>
    <x v="3"/>
    <s v="TRK31143760"/>
    <n v="4"/>
    <s v="WINTER15"/>
    <x v="2"/>
    <n v="366.33"/>
  </r>
  <r>
    <x v="718"/>
    <x v="505"/>
    <s v="C16790"/>
    <x v="5"/>
    <n v="4"/>
    <n v="64.739999999999995"/>
    <s v="718 Main St"/>
    <x v="3"/>
    <x v="1"/>
    <s v="TRK91791367"/>
    <n v="8"/>
    <s v="SAVE10"/>
    <x v="4"/>
    <n v="258.95999999999998"/>
  </r>
  <r>
    <x v="719"/>
    <x v="506"/>
    <s v="C46920"/>
    <x v="5"/>
    <n v="2"/>
    <n v="681.06"/>
    <s v="703 Main St"/>
    <x v="0"/>
    <x v="0"/>
    <s v="TRK86403837"/>
    <n v="3"/>
    <s v="FREESHIP"/>
    <x v="3"/>
    <n v="1362.12"/>
  </r>
  <r>
    <x v="720"/>
    <x v="507"/>
    <s v="C12740"/>
    <x v="6"/>
    <n v="5"/>
    <n v="128.94999999999999"/>
    <s v="305 Main St"/>
    <x v="4"/>
    <x v="4"/>
    <s v="TRK98506513"/>
    <n v="10"/>
    <s v="FREESHIP"/>
    <x v="0"/>
    <n v="644.75"/>
  </r>
  <r>
    <x v="721"/>
    <x v="508"/>
    <s v="C46557"/>
    <x v="6"/>
    <n v="2"/>
    <n v="118.59"/>
    <s v="890 Main St"/>
    <x v="2"/>
    <x v="3"/>
    <s v="TRK56110689"/>
    <n v="2"/>
    <s v="N/A"/>
    <x v="2"/>
    <n v="237.18"/>
  </r>
  <r>
    <x v="722"/>
    <x v="64"/>
    <s v="C58156"/>
    <x v="4"/>
    <n v="1"/>
    <n v="95.1"/>
    <s v="516 Main St"/>
    <x v="3"/>
    <x v="4"/>
    <s v="TRK49719458"/>
    <n v="1"/>
    <s v="WINTER15"/>
    <x v="0"/>
    <n v="95.1"/>
  </r>
  <r>
    <x v="723"/>
    <x v="509"/>
    <s v="C14455"/>
    <x v="6"/>
    <n v="3"/>
    <n v="54.95"/>
    <s v="385 Main St"/>
    <x v="4"/>
    <x v="2"/>
    <s v="TRK50933724"/>
    <n v="8"/>
    <s v="SAVE10"/>
    <x v="1"/>
    <n v="164.85"/>
  </r>
  <r>
    <x v="724"/>
    <x v="266"/>
    <s v="C63150"/>
    <x v="4"/>
    <n v="3"/>
    <n v="136.97"/>
    <s v="326 Main St"/>
    <x v="2"/>
    <x v="2"/>
    <s v="TRK19348078"/>
    <n v="4"/>
    <s v="FREESHIP"/>
    <x v="1"/>
    <n v="410.91"/>
  </r>
  <r>
    <x v="725"/>
    <x v="255"/>
    <s v="C95269"/>
    <x v="3"/>
    <n v="2"/>
    <n v="194.85"/>
    <s v="372 Main St"/>
    <x v="3"/>
    <x v="2"/>
    <s v="TRK45670926"/>
    <n v="5"/>
    <s v="N/A"/>
    <x v="1"/>
    <n v="389.7"/>
  </r>
  <r>
    <x v="726"/>
    <x v="510"/>
    <s v="C18105"/>
    <x v="5"/>
    <n v="4"/>
    <n v="583.02"/>
    <s v="338 Main St"/>
    <x v="1"/>
    <x v="3"/>
    <s v="TRK94006117"/>
    <n v="4"/>
    <s v="FREESHIP"/>
    <x v="3"/>
    <n v="2332.08"/>
  </r>
  <r>
    <x v="727"/>
    <x v="470"/>
    <s v="C29063"/>
    <x v="3"/>
    <n v="5"/>
    <n v="95.75"/>
    <s v="379 Main St"/>
    <x v="1"/>
    <x v="0"/>
    <s v="TRK92745947"/>
    <n v="8"/>
    <s v="SAVE10"/>
    <x v="0"/>
    <n v="478.75"/>
  </r>
  <r>
    <x v="728"/>
    <x v="511"/>
    <s v="C10154"/>
    <x v="6"/>
    <n v="4"/>
    <n v="325.76"/>
    <s v="827 Main St"/>
    <x v="3"/>
    <x v="0"/>
    <s v="TRK79793300"/>
    <n v="8"/>
    <s v="WINTER15"/>
    <x v="2"/>
    <n v="1303.04"/>
  </r>
  <r>
    <x v="729"/>
    <x v="102"/>
    <s v="C36997"/>
    <x v="1"/>
    <n v="4"/>
    <n v="186.41"/>
    <s v="819 Main St"/>
    <x v="3"/>
    <x v="4"/>
    <s v="TRK92794872"/>
    <n v="6"/>
    <s v="SAVE10"/>
    <x v="4"/>
    <n v="745.64"/>
  </r>
  <r>
    <x v="730"/>
    <x v="512"/>
    <s v="C77357"/>
    <x v="1"/>
    <n v="1"/>
    <n v="474.6"/>
    <s v="407 Main St"/>
    <x v="0"/>
    <x v="3"/>
    <s v="TRK91943923"/>
    <n v="4"/>
    <s v="SAVE10"/>
    <x v="2"/>
    <n v="474.6"/>
  </r>
  <r>
    <x v="731"/>
    <x v="267"/>
    <s v="C71310"/>
    <x v="4"/>
    <n v="5"/>
    <n v="584.46"/>
    <s v="308 Main St"/>
    <x v="2"/>
    <x v="2"/>
    <s v="TRK48292586"/>
    <n v="8"/>
    <s v="N/A"/>
    <x v="2"/>
    <n v="2922.3"/>
  </r>
  <r>
    <x v="732"/>
    <x v="456"/>
    <s v="C80987"/>
    <x v="5"/>
    <n v="1"/>
    <n v="132.05000000000001"/>
    <s v="787 Main St"/>
    <x v="1"/>
    <x v="3"/>
    <s v="TRK42187776"/>
    <n v="2"/>
    <s v="N/A"/>
    <x v="4"/>
    <n v="132.05000000000001"/>
  </r>
  <r>
    <x v="733"/>
    <x v="513"/>
    <s v="C90757"/>
    <x v="2"/>
    <n v="4"/>
    <n v="494.84"/>
    <s v="694 Main St"/>
    <x v="4"/>
    <x v="2"/>
    <s v="TRK87991608"/>
    <n v="8"/>
    <s v="SAVE10"/>
    <x v="2"/>
    <n v="1979.36"/>
  </r>
  <r>
    <x v="734"/>
    <x v="514"/>
    <s v="C51898"/>
    <x v="4"/>
    <n v="4"/>
    <n v="224.61"/>
    <s v="630 Main St"/>
    <x v="2"/>
    <x v="2"/>
    <s v="TRK19767885"/>
    <n v="6"/>
    <s v="WINTER15"/>
    <x v="3"/>
    <n v="898.44"/>
  </r>
  <r>
    <x v="735"/>
    <x v="515"/>
    <s v="C94508"/>
    <x v="0"/>
    <n v="4"/>
    <n v="44.07"/>
    <s v="359 Main St"/>
    <x v="0"/>
    <x v="4"/>
    <s v="TRK13443264"/>
    <n v="6"/>
    <s v="N/A"/>
    <x v="2"/>
    <n v="176.28"/>
  </r>
  <r>
    <x v="736"/>
    <x v="516"/>
    <s v="C59441"/>
    <x v="0"/>
    <n v="5"/>
    <n v="418.53"/>
    <s v="696 Main St"/>
    <x v="2"/>
    <x v="4"/>
    <s v="TRK66186874"/>
    <n v="6"/>
    <s v="FREESHIP"/>
    <x v="4"/>
    <n v="2092.65"/>
  </r>
  <r>
    <x v="737"/>
    <x v="517"/>
    <s v="C91029"/>
    <x v="1"/>
    <n v="4"/>
    <n v="532.87"/>
    <s v="972 Main St"/>
    <x v="4"/>
    <x v="4"/>
    <s v="TRK25501930"/>
    <n v="9"/>
    <s v="FREESHIP"/>
    <x v="0"/>
    <n v="2131.48"/>
  </r>
  <r>
    <x v="738"/>
    <x v="518"/>
    <s v="C96261"/>
    <x v="1"/>
    <n v="2"/>
    <n v="485.37"/>
    <s v="264 Main St"/>
    <x v="2"/>
    <x v="0"/>
    <s v="TRK44998396"/>
    <n v="5"/>
    <s v="SAVE10"/>
    <x v="2"/>
    <n v="970.74"/>
  </r>
  <r>
    <x v="739"/>
    <x v="136"/>
    <s v="C35123"/>
    <x v="1"/>
    <n v="4"/>
    <n v="386.73"/>
    <s v="513 Main St"/>
    <x v="4"/>
    <x v="3"/>
    <s v="TRK58979275"/>
    <n v="4"/>
    <s v="SAVE10"/>
    <x v="3"/>
    <n v="1546.92"/>
  </r>
  <r>
    <x v="740"/>
    <x v="351"/>
    <s v="C10892"/>
    <x v="6"/>
    <n v="2"/>
    <n v="377.47"/>
    <s v="433 Main St"/>
    <x v="4"/>
    <x v="4"/>
    <s v="TRK76154554"/>
    <n v="7"/>
    <s v="N/A"/>
    <x v="4"/>
    <n v="754.94"/>
  </r>
  <r>
    <x v="741"/>
    <x v="185"/>
    <s v="C99683"/>
    <x v="0"/>
    <n v="5"/>
    <n v="332.64"/>
    <s v="945 Main St"/>
    <x v="3"/>
    <x v="3"/>
    <s v="TRK87305883"/>
    <n v="10"/>
    <s v="N/A"/>
    <x v="1"/>
    <n v="1663.2"/>
  </r>
  <r>
    <x v="742"/>
    <x v="519"/>
    <s v="C41974"/>
    <x v="5"/>
    <n v="3"/>
    <n v="699.93"/>
    <s v="726 Main St"/>
    <x v="4"/>
    <x v="2"/>
    <s v="TRK48051468"/>
    <n v="7"/>
    <s v="SAVE10"/>
    <x v="4"/>
    <n v="2099.79"/>
  </r>
  <r>
    <x v="743"/>
    <x v="430"/>
    <s v="C23978"/>
    <x v="0"/>
    <n v="1"/>
    <n v="576.35"/>
    <s v="549 Main St"/>
    <x v="3"/>
    <x v="2"/>
    <s v="TRK87090813"/>
    <n v="1"/>
    <s v="WINTER15"/>
    <x v="0"/>
    <n v="576.35"/>
  </r>
  <r>
    <x v="744"/>
    <x v="520"/>
    <s v="C10642"/>
    <x v="2"/>
    <n v="2"/>
    <n v="461.37"/>
    <s v="200 Main St"/>
    <x v="4"/>
    <x v="3"/>
    <s v="TRK98725693"/>
    <n v="5"/>
    <s v="SAVE10"/>
    <x v="4"/>
    <n v="922.74"/>
  </r>
  <r>
    <x v="745"/>
    <x v="521"/>
    <s v="C73813"/>
    <x v="4"/>
    <n v="4"/>
    <n v="111.3"/>
    <s v="364 Main St"/>
    <x v="0"/>
    <x v="4"/>
    <s v="TRK89906749"/>
    <n v="7"/>
    <s v="FREESHIP"/>
    <x v="2"/>
    <n v="445.2"/>
  </r>
  <r>
    <x v="746"/>
    <x v="522"/>
    <s v="C32183"/>
    <x v="6"/>
    <n v="3"/>
    <n v="661.89"/>
    <s v="551 Main St"/>
    <x v="1"/>
    <x v="1"/>
    <s v="TRK76287027"/>
    <n v="6"/>
    <s v="WINTER15"/>
    <x v="1"/>
    <n v="1985.67"/>
  </r>
  <r>
    <x v="747"/>
    <x v="495"/>
    <s v="C54277"/>
    <x v="2"/>
    <n v="2"/>
    <n v="259.58"/>
    <s v="940 Main St"/>
    <x v="0"/>
    <x v="3"/>
    <s v="TRK26500181"/>
    <n v="7"/>
    <s v="FREESHIP"/>
    <x v="0"/>
    <n v="519.16"/>
  </r>
  <r>
    <x v="748"/>
    <x v="523"/>
    <s v="C56553"/>
    <x v="2"/>
    <n v="3"/>
    <n v="70.81"/>
    <s v="249 Main St"/>
    <x v="2"/>
    <x v="0"/>
    <s v="TRK37667360"/>
    <n v="8"/>
    <s v="FREESHIP"/>
    <x v="1"/>
    <n v="212.43"/>
  </r>
  <r>
    <x v="749"/>
    <x v="524"/>
    <s v="C17551"/>
    <x v="5"/>
    <n v="1"/>
    <n v="518.39"/>
    <s v="997 Main St"/>
    <x v="0"/>
    <x v="4"/>
    <s v="TRK88797170"/>
    <n v="4"/>
    <s v="FREESHIP"/>
    <x v="0"/>
    <n v="518.39"/>
  </r>
  <r>
    <x v="750"/>
    <x v="90"/>
    <s v="C14737"/>
    <x v="2"/>
    <n v="4"/>
    <n v="145.41"/>
    <s v="637 Main St"/>
    <x v="2"/>
    <x v="2"/>
    <s v="TRK10295115"/>
    <n v="7"/>
    <s v="FREESHIP"/>
    <x v="2"/>
    <n v="581.64"/>
  </r>
  <r>
    <x v="751"/>
    <x v="16"/>
    <s v="C35168"/>
    <x v="2"/>
    <n v="2"/>
    <n v="599.86"/>
    <s v="455 Main St"/>
    <x v="3"/>
    <x v="4"/>
    <s v="TRK76960854"/>
    <n v="7"/>
    <s v="FREESHIP"/>
    <x v="3"/>
    <n v="1199.72"/>
  </r>
  <r>
    <x v="752"/>
    <x v="525"/>
    <s v="C82217"/>
    <x v="1"/>
    <n v="4"/>
    <n v="429.37"/>
    <s v="299 Main St"/>
    <x v="2"/>
    <x v="3"/>
    <s v="TRK33305694"/>
    <n v="8"/>
    <s v="FREESHIP"/>
    <x v="4"/>
    <n v="1717.48"/>
  </r>
  <r>
    <x v="753"/>
    <x v="526"/>
    <s v="C42270"/>
    <x v="1"/>
    <n v="2"/>
    <n v="241.49"/>
    <s v="864 Main St"/>
    <x v="0"/>
    <x v="2"/>
    <s v="TRK72697796"/>
    <n v="7"/>
    <s v="FREESHIP"/>
    <x v="0"/>
    <n v="482.98"/>
  </r>
  <r>
    <x v="754"/>
    <x v="133"/>
    <s v="C48846"/>
    <x v="4"/>
    <n v="2"/>
    <n v="452.05"/>
    <s v="983 Main St"/>
    <x v="2"/>
    <x v="2"/>
    <s v="TRK52804097"/>
    <n v="3"/>
    <s v="WINTER15"/>
    <x v="2"/>
    <n v="904.1"/>
  </r>
  <r>
    <x v="755"/>
    <x v="527"/>
    <s v="C54160"/>
    <x v="6"/>
    <n v="3"/>
    <n v="336.71"/>
    <s v="658 Main St"/>
    <x v="2"/>
    <x v="4"/>
    <s v="TRK60515972"/>
    <n v="4"/>
    <s v="N/A"/>
    <x v="2"/>
    <n v="1010.13"/>
  </r>
  <r>
    <x v="756"/>
    <x v="326"/>
    <s v="C14080"/>
    <x v="1"/>
    <n v="1"/>
    <n v="283.69"/>
    <s v="202 Main St"/>
    <x v="3"/>
    <x v="0"/>
    <s v="TRK93163682"/>
    <n v="6"/>
    <s v="N/A"/>
    <x v="4"/>
    <n v="283.69"/>
  </r>
  <r>
    <x v="757"/>
    <x v="27"/>
    <s v="C81074"/>
    <x v="6"/>
    <n v="1"/>
    <n v="157.72"/>
    <s v="597 Main St"/>
    <x v="0"/>
    <x v="3"/>
    <s v="TRK91105190"/>
    <n v="2"/>
    <s v="FREESHIP"/>
    <x v="4"/>
    <n v="157.72"/>
  </r>
  <r>
    <x v="758"/>
    <x v="465"/>
    <s v="C69021"/>
    <x v="2"/>
    <n v="3"/>
    <n v="624.84"/>
    <s v="917 Main St"/>
    <x v="2"/>
    <x v="1"/>
    <s v="TRK57148510"/>
    <n v="8"/>
    <s v="WINTER15"/>
    <x v="3"/>
    <n v="1874.52"/>
  </r>
  <r>
    <x v="759"/>
    <x v="528"/>
    <s v="C96283"/>
    <x v="6"/>
    <n v="3"/>
    <n v="308.01"/>
    <s v="366 Main St"/>
    <x v="4"/>
    <x v="4"/>
    <s v="TRK91784124"/>
    <n v="3"/>
    <s v="FREESHIP"/>
    <x v="3"/>
    <n v="924.03"/>
  </r>
  <r>
    <x v="760"/>
    <x v="403"/>
    <s v="C96636"/>
    <x v="6"/>
    <n v="1"/>
    <n v="39.56"/>
    <s v="283 Main St"/>
    <x v="0"/>
    <x v="1"/>
    <s v="TRK73324346"/>
    <n v="5"/>
    <s v="N/A"/>
    <x v="4"/>
    <n v="39.56"/>
  </r>
  <r>
    <x v="761"/>
    <x v="454"/>
    <s v="C37235"/>
    <x v="6"/>
    <n v="4"/>
    <n v="37.76"/>
    <s v="217 Main St"/>
    <x v="0"/>
    <x v="3"/>
    <s v="TRK67789367"/>
    <n v="7"/>
    <s v="N/A"/>
    <x v="4"/>
    <n v="151.04"/>
  </r>
  <r>
    <x v="762"/>
    <x v="529"/>
    <s v="C12444"/>
    <x v="1"/>
    <n v="3"/>
    <n v="76.959999999999994"/>
    <s v="611 Main St"/>
    <x v="4"/>
    <x v="2"/>
    <s v="TRK97621403"/>
    <n v="8"/>
    <s v="FREESHIP"/>
    <x v="2"/>
    <n v="230.88"/>
  </r>
  <r>
    <x v="763"/>
    <x v="388"/>
    <s v="C79142"/>
    <x v="5"/>
    <n v="1"/>
    <n v="569.96"/>
    <s v="533 Main St"/>
    <x v="1"/>
    <x v="3"/>
    <s v="TRK30915955"/>
    <n v="4"/>
    <s v="FREESHIP"/>
    <x v="2"/>
    <n v="569.96"/>
  </r>
  <r>
    <x v="764"/>
    <x v="416"/>
    <s v="C35983"/>
    <x v="5"/>
    <n v="5"/>
    <n v="627.42999999999995"/>
    <s v="806 Main St"/>
    <x v="2"/>
    <x v="1"/>
    <s v="TRK14016163"/>
    <n v="10"/>
    <s v="FREESHIP"/>
    <x v="2"/>
    <n v="3137.15"/>
  </r>
  <r>
    <x v="765"/>
    <x v="426"/>
    <s v="C36150"/>
    <x v="5"/>
    <n v="2"/>
    <n v="534.91"/>
    <s v="281 Main St"/>
    <x v="0"/>
    <x v="2"/>
    <s v="TRK96249043"/>
    <n v="5"/>
    <s v="SAVE10"/>
    <x v="4"/>
    <n v="1069.82"/>
  </r>
  <r>
    <x v="766"/>
    <x v="55"/>
    <s v="C91454"/>
    <x v="4"/>
    <n v="2"/>
    <n v="278.88"/>
    <s v="494 Main St"/>
    <x v="0"/>
    <x v="4"/>
    <s v="TRK99985340"/>
    <n v="3"/>
    <s v="FREESHIP"/>
    <x v="1"/>
    <n v="557.76"/>
  </r>
  <r>
    <x v="767"/>
    <x v="479"/>
    <s v="C19368"/>
    <x v="2"/>
    <n v="2"/>
    <n v="323.22000000000003"/>
    <s v="517 Main St"/>
    <x v="2"/>
    <x v="3"/>
    <s v="TRK80436037"/>
    <n v="7"/>
    <s v="N/A"/>
    <x v="0"/>
    <n v="646.44000000000005"/>
  </r>
  <r>
    <x v="768"/>
    <x v="355"/>
    <s v="C35987"/>
    <x v="2"/>
    <n v="5"/>
    <n v="653.46"/>
    <s v="165 Main St"/>
    <x v="4"/>
    <x v="1"/>
    <s v="TRK28918815"/>
    <n v="9"/>
    <s v="WINTER15"/>
    <x v="2"/>
    <n v="3267.3"/>
  </r>
  <r>
    <x v="769"/>
    <x v="117"/>
    <s v="C13366"/>
    <x v="4"/>
    <n v="4"/>
    <n v="678.55"/>
    <s v="568 Main St"/>
    <x v="4"/>
    <x v="3"/>
    <s v="TRK98691410"/>
    <n v="5"/>
    <s v="N/A"/>
    <x v="2"/>
    <n v="2714.2"/>
  </r>
  <r>
    <x v="770"/>
    <x v="530"/>
    <s v="C72166"/>
    <x v="6"/>
    <n v="1"/>
    <n v="314.38"/>
    <s v="227 Main St"/>
    <x v="1"/>
    <x v="2"/>
    <s v="TRK67733444"/>
    <n v="6"/>
    <s v="N/A"/>
    <x v="4"/>
    <n v="314.38"/>
  </r>
  <r>
    <x v="771"/>
    <x v="520"/>
    <s v="C20357"/>
    <x v="1"/>
    <n v="3"/>
    <n v="692.44"/>
    <s v="272 Main St"/>
    <x v="0"/>
    <x v="1"/>
    <s v="TRK82236408"/>
    <n v="8"/>
    <s v="FREESHIP"/>
    <x v="4"/>
    <n v="2077.3200000000002"/>
  </r>
  <r>
    <x v="772"/>
    <x v="118"/>
    <s v="C33802"/>
    <x v="0"/>
    <n v="1"/>
    <n v="604.87"/>
    <s v="461 Main St"/>
    <x v="1"/>
    <x v="3"/>
    <s v="TRK25799478"/>
    <n v="4"/>
    <s v="N/A"/>
    <x v="0"/>
    <n v="604.87"/>
  </r>
  <r>
    <x v="773"/>
    <x v="164"/>
    <s v="C99205"/>
    <x v="1"/>
    <n v="2"/>
    <n v="512.33000000000004"/>
    <s v="415 Main St"/>
    <x v="4"/>
    <x v="1"/>
    <s v="TRK48904015"/>
    <n v="7"/>
    <s v="N/A"/>
    <x v="3"/>
    <n v="1024.6600000000001"/>
  </r>
  <r>
    <x v="774"/>
    <x v="198"/>
    <s v="C29701"/>
    <x v="3"/>
    <n v="3"/>
    <n v="20.54"/>
    <s v="257 Main St"/>
    <x v="2"/>
    <x v="1"/>
    <s v="TRK42266846"/>
    <n v="3"/>
    <s v="FREESHIP"/>
    <x v="0"/>
    <n v="61.62"/>
  </r>
  <r>
    <x v="775"/>
    <x v="190"/>
    <s v="C73941"/>
    <x v="1"/>
    <n v="2"/>
    <n v="625.22"/>
    <s v="569 Main St"/>
    <x v="1"/>
    <x v="1"/>
    <s v="TRK22051900"/>
    <n v="5"/>
    <s v="N/A"/>
    <x v="4"/>
    <n v="1250.44"/>
  </r>
  <r>
    <x v="776"/>
    <x v="531"/>
    <s v="C69168"/>
    <x v="2"/>
    <n v="1"/>
    <n v="21.19"/>
    <s v="482 Main St"/>
    <x v="4"/>
    <x v="2"/>
    <s v="TRK10446197"/>
    <n v="5"/>
    <s v="WINTER15"/>
    <x v="4"/>
    <n v="21.19"/>
  </r>
  <r>
    <x v="777"/>
    <x v="438"/>
    <s v="C66116"/>
    <x v="3"/>
    <n v="5"/>
    <n v="64.489999999999995"/>
    <s v="633 Main St"/>
    <x v="1"/>
    <x v="1"/>
    <s v="TRK41967983"/>
    <n v="7"/>
    <s v="N/A"/>
    <x v="3"/>
    <n v="322.45"/>
  </r>
  <r>
    <x v="778"/>
    <x v="200"/>
    <s v="C85059"/>
    <x v="5"/>
    <n v="4"/>
    <n v="246.85"/>
    <s v="316 Main St"/>
    <x v="2"/>
    <x v="0"/>
    <s v="TRK56503740"/>
    <n v="8"/>
    <s v="WINTER15"/>
    <x v="4"/>
    <n v="987.4"/>
  </r>
  <r>
    <x v="779"/>
    <x v="142"/>
    <s v="C18076"/>
    <x v="1"/>
    <n v="3"/>
    <n v="588.74"/>
    <s v="751 Main St"/>
    <x v="0"/>
    <x v="4"/>
    <s v="TRK26661705"/>
    <n v="8"/>
    <s v="FREESHIP"/>
    <x v="2"/>
    <n v="1766.22"/>
  </r>
  <r>
    <x v="780"/>
    <x v="74"/>
    <s v="C41284"/>
    <x v="5"/>
    <n v="4"/>
    <n v="184.48"/>
    <s v="661 Main St"/>
    <x v="1"/>
    <x v="1"/>
    <s v="TRK73613128"/>
    <n v="4"/>
    <s v="WINTER15"/>
    <x v="4"/>
    <n v="737.92"/>
  </r>
  <r>
    <x v="781"/>
    <x v="532"/>
    <s v="C43524"/>
    <x v="1"/>
    <n v="5"/>
    <n v="524.26"/>
    <s v="934 Main St"/>
    <x v="3"/>
    <x v="3"/>
    <s v="TRK51479426"/>
    <n v="5"/>
    <s v="FREESHIP"/>
    <x v="1"/>
    <n v="2621.3000000000002"/>
  </r>
  <r>
    <x v="782"/>
    <x v="533"/>
    <s v="C58063"/>
    <x v="0"/>
    <n v="2"/>
    <n v="493.63"/>
    <s v="167 Main St"/>
    <x v="1"/>
    <x v="2"/>
    <s v="TRK50548869"/>
    <n v="6"/>
    <s v="SAVE10"/>
    <x v="1"/>
    <n v="987.26"/>
  </r>
  <r>
    <x v="783"/>
    <x v="534"/>
    <s v="C19937"/>
    <x v="4"/>
    <n v="1"/>
    <n v="438.34"/>
    <s v="281 Main St"/>
    <x v="3"/>
    <x v="2"/>
    <s v="TRK46990083"/>
    <n v="5"/>
    <s v="FREESHIP"/>
    <x v="3"/>
    <n v="438.34"/>
  </r>
  <r>
    <x v="784"/>
    <x v="535"/>
    <s v="C21191"/>
    <x v="5"/>
    <n v="1"/>
    <n v="325.81"/>
    <s v="232 Main St"/>
    <x v="2"/>
    <x v="4"/>
    <s v="TRK85771230"/>
    <n v="1"/>
    <s v="WINTER15"/>
    <x v="1"/>
    <n v="325.81"/>
  </r>
  <r>
    <x v="785"/>
    <x v="536"/>
    <s v="C45862"/>
    <x v="3"/>
    <n v="1"/>
    <n v="176.1"/>
    <s v="342 Main St"/>
    <x v="2"/>
    <x v="4"/>
    <s v="TRK53089983"/>
    <n v="1"/>
    <s v="SAVE10"/>
    <x v="0"/>
    <n v="176.1"/>
  </r>
  <r>
    <x v="786"/>
    <x v="421"/>
    <s v="C39130"/>
    <x v="3"/>
    <n v="5"/>
    <n v="45.31"/>
    <s v="774 Main St"/>
    <x v="1"/>
    <x v="1"/>
    <s v="TRK99583414"/>
    <n v="8"/>
    <s v="N/A"/>
    <x v="1"/>
    <n v="226.55"/>
  </r>
  <r>
    <x v="787"/>
    <x v="537"/>
    <s v="C18167"/>
    <x v="6"/>
    <n v="4"/>
    <n v="221.96"/>
    <s v="193 Main St"/>
    <x v="4"/>
    <x v="3"/>
    <s v="TRK36841089"/>
    <n v="7"/>
    <s v="N/A"/>
    <x v="4"/>
    <n v="887.84"/>
  </r>
  <r>
    <x v="788"/>
    <x v="208"/>
    <s v="C47307"/>
    <x v="3"/>
    <n v="2"/>
    <n v="601.42999999999995"/>
    <s v="761 Main St"/>
    <x v="1"/>
    <x v="4"/>
    <s v="TRK43516112"/>
    <n v="5"/>
    <s v="FREESHIP"/>
    <x v="0"/>
    <n v="1202.8599999999999"/>
  </r>
  <r>
    <x v="789"/>
    <x v="538"/>
    <s v="C57276"/>
    <x v="2"/>
    <n v="5"/>
    <n v="691.28"/>
    <s v="183 Main St"/>
    <x v="1"/>
    <x v="3"/>
    <s v="TRK75899752"/>
    <n v="10"/>
    <s v="SAVE10"/>
    <x v="2"/>
    <n v="3456.4"/>
  </r>
  <r>
    <x v="790"/>
    <x v="154"/>
    <s v="C38928"/>
    <x v="5"/>
    <n v="4"/>
    <n v="417.89"/>
    <s v="302 Main St"/>
    <x v="3"/>
    <x v="4"/>
    <s v="TRK96636009"/>
    <n v="4"/>
    <s v="N/A"/>
    <x v="4"/>
    <n v="1671.56"/>
  </r>
  <r>
    <x v="791"/>
    <x v="539"/>
    <s v="C49710"/>
    <x v="3"/>
    <n v="4"/>
    <n v="409.28"/>
    <s v="956 Main St"/>
    <x v="4"/>
    <x v="4"/>
    <s v="TRK92591237"/>
    <n v="8"/>
    <s v="N/A"/>
    <x v="2"/>
    <n v="1637.12"/>
  </r>
  <r>
    <x v="792"/>
    <x v="379"/>
    <s v="C41709"/>
    <x v="6"/>
    <n v="2"/>
    <n v="356.35"/>
    <s v="746 Main St"/>
    <x v="0"/>
    <x v="2"/>
    <s v="TRK90995294"/>
    <n v="6"/>
    <s v="WINTER15"/>
    <x v="3"/>
    <n v="712.7"/>
  </r>
  <r>
    <x v="793"/>
    <x v="116"/>
    <s v="C91255"/>
    <x v="3"/>
    <n v="5"/>
    <n v="170.22"/>
    <s v="769 Main St"/>
    <x v="0"/>
    <x v="3"/>
    <s v="TRK69599961"/>
    <n v="8"/>
    <s v="N/A"/>
    <x v="1"/>
    <n v="851.1"/>
  </r>
  <r>
    <x v="794"/>
    <x v="338"/>
    <s v="C76653"/>
    <x v="4"/>
    <n v="4"/>
    <n v="384.85"/>
    <s v="988 Main St"/>
    <x v="1"/>
    <x v="3"/>
    <s v="TRK77052196"/>
    <n v="9"/>
    <s v="FREESHIP"/>
    <x v="0"/>
    <n v="1539.4"/>
  </r>
  <r>
    <x v="795"/>
    <x v="540"/>
    <s v="C95667"/>
    <x v="5"/>
    <n v="4"/>
    <n v="115.77"/>
    <s v="586 Main St"/>
    <x v="1"/>
    <x v="4"/>
    <s v="TRK41266666"/>
    <n v="7"/>
    <s v="SAVE10"/>
    <x v="0"/>
    <n v="463.08"/>
  </r>
  <r>
    <x v="796"/>
    <x v="541"/>
    <s v="C33313"/>
    <x v="1"/>
    <n v="3"/>
    <n v="579.54999999999995"/>
    <s v="882 Main St"/>
    <x v="3"/>
    <x v="2"/>
    <s v="TRK13349970"/>
    <n v="8"/>
    <s v="WINTER15"/>
    <x v="3"/>
    <n v="1738.65"/>
  </r>
  <r>
    <x v="797"/>
    <x v="146"/>
    <s v="C36825"/>
    <x v="5"/>
    <n v="2"/>
    <n v="438.76"/>
    <s v="426 Main St"/>
    <x v="0"/>
    <x v="2"/>
    <s v="TRK72557318"/>
    <n v="2"/>
    <s v="N/A"/>
    <x v="3"/>
    <n v="877.52"/>
  </r>
  <r>
    <x v="798"/>
    <x v="542"/>
    <s v="C20861"/>
    <x v="1"/>
    <n v="5"/>
    <n v="488.35"/>
    <s v="968 Main St"/>
    <x v="0"/>
    <x v="2"/>
    <s v="TRK89372013"/>
    <n v="9"/>
    <s v="FREESHIP"/>
    <x v="2"/>
    <n v="2441.75"/>
  </r>
  <r>
    <x v="799"/>
    <x v="397"/>
    <s v="C26364"/>
    <x v="5"/>
    <n v="4"/>
    <n v="328.56"/>
    <s v="803 Main St"/>
    <x v="0"/>
    <x v="2"/>
    <s v="TRK78924436"/>
    <n v="4"/>
    <s v="FREESHIP"/>
    <x v="2"/>
    <n v="1314.24"/>
  </r>
  <r>
    <x v="800"/>
    <x v="210"/>
    <s v="C34686"/>
    <x v="2"/>
    <n v="1"/>
    <n v="68.39"/>
    <s v="412 Main St"/>
    <x v="1"/>
    <x v="2"/>
    <s v="TRK99468332"/>
    <n v="3"/>
    <s v="WINTER15"/>
    <x v="3"/>
    <n v="68.39"/>
  </r>
  <r>
    <x v="801"/>
    <x v="71"/>
    <s v="C97593"/>
    <x v="4"/>
    <n v="4"/>
    <n v="595.62"/>
    <s v="738 Main St"/>
    <x v="0"/>
    <x v="4"/>
    <s v="TRK58443593"/>
    <n v="8"/>
    <s v="FREESHIP"/>
    <x v="3"/>
    <n v="2382.48"/>
  </r>
  <r>
    <x v="802"/>
    <x v="11"/>
    <s v="C84331"/>
    <x v="3"/>
    <n v="5"/>
    <n v="644.64"/>
    <s v="205 Main St"/>
    <x v="3"/>
    <x v="1"/>
    <s v="TRK34440714"/>
    <n v="6"/>
    <s v="FREESHIP"/>
    <x v="2"/>
    <n v="3223.2"/>
  </r>
  <r>
    <x v="803"/>
    <x v="38"/>
    <s v="C88775"/>
    <x v="0"/>
    <n v="5"/>
    <n v="397.81"/>
    <s v="223 Main St"/>
    <x v="0"/>
    <x v="2"/>
    <s v="TRK45098068"/>
    <n v="5"/>
    <s v="SAVE10"/>
    <x v="1"/>
    <n v="1989.05"/>
  </r>
  <r>
    <x v="804"/>
    <x v="543"/>
    <s v="C76362"/>
    <x v="3"/>
    <n v="3"/>
    <n v="236.5"/>
    <s v="916 Main St"/>
    <x v="1"/>
    <x v="3"/>
    <s v="TRK11868618"/>
    <n v="8"/>
    <s v="FREESHIP"/>
    <x v="2"/>
    <n v="709.5"/>
  </r>
  <r>
    <x v="805"/>
    <x v="12"/>
    <s v="C59278"/>
    <x v="5"/>
    <n v="5"/>
    <n v="472.01"/>
    <s v="178 Main St"/>
    <x v="3"/>
    <x v="1"/>
    <s v="TRK14590037"/>
    <n v="10"/>
    <s v="SAVE10"/>
    <x v="2"/>
    <n v="2360.0500000000002"/>
  </r>
  <r>
    <x v="806"/>
    <x v="544"/>
    <s v="C55819"/>
    <x v="3"/>
    <n v="5"/>
    <n v="253.75"/>
    <s v="740 Main St"/>
    <x v="1"/>
    <x v="4"/>
    <s v="TRK13775054"/>
    <n v="9"/>
    <s v="WINTER15"/>
    <x v="0"/>
    <n v="1268.75"/>
  </r>
  <r>
    <x v="807"/>
    <x v="337"/>
    <s v="C82344"/>
    <x v="0"/>
    <n v="3"/>
    <n v="676.21"/>
    <s v="260 Main St"/>
    <x v="1"/>
    <x v="3"/>
    <s v="TRK70957219"/>
    <n v="5"/>
    <s v="SAVE10"/>
    <x v="4"/>
    <n v="2028.63"/>
  </r>
  <r>
    <x v="808"/>
    <x v="545"/>
    <s v="C65565"/>
    <x v="6"/>
    <n v="3"/>
    <n v="134.05000000000001"/>
    <s v="192 Main St"/>
    <x v="2"/>
    <x v="0"/>
    <s v="TRK80383756"/>
    <n v="3"/>
    <s v="N/A"/>
    <x v="4"/>
    <n v="402.15"/>
  </r>
  <r>
    <x v="809"/>
    <x v="398"/>
    <s v="C80416"/>
    <x v="6"/>
    <n v="5"/>
    <n v="217.43"/>
    <s v="752 Main St"/>
    <x v="0"/>
    <x v="0"/>
    <s v="TRK54385892"/>
    <n v="10"/>
    <s v="SAVE10"/>
    <x v="0"/>
    <n v="1087.1500000000001"/>
  </r>
  <r>
    <x v="810"/>
    <x v="546"/>
    <s v="C23637"/>
    <x v="2"/>
    <n v="1"/>
    <n v="553.55999999999995"/>
    <s v="644 Main St"/>
    <x v="2"/>
    <x v="1"/>
    <s v="TRK16749863"/>
    <n v="5"/>
    <s v="N/A"/>
    <x v="1"/>
    <n v="553.55999999999995"/>
  </r>
  <r>
    <x v="811"/>
    <x v="212"/>
    <s v="C24769"/>
    <x v="5"/>
    <n v="2"/>
    <n v="28.55"/>
    <s v="864 Main St"/>
    <x v="3"/>
    <x v="0"/>
    <s v="TRK44538305"/>
    <n v="7"/>
    <s v="SAVE10"/>
    <x v="2"/>
    <n v="57.1"/>
  </r>
  <r>
    <x v="812"/>
    <x v="547"/>
    <s v="C81547"/>
    <x v="1"/>
    <n v="2"/>
    <n v="255.26"/>
    <s v="803 Main St"/>
    <x v="2"/>
    <x v="1"/>
    <s v="TRK88437123"/>
    <n v="6"/>
    <s v="FREESHIP"/>
    <x v="4"/>
    <n v="510.52"/>
  </r>
  <r>
    <x v="813"/>
    <x v="175"/>
    <s v="C12813"/>
    <x v="5"/>
    <n v="5"/>
    <n v="292.54000000000002"/>
    <s v="263 Main St"/>
    <x v="0"/>
    <x v="1"/>
    <s v="TRK36131660"/>
    <n v="8"/>
    <s v="FREESHIP"/>
    <x v="2"/>
    <n v="1462.7"/>
  </r>
  <r>
    <x v="814"/>
    <x v="218"/>
    <s v="C50732"/>
    <x v="3"/>
    <n v="4"/>
    <n v="147.51"/>
    <s v="979 Main St"/>
    <x v="0"/>
    <x v="4"/>
    <s v="TRK21082461"/>
    <n v="4"/>
    <s v="WINTER15"/>
    <x v="0"/>
    <n v="590.04"/>
  </r>
  <r>
    <x v="815"/>
    <x v="548"/>
    <s v="C41320"/>
    <x v="4"/>
    <n v="3"/>
    <n v="569.84"/>
    <s v="920 Main St"/>
    <x v="3"/>
    <x v="1"/>
    <s v="TRK77539180"/>
    <n v="8"/>
    <s v="WINTER15"/>
    <x v="0"/>
    <n v="1709.52"/>
  </r>
  <r>
    <x v="816"/>
    <x v="444"/>
    <s v="C55286"/>
    <x v="2"/>
    <n v="5"/>
    <n v="574.79"/>
    <s v="497 Main St"/>
    <x v="2"/>
    <x v="4"/>
    <s v="TRK39058734"/>
    <n v="8"/>
    <s v="WINTER15"/>
    <x v="1"/>
    <n v="2873.95"/>
  </r>
  <r>
    <x v="817"/>
    <x v="469"/>
    <s v="C87994"/>
    <x v="3"/>
    <n v="4"/>
    <n v="598.19000000000005"/>
    <s v="430 Main St"/>
    <x v="2"/>
    <x v="3"/>
    <s v="TRK98883971"/>
    <n v="7"/>
    <s v="WINTER15"/>
    <x v="2"/>
    <n v="2392.7600000000002"/>
  </r>
  <r>
    <x v="818"/>
    <x v="521"/>
    <s v="C25580"/>
    <x v="1"/>
    <n v="4"/>
    <n v="390.84"/>
    <s v="860 Main St"/>
    <x v="2"/>
    <x v="1"/>
    <s v="TRK58781638"/>
    <n v="9"/>
    <s v="WINTER15"/>
    <x v="1"/>
    <n v="1563.36"/>
  </r>
  <r>
    <x v="819"/>
    <x v="335"/>
    <s v="C66196"/>
    <x v="1"/>
    <n v="2"/>
    <n v="398.45"/>
    <s v="650 Main St"/>
    <x v="0"/>
    <x v="1"/>
    <s v="TRK38104650"/>
    <n v="7"/>
    <s v="SAVE10"/>
    <x v="4"/>
    <n v="796.9"/>
  </r>
  <r>
    <x v="820"/>
    <x v="156"/>
    <s v="C35377"/>
    <x v="1"/>
    <n v="5"/>
    <n v="623.80999999999995"/>
    <s v="171 Main St"/>
    <x v="4"/>
    <x v="2"/>
    <s v="TRK17342157"/>
    <n v="6"/>
    <s v="FREESHIP"/>
    <x v="2"/>
    <n v="3119.05"/>
  </r>
  <r>
    <x v="821"/>
    <x v="549"/>
    <s v="C40771"/>
    <x v="5"/>
    <n v="4"/>
    <n v="174.49"/>
    <s v="259 Main St"/>
    <x v="2"/>
    <x v="3"/>
    <s v="TRK56310345"/>
    <n v="5"/>
    <s v="SAVE10"/>
    <x v="3"/>
    <n v="697.96"/>
  </r>
  <r>
    <x v="822"/>
    <x v="175"/>
    <s v="C20624"/>
    <x v="1"/>
    <n v="1"/>
    <n v="479.56"/>
    <s v="923 Main St"/>
    <x v="3"/>
    <x v="2"/>
    <s v="TRK45123395"/>
    <n v="1"/>
    <s v="SAVE10"/>
    <x v="4"/>
    <n v="479.56"/>
  </r>
  <r>
    <x v="823"/>
    <x v="550"/>
    <s v="C27070"/>
    <x v="5"/>
    <n v="4"/>
    <n v="653.13"/>
    <s v="973 Main St"/>
    <x v="2"/>
    <x v="0"/>
    <s v="TRK83842481"/>
    <n v="8"/>
    <s v="WINTER15"/>
    <x v="0"/>
    <n v="2612.52"/>
  </r>
  <r>
    <x v="824"/>
    <x v="193"/>
    <s v="C18826"/>
    <x v="0"/>
    <n v="3"/>
    <n v="481.1"/>
    <s v="664 Main St"/>
    <x v="2"/>
    <x v="2"/>
    <s v="TRK12530495"/>
    <n v="3"/>
    <s v="FREESHIP"/>
    <x v="3"/>
    <n v="1443.3"/>
  </r>
  <r>
    <x v="825"/>
    <x v="18"/>
    <s v="C23899"/>
    <x v="6"/>
    <n v="5"/>
    <n v="271.69"/>
    <s v="543 Main St"/>
    <x v="1"/>
    <x v="2"/>
    <s v="TRK88914760"/>
    <n v="7"/>
    <s v="FREESHIP"/>
    <x v="0"/>
    <n v="1358.45"/>
  </r>
  <r>
    <x v="826"/>
    <x v="177"/>
    <s v="C43249"/>
    <x v="4"/>
    <n v="3"/>
    <n v="463.81"/>
    <s v="283 Main St"/>
    <x v="1"/>
    <x v="2"/>
    <s v="TRK32469820"/>
    <n v="8"/>
    <s v="WINTER15"/>
    <x v="2"/>
    <n v="1391.43"/>
  </r>
  <r>
    <x v="827"/>
    <x v="551"/>
    <s v="C95856"/>
    <x v="2"/>
    <n v="2"/>
    <n v="639.88"/>
    <s v="432 Main St"/>
    <x v="4"/>
    <x v="3"/>
    <s v="TRK58829625"/>
    <n v="5"/>
    <s v="WINTER15"/>
    <x v="0"/>
    <n v="1279.76"/>
  </r>
  <r>
    <x v="828"/>
    <x v="25"/>
    <s v="C86266"/>
    <x v="3"/>
    <n v="4"/>
    <n v="404.58"/>
    <s v="510 Main St"/>
    <x v="4"/>
    <x v="0"/>
    <s v="TRK64576020"/>
    <n v="5"/>
    <s v="FREESHIP"/>
    <x v="0"/>
    <n v="1618.32"/>
  </r>
  <r>
    <x v="829"/>
    <x v="483"/>
    <s v="C39551"/>
    <x v="0"/>
    <n v="1"/>
    <n v="76.930000000000007"/>
    <s v="685 Main St"/>
    <x v="0"/>
    <x v="3"/>
    <s v="TRK68358007"/>
    <n v="6"/>
    <s v="WINTER15"/>
    <x v="0"/>
    <n v="76.930000000000007"/>
  </r>
  <r>
    <x v="830"/>
    <x v="218"/>
    <s v="C90310"/>
    <x v="2"/>
    <n v="4"/>
    <n v="190.64"/>
    <s v="853 Main St"/>
    <x v="4"/>
    <x v="3"/>
    <s v="TRK70028457"/>
    <n v="5"/>
    <s v="SAVE10"/>
    <x v="2"/>
    <n v="762.56"/>
  </r>
  <r>
    <x v="831"/>
    <x v="552"/>
    <s v="C20124"/>
    <x v="4"/>
    <n v="2"/>
    <n v="88.73"/>
    <s v="140 Main St"/>
    <x v="1"/>
    <x v="4"/>
    <s v="TRK61346824"/>
    <n v="5"/>
    <s v="N/A"/>
    <x v="4"/>
    <n v="177.46"/>
  </r>
  <r>
    <x v="832"/>
    <x v="553"/>
    <s v="C63372"/>
    <x v="3"/>
    <n v="5"/>
    <n v="485.71"/>
    <s v="903 Main St"/>
    <x v="1"/>
    <x v="4"/>
    <s v="TRK14661811"/>
    <n v="10"/>
    <s v="SAVE10"/>
    <x v="1"/>
    <n v="2428.5500000000002"/>
  </r>
  <r>
    <x v="833"/>
    <x v="387"/>
    <s v="C90595"/>
    <x v="1"/>
    <n v="5"/>
    <n v="78.290000000000006"/>
    <s v="508 Main St"/>
    <x v="2"/>
    <x v="0"/>
    <s v="TRK96573803"/>
    <n v="5"/>
    <s v="WINTER15"/>
    <x v="1"/>
    <n v="391.45"/>
  </r>
  <r>
    <x v="834"/>
    <x v="166"/>
    <s v="C98483"/>
    <x v="4"/>
    <n v="5"/>
    <n v="22.14"/>
    <s v="456 Main St"/>
    <x v="4"/>
    <x v="2"/>
    <s v="TRK22084320"/>
    <n v="10"/>
    <s v="N/A"/>
    <x v="0"/>
    <n v="110.7"/>
  </r>
  <r>
    <x v="835"/>
    <x v="290"/>
    <s v="C16429"/>
    <x v="6"/>
    <n v="1"/>
    <n v="679.65"/>
    <s v="390 Main St"/>
    <x v="0"/>
    <x v="0"/>
    <s v="TRK73888013"/>
    <n v="6"/>
    <s v="FREESHIP"/>
    <x v="4"/>
    <n v="679.65"/>
  </r>
  <r>
    <x v="836"/>
    <x v="488"/>
    <s v="C31810"/>
    <x v="1"/>
    <n v="1"/>
    <n v="178.44"/>
    <s v="328 Main St"/>
    <x v="2"/>
    <x v="1"/>
    <s v="TRK58725886"/>
    <n v="2"/>
    <s v="FREESHIP"/>
    <x v="4"/>
    <n v="178.44"/>
  </r>
  <r>
    <x v="837"/>
    <x v="554"/>
    <s v="C88029"/>
    <x v="3"/>
    <n v="5"/>
    <n v="655.55"/>
    <s v="282 Main St"/>
    <x v="1"/>
    <x v="3"/>
    <s v="TRK59701278"/>
    <n v="5"/>
    <s v="N/A"/>
    <x v="2"/>
    <n v="3277.75"/>
  </r>
  <r>
    <x v="838"/>
    <x v="166"/>
    <s v="C57798"/>
    <x v="6"/>
    <n v="4"/>
    <n v="577.08000000000004"/>
    <s v="384 Main St"/>
    <x v="1"/>
    <x v="4"/>
    <s v="TRK68797566"/>
    <n v="8"/>
    <s v="N/A"/>
    <x v="3"/>
    <n v="2308.3200000000002"/>
  </r>
  <r>
    <x v="839"/>
    <x v="318"/>
    <s v="C82858"/>
    <x v="3"/>
    <n v="3"/>
    <n v="197.97"/>
    <s v="551 Main St"/>
    <x v="1"/>
    <x v="1"/>
    <s v="TRK90618490"/>
    <n v="5"/>
    <s v="N/A"/>
    <x v="4"/>
    <n v="593.91"/>
  </r>
  <r>
    <x v="840"/>
    <x v="555"/>
    <s v="C60699"/>
    <x v="3"/>
    <n v="3"/>
    <n v="411.95"/>
    <s v="672 Main St"/>
    <x v="2"/>
    <x v="3"/>
    <s v="TRK88660574"/>
    <n v="7"/>
    <s v="FREESHIP"/>
    <x v="1"/>
    <n v="1235.8499999999999"/>
  </r>
  <r>
    <x v="841"/>
    <x v="556"/>
    <s v="C94658"/>
    <x v="4"/>
    <n v="2"/>
    <n v="443.22"/>
    <s v="742 Main St"/>
    <x v="2"/>
    <x v="3"/>
    <s v="TRK51732528"/>
    <n v="5"/>
    <s v="N/A"/>
    <x v="3"/>
    <n v="886.44"/>
  </r>
  <r>
    <x v="842"/>
    <x v="106"/>
    <s v="C78305"/>
    <x v="5"/>
    <n v="3"/>
    <n v="364.14"/>
    <s v="396 Main St"/>
    <x v="1"/>
    <x v="4"/>
    <s v="TRK88312618"/>
    <n v="7"/>
    <s v="WINTER15"/>
    <x v="1"/>
    <n v="1092.42"/>
  </r>
  <r>
    <x v="843"/>
    <x v="557"/>
    <s v="C43538"/>
    <x v="6"/>
    <n v="3"/>
    <n v="430.06"/>
    <s v="534 Main St"/>
    <x v="3"/>
    <x v="1"/>
    <s v="TRK20961563"/>
    <n v="8"/>
    <s v="FREESHIP"/>
    <x v="0"/>
    <n v="1290.18"/>
  </r>
  <r>
    <x v="844"/>
    <x v="558"/>
    <s v="C47486"/>
    <x v="3"/>
    <n v="1"/>
    <n v="320.92"/>
    <s v="883 Main St"/>
    <x v="1"/>
    <x v="2"/>
    <s v="TRK75984759"/>
    <n v="5"/>
    <s v="FREESHIP"/>
    <x v="3"/>
    <n v="320.92"/>
  </r>
  <r>
    <x v="845"/>
    <x v="345"/>
    <s v="C24212"/>
    <x v="1"/>
    <n v="3"/>
    <n v="107.36"/>
    <s v="808 Main St"/>
    <x v="3"/>
    <x v="3"/>
    <s v="TRK68894675"/>
    <n v="5"/>
    <s v="FREESHIP"/>
    <x v="4"/>
    <n v="322.08"/>
  </r>
  <r>
    <x v="846"/>
    <x v="502"/>
    <s v="C24765"/>
    <x v="6"/>
    <n v="2"/>
    <n v="359.86"/>
    <s v="646 Main St"/>
    <x v="0"/>
    <x v="1"/>
    <s v="TRK43977698"/>
    <n v="4"/>
    <s v="N/A"/>
    <x v="1"/>
    <n v="719.72"/>
  </r>
  <r>
    <x v="847"/>
    <x v="249"/>
    <s v="C48176"/>
    <x v="4"/>
    <n v="4"/>
    <n v="434.23"/>
    <s v="670 Main St"/>
    <x v="1"/>
    <x v="0"/>
    <s v="TRK90560300"/>
    <n v="8"/>
    <s v="FREESHIP"/>
    <x v="2"/>
    <n v="1736.92"/>
  </r>
  <r>
    <x v="848"/>
    <x v="107"/>
    <s v="C54675"/>
    <x v="3"/>
    <n v="2"/>
    <n v="645.85"/>
    <s v="634 Main St"/>
    <x v="1"/>
    <x v="0"/>
    <s v="TRK18049633"/>
    <n v="5"/>
    <s v="N/A"/>
    <x v="1"/>
    <n v="1291.7"/>
  </r>
  <r>
    <x v="849"/>
    <x v="559"/>
    <s v="C16675"/>
    <x v="4"/>
    <n v="4"/>
    <n v="214.35"/>
    <s v="664 Main St"/>
    <x v="0"/>
    <x v="1"/>
    <s v="TRK12756945"/>
    <n v="7"/>
    <s v="WINTER15"/>
    <x v="1"/>
    <n v="857.4"/>
  </r>
  <r>
    <x v="850"/>
    <x v="560"/>
    <s v="C38557"/>
    <x v="0"/>
    <n v="3"/>
    <n v="638.5"/>
    <s v="890 Main St"/>
    <x v="0"/>
    <x v="1"/>
    <s v="TRK14832238"/>
    <n v="4"/>
    <s v="FREESHIP"/>
    <x v="0"/>
    <n v="1915.5"/>
  </r>
  <r>
    <x v="851"/>
    <x v="427"/>
    <s v="C80183"/>
    <x v="5"/>
    <n v="1"/>
    <n v="365.57"/>
    <s v="146 Main St"/>
    <x v="1"/>
    <x v="1"/>
    <s v="TRK20814598"/>
    <n v="5"/>
    <s v="SAVE10"/>
    <x v="2"/>
    <n v="365.57"/>
  </r>
  <r>
    <x v="852"/>
    <x v="101"/>
    <s v="C39530"/>
    <x v="6"/>
    <n v="3"/>
    <n v="568.04999999999995"/>
    <s v="618 Main St"/>
    <x v="3"/>
    <x v="4"/>
    <s v="TRK69000497"/>
    <n v="6"/>
    <s v="SAVE10"/>
    <x v="4"/>
    <n v="1704.15"/>
  </r>
  <r>
    <x v="853"/>
    <x v="504"/>
    <s v="C10002"/>
    <x v="4"/>
    <n v="3"/>
    <n v="490.01"/>
    <s v="894 Main St"/>
    <x v="4"/>
    <x v="2"/>
    <s v="TRK94641152"/>
    <n v="4"/>
    <s v="SAVE10"/>
    <x v="3"/>
    <n v="1470.03"/>
  </r>
  <r>
    <x v="854"/>
    <x v="399"/>
    <s v="C56938"/>
    <x v="5"/>
    <n v="3"/>
    <n v="372.6"/>
    <s v="356 Main St"/>
    <x v="2"/>
    <x v="3"/>
    <s v="TRK67735987"/>
    <n v="7"/>
    <s v="WINTER15"/>
    <x v="1"/>
    <n v="1117.8"/>
  </r>
  <r>
    <x v="855"/>
    <x v="551"/>
    <s v="C41331"/>
    <x v="0"/>
    <n v="5"/>
    <n v="240.61"/>
    <s v="785 Main St"/>
    <x v="2"/>
    <x v="0"/>
    <s v="TRK94198179"/>
    <n v="10"/>
    <s v="FREESHIP"/>
    <x v="2"/>
    <n v="1203.05"/>
  </r>
  <r>
    <x v="856"/>
    <x v="561"/>
    <s v="C94698"/>
    <x v="1"/>
    <n v="1"/>
    <n v="586.62"/>
    <s v="871 Main St"/>
    <x v="0"/>
    <x v="0"/>
    <s v="TRK95768773"/>
    <n v="5"/>
    <s v="N/A"/>
    <x v="3"/>
    <n v="586.62"/>
  </r>
  <r>
    <x v="857"/>
    <x v="416"/>
    <s v="C56506"/>
    <x v="1"/>
    <n v="3"/>
    <n v="257.83999999999997"/>
    <s v="185 Main St"/>
    <x v="1"/>
    <x v="3"/>
    <s v="TRK86808324"/>
    <n v="4"/>
    <s v="N/A"/>
    <x v="0"/>
    <n v="773.52"/>
  </r>
  <r>
    <x v="858"/>
    <x v="38"/>
    <s v="C22167"/>
    <x v="2"/>
    <n v="5"/>
    <n v="435.66"/>
    <s v="891 Main St"/>
    <x v="1"/>
    <x v="4"/>
    <s v="TRK70269748"/>
    <n v="9"/>
    <s v="N/A"/>
    <x v="3"/>
    <n v="2178.3000000000002"/>
  </r>
  <r>
    <x v="859"/>
    <x v="562"/>
    <s v="C11127"/>
    <x v="3"/>
    <n v="5"/>
    <n v="261.33"/>
    <s v="154 Main St"/>
    <x v="2"/>
    <x v="2"/>
    <s v="TRK73285507"/>
    <n v="5"/>
    <s v="SAVE10"/>
    <x v="1"/>
    <n v="1306.6500000000001"/>
  </r>
  <r>
    <x v="860"/>
    <x v="514"/>
    <s v="C69542"/>
    <x v="4"/>
    <n v="1"/>
    <n v="422.54"/>
    <s v="876 Main St"/>
    <x v="4"/>
    <x v="3"/>
    <s v="TRK20746505"/>
    <n v="1"/>
    <s v="SAVE10"/>
    <x v="4"/>
    <n v="422.54"/>
  </r>
  <r>
    <x v="861"/>
    <x v="111"/>
    <s v="C93276"/>
    <x v="6"/>
    <n v="5"/>
    <n v="330.45"/>
    <s v="230 Main St"/>
    <x v="3"/>
    <x v="0"/>
    <s v="TRK44165913"/>
    <n v="10"/>
    <s v="FREESHIP"/>
    <x v="4"/>
    <n v="1652.25"/>
  </r>
  <r>
    <x v="862"/>
    <x v="278"/>
    <s v="C37969"/>
    <x v="6"/>
    <n v="3"/>
    <n v="120.82"/>
    <s v="799 Main St"/>
    <x v="2"/>
    <x v="0"/>
    <s v="TRK69852386"/>
    <n v="5"/>
    <s v="SAVE10"/>
    <x v="1"/>
    <n v="362.46"/>
  </r>
  <r>
    <x v="863"/>
    <x v="199"/>
    <s v="C98276"/>
    <x v="1"/>
    <n v="1"/>
    <n v="14.06"/>
    <s v="471 Main St"/>
    <x v="2"/>
    <x v="4"/>
    <s v="TRK74207282"/>
    <n v="5"/>
    <s v="SAVE10"/>
    <x v="1"/>
    <n v="14.06"/>
  </r>
  <r>
    <x v="864"/>
    <x v="71"/>
    <s v="C14240"/>
    <x v="6"/>
    <n v="1"/>
    <n v="491.11"/>
    <s v="592 Main St"/>
    <x v="2"/>
    <x v="3"/>
    <s v="TRK58095246"/>
    <n v="4"/>
    <s v="SAVE10"/>
    <x v="3"/>
    <n v="491.11"/>
  </r>
  <r>
    <x v="865"/>
    <x v="563"/>
    <s v="C72241"/>
    <x v="0"/>
    <n v="4"/>
    <n v="677.37"/>
    <s v="156 Main St"/>
    <x v="4"/>
    <x v="4"/>
    <s v="TRK76270481"/>
    <n v="8"/>
    <s v="SAVE10"/>
    <x v="4"/>
    <n v="2709.48"/>
  </r>
  <r>
    <x v="866"/>
    <x v="503"/>
    <s v="C39664"/>
    <x v="6"/>
    <n v="5"/>
    <n v="189.25"/>
    <s v="693 Main St"/>
    <x v="0"/>
    <x v="1"/>
    <s v="TRK39917741"/>
    <n v="10"/>
    <s v="WINTER15"/>
    <x v="2"/>
    <n v="946.25"/>
  </r>
  <r>
    <x v="867"/>
    <x v="564"/>
    <s v="C53252"/>
    <x v="4"/>
    <n v="4"/>
    <n v="142.58000000000001"/>
    <s v="351 Main St"/>
    <x v="4"/>
    <x v="3"/>
    <s v="TRK65831261"/>
    <n v="4"/>
    <s v="FREESHIP"/>
    <x v="3"/>
    <n v="570.32000000000005"/>
  </r>
  <r>
    <x v="868"/>
    <x v="310"/>
    <s v="C70452"/>
    <x v="0"/>
    <n v="4"/>
    <n v="316.32"/>
    <s v="309 Main St"/>
    <x v="0"/>
    <x v="3"/>
    <s v="TRK42985882"/>
    <n v="7"/>
    <s v="N/A"/>
    <x v="3"/>
    <n v="1265.28"/>
  </r>
  <r>
    <x v="869"/>
    <x v="537"/>
    <s v="C29905"/>
    <x v="6"/>
    <n v="2"/>
    <n v="533.95000000000005"/>
    <s v="790 Main St"/>
    <x v="1"/>
    <x v="3"/>
    <s v="TRK16788127"/>
    <n v="5"/>
    <s v="WINTER15"/>
    <x v="4"/>
    <n v="1067.9000000000001"/>
  </r>
  <r>
    <x v="870"/>
    <x v="565"/>
    <s v="C78725"/>
    <x v="1"/>
    <n v="4"/>
    <n v="470.09"/>
    <s v="541 Main St"/>
    <x v="0"/>
    <x v="3"/>
    <s v="TRK72001139"/>
    <n v="4"/>
    <s v="FREESHIP"/>
    <x v="4"/>
    <n v="1880.36"/>
  </r>
  <r>
    <x v="871"/>
    <x v="149"/>
    <s v="C93768"/>
    <x v="2"/>
    <n v="3"/>
    <n v="324.3"/>
    <s v="720 Main St"/>
    <x v="0"/>
    <x v="4"/>
    <s v="TRK22024707"/>
    <n v="8"/>
    <s v="FREESHIP"/>
    <x v="2"/>
    <n v="972.90000000000009"/>
  </r>
  <r>
    <x v="872"/>
    <x v="566"/>
    <s v="C59169"/>
    <x v="3"/>
    <n v="4"/>
    <n v="629.34"/>
    <s v="172 Main St"/>
    <x v="4"/>
    <x v="0"/>
    <s v="TRK90883858"/>
    <n v="7"/>
    <s v="N/A"/>
    <x v="2"/>
    <n v="2517.36"/>
  </r>
  <r>
    <x v="873"/>
    <x v="258"/>
    <s v="C53488"/>
    <x v="6"/>
    <n v="3"/>
    <n v="136.84"/>
    <s v="448 Main St"/>
    <x v="4"/>
    <x v="3"/>
    <s v="TRK27365050"/>
    <n v="3"/>
    <s v="SAVE10"/>
    <x v="3"/>
    <n v="410.52"/>
  </r>
  <r>
    <x v="874"/>
    <x v="150"/>
    <s v="C92180"/>
    <x v="3"/>
    <n v="2"/>
    <n v="488.9"/>
    <s v="632 Main St"/>
    <x v="4"/>
    <x v="3"/>
    <s v="TRK93315929"/>
    <n v="7"/>
    <s v="FREESHIP"/>
    <x v="3"/>
    <n v="977.8"/>
  </r>
  <r>
    <x v="875"/>
    <x v="567"/>
    <s v="C25918"/>
    <x v="5"/>
    <n v="5"/>
    <n v="133.38999999999999"/>
    <s v="203 Main St"/>
    <x v="2"/>
    <x v="3"/>
    <s v="TRK66473392"/>
    <n v="6"/>
    <s v="FREESHIP"/>
    <x v="1"/>
    <n v="666.94999999999993"/>
  </r>
  <r>
    <x v="876"/>
    <x v="410"/>
    <s v="C90363"/>
    <x v="3"/>
    <n v="5"/>
    <n v="608.91"/>
    <s v="200 Main St"/>
    <x v="3"/>
    <x v="4"/>
    <s v="TRK21534173"/>
    <n v="6"/>
    <s v="SAVE10"/>
    <x v="4"/>
    <n v="3044.55"/>
  </r>
  <r>
    <x v="877"/>
    <x v="568"/>
    <s v="C43867"/>
    <x v="2"/>
    <n v="1"/>
    <n v="524.05999999999995"/>
    <s v="269 Main St"/>
    <x v="0"/>
    <x v="4"/>
    <s v="TRK97319127"/>
    <n v="3"/>
    <s v="FREESHIP"/>
    <x v="2"/>
    <n v="524.05999999999995"/>
  </r>
  <r>
    <x v="878"/>
    <x v="569"/>
    <s v="C73873"/>
    <x v="6"/>
    <n v="2"/>
    <n v="330.69"/>
    <s v="393 Main St"/>
    <x v="1"/>
    <x v="1"/>
    <s v="TRK56423132"/>
    <n v="5"/>
    <s v="SAVE10"/>
    <x v="4"/>
    <n v="661.38"/>
  </r>
  <r>
    <x v="879"/>
    <x v="428"/>
    <s v="C56622"/>
    <x v="1"/>
    <n v="2"/>
    <n v="547.66999999999996"/>
    <s v="932 Main St"/>
    <x v="3"/>
    <x v="0"/>
    <s v="TRK86373987"/>
    <n v="3"/>
    <s v="N/A"/>
    <x v="0"/>
    <n v="1095.3399999999999"/>
  </r>
  <r>
    <x v="880"/>
    <x v="495"/>
    <s v="C85074"/>
    <x v="5"/>
    <n v="4"/>
    <n v="233.7"/>
    <s v="506 Main St"/>
    <x v="1"/>
    <x v="0"/>
    <s v="TRK63133878"/>
    <n v="8"/>
    <s v="SAVE10"/>
    <x v="3"/>
    <n v="934.8"/>
  </r>
  <r>
    <x v="881"/>
    <x v="570"/>
    <s v="C59579"/>
    <x v="2"/>
    <n v="2"/>
    <n v="448.85"/>
    <s v="386 Main St"/>
    <x v="2"/>
    <x v="4"/>
    <s v="TRK48000034"/>
    <n v="6"/>
    <s v="N/A"/>
    <x v="0"/>
    <n v="897.7"/>
  </r>
  <r>
    <x v="882"/>
    <x v="164"/>
    <s v="C43335"/>
    <x v="1"/>
    <n v="2"/>
    <n v="274.12"/>
    <s v="533 Main St"/>
    <x v="4"/>
    <x v="3"/>
    <s v="TRK91848650"/>
    <n v="6"/>
    <s v="FREESHIP"/>
    <x v="1"/>
    <n v="548.24"/>
  </r>
  <r>
    <x v="883"/>
    <x v="557"/>
    <s v="C43595"/>
    <x v="4"/>
    <n v="5"/>
    <n v="561.48"/>
    <s v="451 Main St"/>
    <x v="1"/>
    <x v="3"/>
    <s v="TRK25317348"/>
    <n v="9"/>
    <s v="FREESHIP"/>
    <x v="3"/>
    <n v="2807.4"/>
  </r>
  <r>
    <x v="884"/>
    <x v="571"/>
    <s v="C71471"/>
    <x v="3"/>
    <n v="1"/>
    <n v="595.54"/>
    <s v="817 Main St"/>
    <x v="3"/>
    <x v="0"/>
    <s v="TRK52137079"/>
    <n v="4"/>
    <s v="N/A"/>
    <x v="0"/>
    <n v="595.54"/>
  </r>
  <r>
    <x v="885"/>
    <x v="158"/>
    <s v="C61090"/>
    <x v="5"/>
    <n v="4"/>
    <n v="515.59"/>
    <s v="387 Main St"/>
    <x v="2"/>
    <x v="0"/>
    <s v="TRK36388962"/>
    <n v="7"/>
    <s v="FREESHIP"/>
    <x v="4"/>
    <n v="2062.36"/>
  </r>
  <r>
    <x v="886"/>
    <x v="385"/>
    <s v="C29620"/>
    <x v="1"/>
    <n v="1"/>
    <n v="460.13"/>
    <s v="792 Main St"/>
    <x v="2"/>
    <x v="2"/>
    <s v="TRK22046456"/>
    <n v="1"/>
    <s v="N/A"/>
    <x v="4"/>
    <n v="460.13"/>
  </r>
  <r>
    <x v="887"/>
    <x v="36"/>
    <s v="C67932"/>
    <x v="3"/>
    <n v="3"/>
    <n v="171.66"/>
    <s v="857 Main St"/>
    <x v="0"/>
    <x v="3"/>
    <s v="TRK88547534"/>
    <n v="7"/>
    <s v="N/A"/>
    <x v="4"/>
    <n v="514.98"/>
  </r>
  <r>
    <x v="888"/>
    <x v="572"/>
    <s v="C14427"/>
    <x v="5"/>
    <n v="2"/>
    <n v="266.95"/>
    <s v="833 Main St"/>
    <x v="2"/>
    <x v="4"/>
    <s v="TRK58024529"/>
    <n v="3"/>
    <s v="N/A"/>
    <x v="0"/>
    <n v="533.9"/>
  </r>
  <r>
    <x v="889"/>
    <x v="245"/>
    <s v="C36725"/>
    <x v="0"/>
    <n v="5"/>
    <n v="650.72"/>
    <s v="350 Main St"/>
    <x v="2"/>
    <x v="1"/>
    <s v="TRK16808790"/>
    <n v="8"/>
    <s v="WINTER15"/>
    <x v="2"/>
    <n v="3253.6"/>
  </r>
  <r>
    <x v="890"/>
    <x v="178"/>
    <s v="C51921"/>
    <x v="5"/>
    <n v="3"/>
    <n v="439.53"/>
    <s v="943 Main St"/>
    <x v="0"/>
    <x v="4"/>
    <s v="TRK85741716"/>
    <n v="5"/>
    <s v="N/A"/>
    <x v="4"/>
    <n v="1318.59"/>
  </r>
  <r>
    <x v="891"/>
    <x v="433"/>
    <s v="C36534"/>
    <x v="0"/>
    <n v="3"/>
    <n v="654.54"/>
    <s v="918 Main St"/>
    <x v="4"/>
    <x v="2"/>
    <s v="TRK38952138"/>
    <n v="7"/>
    <s v="SAVE10"/>
    <x v="1"/>
    <n v="1963.62"/>
  </r>
  <r>
    <x v="892"/>
    <x v="573"/>
    <s v="C72043"/>
    <x v="6"/>
    <n v="1"/>
    <n v="394.53"/>
    <s v="480 Main St"/>
    <x v="4"/>
    <x v="0"/>
    <s v="TRK40896408"/>
    <n v="2"/>
    <s v="FREESHIP"/>
    <x v="1"/>
    <n v="394.53"/>
  </r>
  <r>
    <x v="893"/>
    <x v="574"/>
    <s v="C99533"/>
    <x v="0"/>
    <n v="1"/>
    <n v="678.01"/>
    <s v="696 Main St"/>
    <x v="4"/>
    <x v="4"/>
    <s v="TRK55701253"/>
    <n v="4"/>
    <s v="FREESHIP"/>
    <x v="1"/>
    <n v="678.01"/>
  </r>
  <r>
    <x v="894"/>
    <x v="575"/>
    <s v="C90852"/>
    <x v="2"/>
    <n v="3"/>
    <n v="575.01"/>
    <s v="852 Main St"/>
    <x v="1"/>
    <x v="1"/>
    <s v="TRK37551831"/>
    <n v="8"/>
    <s v="WINTER15"/>
    <x v="0"/>
    <n v="1725.03"/>
  </r>
  <r>
    <x v="895"/>
    <x v="576"/>
    <s v="C81882"/>
    <x v="3"/>
    <n v="3"/>
    <n v="154.63999999999999"/>
    <s v="832 Main St"/>
    <x v="0"/>
    <x v="4"/>
    <s v="TRK62371264"/>
    <n v="6"/>
    <s v="WINTER15"/>
    <x v="3"/>
    <n v="463.92"/>
  </r>
  <r>
    <x v="896"/>
    <x v="266"/>
    <s v="C85466"/>
    <x v="6"/>
    <n v="3"/>
    <n v="147.29"/>
    <s v="102 Main St"/>
    <x v="3"/>
    <x v="0"/>
    <s v="TRK66764177"/>
    <n v="3"/>
    <s v="FREESHIP"/>
    <x v="4"/>
    <n v="441.87"/>
  </r>
  <r>
    <x v="897"/>
    <x v="459"/>
    <s v="C87995"/>
    <x v="5"/>
    <n v="4"/>
    <n v="481.48"/>
    <s v="358 Main St"/>
    <x v="3"/>
    <x v="3"/>
    <s v="TRK38730545"/>
    <n v="5"/>
    <s v="SAVE10"/>
    <x v="0"/>
    <n v="1925.92"/>
  </r>
  <r>
    <x v="898"/>
    <x v="376"/>
    <s v="C44619"/>
    <x v="0"/>
    <n v="3"/>
    <n v="158.37"/>
    <s v="742 Main St"/>
    <x v="4"/>
    <x v="0"/>
    <s v="TRK66662528"/>
    <n v="6"/>
    <s v="N/A"/>
    <x v="1"/>
    <n v="475.11"/>
  </r>
  <r>
    <x v="899"/>
    <x v="577"/>
    <s v="C99904"/>
    <x v="4"/>
    <n v="2"/>
    <n v="323.37"/>
    <s v="552 Main St"/>
    <x v="1"/>
    <x v="4"/>
    <s v="TRK83843411"/>
    <n v="3"/>
    <s v="SAVE10"/>
    <x v="0"/>
    <n v="646.74"/>
  </r>
  <r>
    <x v="900"/>
    <x v="492"/>
    <s v="C52342"/>
    <x v="5"/>
    <n v="5"/>
    <n v="73.83"/>
    <s v="991 Main St"/>
    <x v="0"/>
    <x v="4"/>
    <s v="TRK67342586"/>
    <n v="9"/>
    <s v="N/A"/>
    <x v="0"/>
    <n v="369.15"/>
  </r>
  <r>
    <x v="901"/>
    <x v="578"/>
    <s v="C44277"/>
    <x v="2"/>
    <n v="1"/>
    <n v="458.63"/>
    <s v="839 Main St"/>
    <x v="0"/>
    <x v="2"/>
    <s v="TRK79321479"/>
    <n v="4"/>
    <s v="WINTER15"/>
    <x v="1"/>
    <n v="458.63"/>
  </r>
  <r>
    <x v="902"/>
    <x v="579"/>
    <s v="C61162"/>
    <x v="0"/>
    <n v="4"/>
    <n v="180.25"/>
    <s v="813 Main St"/>
    <x v="0"/>
    <x v="1"/>
    <s v="TRK76712124"/>
    <n v="7"/>
    <s v="N/A"/>
    <x v="3"/>
    <n v="721"/>
  </r>
  <r>
    <x v="903"/>
    <x v="209"/>
    <s v="C80868"/>
    <x v="0"/>
    <n v="3"/>
    <n v="473.49"/>
    <s v="205 Main St"/>
    <x v="2"/>
    <x v="4"/>
    <s v="TRK56186636"/>
    <n v="7"/>
    <s v="N/A"/>
    <x v="2"/>
    <n v="1420.47"/>
  </r>
  <r>
    <x v="904"/>
    <x v="580"/>
    <s v="C16693"/>
    <x v="0"/>
    <n v="4"/>
    <n v="237.43"/>
    <s v="262 Main St"/>
    <x v="4"/>
    <x v="1"/>
    <s v="TRK41146508"/>
    <n v="8"/>
    <s v="WINTER15"/>
    <x v="1"/>
    <n v="949.72"/>
  </r>
  <r>
    <x v="905"/>
    <x v="581"/>
    <s v="C67818"/>
    <x v="5"/>
    <n v="1"/>
    <n v="442.39"/>
    <s v="101 Main St"/>
    <x v="3"/>
    <x v="4"/>
    <s v="TRK81978113"/>
    <n v="6"/>
    <s v="FREESHIP"/>
    <x v="3"/>
    <n v="442.39"/>
  </r>
  <r>
    <x v="906"/>
    <x v="459"/>
    <s v="C49938"/>
    <x v="0"/>
    <n v="1"/>
    <n v="62.12"/>
    <s v="141 Main St"/>
    <x v="4"/>
    <x v="2"/>
    <s v="TRK80175572"/>
    <n v="2"/>
    <s v="N/A"/>
    <x v="2"/>
    <n v="62.12"/>
  </r>
  <r>
    <x v="907"/>
    <x v="548"/>
    <s v="C90898"/>
    <x v="6"/>
    <n v="5"/>
    <n v="298.39"/>
    <s v="583 Main St"/>
    <x v="3"/>
    <x v="1"/>
    <s v="TRK52935170"/>
    <n v="7"/>
    <s v="WINTER15"/>
    <x v="1"/>
    <n v="1491.95"/>
  </r>
  <r>
    <x v="908"/>
    <x v="138"/>
    <s v="C35117"/>
    <x v="6"/>
    <n v="2"/>
    <n v="697.93"/>
    <s v="332 Main St"/>
    <x v="2"/>
    <x v="1"/>
    <s v="TRK27155709"/>
    <n v="2"/>
    <s v="SAVE10"/>
    <x v="4"/>
    <n v="1395.86"/>
  </r>
  <r>
    <x v="909"/>
    <x v="582"/>
    <s v="C60203"/>
    <x v="2"/>
    <n v="2"/>
    <n v="291.85000000000002"/>
    <s v="569 Main St"/>
    <x v="4"/>
    <x v="0"/>
    <s v="TRK76525279"/>
    <n v="5"/>
    <s v="FREESHIP"/>
    <x v="0"/>
    <n v="583.70000000000005"/>
  </r>
  <r>
    <x v="910"/>
    <x v="583"/>
    <s v="C36174"/>
    <x v="4"/>
    <n v="3"/>
    <n v="308.98"/>
    <s v="348 Main St"/>
    <x v="4"/>
    <x v="3"/>
    <s v="TRK26397548"/>
    <n v="3"/>
    <s v="SAVE10"/>
    <x v="0"/>
    <n v="926.94"/>
  </r>
  <r>
    <x v="911"/>
    <x v="584"/>
    <s v="C80872"/>
    <x v="6"/>
    <n v="5"/>
    <n v="396.86"/>
    <s v="593 Main St"/>
    <x v="4"/>
    <x v="1"/>
    <s v="TRK43967487"/>
    <n v="9"/>
    <s v="SAVE10"/>
    <x v="0"/>
    <n v="1984.3"/>
  </r>
  <r>
    <x v="912"/>
    <x v="585"/>
    <s v="C67604"/>
    <x v="6"/>
    <n v="2"/>
    <n v="139.69"/>
    <s v="318 Main St"/>
    <x v="1"/>
    <x v="2"/>
    <s v="TRK85545920"/>
    <n v="7"/>
    <s v="FREESHIP"/>
    <x v="2"/>
    <n v="279.38"/>
  </r>
  <r>
    <x v="913"/>
    <x v="223"/>
    <s v="C45599"/>
    <x v="4"/>
    <n v="5"/>
    <n v="475.95"/>
    <s v="505 Main St"/>
    <x v="2"/>
    <x v="2"/>
    <s v="TRK62277685"/>
    <n v="8"/>
    <s v="WINTER15"/>
    <x v="3"/>
    <n v="2379.75"/>
  </r>
  <r>
    <x v="914"/>
    <x v="441"/>
    <s v="C70352"/>
    <x v="6"/>
    <n v="1"/>
    <n v="626.6"/>
    <s v="955 Main St"/>
    <x v="3"/>
    <x v="2"/>
    <s v="TRK51589589"/>
    <n v="4"/>
    <s v="WINTER15"/>
    <x v="3"/>
    <n v="626.6"/>
  </r>
  <r>
    <x v="915"/>
    <x v="586"/>
    <s v="C20643"/>
    <x v="5"/>
    <n v="4"/>
    <n v="502.99"/>
    <s v="939 Main St"/>
    <x v="0"/>
    <x v="0"/>
    <s v="TRK30736692"/>
    <n v="4"/>
    <s v="WINTER15"/>
    <x v="1"/>
    <n v="2011.96"/>
  </r>
  <r>
    <x v="916"/>
    <x v="587"/>
    <s v="C35669"/>
    <x v="4"/>
    <n v="5"/>
    <n v="578.83000000000004"/>
    <s v="165 Main St"/>
    <x v="4"/>
    <x v="2"/>
    <s v="TRK13928455"/>
    <n v="6"/>
    <s v="N/A"/>
    <x v="1"/>
    <n v="2894.15"/>
  </r>
  <r>
    <x v="917"/>
    <x v="588"/>
    <s v="C65524"/>
    <x v="5"/>
    <n v="5"/>
    <n v="383.82"/>
    <s v="836 Main St"/>
    <x v="2"/>
    <x v="2"/>
    <s v="TRK19315310"/>
    <n v="7"/>
    <s v="FREESHIP"/>
    <x v="4"/>
    <n v="1919.1"/>
  </r>
  <r>
    <x v="918"/>
    <x v="53"/>
    <s v="C74359"/>
    <x v="5"/>
    <n v="5"/>
    <n v="368.25"/>
    <s v="706 Main St"/>
    <x v="1"/>
    <x v="3"/>
    <s v="TRK18250450"/>
    <n v="5"/>
    <s v="N/A"/>
    <x v="0"/>
    <n v="1841.25"/>
  </r>
  <r>
    <x v="919"/>
    <x v="492"/>
    <s v="C92086"/>
    <x v="4"/>
    <n v="2"/>
    <n v="374.6"/>
    <s v="187 Main St"/>
    <x v="1"/>
    <x v="0"/>
    <s v="TRK23357668"/>
    <n v="3"/>
    <s v="FREESHIP"/>
    <x v="1"/>
    <n v="749.2"/>
  </r>
  <r>
    <x v="920"/>
    <x v="495"/>
    <s v="C26137"/>
    <x v="2"/>
    <n v="2"/>
    <n v="428.09"/>
    <s v="978 Main St"/>
    <x v="2"/>
    <x v="2"/>
    <s v="TRK98110407"/>
    <n v="6"/>
    <s v="N/A"/>
    <x v="0"/>
    <n v="856.18"/>
  </r>
  <r>
    <x v="921"/>
    <x v="528"/>
    <s v="C90573"/>
    <x v="2"/>
    <n v="1"/>
    <n v="438.93"/>
    <s v="144 Main St"/>
    <x v="3"/>
    <x v="1"/>
    <s v="TRK90075720"/>
    <n v="3"/>
    <s v="SAVE10"/>
    <x v="1"/>
    <n v="438.93"/>
  </r>
  <r>
    <x v="922"/>
    <x v="589"/>
    <s v="C81857"/>
    <x v="6"/>
    <n v="2"/>
    <n v="563.82000000000005"/>
    <s v="487 Main St"/>
    <x v="2"/>
    <x v="4"/>
    <s v="TRK79737732"/>
    <n v="3"/>
    <s v="N/A"/>
    <x v="0"/>
    <n v="1127.6400000000001"/>
  </r>
  <r>
    <x v="923"/>
    <x v="91"/>
    <s v="C91582"/>
    <x v="4"/>
    <n v="3"/>
    <n v="649.92999999999995"/>
    <s v="836 Main St"/>
    <x v="2"/>
    <x v="4"/>
    <s v="TRK99938245"/>
    <n v="7"/>
    <s v="WINTER15"/>
    <x v="3"/>
    <n v="1949.79"/>
  </r>
  <r>
    <x v="924"/>
    <x v="29"/>
    <s v="C81319"/>
    <x v="4"/>
    <n v="5"/>
    <n v="268.43"/>
    <s v="991 Main St"/>
    <x v="4"/>
    <x v="2"/>
    <s v="TRK55330558"/>
    <n v="5"/>
    <s v="SAVE10"/>
    <x v="2"/>
    <n v="1342.15"/>
  </r>
  <r>
    <x v="925"/>
    <x v="590"/>
    <s v="C78500"/>
    <x v="0"/>
    <n v="5"/>
    <n v="502.47"/>
    <s v="304 Main St"/>
    <x v="1"/>
    <x v="0"/>
    <s v="TRK97460884"/>
    <n v="10"/>
    <s v="WINTER15"/>
    <x v="2"/>
    <n v="2512.35"/>
  </r>
  <r>
    <x v="926"/>
    <x v="591"/>
    <s v="C67533"/>
    <x v="6"/>
    <n v="1"/>
    <n v="26.95"/>
    <s v="672 Main St"/>
    <x v="4"/>
    <x v="3"/>
    <s v="TRK14566395"/>
    <n v="1"/>
    <s v="WINTER15"/>
    <x v="2"/>
    <n v="26.95"/>
  </r>
  <r>
    <x v="927"/>
    <x v="592"/>
    <s v="C35566"/>
    <x v="5"/>
    <n v="4"/>
    <n v="64.69"/>
    <s v="638 Main St"/>
    <x v="0"/>
    <x v="0"/>
    <s v="TRK10003020"/>
    <n v="7"/>
    <s v="WINTER15"/>
    <x v="4"/>
    <n v="258.76"/>
  </r>
  <r>
    <x v="928"/>
    <x v="593"/>
    <s v="C77166"/>
    <x v="5"/>
    <n v="3"/>
    <n v="247.11"/>
    <s v="821 Main St"/>
    <x v="0"/>
    <x v="2"/>
    <s v="TRK18896595"/>
    <n v="3"/>
    <s v="WINTER15"/>
    <x v="1"/>
    <n v="741.33"/>
  </r>
  <r>
    <x v="929"/>
    <x v="594"/>
    <s v="C67936"/>
    <x v="2"/>
    <n v="2"/>
    <n v="536.25"/>
    <s v="553 Main St"/>
    <x v="0"/>
    <x v="4"/>
    <s v="TRK71803414"/>
    <n v="3"/>
    <s v="N/A"/>
    <x v="2"/>
    <n v="1072.5"/>
  </r>
  <r>
    <x v="930"/>
    <x v="393"/>
    <s v="C59554"/>
    <x v="1"/>
    <n v="2"/>
    <n v="456.04"/>
    <s v="382 Main St"/>
    <x v="0"/>
    <x v="2"/>
    <s v="TRK28182447"/>
    <n v="4"/>
    <s v="FREESHIP"/>
    <x v="2"/>
    <n v="912.08"/>
  </r>
  <r>
    <x v="931"/>
    <x v="543"/>
    <s v="C14005"/>
    <x v="4"/>
    <n v="2"/>
    <n v="40.229999999999997"/>
    <s v="623 Main St"/>
    <x v="2"/>
    <x v="1"/>
    <s v="TRK87567926"/>
    <n v="4"/>
    <s v="SAVE10"/>
    <x v="4"/>
    <n v="80.459999999999994"/>
  </r>
  <r>
    <x v="932"/>
    <x v="465"/>
    <s v="C26118"/>
    <x v="5"/>
    <n v="2"/>
    <n v="72.39"/>
    <s v="168 Main St"/>
    <x v="1"/>
    <x v="3"/>
    <s v="TRK15334251"/>
    <n v="7"/>
    <s v="WINTER15"/>
    <x v="0"/>
    <n v="144.78"/>
  </r>
  <r>
    <x v="933"/>
    <x v="595"/>
    <s v="C59685"/>
    <x v="0"/>
    <n v="2"/>
    <n v="394.16"/>
    <s v="255 Main St"/>
    <x v="1"/>
    <x v="0"/>
    <s v="TRK43718093"/>
    <n v="2"/>
    <s v="N/A"/>
    <x v="1"/>
    <n v="788.32"/>
  </r>
  <r>
    <x v="934"/>
    <x v="565"/>
    <s v="C40304"/>
    <x v="5"/>
    <n v="4"/>
    <n v="119.84"/>
    <s v="692 Main St"/>
    <x v="3"/>
    <x v="0"/>
    <s v="TRK85790948"/>
    <n v="8"/>
    <s v="FREESHIP"/>
    <x v="1"/>
    <n v="479.36"/>
  </r>
  <r>
    <x v="935"/>
    <x v="254"/>
    <s v="C39593"/>
    <x v="1"/>
    <n v="3"/>
    <n v="692.71"/>
    <s v="398 Main St"/>
    <x v="2"/>
    <x v="3"/>
    <s v="TRK62405253"/>
    <n v="3"/>
    <s v="FREESHIP"/>
    <x v="0"/>
    <n v="2078.13"/>
  </r>
  <r>
    <x v="936"/>
    <x v="596"/>
    <s v="C50612"/>
    <x v="3"/>
    <n v="4"/>
    <n v="56.66"/>
    <s v="737 Main St"/>
    <x v="1"/>
    <x v="3"/>
    <s v="TRK44140968"/>
    <n v="4"/>
    <s v="SAVE10"/>
    <x v="0"/>
    <n v="226.64"/>
  </r>
  <r>
    <x v="937"/>
    <x v="462"/>
    <s v="C39791"/>
    <x v="3"/>
    <n v="2"/>
    <n v="298.52999999999997"/>
    <s v="536 Main St"/>
    <x v="0"/>
    <x v="1"/>
    <s v="TRK46221436"/>
    <n v="5"/>
    <s v="WINTER15"/>
    <x v="2"/>
    <n v="597.05999999999995"/>
  </r>
  <r>
    <x v="938"/>
    <x v="219"/>
    <s v="C39017"/>
    <x v="3"/>
    <n v="3"/>
    <n v="331.46"/>
    <s v="696 Main St"/>
    <x v="2"/>
    <x v="1"/>
    <s v="TRK91155214"/>
    <n v="6"/>
    <s v="WINTER15"/>
    <x v="1"/>
    <n v="994.37999999999988"/>
  </r>
  <r>
    <x v="939"/>
    <x v="597"/>
    <s v="C48510"/>
    <x v="5"/>
    <n v="2"/>
    <n v="521.4"/>
    <s v="212 Main St"/>
    <x v="4"/>
    <x v="3"/>
    <s v="TRK53152886"/>
    <n v="7"/>
    <s v="SAVE10"/>
    <x v="0"/>
    <n v="1042.8"/>
  </r>
  <r>
    <x v="940"/>
    <x v="14"/>
    <s v="C74003"/>
    <x v="4"/>
    <n v="4"/>
    <n v="305.32"/>
    <s v="679 Main St"/>
    <x v="1"/>
    <x v="1"/>
    <s v="TRK91525779"/>
    <n v="4"/>
    <s v="SAVE10"/>
    <x v="4"/>
    <n v="1221.28"/>
  </r>
  <r>
    <x v="941"/>
    <x v="15"/>
    <s v="C91155"/>
    <x v="4"/>
    <n v="5"/>
    <n v="111.7"/>
    <s v="599 Main St"/>
    <x v="2"/>
    <x v="1"/>
    <s v="TRK82162952"/>
    <n v="9"/>
    <s v="FREESHIP"/>
    <x v="2"/>
    <n v="558.5"/>
  </r>
  <r>
    <x v="942"/>
    <x v="372"/>
    <s v="C17591"/>
    <x v="2"/>
    <n v="1"/>
    <n v="479.76"/>
    <s v="882 Main St"/>
    <x v="2"/>
    <x v="4"/>
    <s v="TRK56070470"/>
    <n v="1"/>
    <s v="N/A"/>
    <x v="2"/>
    <n v="479.76"/>
  </r>
  <r>
    <x v="943"/>
    <x v="140"/>
    <s v="C43330"/>
    <x v="0"/>
    <n v="3"/>
    <n v="193.49"/>
    <s v="355 Main St"/>
    <x v="3"/>
    <x v="2"/>
    <s v="TRK71594838"/>
    <n v="6"/>
    <s v="FREESHIP"/>
    <x v="3"/>
    <n v="580.47"/>
  </r>
  <r>
    <x v="944"/>
    <x v="393"/>
    <s v="C32687"/>
    <x v="5"/>
    <n v="2"/>
    <n v="426.22"/>
    <s v="448 Main St"/>
    <x v="1"/>
    <x v="3"/>
    <s v="TRK98284560"/>
    <n v="7"/>
    <s v="WINTER15"/>
    <x v="4"/>
    <n v="852.44"/>
  </r>
  <r>
    <x v="945"/>
    <x v="38"/>
    <s v="C79722"/>
    <x v="2"/>
    <n v="5"/>
    <n v="276.44"/>
    <s v="619 Main St"/>
    <x v="3"/>
    <x v="0"/>
    <s v="TRK29976438"/>
    <n v="10"/>
    <s v="FREESHIP"/>
    <x v="1"/>
    <n v="1382.2"/>
  </r>
  <r>
    <x v="946"/>
    <x v="598"/>
    <s v="C65021"/>
    <x v="1"/>
    <n v="2"/>
    <n v="404.96"/>
    <s v="546 Main St"/>
    <x v="4"/>
    <x v="0"/>
    <s v="TRK20626179"/>
    <n v="4"/>
    <s v="SAVE10"/>
    <x v="2"/>
    <n v="809.92"/>
  </r>
  <r>
    <x v="947"/>
    <x v="599"/>
    <s v="C85520"/>
    <x v="1"/>
    <n v="4"/>
    <n v="465.66"/>
    <s v="119 Main St"/>
    <x v="1"/>
    <x v="2"/>
    <s v="TRK65994177"/>
    <n v="9"/>
    <s v="FREESHIP"/>
    <x v="2"/>
    <n v="1862.64"/>
  </r>
  <r>
    <x v="948"/>
    <x v="587"/>
    <s v="C94569"/>
    <x v="1"/>
    <n v="2"/>
    <n v="594.07000000000005"/>
    <s v="739 Main St"/>
    <x v="3"/>
    <x v="1"/>
    <s v="TRK79269291"/>
    <n v="2"/>
    <s v="N/A"/>
    <x v="4"/>
    <n v="1188.1400000000001"/>
  </r>
  <r>
    <x v="949"/>
    <x v="576"/>
    <s v="C55778"/>
    <x v="6"/>
    <n v="5"/>
    <n v="110.38"/>
    <s v="319 Main St"/>
    <x v="4"/>
    <x v="4"/>
    <s v="TRK93797108"/>
    <n v="10"/>
    <s v="N/A"/>
    <x v="1"/>
    <n v="551.9"/>
  </r>
  <r>
    <x v="950"/>
    <x v="583"/>
    <s v="C19722"/>
    <x v="5"/>
    <n v="1"/>
    <n v="596.24"/>
    <s v="891 Main St"/>
    <x v="2"/>
    <x v="2"/>
    <s v="TRK78094361"/>
    <n v="4"/>
    <s v="FREESHIP"/>
    <x v="0"/>
    <n v="596.24"/>
  </r>
  <r>
    <x v="951"/>
    <x v="319"/>
    <s v="C74928"/>
    <x v="4"/>
    <n v="2"/>
    <n v="306.24"/>
    <s v="589 Main St"/>
    <x v="1"/>
    <x v="2"/>
    <s v="TRK39845914"/>
    <n v="4"/>
    <s v="FREESHIP"/>
    <x v="2"/>
    <n v="612.48"/>
  </r>
  <r>
    <x v="952"/>
    <x v="37"/>
    <s v="C49111"/>
    <x v="0"/>
    <n v="3"/>
    <n v="503.39"/>
    <s v="225 Main St"/>
    <x v="1"/>
    <x v="4"/>
    <s v="TRK45303393"/>
    <n v="5"/>
    <s v="N/A"/>
    <x v="3"/>
    <n v="1510.17"/>
  </r>
  <r>
    <x v="953"/>
    <x v="600"/>
    <s v="C43721"/>
    <x v="1"/>
    <n v="1"/>
    <n v="131.61000000000001"/>
    <s v="971 Main St"/>
    <x v="4"/>
    <x v="0"/>
    <s v="TRK89392104"/>
    <n v="2"/>
    <s v="FREESHIP"/>
    <x v="3"/>
    <n v="131.61000000000001"/>
  </r>
  <r>
    <x v="954"/>
    <x v="601"/>
    <s v="C68609"/>
    <x v="3"/>
    <n v="3"/>
    <n v="443.44"/>
    <s v="240 Main St"/>
    <x v="3"/>
    <x v="0"/>
    <s v="TRK58273778"/>
    <n v="3"/>
    <s v="FREESHIP"/>
    <x v="4"/>
    <n v="1330.32"/>
  </r>
  <r>
    <x v="955"/>
    <x v="19"/>
    <s v="C82068"/>
    <x v="3"/>
    <n v="1"/>
    <n v="408.13"/>
    <s v="164 Main St"/>
    <x v="3"/>
    <x v="0"/>
    <s v="TRK25779180"/>
    <n v="3"/>
    <s v="WINTER15"/>
    <x v="0"/>
    <n v="408.13"/>
  </r>
  <r>
    <x v="956"/>
    <x v="166"/>
    <s v="C21191"/>
    <x v="1"/>
    <n v="2"/>
    <n v="160.97999999999999"/>
    <s v="381 Main St"/>
    <x v="0"/>
    <x v="3"/>
    <s v="TRK86246309"/>
    <n v="3"/>
    <s v="SAVE10"/>
    <x v="1"/>
    <n v="321.95999999999998"/>
  </r>
  <r>
    <x v="957"/>
    <x v="602"/>
    <s v="C73575"/>
    <x v="0"/>
    <n v="5"/>
    <n v="643.89"/>
    <s v="851 Main St"/>
    <x v="4"/>
    <x v="2"/>
    <s v="TRK23387612"/>
    <n v="8"/>
    <s v="WINTER15"/>
    <x v="3"/>
    <n v="3219.45"/>
  </r>
  <r>
    <x v="958"/>
    <x v="603"/>
    <s v="C82685"/>
    <x v="6"/>
    <n v="3"/>
    <n v="158.66"/>
    <s v="537 Main St"/>
    <x v="3"/>
    <x v="3"/>
    <s v="TRK70184320"/>
    <n v="7"/>
    <s v="WINTER15"/>
    <x v="2"/>
    <n v="475.98"/>
  </r>
  <r>
    <x v="959"/>
    <x v="604"/>
    <s v="C73996"/>
    <x v="2"/>
    <n v="2"/>
    <n v="143.82"/>
    <s v="856 Main St"/>
    <x v="2"/>
    <x v="2"/>
    <s v="TRK74579570"/>
    <n v="6"/>
    <s v="SAVE10"/>
    <x v="0"/>
    <n v="287.64"/>
  </r>
  <r>
    <x v="960"/>
    <x v="66"/>
    <s v="C87687"/>
    <x v="5"/>
    <n v="3"/>
    <n v="379.07"/>
    <s v="312 Main St"/>
    <x v="3"/>
    <x v="4"/>
    <s v="TRK60383805"/>
    <n v="3"/>
    <s v="WINTER15"/>
    <x v="4"/>
    <n v="1137.21"/>
  </r>
  <r>
    <x v="961"/>
    <x v="435"/>
    <s v="C55464"/>
    <x v="1"/>
    <n v="1"/>
    <n v="601.36"/>
    <s v="532 Main St"/>
    <x v="1"/>
    <x v="0"/>
    <s v="TRK81178598"/>
    <n v="1"/>
    <s v="N/A"/>
    <x v="3"/>
    <n v="601.36"/>
  </r>
  <r>
    <x v="962"/>
    <x v="605"/>
    <s v="C12459"/>
    <x v="1"/>
    <n v="2"/>
    <n v="142.08000000000001"/>
    <s v="838 Main St"/>
    <x v="3"/>
    <x v="3"/>
    <s v="TRK30674085"/>
    <n v="4"/>
    <s v="SAVE10"/>
    <x v="1"/>
    <n v="284.16000000000003"/>
  </r>
  <r>
    <x v="963"/>
    <x v="606"/>
    <s v="C88075"/>
    <x v="3"/>
    <n v="5"/>
    <n v="530.34"/>
    <s v="970 Main St"/>
    <x v="1"/>
    <x v="0"/>
    <s v="TRK42832976"/>
    <n v="9"/>
    <s v="FREESHIP"/>
    <x v="4"/>
    <n v="2651.7"/>
  </r>
  <r>
    <x v="964"/>
    <x v="38"/>
    <s v="C18583"/>
    <x v="1"/>
    <n v="5"/>
    <n v="364.42"/>
    <s v="778 Main St"/>
    <x v="2"/>
    <x v="1"/>
    <s v="TRK43084595"/>
    <n v="10"/>
    <s v="SAVE10"/>
    <x v="1"/>
    <n v="1822.1"/>
  </r>
  <r>
    <x v="965"/>
    <x v="607"/>
    <s v="C70412"/>
    <x v="5"/>
    <n v="4"/>
    <n v="578.28"/>
    <s v="791 Main St"/>
    <x v="3"/>
    <x v="1"/>
    <s v="TRK22192783"/>
    <n v="5"/>
    <s v="FREESHIP"/>
    <x v="2"/>
    <n v="2313.12"/>
  </r>
  <r>
    <x v="966"/>
    <x v="608"/>
    <s v="C58503"/>
    <x v="0"/>
    <n v="5"/>
    <n v="280.52"/>
    <s v="290 Main St"/>
    <x v="2"/>
    <x v="1"/>
    <s v="TRK12981657"/>
    <n v="7"/>
    <s v="WINTER15"/>
    <x v="3"/>
    <n v="1402.6"/>
  </r>
  <r>
    <x v="967"/>
    <x v="138"/>
    <s v="C52879"/>
    <x v="2"/>
    <n v="5"/>
    <n v="638.91999999999996"/>
    <s v="502 Main St"/>
    <x v="2"/>
    <x v="2"/>
    <s v="TRK67403284"/>
    <n v="5"/>
    <s v="FREESHIP"/>
    <x v="4"/>
    <n v="3194.6"/>
  </r>
  <r>
    <x v="968"/>
    <x v="458"/>
    <s v="C67870"/>
    <x v="0"/>
    <n v="4"/>
    <n v="412.2"/>
    <s v="664 Main St"/>
    <x v="2"/>
    <x v="0"/>
    <s v="TRK72602178"/>
    <n v="6"/>
    <s v="WINTER15"/>
    <x v="1"/>
    <n v="1648.8"/>
  </r>
  <r>
    <x v="969"/>
    <x v="85"/>
    <s v="C19439"/>
    <x v="6"/>
    <n v="1"/>
    <n v="440.34"/>
    <s v="675 Main St"/>
    <x v="3"/>
    <x v="0"/>
    <s v="TRK25383993"/>
    <n v="2"/>
    <s v="WINTER15"/>
    <x v="3"/>
    <n v="440.34"/>
  </r>
  <r>
    <x v="970"/>
    <x v="609"/>
    <s v="C72664"/>
    <x v="6"/>
    <n v="1"/>
    <n v="627.15"/>
    <s v="241 Main St"/>
    <x v="4"/>
    <x v="3"/>
    <s v="TRK86694331"/>
    <n v="5"/>
    <s v="SAVE10"/>
    <x v="0"/>
    <n v="627.15"/>
  </r>
  <r>
    <x v="971"/>
    <x v="582"/>
    <s v="C32650"/>
    <x v="0"/>
    <n v="2"/>
    <n v="605.26"/>
    <s v="934 Main St"/>
    <x v="4"/>
    <x v="1"/>
    <s v="TRK66648743"/>
    <n v="4"/>
    <s v="WINTER15"/>
    <x v="1"/>
    <n v="1210.52"/>
  </r>
  <r>
    <x v="972"/>
    <x v="410"/>
    <s v="C66438"/>
    <x v="5"/>
    <n v="1"/>
    <n v="90.27"/>
    <s v="816 Main St"/>
    <x v="4"/>
    <x v="3"/>
    <s v="TRK32035271"/>
    <n v="5"/>
    <s v="SAVE10"/>
    <x v="3"/>
    <n v="90.27"/>
  </r>
  <r>
    <x v="973"/>
    <x v="559"/>
    <s v="C70010"/>
    <x v="6"/>
    <n v="5"/>
    <n v="230.77"/>
    <s v="141 Main St"/>
    <x v="1"/>
    <x v="4"/>
    <s v="TRK50594008"/>
    <n v="10"/>
    <s v="WINTER15"/>
    <x v="1"/>
    <n v="1153.8499999999999"/>
  </r>
  <r>
    <x v="974"/>
    <x v="610"/>
    <s v="C30722"/>
    <x v="6"/>
    <n v="5"/>
    <n v="266.77999999999997"/>
    <s v="274 Main St"/>
    <x v="3"/>
    <x v="1"/>
    <s v="TRK52088168"/>
    <n v="5"/>
    <s v="N/A"/>
    <x v="2"/>
    <n v="1333.9"/>
  </r>
  <r>
    <x v="975"/>
    <x v="419"/>
    <s v="C70529"/>
    <x v="6"/>
    <n v="1"/>
    <n v="105.92"/>
    <s v="974 Main St"/>
    <x v="3"/>
    <x v="2"/>
    <s v="TRK82165408"/>
    <n v="6"/>
    <s v="SAVE10"/>
    <x v="2"/>
    <n v="105.92"/>
  </r>
  <r>
    <x v="976"/>
    <x v="172"/>
    <s v="C18984"/>
    <x v="2"/>
    <n v="3"/>
    <n v="589.29999999999995"/>
    <s v="650 Main St"/>
    <x v="2"/>
    <x v="2"/>
    <s v="TRK49298239"/>
    <n v="6"/>
    <s v="WINTER15"/>
    <x v="1"/>
    <n v="1767.9"/>
  </r>
  <r>
    <x v="977"/>
    <x v="423"/>
    <s v="C85841"/>
    <x v="3"/>
    <n v="4"/>
    <n v="649.47"/>
    <s v="608 Main St"/>
    <x v="4"/>
    <x v="4"/>
    <s v="TRK99820544"/>
    <n v="8"/>
    <s v="SAVE10"/>
    <x v="4"/>
    <n v="2597.88"/>
  </r>
  <r>
    <x v="978"/>
    <x v="611"/>
    <s v="C41508"/>
    <x v="4"/>
    <n v="4"/>
    <n v="107.49"/>
    <s v="993 Main St"/>
    <x v="4"/>
    <x v="3"/>
    <s v="TRK61047536"/>
    <n v="5"/>
    <s v="N/A"/>
    <x v="4"/>
    <n v="429.96"/>
  </r>
  <r>
    <x v="979"/>
    <x v="546"/>
    <s v="C75018"/>
    <x v="0"/>
    <n v="3"/>
    <n v="669.06"/>
    <s v="299 Main St"/>
    <x v="4"/>
    <x v="3"/>
    <s v="TRK51794806"/>
    <n v="7"/>
    <s v="SAVE10"/>
    <x v="3"/>
    <n v="2007.18"/>
  </r>
  <r>
    <x v="980"/>
    <x v="612"/>
    <s v="C84320"/>
    <x v="3"/>
    <n v="3"/>
    <n v="69.650000000000006"/>
    <s v="107 Main St"/>
    <x v="4"/>
    <x v="3"/>
    <s v="TRK81093218"/>
    <n v="7"/>
    <s v="WINTER15"/>
    <x v="0"/>
    <n v="208.95"/>
  </r>
  <r>
    <x v="981"/>
    <x v="371"/>
    <s v="C12609"/>
    <x v="1"/>
    <n v="4"/>
    <n v="136.83000000000001"/>
    <s v="490 Main St"/>
    <x v="0"/>
    <x v="4"/>
    <s v="TRK56379337"/>
    <n v="8"/>
    <s v="SAVE10"/>
    <x v="2"/>
    <n v="547.32000000000005"/>
  </r>
  <r>
    <x v="982"/>
    <x v="605"/>
    <s v="C64935"/>
    <x v="0"/>
    <n v="1"/>
    <n v="304.11"/>
    <s v="707 Main St"/>
    <x v="3"/>
    <x v="0"/>
    <s v="TRK42969065"/>
    <n v="2"/>
    <s v="SAVE10"/>
    <x v="1"/>
    <n v="304.11"/>
  </r>
  <r>
    <x v="983"/>
    <x v="167"/>
    <s v="C67528"/>
    <x v="0"/>
    <n v="4"/>
    <n v="296.27999999999997"/>
    <s v="110 Main St"/>
    <x v="3"/>
    <x v="0"/>
    <s v="TRK60865210"/>
    <n v="5"/>
    <s v="SAVE10"/>
    <x v="2"/>
    <n v="1185.1199999999999"/>
  </r>
  <r>
    <x v="984"/>
    <x v="252"/>
    <s v="C44176"/>
    <x v="6"/>
    <n v="1"/>
    <n v="77.64"/>
    <s v="706 Main St"/>
    <x v="2"/>
    <x v="0"/>
    <s v="TRK68704764"/>
    <n v="1"/>
    <s v="FREESHIP"/>
    <x v="3"/>
    <n v="77.64"/>
  </r>
  <r>
    <x v="985"/>
    <x v="351"/>
    <s v="C92788"/>
    <x v="6"/>
    <n v="1"/>
    <n v="243.71"/>
    <s v="948 Main St"/>
    <x v="3"/>
    <x v="3"/>
    <s v="TRK83835361"/>
    <n v="6"/>
    <s v="SAVE10"/>
    <x v="4"/>
    <n v="243.71"/>
  </r>
  <r>
    <x v="986"/>
    <x v="609"/>
    <s v="C69213"/>
    <x v="5"/>
    <n v="4"/>
    <n v="644.96"/>
    <s v="533 Main St"/>
    <x v="2"/>
    <x v="4"/>
    <s v="TRK67837331"/>
    <n v="7"/>
    <s v="FREESHIP"/>
    <x v="2"/>
    <n v="2579.84"/>
  </r>
  <r>
    <x v="987"/>
    <x v="85"/>
    <s v="C67387"/>
    <x v="1"/>
    <n v="5"/>
    <n v="283.73"/>
    <s v="436 Main St"/>
    <x v="3"/>
    <x v="4"/>
    <s v="TRK54120003"/>
    <n v="8"/>
    <s v="FREESHIP"/>
    <x v="0"/>
    <n v="1418.65"/>
  </r>
  <r>
    <x v="988"/>
    <x v="496"/>
    <s v="C90318"/>
    <x v="6"/>
    <n v="2"/>
    <n v="629.55999999999995"/>
    <s v="818 Main St"/>
    <x v="3"/>
    <x v="1"/>
    <s v="TRK52765043"/>
    <n v="5"/>
    <s v="WINTER15"/>
    <x v="0"/>
    <n v="1259.1199999999999"/>
  </r>
  <r>
    <x v="989"/>
    <x v="613"/>
    <s v="C49995"/>
    <x v="5"/>
    <n v="4"/>
    <n v="246.11"/>
    <s v="559 Main St"/>
    <x v="2"/>
    <x v="4"/>
    <s v="TRK33212013"/>
    <n v="4"/>
    <s v="SAVE10"/>
    <x v="0"/>
    <n v="984.44"/>
  </r>
  <r>
    <x v="990"/>
    <x v="614"/>
    <s v="C52313"/>
    <x v="1"/>
    <n v="2"/>
    <n v="418.26"/>
    <s v="913 Main St"/>
    <x v="0"/>
    <x v="4"/>
    <s v="TRK67368559"/>
    <n v="2"/>
    <s v="SAVE10"/>
    <x v="4"/>
    <n v="836.52"/>
  </r>
  <r>
    <x v="991"/>
    <x v="593"/>
    <s v="C10211"/>
    <x v="6"/>
    <n v="5"/>
    <n v="127.18"/>
    <s v="598 Main St"/>
    <x v="0"/>
    <x v="1"/>
    <s v="TRK68938335"/>
    <n v="10"/>
    <s v="FREESHIP"/>
    <x v="4"/>
    <n v="635.90000000000009"/>
  </r>
  <r>
    <x v="992"/>
    <x v="615"/>
    <s v="C97907"/>
    <x v="4"/>
    <n v="3"/>
    <n v="586.21"/>
    <s v="933 Main St"/>
    <x v="3"/>
    <x v="4"/>
    <s v="TRK89637569"/>
    <n v="4"/>
    <s v="WINTER15"/>
    <x v="1"/>
    <n v="1758.63"/>
  </r>
  <r>
    <x v="993"/>
    <x v="616"/>
    <s v="C61384"/>
    <x v="0"/>
    <n v="3"/>
    <n v="267.45"/>
    <s v="576 Main St"/>
    <x v="3"/>
    <x v="3"/>
    <s v="TRK33323210"/>
    <n v="5"/>
    <s v="WINTER15"/>
    <x v="0"/>
    <n v="802.34999999999991"/>
  </r>
  <r>
    <x v="994"/>
    <x v="326"/>
    <s v="C27613"/>
    <x v="2"/>
    <n v="4"/>
    <n v="615.65"/>
    <s v="971 Main St"/>
    <x v="0"/>
    <x v="3"/>
    <s v="TRK63701318"/>
    <n v="9"/>
    <s v="WINTER15"/>
    <x v="4"/>
    <n v="2462.6"/>
  </r>
  <r>
    <x v="995"/>
    <x v="134"/>
    <s v="C99271"/>
    <x v="0"/>
    <n v="2"/>
    <n v="113.29"/>
    <s v="959 Main St"/>
    <x v="4"/>
    <x v="4"/>
    <s v="TRK87832736"/>
    <n v="5"/>
    <s v="SAVE10"/>
    <x v="3"/>
    <n v="226.58"/>
  </r>
  <r>
    <x v="996"/>
    <x v="578"/>
    <s v="C28648"/>
    <x v="0"/>
    <n v="4"/>
    <n v="473.86"/>
    <s v="101 Main St"/>
    <x v="0"/>
    <x v="3"/>
    <s v="TRK92240846"/>
    <n v="7"/>
    <s v="SAVE10"/>
    <x v="3"/>
    <n v="1895.44"/>
  </r>
  <r>
    <x v="997"/>
    <x v="110"/>
    <s v="C26210"/>
    <x v="5"/>
    <n v="3"/>
    <n v="444.75"/>
    <s v="805 Main St"/>
    <x v="4"/>
    <x v="3"/>
    <s v="TRK40616861"/>
    <n v="6"/>
    <s v="SAVE10"/>
    <x v="3"/>
    <n v="1334.25"/>
  </r>
  <r>
    <x v="998"/>
    <x v="213"/>
    <s v="C90350"/>
    <x v="1"/>
    <n v="2"/>
    <n v="183.67"/>
    <s v="783 Main St"/>
    <x v="0"/>
    <x v="1"/>
    <s v="TRK22824230"/>
    <n v="6"/>
    <s v="SAVE10"/>
    <x v="4"/>
    <n v="367.34"/>
  </r>
  <r>
    <x v="999"/>
    <x v="478"/>
    <s v="C61957"/>
    <x v="4"/>
    <n v="1"/>
    <n v="483.38"/>
    <s v="652 Main St"/>
    <x v="4"/>
    <x v="4"/>
    <s v="TRK43983841"/>
    <n v="6"/>
    <s v="FREESHIP"/>
    <x v="4"/>
    <n v="483.38"/>
  </r>
  <r>
    <x v="1000"/>
    <x v="617"/>
    <s v="C90132"/>
    <x v="4"/>
    <n v="5"/>
    <n v="260.93"/>
    <s v="582 Main St"/>
    <x v="1"/>
    <x v="3"/>
    <s v="TRK52664903"/>
    <n v="9"/>
    <s v="SAVE10"/>
    <x v="2"/>
    <n v="1304.6500000000001"/>
  </r>
  <r>
    <x v="1001"/>
    <x v="618"/>
    <s v="C31371"/>
    <x v="4"/>
    <n v="2"/>
    <n v="253.68"/>
    <s v="122 Main St"/>
    <x v="3"/>
    <x v="0"/>
    <s v="TRK19554327"/>
    <n v="6"/>
    <s v="N/A"/>
    <x v="1"/>
    <n v="507.36"/>
  </r>
  <r>
    <x v="1002"/>
    <x v="619"/>
    <s v="C83911"/>
    <x v="2"/>
    <n v="4"/>
    <n v="699.88"/>
    <s v="944 Main St"/>
    <x v="4"/>
    <x v="4"/>
    <s v="TRK33188106"/>
    <n v="5"/>
    <s v="WINTER15"/>
    <x v="1"/>
    <n v="2799.52"/>
  </r>
  <r>
    <x v="1003"/>
    <x v="348"/>
    <s v="C84700"/>
    <x v="4"/>
    <n v="5"/>
    <n v="319.97000000000003"/>
    <s v="582 Main St"/>
    <x v="4"/>
    <x v="0"/>
    <s v="TRK14706969"/>
    <n v="7"/>
    <s v="SAVE10"/>
    <x v="4"/>
    <n v="1599.85"/>
  </r>
  <r>
    <x v="1004"/>
    <x v="559"/>
    <s v="C87529"/>
    <x v="3"/>
    <n v="4"/>
    <n v="246.91"/>
    <s v="296 Main St"/>
    <x v="1"/>
    <x v="4"/>
    <s v="TRK15739505"/>
    <n v="8"/>
    <s v="SAVE10"/>
    <x v="1"/>
    <n v="987.64"/>
  </r>
  <r>
    <x v="1005"/>
    <x v="521"/>
    <s v="C38065"/>
    <x v="4"/>
    <n v="3"/>
    <n v="392.85"/>
    <s v="426 Main St"/>
    <x v="2"/>
    <x v="2"/>
    <s v="TRK11448295"/>
    <n v="6"/>
    <s v="N/A"/>
    <x v="4"/>
    <n v="1178.55"/>
  </r>
  <r>
    <x v="1006"/>
    <x v="582"/>
    <s v="C27435"/>
    <x v="2"/>
    <n v="5"/>
    <n v="420.98"/>
    <s v="860 Main St"/>
    <x v="4"/>
    <x v="3"/>
    <s v="TRK91458233"/>
    <n v="7"/>
    <s v="SAVE10"/>
    <x v="3"/>
    <n v="2104.9"/>
  </r>
  <r>
    <x v="1007"/>
    <x v="591"/>
    <s v="C46651"/>
    <x v="0"/>
    <n v="2"/>
    <n v="73.260000000000005"/>
    <s v="839 Main St"/>
    <x v="4"/>
    <x v="4"/>
    <s v="TRK60444502"/>
    <n v="4"/>
    <s v="WINTER15"/>
    <x v="3"/>
    <n v="146.52000000000001"/>
  </r>
  <r>
    <x v="1008"/>
    <x v="620"/>
    <s v="C62557"/>
    <x v="0"/>
    <n v="3"/>
    <n v="410.88"/>
    <s v="257 Main St"/>
    <x v="4"/>
    <x v="3"/>
    <s v="TRK12742366"/>
    <n v="8"/>
    <s v="FREESHIP"/>
    <x v="0"/>
    <n v="1232.6400000000001"/>
  </r>
  <r>
    <x v="1009"/>
    <x v="621"/>
    <s v="C54494"/>
    <x v="2"/>
    <n v="2"/>
    <n v="176.46"/>
    <s v="696 Main St"/>
    <x v="2"/>
    <x v="3"/>
    <s v="TRK95958645"/>
    <n v="2"/>
    <s v="FREESHIP"/>
    <x v="2"/>
    <n v="352.92"/>
  </r>
  <r>
    <x v="1010"/>
    <x v="622"/>
    <s v="C33729"/>
    <x v="0"/>
    <n v="3"/>
    <n v="659.57"/>
    <s v="533 Main St"/>
    <x v="2"/>
    <x v="1"/>
    <s v="TRK35649833"/>
    <n v="6"/>
    <s v="SAVE10"/>
    <x v="2"/>
    <n v="1978.71"/>
  </r>
  <r>
    <x v="1011"/>
    <x v="623"/>
    <s v="C47823"/>
    <x v="1"/>
    <n v="2"/>
    <n v="478.36"/>
    <s v="654 Main St"/>
    <x v="1"/>
    <x v="0"/>
    <s v="TRK22271097"/>
    <n v="3"/>
    <s v="N/A"/>
    <x v="4"/>
    <n v="956.72"/>
  </r>
  <r>
    <x v="1012"/>
    <x v="623"/>
    <s v="C84570"/>
    <x v="4"/>
    <n v="4"/>
    <n v="30.05"/>
    <s v="301 Main St"/>
    <x v="1"/>
    <x v="2"/>
    <s v="TRK12551882"/>
    <n v="6"/>
    <s v="N/A"/>
    <x v="3"/>
    <n v="120.2"/>
  </r>
  <r>
    <x v="1013"/>
    <x v="624"/>
    <s v="C91123"/>
    <x v="5"/>
    <n v="4"/>
    <n v="300.56"/>
    <s v="842 Main St"/>
    <x v="4"/>
    <x v="1"/>
    <s v="TRK49568409"/>
    <n v="9"/>
    <s v="FREESHIP"/>
    <x v="3"/>
    <n v="1202.24"/>
  </r>
  <r>
    <x v="1014"/>
    <x v="389"/>
    <s v="C92548"/>
    <x v="2"/>
    <n v="5"/>
    <n v="226.45"/>
    <s v="160 Main St"/>
    <x v="0"/>
    <x v="2"/>
    <s v="TRK21682892"/>
    <n v="6"/>
    <s v="FREESHIP"/>
    <x v="2"/>
    <n v="1132.25"/>
  </r>
  <r>
    <x v="1015"/>
    <x v="547"/>
    <s v="C97454"/>
    <x v="4"/>
    <n v="2"/>
    <n v="349.4"/>
    <s v="892 Main St"/>
    <x v="1"/>
    <x v="0"/>
    <s v="TRK73249329"/>
    <n v="2"/>
    <s v="SAVE10"/>
    <x v="0"/>
    <n v="698.8"/>
  </r>
  <r>
    <x v="1016"/>
    <x v="10"/>
    <s v="C20257"/>
    <x v="2"/>
    <n v="5"/>
    <n v="268.77999999999997"/>
    <s v="669 Main St"/>
    <x v="0"/>
    <x v="3"/>
    <s v="TRK62135578"/>
    <n v="7"/>
    <s v="WINTER15"/>
    <x v="2"/>
    <n v="1343.9"/>
  </r>
  <r>
    <x v="1017"/>
    <x v="625"/>
    <s v="C51694"/>
    <x v="3"/>
    <n v="2"/>
    <n v="680.85"/>
    <s v="953 Main St"/>
    <x v="3"/>
    <x v="3"/>
    <s v="TRK83122112"/>
    <n v="6"/>
    <s v="FREESHIP"/>
    <x v="1"/>
    <n v="1361.7"/>
  </r>
  <r>
    <x v="1018"/>
    <x v="307"/>
    <s v="C77499"/>
    <x v="5"/>
    <n v="3"/>
    <n v="182.48"/>
    <s v="209 Main St"/>
    <x v="4"/>
    <x v="3"/>
    <s v="TRK20703086"/>
    <n v="3"/>
    <s v="N/A"/>
    <x v="0"/>
    <n v="547.43999999999994"/>
  </r>
  <r>
    <x v="1019"/>
    <x v="616"/>
    <s v="C28386"/>
    <x v="6"/>
    <n v="1"/>
    <n v="277.08999999999997"/>
    <s v="293 Main St"/>
    <x v="4"/>
    <x v="2"/>
    <s v="TRK32954229"/>
    <n v="2"/>
    <s v="SAVE10"/>
    <x v="1"/>
    <n v="277.08999999999997"/>
  </r>
  <r>
    <x v="1020"/>
    <x v="181"/>
    <s v="C50211"/>
    <x v="2"/>
    <n v="2"/>
    <n v="26.5"/>
    <s v="312 Main St"/>
    <x v="1"/>
    <x v="3"/>
    <s v="TRK47787981"/>
    <n v="3"/>
    <s v="SAVE10"/>
    <x v="0"/>
    <n v="53"/>
  </r>
  <r>
    <x v="1021"/>
    <x v="5"/>
    <s v="C74519"/>
    <x v="1"/>
    <n v="3"/>
    <n v="315.27"/>
    <s v="309 Main St"/>
    <x v="2"/>
    <x v="1"/>
    <s v="TRK97351945"/>
    <n v="4"/>
    <s v="SAVE10"/>
    <x v="2"/>
    <n v="945.81"/>
  </r>
  <r>
    <x v="1022"/>
    <x v="522"/>
    <s v="C19071"/>
    <x v="2"/>
    <n v="3"/>
    <n v="450.98"/>
    <s v="396 Main St"/>
    <x v="2"/>
    <x v="0"/>
    <s v="TRK66537096"/>
    <n v="8"/>
    <s v="SAVE10"/>
    <x v="1"/>
    <n v="1352.94"/>
  </r>
  <r>
    <x v="1023"/>
    <x v="296"/>
    <s v="C65251"/>
    <x v="5"/>
    <n v="5"/>
    <n v="233.67"/>
    <s v="291 Main St"/>
    <x v="4"/>
    <x v="0"/>
    <s v="TRK32059025"/>
    <n v="10"/>
    <s v="N/A"/>
    <x v="1"/>
    <n v="1168.3499999999999"/>
  </r>
  <r>
    <x v="1024"/>
    <x v="412"/>
    <s v="C90612"/>
    <x v="3"/>
    <n v="3"/>
    <n v="367.75"/>
    <s v="731 Main St"/>
    <x v="4"/>
    <x v="4"/>
    <s v="TRK93022878"/>
    <n v="7"/>
    <s v="FREESHIP"/>
    <x v="3"/>
    <n v="1103.25"/>
  </r>
  <r>
    <x v="1025"/>
    <x v="271"/>
    <s v="C28406"/>
    <x v="3"/>
    <n v="1"/>
    <n v="23.53"/>
    <s v="174 Main St"/>
    <x v="3"/>
    <x v="3"/>
    <s v="TRK98841457"/>
    <n v="2"/>
    <s v="FREESHIP"/>
    <x v="0"/>
    <n v="23.53"/>
  </r>
  <r>
    <x v="1026"/>
    <x v="31"/>
    <s v="C55454"/>
    <x v="0"/>
    <n v="1"/>
    <n v="677.48"/>
    <s v="807 Main St"/>
    <x v="1"/>
    <x v="3"/>
    <s v="TRK13281370"/>
    <n v="1"/>
    <s v="WINTER15"/>
    <x v="3"/>
    <n v="677.48"/>
  </r>
  <r>
    <x v="1027"/>
    <x v="626"/>
    <s v="C93467"/>
    <x v="5"/>
    <n v="4"/>
    <n v="554.83000000000004"/>
    <s v="983 Main St"/>
    <x v="4"/>
    <x v="2"/>
    <s v="TRK77377373"/>
    <n v="6"/>
    <s v="N/A"/>
    <x v="4"/>
    <n v="2219.3200000000002"/>
  </r>
  <r>
    <x v="1028"/>
    <x v="96"/>
    <s v="C60042"/>
    <x v="6"/>
    <n v="4"/>
    <n v="440.31"/>
    <s v="610 Main St"/>
    <x v="4"/>
    <x v="1"/>
    <s v="TRK84651559"/>
    <n v="6"/>
    <s v="N/A"/>
    <x v="0"/>
    <n v="1761.24"/>
  </r>
  <r>
    <x v="1029"/>
    <x v="627"/>
    <s v="C44733"/>
    <x v="6"/>
    <n v="1"/>
    <n v="87.06"/>
    <s v="851 Main St"/>
    <x v="2"/>
    <x v="0"/>
    <s v="TRK41500198"/>
    <n v="4"/>
    <s v="FREESHIP"/>
    <x v="2"/>
    <n v="87.06"/>
  </r>
  <r>
    <x v="1030"/>
    <x v="276"/>
    <s v="C61773"/>
    <x v="1"/>
    <n v="4"/>
    <n v="245.28"/>
    <s v="176 Main St"/>
    <x v="2"/>
    <x v="3"/>
    <s v="TRK12936357"/>
    <n v="6"/>
    <s v="WINTER15"/>
    <x v="2"/>
    <n v="981.12"/>
  </r>
  <r>
    <x v="1031"/>
    <x v="285"/>
    <s v="C59183"/>
    <x v="1"/>
    <n v="5"/>
    <n v="664.51"/>
    <s v="136 Main St"/>
    <x v="0"/>
    <x v="4"/>
    <s v="TRK18129706"/>
    <n v="8"/>
    <s v="SAVE10"/>
    <x v="2"/>
    <n v="3322.55"/>
  </r>
  <r>
    <x v="1032"/>
    <x v="197"/>
    <s v="C26188"/>
    <x v="3"/>
    <n v="1"/>
    <n v="618.67999999999995"/>
    <s v="990 Main St"/>
    <x v="1"/>
    <x v="3"/>
    <s v="TRK61634201"/>
    <n v="6"/>
    <s v="WINTER15"/>
    <x v="1"/>
    <n v="618.67999999999995"/>
  </r>
  <r>
    <x v="1033"/>
    <x v="628"/>
    <s v="C20338"/>
    <x v="0"/>
    <n v="1"/>
    <n v="370.85"/>
    <s v="331 Main St"/>
    <x v="3"/>
    <x v="3"/>
    <s v="TRK30654048"/>
    <n v="2"/>
    <s v="FREESHIP"/>
    <x v="1"/>
    <n v="370.85"/>
  </r>
  <r>
    <x v="1034"/>
    <x v="452"/>
    <s v="C84524"/>
    <x v="4"/>
    <n v="4"/>
    <n v="517.98"/>
    <s v="766 Main St"/>
    <x v="4"/>
    <x v="1"/>
    <s v="TRK76751888"/>
    <n v="8"/>
    <s v="FREESHIP"/>
    <x v="3"/>
    <n v="2071.92"/>
  </r>
  <r>
    <x v="1035"/>
    <x v="629"/>
    <s v="C70315"/>
    <x v="5"/>
    <n v="4"/>
    <n v="506.11"/>
    <s v="911 Main St"/>
    <x v="4"/>
    <x v="1"/>
    <s v="TRK97732085"/>
    <n v="5"/>
    <s v="N/A"/>
    <x v="1"/>
    <n v="2024.44"/>
  </r>
  <r>
    <x v="1036"/>
    <x v="583"/>
    <s v="C98278"/>
    <x v="1"/>
    <n v="3"/>
    <n v="413.83"/>
    <s v="552 Main St"/>
    <x v="3"/>
    <x v="0"/>
    <s v="TRK49684737"/>
    <n v="8"/>
    <s v="SAVE10"/>
    <x v="3"/>
    <n v="1241.49"/>
  </r>
  <r>
    <x v="1037"/>
    <x v="141"/>
    <s v="C32347"/>
    <x v="4"/>
    <n v="1"/>
    <n v="249.81"/>
    <s v="408 Main St"/>
    <x v="4"/>
    <x v="4"/>
    <s v="TRK54073964"/>
    <n v="1"/>
    <s v="SAVE10"/>
    <x v="4"/>
    <n v="249.81"/>
  </r>
  <r>
    <x v="1038"/>
    <x v="175"/>
    <s v="C77961"/>
    <x v="2"/>
    <n v="3"/>
    <n v="362.53"/>
    <s v="422 Main St"/>
    <x v="0"/>
    <x v="2"/>
    <s v="TRK28969024"/>
    <n v="5"/>
    <s v="N/A"/>
    <x v="3"/>
    <n v="1087.5899999999999"/>
  </r>
  <r>
    <x v="1039"/>
    <x v="164"/>
    <s v="C49137"/>
    <x v="6"/>
    <n v="2"/>
    <n v="299.23"/>
    <s v="177 Main St"/>
    <x v="2"/>
    <x v="1"/>
    <s v="TRK79362428"/>
    <n v="2"/>
    <s v="WINTER15"/>
    <x v="0"/>
    <n v="598.46"/>
  </r>
  <r>
    <x v="1040"/>
    <x v="375"/>
    <s v="C13169"/>
    <x v="2"/>
    <n v="1"/>
    <n v="536.07000000000005"/>
    <s v="932 Main St"/>
    <x v="0"/>
    <x v="3"/>
    <s v="TRK66288666"/>
    <n v="5"/>
    <s v="FREESHIP"/>
    <x v="4"/>
    <n v="536.07000000000005"/>
  </r>
  <r>
    <x v="1041"/>
    <x v="91"/>
    <s v="C21167"/>
    <x v="0"/>
    <n v="4"/>
    <n v="558.9"/>
    <s v="948 Main St"/>
    <x v="3"/>
    <x v="0"/>
    <s v="TRK97737564"/>
    <n v="9"/>
    <s v="WINTER15"/>
    <x v="4"/>
    <n v="2235.6"/>
  </r>
  <r>
    <x v="1042"/>
    <x v="65"/>
    <s v="C59724"/>
    <x v="2"/>
    <n v="2"/>
    <n v="409.75"/>
    <s v="414 Main St"/>
    <x v="0"/>
    <x v="0"/>
    <s v="TRK67878272"/>
    <n v="2"/>
    <s v="WINTER15"/>
    <x v="3"/>
    <n v="819.5"/>
  </r>
  <r>
    <x v="1043"/>
    <x v="630"/>
    <s v="C43965"/>
    <x v="2"/>
    <n v="2"/>
    <n v="179.96"/>
    <s v="675 Main St"/>
    <x v="3"/>
    <x v="0"/>
    <s v="TRK94346739"/>
    <n v="5"/>
    <s v="N/A"/>
    <x v="0"/>
    <n v="359.92"/>
  </r>
  <r>
    <x v="1044"/>
    <x v="450"/>
    <s v="C63018"/>
    <x v="4"/>
    <n v="1"/>
    <n v="38.49"/>
    <s v="215 Main St"/>
    <x v="2"/>
    <x v="3"/>
    <s v="TRK52335337"/>
    <n v="4"/>
    <s v="FREESHIP"/>
    <x v="1"/>
    <n v="38.49"/>
  </r>
  <r>
    <x v="1045"/>
    <x v="28"/>
    <s v="C11893"/>
    <x v="5"/>
    <n v="5"/>
    <n v="316.39999999999998"/>
    <s v="671 Main St"/>
    <x v="3"/>
    <x v="2"/>
    <s v="TRK72012758"/>
    <n v="7"/>
    <s v="N/A"/>
    <x v="2"/>
    <n v="1582"/>
  </r>
  <r>
    <x v="1046"/>
    <x v="550"/>
    <s v="C85421"/>
    <x v="2"/>
    <n v="3"/>
    <n v="547.15"/>
    <s v="466 Main St"/>
    <x v="1"/>
    <x v="0"/>
    <s v="TRK16524006"/>
    <n v="4"/>
    <s v="WINTER15"/>
    <x v="0"/>
    <n v="1641.45"/>
  </r>
  <r>
    <x v="1047"/>
    <x v="467"/>
    <s v="C81726"/>
    <x v="3"/>
    <n v="4"/>
    <n v="540.34"/>
    <s v="394 Main St"/>
    <x v="3"/>
    <x v="0"/>
    <s v="TRK69872994"/>
    <n v="6"/>
    <s v="WINTER15"/>
    <x v="1"/>
    <n v="2161.36"/>
  </r>
  <r>
    <x v="1048"/>
    <x v="82"/>
    <s v="C57601"/>
    <x v="0"/>
    <n v="4"/>
    <n v="73.650000000000006"/>
    <s v="889 Main St"/>
    <x v="0"/>
    <x v="0"/>
    <s v="TRK21153699"/>
    <n v="9"/>
    <s v="N/A"/>
    <x v="4"/>
    <n v="294.60000000000002"/>
  </r>
  <r>
    <x v="1049"/>
    <x v="408"/>
    <s v="C60575"/>
    <x v="6"/>
    <n v="5"/>
    <n v="391.86"/>
    <s v="587 Main St"/>
    <x v="2"/>
    <x v="0"/>
    <s v="TRK44468232"/>
    <n v="6"/>
    <s v="N/A"/>
    <x v="0"/>
    <n v="1959.3"/>
  </r>
  <r>
    <x v="1050"/>
    <x v="38"/>
    <s v="C70659"/>
    <x v="5"/>
    <n v="5"/>
    <n v="69.7"/>
    <s v="722 Main St"/>
    <x v="1"/>
    <x v="2"/>
    <s v="TRK49663597"/>
    <n v="9"/>
    <s v="N/A"/>
    <x v="0"/>
    <n v="348.5"/>
  </r>
  <r>
    <x v="1051"/>
    <x v="376"/>
    <s v="C35043"/>
    <x v="0"/>
    <n v="5"/>
    <n v="26.43"/>
    <s v="820 Main St"/>
    <x v="3"/>
    <x v="0"/>
    <s v="TRK65097450"/>
    <n v="5"/>
    <s v="FREESHIP"/>
    <x v="3"/>
    <n v="132.15"/>
  </r>
  <r>
    <x v="1052"/>
    <x v="631"/>
    <s v="C12301"/>
    <x v="2"/>
    <n v="1"/>
    <n v="531.74"/>
    <s v="493 Main St"/>
    <x v="1"/>
    <x v="0"/>
    <s v="TRK25145796"/>
    <n v="1"/>
    <s v="WINTER15"/>
    <x v="4"/>
    <n v="531.74"/>
  </r>
  <r>
    <x v="1053"/>
    <x v="632"/>
    <s v="C32798"/>
    <x v="1"/>
    <n v="2"/>
    <n v="496.62"/>
    <s v="679 Main St"/>
    <x v="1"/>
    <x v="4"/>
    <s v="TRK37375451"/>
    <n v="2"/>
    <s v="SAVE10"/>
    <x v="0"/>
    <n v="993.24"/>
  </r>
  <r>
    <x v="1054"/>
    <x v="633"/>
    <s v="C42949"/>
    <x v="4"/>
    <n v="1"/>
    <n v="660.66"/>
    <s v="447 Main St"/>
    <x v="0"/>
    <x v="3"/>
    <s v="TRK46415143"/>
    <n v="3"/>
    <s v="WINTER15"/>
    <x v="0"/>
    <n v="660.66"/>
  </r>
  <r>
    <x v="1055"/>
    <x v="5"/>
    <s v="C10787"/>
    <x v="0"/>
    <n v="4"/>
    <n v="274.82"/>
    <s v="932 Main St"/>
    <x v="0"/>
    <x v="3"/>
    <s v="TRK91512567"/>
    <n v="9"/>
    <s v="WINTER15"/>
    <x v="2"/>
    <n v="1099.28"/>
  </r>
  <r>
    <x v="1056"/>
    <x v="280"/>
    <s v="C26152"/>
    <x v="1"/>
    <n v="2"/>
    <n v="486.35"/>
    <s v="790 Main St"/>
    <x v="1"/>
    <x v="4"/>
    <s v="TRK49382455"/>
    <n v="6"/>
    <s v="SAVE10"/>
    <x v="1"/>
    <n v="972.7"/>
  </r>
  <r>
    <x v="1057"/>
    <x v="634"/>
    <s v="C46210"/>
    <x v="5"/>
    <n v="3"/>
    <n v="428.88"/>
    <s v="535 Main St"/>
    <x v="0"/>
    <x v="0"/>
    <s v="TRK81611937"/>
    <n v="3"/>
    <s v="WINTER15"/>
    <x v="3"/>
    <n v="1286.6400000000001"/>
  </r>
  <r>
    <x v="1058"/>
    <x v="102"/>
    <s v="C32943"/>
    <x v="6"/>
    <n v="2"/>
    <n v="412.14"/>
    <s v="127 Main St"/>
    <x v="2"/>
    <x v="2"/>
    <s v="TRK26949106"/>
    <n v="2"/>
    <s v="FREESHIP"/>
    <x v="0"/>
    <n v="824.28"/>
  </r>
  <r>
    <x v="1059"/>
    <x v="491"/>
    <s v="C73629"/>
    <x v="6"/>
    <n v="1"/>
    <n v="265.64"/>
    <s v="601 Main St"/>
    <x v="2"/>
    <x v="2"/>
    <s v="TRK11492924"/>
    <n v="3"/>
    <s v="WINTER15"/>
    <x v="0"/>
    <n v="265.64"/>
  </r>
  <r>
    <x v="1060"/>
    <x v="635"/>
    <s v="C38024"/>
    <x v="2"/>
    <n v="2"/>
    <n v="273.43"/>
    <s v="824 Main St"/>
    <x v="4"/>
    <x v="0"/>
    <s v="TRK93370912"/>
    <n v="7"/>
    <s v="WINTER15"/>
    <x v="1"/>
    <n v="546.86"/>
  </r>
  <r>
    <x v="1061"/>
    <x v="636"/>
    <s v="C25445"/>
    <x v="5"/>
    <n v="5"/>
    <n v="131.69999999999999"/>
    <s v="830 Main St"/>
    <x v="4"/>
    <x v="0"/>
    <s v="TRK12402431"/>
    <n v="8"/>
    <s v="FREESHIP"/>
    <x v="4"/>
    <n v="658.5"/>
  </r>
  <r>
    <x v="1062"/>
    <x v="421"/>
    <s v="C13501"/>
    <x v="3"/>
    <n v="5"/>
    <n v="85.52"/>
    <s v="301 Main St"/>
    <x v="3"/>
    <x v="1"/>
    <s v="TRK65149372"/>
    <n v="5"/>
    <s v="N/A"/>
    <x v="3"/>
    <n v="427.6"/>
  </r>
  <r>
    <x v="1063"/>
    <x v="83"/>
    <s v="C42108"/>
    <x v="6"/>
    <n v="2"/>
    <n v="320.68"/>
    <s v="336 Main St"/>
    <x v="2"/>
    <x v="0"/>
    <s v="TRK58407918"/>
    <n v="5"/>
    <s v="FREESHIP"/>
    <x v="1"/>
    <n v="641.36"/>
  </r>
  <r>
    <x v="1064"/>
    <x v="637"/>
    <s v="C32121"/>
    <x v="5"/>
    <n v="4"/>
    <n v="198.81"/>
    <s v="654 Main St"/>
    <x v="4"/>
    <x v="2"/>
    <s v="TRK96074264"/>
    <n v="9"/>
    <s v="FREESHIP"/>
    <x v="1"/>
    <n v="795.24"/>
  </r>
  <r>
    <x v="1065"/>
    <x v="638"/>
    <s v="C47778"/>
    <x v="4"/>
    <n v="5"/>
    <n v="666.8"/>
    <s v="488 Main St"/>
    <x v="0"/>
    <x v="3"/>
    <s v="TRK79504329"/>
    <n v="7"/>
    <s v="SAVE10"/>
    <x v="1"/>
    <n v="3334"/>
  </r>
  <r>
    <x v="1066"/>
    <x v="639"/>
    <s v="C10791"/>
    <x v="6"/>
    <n v="1"/>
    <n v="355.09"/>
    <s v="674 Main St"/>
    <x v="0"/>
    <x v="1"/>
    <s v="TRK20321248"/>
    <n v="5"/>
    <s v="SAVE10"/>
    <x v="0"/>
    <n v="355.09"/>
  </r>
  <r>
    <x v="1067"/>
    <x v="640"/>
    <s v="C78959"/>
    <x v="1"/>
    <n v="2"/>
    <n v="316.2"/>
    <s v="384 Main St"/>
    <x v="1"/>
    <x v="2"/>
    <s v="TRK37426359"/>
    <n v="2"/>
    <s v="N/A"/>
    <x v="0"/>
    <n v="632.4"/>
  </r>
  <r>
    <x v="1068"/>
    <x v="240"/>
    <s v="C29914"/>
    <x v="5"/>
    <n v="1"/>
    <n v="133.38999999999999"/>
    <s v="469 Main St"/>
    <x v="0"/>
    <x v="0"/>
    <s v="TRK22073506"/>
    <n v="2"/>
    <s v="SAVE10"/>
    <x v="1"/>
    <n v="133.38999999999999"/>
  </r>
  <r>
    <x v="1069"/>
    <x v="641"/>
    <s v="C70506"/>
    <x v="0"/>
    <n v="1"/>
    <n v="454.23"/>
    <s v="255 Main St"/>
    <x v="3"/>
    <x v="2"/>
    <s v="TRK12518384"/>
    <n v="3"/>
    <s v="N/A"/>
    <x v="3"/>
    <n v="454.23"/>
  </r>
  <r>
    <x v="1070"/>
    <x v="605"/>
    <s v="C46873"/>
    <x v="6"/>
    <n v="4"/>
    <n v="491.29"/>
    <s v="496 Main St"/>
    <x v="0"/>
    <x v="4"/>
    <s v="TRK10926575"/>
    <n v="6"/>
    <s v="N/A"/>
    <x v="2"/>
    <n v="1965.16"/>
  </r>
  <r>
    <x v="1071"/>
    <x v="53"/>
    <s v="C94037"/>
    <x v="1"/>
    <n v="2"/>
    <n v="255.14"/>
    <s v="216 Main St"/>
    <x v="4"/>
    <x v="0"/>
    <s v="TRK47536985"/>
    <n v="2"/>
    <s v="N/A"/>
    <x v="4"/>
    <n v="510.28"/>
  </r>
  <r>
    <x v="1072"/>
    <x v="297"/>
    <s v="C88644"/>
    <x v="0"/>
    <n v="1"/>
    <n v="392.61"/>
    <s v="977 Main St"/>
    <x v="3"/>
    <x v="1"/>
    <s v="TRK14900878"/>
    <n v="4"/>
    <s v="SAVE10"/>
    <x v="1"/>
    <n v="392.61"/>
  </r>
  <r>
    <x v="1073"/>
    <x v="642"/>
    <s v="C69471"/>
    <x v="2"/>
    <n v="4"/>
    <n v="362.06"/>
    <s v="294 Main St"/>
    <x v="0"/>
    <x v="2"/>
    <s v="TRK11107152"/>
    <n v="4"/>
    <s v="N/A"/>
    <x v="3"/>
    <n v="1448.24"/>
  </r>
  <r>
    <x v="1074"/>
    <x v="451"/>
    <s v="C21437"/>
    <x v="1"/>
    <n v="1"/>
    <n v="222.73"/>
    <s v="120 Main St"/>
    <x v="1"/>
    <x v="2"/>
    <s v="TRK81624772"/>
    <n v="4"/>
    <s v="N/A"/>
    <x v="4"/>
    <n v="222.73"/>
  </r>
  <r>
    <x v="1075"/>
    <x v="169"/>
    <s v="C40949"/>
    <x v="0"/>
    <n v="2"/>
    <n v="552.63"/>
    <s v="609 Main St"/>
    <x v="0"/>
    <x v="3"/>
    <s v="TRK43066749"/>
    <n v="7"/>
    <s v="WINTER15"/>
    <x v="0"/>
    <n v="1105.26"/>
  </r>
  <r>
    <x v="1076"/>
    <x v="20"/>
    <s v="C99116"/>
    <x v="5"/>
    <n v="4"/>
    <n v="686.61"/>
    <s v="176 Main St"/>
    <x v="4"/>
    <x v="0"/>
    <s v="TRK52711973"/>
    <n v="6"/>
    <s v="N/A"/>
    <x v="1"/>
    <n v="2746.44"/>
  </r>
  <r>
    <x v="1077"/>
    <x v="456"/>
    <s v="C57861"/>
    <x v="4"/>
    <n v="3"/>
    <n v="305.16000000000003"/>
    <s v="115 Main St"/>
    <x v="2"/>
    <x v="1"/>
    <s v="TRK47775217"/>
    <n v="8"/>
    <s v="SAVE10"/>
    <x v="1"/>
    <n v="915.48"/>
  </r>
  <r>
    <x v="1078"/>
    <x v="168"/>
    <s v="C62627"/>
    <x v="6"/>
    <n v="1"/>
    <n v="41.09"/>
    <s v="881 Main St"/>
    <x v="1"/>
    <x v="2"/>
    <s v="TRK90060232"/>
    <n v="4"/>
    <s v="WINTER15"/>
    <x v="2"/>
    <n v="41.09"/>
  </r>
  <r>
    <x v="1079"/>
    <x v="643"/>
    <s v="C89979"/>
    <x v="1"/>
    <n v="5"/>
    <n v="634"/>
    <s v="144 Main St"/>
    <x v="3"/>
    <x v="3"/>
    <s v="TRK99055909"/>
    <n v="8"/>
    <s v="N/A"/>
    <x v="2"/>
    <n v="3170"/>
  </r>
  <r>
    <x v="1080"/>
    <x v="325"/>
    <s v="C70613"/>
    <x v="5"/>
    <n v="5"/>
    <n v="464.74"/>
    <s v="438 Main St"/>
    <x v="3"/>
    <x v="3"/>
    <s v="TRK33140293"/>
    <n v="7"/>
    <s v="N/A"/>
    <x v="1"/>
    <n v="2323.6999999999998"/>
  </r>
  <r>
    <x v="1081"/>
    <x v="453"/>
    <s v="C55636"/>
    <x v="0"/>
    <n v="4"/>
    <n v="425.6"/>
    <s v="494 Main St"/>
    <x v="2"/>
    <x v="4"/>
    <s v="TRK85897054"/>
    <n v="5"/>
    <s v="FREESHIP"/>
    <x v="4"/>
    <n v="1702.4"/>
  </r>
  <r>
    <x v="1082"/>
    <x v="426"/>
    <s v="C96595"/>
    <x v="3"/>
    <n v="3"/>
    <n v="573.22"/>
    <s v="177 Main St"/>
    <x v="0"/>
    <x v="4"/>
    <s v="TRK59779174"/>
    <n v="5"/>
    <s v="SAVE10"/>
    <x v="2"/>
    <n v="1719.66"/>
  </r>
  <r>
    <x v="1083"/>
    <x v="644"/>
    <s v="C68508"/>
    <x v="3"/>
    <n v="1"/>
    <n v="123.28"/>
    <s v="895 Main St"/>
    <x v="2"/>
    <x v="3"/>
    <s v="TRK98960285"/>
    <n v="3"/>
    <s v="SAVE10"/>
    <x v="2"/>
    <n v="123.28"/>
  </r>
  <r>
    <x v="1084"/>
    <x v="124"/>
    <s v="C45175"/>
    <x v="1"/>
    <n v="1"/>
    <n v="70.819999999999993"/>
    <s v="128 Main St"/>
    <x v="3"/>
    <x v="4"/>
    <s v="TRK41792296"/>
    <n v="1"/>
    <s v="WINTER15"/>
    <x v="0"/>
    <n v="70.819999999999993"/>
  </r>
  <r>
    <x v="1085"/>
    <x v="54"/>
    <s v="C28049"/>
    <x v="4"/>
    <n v="2"/>
    <n v="646.69000000000005"/>
    <s v="404 Main St"/>
    <x v="0"/>
    <x v="0"/>
    <s v="TRK91426444"/>
    <n v="7"/>
    <s v="WINTER15"/>
    <x v="0"/>
    <n v="1293.3800000000001"/>
  </r>
  <r>
    <x v="1086"/>
    <x v="475"/>
    <s v="C46967"/>
    <x v="2"/>
    <n v="2"/>
    <n v="513.41999999999996"/>
    <s v="401 Main St"/>
    <x v="1"/>
    <x v="4"/>
    <s v="TRK91439791"/>
    <n v="5"/>
    <s v="WINTER15"/>
    <x v="0"/>
    <n v="1026.8399999999999"/>
  </r>
  <r>
    <x v="1087"/>
    <x v="411"/>
    <s v="C84134"/>
    <x v="5"/>
    <n v="4"/>
    <n v="693.07"/>
    <s v="530 Main St"/>
    <x v="1"/>
    <x v="0"/>
    <s v="TRK48659380"/>
    <n v="8"/>
    <s v="SAVE10"/>
    <x v="0"/>
    <n v="2772.28"/>
  </r>
  <r>
    <x v="1088"/>
    <x v="115"/>
    <s v="C49831"/>
    <x v="6"/>
    <n v="3"/>
    <n v="491.43"/>
    <s v="213 Main St"/>
    <x v="3"/>
    <x v="0"/>
    <s v="TRK21232601"/>
    <n v="6"/>
    <s v="WINTER15"/>
    <x v="0"/>
    <n v="1474.29"/>
  </r>
  <r>
    <x v="1089"/>
    <x v="175"/>
    <s v="C13324"/>
    <x v="2"/>
    <n v="2"/>
    <n v="599.74"/>
    <s v="440 Main St"/>
    <x v="3"/>
    <x v="0"/>
    <s v="TRK66967997"/>
    <n v="2"/>
    <s v="N/A"/>
    <x v="0"/>
    <n v="1199.48"/>
  </r>
  <r>
    <x v="1090"/>
    <x v="641"/>
    <s v="C61225"/>
    <x v="0"/>
    <n v="2"/>
    <n v="650.25"/>
    <s v="996 Main St"/>
    <x v="3"/>
    <x v="2"/>
    <s v="TRK37022954"/>
    <n v="6"/>
    <s v="N/A"/>
    <x v="0"/>
    <n v="1300.5"/>
  </r>
  <r>
    <x v="1091"/>
    <x v="192"/>
    <s v="C16400"/>
    <x v="5"/>
    <n v="3"/>
    <n v="209.48"/>
    <s v="123 Main St"/>
    <x v="0"/>
    <x v="4"/>
    <s v="TRK57771859"/>
    <n v="4"/>
    <s v="N/A"/>
    <x v="2"/>
    <n v="628.43999999999994"/>
  </r>
  <r>
    <x v="1092"/>
    <x v="531"/>
    <s v="C38642"/>
    <x v="5"/>
    <n v="5"/>
    <n v="209.2"/>
    <s v="930 Main St"/>
    <x v="0"/>
    <x v="3"/>
    <s v="TRK47744396"/>
    <n v="6"/>
    <s v="WINTER15"/>
    <x v="2"/>
    <n v="1046"/>
  </r>
  <r>
    <x v="1093"/>
    <x v="308"/>
    <s v="C86773"/>
    <x v="1"/>
    <n v="4"/>
    <n v="197.36"/>
    <s v="557 Main St"/>
    <x v="3"/>
    <x v="2"/>
    <s v="TRK22612240"/>
    <n v="9"/>
    <s v="FREESHIP"/>
    <x v="0"/>
    <n v="789.44"/>
  </r>
  <r>
    <x v="1094"/>
    <x v="342"/>
    <s v="C66093"/>
    <x v="4"/>
    <n v="4"/>
    <n v="648.91"/>
    <s v="615 Main St"/>
    <x v="2"/>
    <x v="0"/>
    <s v="TRK54950785"/>
    <n v="6"/>
    <s v="SAVE10"/>
    <x v="0"/>
    <n v="2595.64"/>
  </r>
  <r>
    <x v="1095"/>
    <x v="234"/>
    <s v="C33051"/>
    <x v="1"/>
    <n v="2"/>
    <n v="441.54"/>
    <s v="397 Main St"/>
    <x v="1"/>
    <x v="3"/>
    <s v="TRK92929755"/>
    <n v="2"/>
    <s v="SAVE10"/>
    <x v="2"/>
    <n v="883.08"/>
  </r>
  <r>
    <x v="1096"/>
    <x v="120"/>
    <s v="C18169"/>
    <x v="2"/>
    <n v="2"/>
    <n v="464.92"/>
    <s v="782 Main St"/>
    <x v="0"/>
    <x v="2"/>
    <s v="TRK49482923"/>
    <n v="2"/>
    <s v="N/A"/>
    <x v="3"/>
    <n v="929.84"/>
  </r>
  <r>
    <x v="1097"/>
    <x v="645"/>
    <s v="C81370"/>
    <x v="0"/>
    <n v="5"/>
    <n v="506.45"/>
    <s v="344 Main St"/>
    <x v="3"/>
    <x v="0"/>
    <s v="TRK99682998"/>
    <n v="7"/>
    <s v="WINTER15"/>
    <x v="4"/>
    <n v="2532.25"/>
  </r>
  <r>
    <x v="1098"/>
    <x v="646"/>
    <s v="C91103"/>
    <x v="0"/>
    <n v="4"/>
    <n v="255.86"/>
    <s v="155 Main St"/>
    <x v="2"/>
    <x v="3"/>
    <s v="TRK91653000"/>
    <n v="7"/>
    <s v="N/A"/>
    <x v="2"/>
    <n v="1023.44"/>
  </r>
  <r>
    <x v="1099"/>
    <x v="556"/>
    <s v="C21953"/>
    <x v="5"/>
    <n v="2"/>
    <n v="125.23"/>
    <s v="272 Main St"/>
    <x v="4"/>
    <x v="1"/>
    <s v="TRK60774796"/>
    <n v="3"/>
    <s v="FREESHIP"/>
    <x v="2"/>
    <n v="250.46"/>
  </r>
  <r>
    <x v="1100"/>
    <x v="538"/>
    <s v="C15146"/>
    <x v="5"/>
    <n v="5"/>
    <n v="38.11"/>
    <s v="428 Main St"/>
    <x v="0"/>
    <x v="1"/>
    <s v="TRK79790530"/>
    <n v="6"/>
    <s v="WINTER15"/>
    <x v="0"/>
    <n v="190.55"/>
  </r>
  <r>
    <x v="1101"/>
    <x v="647"/>
    <s v="C43546"/>
    <x v="0"/>
    <n v="3"/>
    <n v="161.97"/>
    <s v="904 Main St"/>
    <x v="4"/>
    <x v="4"/>
    <s v="TRK85871121"/>
    <n v="4"/>
    <s v="SAVE10"/>
    <x v="2"/>
    <n v="485.91"/>
  </r>
  <r>
    <x v="1102"/>
    <x v="561"/>
    <s v="C98474"/>
    <x v="3"/>
    <n v="4"/>
    <n v="347.17"/>
    <s v="997 Main St"/>
    <x v="0"/>
    <x v="0"/>
    <s v="TRK86192984"/>
    <n v="8"/>
    <s v="N/A"/>
    <x v="0"/>
    <n v="1388.68"/>
  </r>
  <r>
    <x v="1103"/>
    <x v="648"/>
    <s v="C90292"/>
    <x v="5"/>
    <n v="4"/>
    <n v="276.32"/>
    <s v="129 Main St"/>
    <x v="1"/>
    <x v="3"/>
    <s v="TRK26270357"/>
    <n v="5"/>
    <s v="N/A"/>
    <x v="4"/>
    <n v="1105.28"/>
  </r>
  <r>
    <x v="1104"/>
    <x v="568"/>
    <s v="C17075"/>
    <x v="2"/>
    <n v="4"/>
    <n v="314.76"/>
    <s v="850 Main St"/>
    <x v="1"/>
    <x v="0"/>
    <s v="TRK63547510"/>
    <n v="8"/>
    <s v="N/A"/>
    <x v="0"/>
    <n v="1259.04"/>
  </r>
  <r>
    <x v="1105"/>
    <x v="649"/>
    <s v="C12487"/>
    <x v="2"/>
    <n v="3"/>
    <n v="475.69"/>
    <s v="884 Main St"/>
    <x v="3"/>
    <x v="1"/>
    <s v="TRK23324770"/>
    <n v="3"/>
    <s v="FREESHIP"/>
    <x v="4"/>
    <n v="1427.07"/>
  </r>
  <r>
    <x v="1106"/>
    <x v="255"/>
    <s v="C34555"/>
    <x v="3"/>
    <n v="1"/>
    <n v="372.8"/>
    <s v="903 Main St"/>
    <x v="4"/>
    <x v="1"/>
    <s v="TRK72859458"/>
    <n v="6"/>
    <s v="SAVE10"/>
    <x v="3"/>
    <n v="372.8"/>
  </r>
  <r>
    <x v="1107"/>
    <x v="233"/>
    <s v="C25110"/>
    <x v="2"/>
    <n v="2"/>
    <n v="63.21"/>
    <s v="282 Main St"/>
    <x v="1"/>
    <x v="1"/>
    <s v="TRK80963328"/>
    <n v="4"/>
    <s v="SAVE10"/>
    <x v="4"/>
    <n v="126.42"/>
  </r>
  <r>
    <x v="1108"/>
    <x v="650"/>
    <s v="C35136"/>
    <x v="5"/>
    <n v="1"/>
    <n v="634.94000000000005"/>
    <s v="462 Main St"/>
    <x v="1"/>
    <x v="1"/>
    <s v="TRK49753703"/>
    <n v="5"/>
    <s v="WINTER15"/>
    <x v="0"/>
    <n v="634.94000000000005"/>
  </r>
  <r>
    <x v="1109"/>
    <x v="651"/>
    <s v="C62277"/>
    <x v="4"/>
    <n v="4"/>
    <n v="77.47"/>
    <s v="474 Main St"/>
    <x v="3"/>
    <x v="2"/>
    <s v="TRK32026174"/>
    <n v="7"/>
    <s v="SAVE10"/>
    <x v="0"/>
    <n v="309.88"/>
  </r>
  <r>
    <x v="1110"/>
    <x v="402"/>
    <s v="C12472"/>
    <x v="3"/>
    <n v="3"/>
    <n v="84.31"/>
    <s v="912 Main St"/>
    <x v="2"/>
    <x v="0"/>
    <s v="TRK36103184"/>
    <n v="3"/>
    <s v="SAVE10"/>
    <x v="2"/>
    <n v="252.93"/>
  </r>
  <r>
    <x v="1111"/>
    <x v="306"/>
    <s v="C24047"/>
    <x v="0"/>
    <n v="4"/>
    <n v="234.45"/>
    <s v="362 Main St"/>
    <x v="1"/>
    <x v="1"/>
    <s v="TRK91338580"/>
    <n v="9"/>
    <s v="FREESHIP"/>
    <x v="0"/>
    <n v="937.8"/>
  </r>
  <r>
    <x v="1112"/>
    <x v="652"/>
    <s v="C76929"/>
    <x v="6"/>
    <n v="1"/>
    <n v="356.81"/>
    <s v="563 Main St"/>
    <x v="1"/>
    <x v="3"/>
    <s v="TRK80694400"/>
    <n v="1"/>
    <s v="WINTER15"/>
    <x v="0"/>
    <n v="356.81"/>
  </r>
  <r>
    <x v="1113"/>
    <x v="111"/>
    <s v="C52914"/>
    <x v="6"/>
    <n v="4"/>
    <n v="209.99"/>
    <s v="168 Main St"/>
    <x v="4"/>
    <x v="3"/>
    <s v="TRK80819053"/>
    <n v="8"/>
    <s v="N/A"/>
    <x v="4"/>
    <n v="839.96"/>
  </r>
  <r>
    <x v="1114"/>
    <x v="653"/>
    <s v="C55164"/>
    <x v="2"/>
    <n v="3"/>
    <n v="659.88"/>
    <s v="609 Main St"/>
    <x v="3"/>
    <x v="1"/>
    <s v="TRK79610967"/>
    <n v="3"/>
    <s v="N/A"/>
    <x v="4"/>
    <n v="1979.64"/>
  </r>
  <r>
    <x v="1115"/>
    <x v="126"/>
    <s v="C70426"/>
    <x v="5"/>
    <n v="2"/>
    <n v="336.32"/>
    <s v="562 Main St"/>
    <x v="1"/>
    <x v="2"/>
    <s v="TRK89687816"/>
    <n v="3"/>
    <s v="N/A"/>
    <x v="4"/>
    <n v="672.64"/>
  </r>
  <r>
    <x v="1116"/>
    <x v="612"/>
    <s v="C69149"/>
    <x v="4"/>
    <n v="2"/>
    <n v="531.49"/>
    <s v="562 Main St"/>
    <x v="2"/>
    <x v="3"/>
    <s v="TRK61265132"/>
    <n v="7"/>
    <s v="WINTER15"/>
    <x v="3"/>
    <n v="1062.98"/>
  </r>
  <r>
    <x v="1117"/>
    <x v="199"/>
    <s v="C78684"/>
    <x v="3"/>
    <n v="3"/>
    <n v="588.44000000000005"/>
    <s v="858 Main St"/>
    <x v="3"/>
    <x v="0"/>
    <s v="TRK95779073"/>
    <n v="8"/>
    <s v="WINTER15"/>
    <x v="4"/>
    <n v="1765.32"/>
  </r>
  <r>
    <x v="1118"/>
    <x v="75"/>
    <s v="C58168"/>
    <x v="1"/>
    <n v="3"/>
    <n v="251.48"/>
    <s v="359 Main St"/>
    <x v="2"/>
    <x v="2"/>
    <s v="TRK99102265"/>
    <n v="4"/>
    <s v="N/A"/>
    <x v="2"/>
    <n v="754.43999999999994"/>
  </r>
  <r>
    <x v="1119"/>
    <x v="167"/>
    <s v="C99024"/>
    <x v="5"/>
    <n v="1"/>
    <n v="684.65"/>
    <s v="250 Main St"/>
    <x v="2"/>
    <x v="3"/>
    <s v="TRK24675988"/>
    <n v="1"/>
    <s v="FREESHIP"/>
    <x v="2"/>
    <n v="684.65"/>
  </r>
  <r>
    <x v="1120"/>
    <x v="400"/>
    <s v="C22919"/>
    <x v="2"/>
    <n v="1"/>
    <n v="195.86"/>
    <s v="267 Main St"/>
    <x v="1"/>
    <x v="4"/>
    <s v="TRK82416295"/>
    <n v="3"/>
    <s v="N/A"/>
    <x v="3"/>
    <n v="195.86"/>
  </r>
  <r>
    <x v="1121"/>
    <x v="654"/>
    <s v="C98354"/>
    <x v="1"/>
    <n v="3"/>
    <n v="50.34"/>
    <s v="393 Main St"/>
    <x v="3"/>
    <x v="2"/>
    <s v="TRK43070888"/>
    <n v="3"/>
    <s v="FREESHIP"/>
    <x v="0"/>
    <n v="151.02000000000001"/>
  </r>
  <r>
    <x v="1122"/>
    <x v="323"/>
    <s v="C38840"/>
    <x v="0"/>
    <n v="5"/>
    <n v="678.19"/>
    <s v="766 Main St"/>
    <x v="1"/>
    <x v="2"/>
    <s v="TRK32496970"/>
    <n v="8"/>
    <s v="N/A"/>
    <x v="3"/>
    <n v="3390.95"/>
  </r>
  <r>
    <x v="1123"/>
    <x v="655"/>
    <s v="C68936"/>
    <x v="2"/>
    <n v="3"/>
    <n v="554.25"/>
    <s v="843 Main St"/>
    <x v="0"/>
    <x v="0"/>
    <s v="TRK73163634"/>
    <n v="6"/>
    <s v="WINTER15"/>
    <x v="1"/>
    <n v="1662.75"/>
  </r>
  <r>
    <x v="1124"/>
    <x v="221"/>
    <s v="C33744"/>
    <x v="3"/>
    <n v="4"/>
    <n v="576.87"/>
    <s v="888 Main St"/>
    <x v="3"/>
    <x v="2"/>
    <s v="TRK40245983"/>
    <n v="5"/>
    <s v="N/A"/>
    <x v="0"/>
    <n v="2307.48"/>
  </r>
  <r>
    <x v="1125"/>
    <x v="504"/>
    <s v="C23555"/>
    <x v="6"/>
    <n v="4"/>
    <n v="408.36"/>
    <s v="156 Main St"/>
    <x v="3"/>
    <x v="1"/>
    <s v="TRK67210247"/>
    <n v="4"/>
    <s v="FREESHIP"/>
    <x v="1"/>
    <n v="1633.44"/>
  </r>
  <r>
    <x v="1126"/>
    <x v="319"/>
    <s v="C34337"/>
    <x v="1"/>
    <n v="5"/>
    <n v="190.11"/>
    <s v="325 Main St"/>
    <x v="4"/>
    <x v="3"/>
    <s v="TRK36195559"/>
    <n v="7"/>
    <s v="SAVE10"/>
    <x v="4"/>
    <n v="950.55000000000007"/>
  </r>
  <r>
    <x v="1127"/>
    <x v="175"/>
    <s v="C69396"/>
    <x v="4"/>
    <n v="3"/>
    <n v="602.75"/>
    <s v="920 Main St"/>
    <x v="2"/>
    <x v="0"/>
    <s v="TRK33155049"/>
    <n v="6"/>
    <s v="SAVE10"/>
    <x v="2"/>
    <n v="1808.25"/>
  </r>
  <r>
    <x v="1128"/>
    <x v="538"/>
    <s v="C49198"/>
    <x v="0"/>
    <n v="3"/>
    <n v="646.79"/>
    <s v="447 Main St"/>
    <x v="4"/>
    <x v="1"/>
    <s v="TRK10883354"/>
    <n v="5"/>
    <s v="WINTER15"/>
    <x v="4"/>
    <n v="1940.37"/>
  </r>
  <r>
    <x v="1129"/>
    <x v="236"/>
    <s v="C43911"/>
    <x v="3"/>
    <n v="4"/>
    <n v="418.71"/>
    <s v="239 Main St"/>
    <x v="4"/>
    <x v="4"/>
    <s v="TRK37495481"/>
    <n v="8"/>
    <s v="FREESHIP"/>
    <x v="0"/>
    <n v="1674.84"/>
  </r>
  <r>
    <x v="1130"/>
    <x v="656"/>
    <s v="C24347"/>
    <x v="5"/>
    <n v="2"/>
    <n v="323.45"/>
    <s v="533 Main St"/>
    <x v="2"/>
    <x v="2"/>
    <s v="TRK27233265"/>
    <n v="5"/>
    <s v="FREESHIP"/>
    <x v="0"/>
    <n v="646.9"/>
  </r>
  <r>
    <x v="1131"/>
    <x v="408"/>
    <s v="C21043"/>
    <x v="1"/>
    <n v="1"/>
    <n v="694.5"/>
    <s v="195 Main St"/>
    <x v="2"/>
    <x v="4"/>
    <s v="TRK41691086"/>
    <n v="3"/>
    <s v="WINTER15"/>
    <x v="3"/>
    <n v="694.5"/>
  </r>
  <r>
    <x v="1132"/>
    <x v="657"/>
    <s v="C58858"/>
    <x v="3"/>
    <n v="2"/>
    <n v="337.32"/>
    <s v="948 Main St"/>
    <x v="2"/>
    <x v="1"/>
    <s v="TRK30406357"/>
    <n v="4"/>
    <s v="SAVE10"/>
    <x v="2"/>
    <n v="674.64"/>
  </r>
  <r>
    <x v="1133"/>
    <x v="398"/>
    <s v="C20670"/>
    <x v="4"/>
    <n v="2"/>
    <n v="467.91"/>
    <s v="432 Main St"/>
    <x v="3"/>
    <x v="2"/>
    <s v="TRK76731303"/>
    <n v="5"/>
    <s v="WINTER15"/>
    <x v="3"/>
    <n v="935.82"/>
  </r>
  <r>
    <x v="1134"/>
    <x v="180"/>
    <s v="C90993"/>
    <x v="6"/>
    <n v="4"/>
    <n v="38.28"/>
    <s v="950 Main St"/>
    <x v="0"/>
    <x v="1"/>
    <s v="TRK53964711"/>
    <n v="4"/>
    <s v="WINTER15"/>
    <x v="3"/>
    <n v="153.12"/>
  </r>
  <r>
    <x v="1135"/>
    <x v="153"/>
    <s v="C11473"/>
    <x v="4"/>
    <n v="2"/>
    <n v="73.41"/>
    <s v="562 Main St"/>
    <x v="1"/>
    <x v="0"/>
    <s v="TRK97793275"/>
    <n v="2"/>
    <s v="SAVE10"/>
    <x v="4"/>
    <n v="146.82"/>
  </r>
  <r>
    <x v="1136"/>
    <x v="463"/>
    <s v="C71899"/>
    <x v="2"/>
    <n v="3"/>
    <n v="668.33"/>
    <s v="799 Main St"/>
    <x v="3"/>
    <x v="4"/>
    <s v="TRK34856025"/>
    <n v="4"/>
    <s v="WINTER15"/>
    <x v="3"/>
    <n v="2004.99"/>
  </r>
  <r>
    <x v="1137"/>
    <x v="511"/>
    <s v="C48577"/>
    <x v="4"/>
    <n v="4"/>
    <n v="410.21"/>
    <s v="841 Main St"/>
    <x v="4"/>
    <x v="4"/>
    <s v="TRK59911645"/>
    <n v="5"/>
    <s v="WINTER15"/>
    <x v="0"/>
    <n v="1640.84"/>
  </r>
  <r>
    <x v="1138"/>
    <x v="552"/>
    <s v="C13100"/>
    <x v="6"/>
    <n v="4"/>
    <n v="294.41000000000003"/>
    <s v="188 Main St"/>
    <x v="0"/>
    <x v="4"/>
    <s v="TRK55565668"/>
    <n v="4"/>
    <s v="N/A"/>
    <x v="0"/>
    <n v="1177.6400000000001"/>
  </r>
  <r>
    <x v="1139"/>
    <x v="627"/>
    <s v="C70659"/>
    <x v="3"/>
    <n v="3"/>
    <n v="501.82"/>
    <s v="568 Main St"/>
    <x v="3"/>
    <x v="1"/>
    <s v="TRK28290825"/>
    <n v="4"/>
    <s v="FREESHIP"/>
    <x v="2"/>
    <n v="1505.46"/>
  </r>
  <r>
    <x v="1140"/>
    <x v="658"/>
    <s v="C49838"/>
    <x v="4"/>
    <n v="2"/>
    <n v="552.83000000000004"/>
    <s v="904 Main St"/>
    <x v="2"/>
    <x v="1"/>
    <s v="TRK38297718"/>
    <n v="3"/>
    <s v="N/A"/>
    <x v="1"/>
    <n v="1105.6600000000001"/>
  </r>
  <r>
    <x v="1141"/>
    <x v="656"/>
    <s v="C11998"/>
    <x v="3"/>
    <n v="3"/>
    <n v="498.66"/>
    <s v="382 Main St"/>
    <x v="4"/>
    <x v="1"/>
    <s v="TRK26707221"/>
    <n v="6"/>
    <s v="N/A"/>
    <x v="2"/>
    <n v="1495.98"/>
  </r>
  <r>
    <x v="1142"/>
    <x v="1"/>
    <s v="C23405"/>
    <x v="1"/>
    <n v="4"/>
    <n v="695.1"/>
    <s v="484 Main St"/>
    <x v="0"/>
    <x v="2"/>
    <s v="TRK83678708"/>
    <n v="8"/>
    <s v="N/A"/>
    <x v="2"/>
    <n v="2780.4"/>
  </r>
  <r>
    <x v="1143"/>
    <x v="659"/>
    <s v="C41132"/>
    <x v="3"/>
    <n v="1"/>
    <n v="381.61"/>
    <s v="114 Main St"/>
    <x v="0"/>
    <x v="4"/>
    <s v="TRK51040137"/>
    <n v="5"/>
    <s v="N/A"/>
    <x v="2"/>
    <n v="381.61"/>
  </r>
  <r>
    <x v="1144"/>
    <x v="223"/>
    <s v="C88463"/>
    <x v="6"/>
    <n v="5"/>
    <n v="507.94"/>
    <s v="292 Main St"/>
    <x v="1"/>
    <x v="1"/>
    <s v="TRK88749996"/>
    <n v="9"/>
    <s v="N/A"/>
    <x v="3"/>
    <n v="2539.6999999999998"/>
  </r>
  <r>
    <x v="1145"/>
    <x v="275"/>
    <s v="C28152"/>
    <x v="6"/>
    <n v="3"/>
    <n v="571.53"/>
    <s v="821 Main St"/>
    <x v="0"/>
    <x v="3"/>
    <s v="TRK59642814"/>
    <n v="6"/>
    <s v="FREESHIP"/>
    <x v="3"/>
    <n v="1714.59"/>
  </r>
  <r>
    <x v="1146"/>
    <x v="525"/>
    <s v="C36383"/>
    <x v="0"/>
    <n v="5"/>
    <n v="421.44"/>
    <s v="286 Main St"/>
    <x v="4"/>
    <x v="4"/>
    <s v="TRK93336357"/>
    <n v="5"/>
    <s v="SAVE10"/>
    <x v="0"/>
    <n v="2107.1999999999998"/>
  </r>
  <r>
    <x v="1147"/>
    <x v="143"/>
    <s v="C19759"/>
    <x v="3"/>
    <n v="2"/>
    <n v="588.29999999999995"/>
    <s v="234 Main St"/>
    <x v="1"/>
    <x v="4"/>
    <s v="TRK22515454"/>
    <n v="2"/>
    <s v="FREESHIP"/>
    <x v="2"/>
    <n v="1176.5999999999999"/>
  </r>
  <r>
    <x v="1148"/>
    <x v="611"/>
    <s v="C54886"/>
    <x v="1"/>
    <n v="1"/>
    <n v="355.15"/>
    <s v="442 Main St"/>
    <x v="4"/>
    <x v="2"/>
    <s v="TRK66241930"/>
    <n v="2"/>
    <s v="SAVE10"/>
    <x v="2"/>
    <n v="355.15"/>
  </r>
  <r>
    <x v="1149"/>
    <x v="568"/>
    <s v="C27305"/>
    <x v="3"/>
    <n v="2"/>
    <n v="695.29"/>
    <s v="957 Main St"/>
    <x v="2"/>
    <x v="4"/>
    <s v="TRK28789916"/>
    <n v="6"/>
    <s v="FREESHIP"/>
    <x v="0"/>
    <n v="1390.58"/>
  </r>
  <r>
    <x v="1150"/>
    <x v="215"/>
    <s v="C17921"/>
    <x v="6"/>
    <n v="4"/>
    <n v="302.64999999999998"/>
    <s v="119 Main St"/>
    <x v="2"/>
    <x v="1"/>
    <s v="TRK79291524"/>
    <n v="8"/>
    <s v="SAVE10"/>
    <x v="1"/>
    <n v="1210.5999999999999"/>
  </r>
  <r>
    <x v="1151"/>
    <x v="22"/>
    <s v="C94381"/>
    <x v="3"/>
    <n v="2"/>
    <n v="608.04"/>
    <s v="962 Main St"/>
    <x v="4"/>
    <x v="1"/>
    <s v="TRK69804304"/>
    <n v="4"/>
    <s v="N/A"/>
    <x v="4"/>
    <n v="1216.08"/>
  </r>
  <r>
    <x v="1152"/>
    <x v="576"/>
    <s v="C25162"/>
    <x v="2"/>
    <n v="2"/>
    <n v="344.18"/>
    <s v="533 Main St"/>
    <x v="2"/>
    <x v="0"/>
    <s v="TRK42183078"/>
    <n v="7"/>
    <s v="N/A"/>
    <x v="1"/>
    <n v="688.36"/>
  </r>
  <r>
    <x v="1153"/>
    <x v="393"/>
    <s v="C98317"/>
    <x v="0"/>
    <n v="4"/>
    <n v="696.71"/>
    <s v="276 Main St"/>
    <x v="0"/>
    <x v="0"/>
    <s v="TRK37172138"/>
    <n v="4"/>
    <s v="N/A"/>
    <x v="0"/>
    <n v="2786.84"/>
  </r>
  <r>
    <x v="1154"/>
    <x v="113"/>
    <s v="C53631"/>
    <x v="0"/>
    <n v="3"/>
    <n v="198.63"/>
    <s v="593 Main St"/>
    <x v="4"/>
    <x v="4"/>
    <s v="TRK67589167"/>
    <n v="8"/>
    <s v="SAVE10"/>
    <x v="0"/>
    <n v="595.89"/>
  </r>
  <r>
    <x v="1155"/>
    <x v="340"/>
    <s v="C41478"/>
    <x v="4"/>
    <n v="4"/>
    <n v="534.57000000000005"/>
    <s v="667 Main St"/>
    <x v="2"/>
    <x v="3"/>
    <s v="TRK62068126"/>
    <n v="6"/>
    <s v="FREESHIP"/>
    <x v="3"/>
    <n v="2138.2800000000002"/>
  </r>
  <r>
    <x v="1156"/>
    <x v="45"/>
    <s v="C20512"/>
    <x v="5"/>
    <n v="4"/>
    <n v="690.78"/>
    <s v="980 Main St"/>
    <x v="2"/>
    <x v="0"/>
    <s v="TRK98234737"/>
    <n v="9"/>
    <s v="N/A"/>
    <x v="1"/>
    <n v="2763.12"/>
  </r>
  <r>
    <x v="1157"/>
    <x v="382"/>
    <s v="C25841"/>
    <x v="0"/>
    <n v="3"/>
    <n v="301.55"/>
    <s v="242 Main St"/>
    <x v="0"/>
    <x v="3"/>
    <s v="TRK21451375"/>
    <n v="5"/>
    <s v="FREESHIP"/>
    <x v="4"/>
    <n v="904.65000000000009"/>
  </r>
  <r>
    <x v="1158"/>
    <x v="197"/>
    <s v="C82781"/>
    <x v="0"/>
    <n v="4"/>
    <n v="27.42"/>
    <s v="661 Main St"/>
    <x v="0"/>
    <x v="4"/>
    <s v="TRK20605418"/>
    <n v="4"/>
    <s v="SAVE10"/>
    <x v="1"/>
    <n v="109.68"/>
  </r>
  <r>
    <x v="1159"/>
    <x v="203"/>
    <s v="C66112"/>
    <x v="6"/>
    <n v="4"/>
    <n v="466.7"/>
    <s v="874 Main St"/>
    <x v="0"/>
    <x v="2"/>
    <s v="TRK60955607"/>
    <n v="8"/>
    <s v="N/A"/>
    <x v="0"/>
    <n v="1866.8"/>
  </r>
  <r>
    <x v="1160"/>
    <x v="333"/>
    <s v="C40466"/>
    <x v="6"/>
    <n v="1"/>
    <n v="541.64"/>
    <s v="449 Main St"/>
    <x v="0"/>
    <x v="0"/>
    <s v="TRK70255168"/>
    <n v="5"/>
    <s v="SAVE10"/>
    <x v="2"/>
    <n v="541.64"/>
  </r>
  <r>
    <x v="1161"/>
    <x v="504"/>
    <s v="C32570"/>
    <x v="1"/>
    <n v="1"/>
    <n v="11.39"/>
    <s v="826 Main St"/>
    <x v="4"/>
    <x v="1"/>
    <s v="TRK35969968"/>
    <n v="6"/>
    <s v="WINTER15"/>
    <x v="2"/>
    <n v="11.39"/>
  </r>
  <r>
    <x v="1162"/>
    <x v="660"/>
    <s v="C29405"/>
    <x v="1"/>
    <n v="2"/>
    <n v="224.37"/>
    <s v="251 Main St"/>
    <x v="0"/>
    <x v="3"/>
    <s v="TRK33125798"/>
    <n v="3"/>
    <s v="WINTER15"/>
    <x v="1"/>
    <n v="448.74"/>
  </r>
  <r>
    <x v="1163"/>
    <x v="184"/>
    <s v="C30643"/>
    <x v="5"/>
    <n v="3"/>
    <n v="306.29000000000002"/>
    <s v="966 Main St"/>
    <x v="2"/>
    <x v="2"/>
    <s v="TRK19477485"/>
    <n v="7"/>
    <s v="WINTER15"/>
    <x v="0"/>
    <n v="918.87000000000012"/>
  </r>
  <r>
    <x v="1164"/>
    <x v="649"/>
    <s v="C65890"/>
    <x v="2"/>
    <n v="5"/>
    <n v="315.57"/>
    <s v="340 Main St"/>
    <x v="0"/>
    <x v="3"/>
    <s v="TRK64530489"/>
    <n v="6"/>
    <s v="WINTER15"/>
    <x v="2"/>
    <n v="1577.85"/>
  </r>
  <r>
    <x v="1165"/>
    <x v="328"/>
    <s v="C36992"/>
    <x v="3"/>
    <n v="3"/>
    <n v="223.79"/>
    <s v="617 Main St"/>
    <x v="0"/>
    <x v="4"/>
    <s v="TRK63460217"/>
    <n v="3"/>
    <s v="N/A"/>
    <x v="4"/>
    <n v="671.37"/>
  </r>
  <r>
    <x v="1166"/>
    <x v="48"/>
    <s v="C95568"/>
    <x v="3"/>
    <n v="3"/>
    <n v="324.47000000000003"/>
    <s v="971 Main St"/>
    <x v="4"/>
    <x v="3"/>
    <s v="TRK37075292"/>
    <n v="4"/>
    <s v="WINTER15"/>
    <x v="2"/>
    <n v="973.41000000000008"/>
  </r>
  <r>
    <x v="1167"/>
    <x v="661"/>
    <s v="C17966"/>
    <x v="4"/>
    <n v="2"/>
    <n v="92.87"/>
    <s v="360 Main St"/>
    <x v="2"/>
    <x v="4"/>
    <s v="TRK31169396"/>
    <n v="5"/>
    <s v="FREESHIP"/>
    <x v="3"/>
    <n v="185.74"/>
  </r>
  <r>
    <x v="1168"/>
    <x v="505"/>
    <s v="C89559"/>
    <x v="5"/>
    <n v="2"/>
    <n v="331.42"/>
    <s v="297 Main St"/>
    <x v="2"/>
    <x v="3"/>
    <s v="TRK82838108"/>
    <n v="6"/>
    <s v="WINTER15"/>
    <x v="4"/>
    <n v="662.84"/>
  </r>
  <r>
    <x v="1169"/>
    <x v="662"/>
    <s v="C15849"/>
    <x v="3"/>
    <n v="1"/>
    <n v="525.42999999999995"/>
    <s v="643 Main St"/>
    <x v="4"/>
    <x v="1"/>
    <s v="TRK26794546"/>
    <n v="2"/>
    <s v="SAVE10"/>
    <x v="0"/>
    <n v="525.42999999999995"/>
  </r>
  <r>
    <x v="1170"/>
    <x v="567"/>
    <s v="C94257"/>
    <x v="4"/>
    <n v="2"/>
    <n v="697.19"/>
    <s v="762 Main St"/>
    <x v="4"/>
    <x v="2"/>
    <s v="TRK40220743"/>
    <n v="7"/>
    <s v="FREESHIP"/>
    <x v="2"/>
    <n v="1394.38"/>
  </r>
  <r>
    <x v="1171"/>
    <x v="81"/>
    <s v="C39911"/>
    <x v="1"/>
    <n v="4"/>
    <n v="518.4"/>
    <s v="699 Main St"/>
    <x v="2"/>
    <x v="3"/>
    <s v="TRK80431998"/>
    <n v="7"/>
    <s v="SAVE10"/>
    <x v="3"/>
    <n v="2073.6"/>
  </r>
  <r>
    <x v="1172"/>
    <x v="496"/>
    <s v="C28828"/>
    <x v="6"/>
    <n v="3"/>
    <n v="131.96"/>
    <s v="745 Main St"/>
    <x v="2"/>
    <x v="4"/>
    <s v="TRK32550359"/>
    <n v="8"/>
    <s v="N/A"/>
    <x v="0"/>
    <n v="395.88"/>
  </r>
  <r>
    <x v="1173"/>
    <x v="449"/>
    <s v="C82921"/>
    <x v="0"/>
    <n v="1"/>
    <n v="208.36"/>
    <s v="703 Main St"/>
    <x v="1"/>
    <x v="0"/>
    <s v="TRK31079911"/>
    <n v="4"/>
    <s v="FREESHIP"/>
    <x v="2"/>
    <n v="208.36"/>
  </r>
  <r>
    <x v="1174"/>
    <x v="110"/>
    <s v="C50159"/>
    <x v="4"/>
    <n v="3"/>
    <n v="222.34"/>
    <s v="105 Main St"/>
    <x v="2"/>
    <x v="2"/>
    <s v="TRK53737452"/>
    <n v="5"/>
    <s v="WINTER15"/>
    <x v="2"/>
    <n v="667.02"/>
  </r>
  <r>
    <x v="1175"/>
    <x v="663"/>
    <s v="C62512"/>
    <x v="4"/>
    <n v="3"/>
    <n v="91.74"/>
    <s v="368 Main St"/>
    <x v="0"/>
    <x v="2"/>
    <s v="TRK24139954"/>
    <n v="8"/>
    <s v="FREESHIP"/>
    <x v="1"/>
    <n v="275.22000000000003"/>
  </r>
  <r>
    <x v="1176"/>
    <x v="340"/>
    <s v="C39260"/>
    <x v="2"/>
    <n v="2"/>
    <n v="213.83"/>
    <s v="374 Main St"/>
    <x v="0"/>
    <x v="1"/>
    <s v="TRK55587314"/>
    <n v="2"/>
    <s v="WINTER15"/>
    <x v="2"/>
    <n v="427.66"/>
  </r>
  <r>
    <x v="1177"/>
    <x v="664"/>
    <s v="C23917"/>
    <x v="4"/>
    <n v="1"/>
    <n v="127.55"/>
    <s v="433 Main St"/>
    <x v="4"/>
    <x v="0"/>
    <s v="TRK44434536"/>
    <n v="3"/>
    <s v="SAVE10"/>
    <x v="1"/>
    <n v="127.55"/>
  </r>
  <r>
    <x v="1178"/>
    <x v="50"/>
    <s v="C65107"/>
    <x v="0"/>
    <n v="1"/>
    <n v="70.239999999999995"/>
    <s v="456 Main St"/>
    <x v="2"/>
    <x v="1"/>
    <s v="TRK10261578"/>
    <n v="4"/>
    <s v="FREESHIP"/>
    <x v="4"/>
    <n v="70.239999999999995"/>
  </r>
  <r>
    <x v="1179"/>
    <x v="124"/>
    <s v="C84630"/>
    <x v="5"/>
    <n v="5"/>
    <n v="518.54999999999995"/>
    <s v="907 Main St"/>
    <x v="2"/>
    <x v="1"/>
    <s v="TRK48054997"/>
    <n v="6"/>
    <s v="WINTER15"/>
    <x v="0"/>
    <n v="2592.75"/>
  </r>
  <r>
    <x v="1180"/>
    <x v="150"/>
    <s v="C42235"/>
    <x v="3"/>
    <n v="4"/>
    <n v="298.36"/>
    <s v="722 Main St"/>
    <x v="0"/>
    <x v="4"/>
    <s v="TRK49379882"/>
    <n v="8"/>
    <s v="FREESHIP"/>
    <x v="4"/>
    <n v="1193.44"/>
  </r>
  <r>
    <x v="1181"/>
    <x v="152"/>
    <s v="C70246"/>
    <x v="6"/>
    <n v="3"/>
    <n v="158.74"/>
    <s v="293 Main St"/>
    <x v="1"/>
    <x v="4"/>
    <s v="TRK45708320"/>
    <n v="7"/>
    <s v="FREESHIP"/>
    <x v="0"/>
    <n v="476.22"/>
  </r>
  <r>
    <x v="1182"/>
    <x v="554"/>
    <s v="C18473"/>
    <x v="3"/>
    <n v="2"/>
    <n v="420.29"/>
    <s v="700 Main St"/>
    <x v="3"/>
    <x v="2"/>
    <s v="TRK97834202"/>
    <n v="3"/>
    <s v="SAVE10"/>
    <x v="4"/>
    <n v="840.58"/>
  </r>
  <r>
    <x v="1183"/>
    <x v="228"/>
    <s v="C12607"/>
    <x v="6"/>
    <n v="1"/>
    <n v="281.52"/>
    <s v="460 Main St"/>
    <x v="3"/>
    <x v="0"/>
    <s v="TRK83653396"/>
    <n v="6"/>
    <s v="WINTER15"/>
    <x v="1"/>
    <n v="281.52"/>
  </r>
  <r>
    <x v="1184"/>
    <x v="610"/>
    <s v="C10222"/>
    <x v="5"/>
    <n v="1"/>
    <n v="204.08"/>
    <s v="979 Main St"/>
    <x v="3"/>
    <x v="2"/>
    <s v="TRK86297895"/>
    <n v="4"/>
    <s v="N/A"/>
    <x v="4"/>
    <n v="204.08"/>
  </r>
  <r>
    <x v="1185"/>
    <x v="665"/>
    <s v="C77344"/>
    <x v="3"/>
    <n v="1"/>
    <n v="343.31"/>
    <s v="777 Main St"/>
    <x v="3"/>
    <x v="2"/>
    <s v="TRK20605055"/>
    <n v="6"/>
    <s v="SAVE10"/>
    <x v="4"/>
    <n v="343.31"/>
  </r>
  <r>
    <x v="1186"/>
    <x v="134"/>
    <s v="C65497"/>
    <x v="0"/>
    <n v="1"/>
    <n v="163.32"/>
    <s v="676 Main St"/>
    <x v="4"/>
    <x v="0"/>
    <s v="TRK83702761"/>
    <n v="6"/>
    <s v="WINTER15"/>
    <x v="3"/>
    <n v="163.32"/>
  </r>
  <r>
    <x v="1187"/>
    <x v="206"/>
    <s v="C26340"/>
    <x v="6"/>
    <n v="2"/>
    <n v="184.6"/>
    <s v="562 Main St"/>
    <x v="3"/>
    <x v="3"/>
    <s v="TRK59962703"/>
    <n v="7"/>
    <s v="WINTER15"/>
    <x v="2"/>
    <n v="369.2"/>
  </r>
  <r>
    <x v="1188"/>
    <x v="47"/>
    <s v="C75619"/>
    <x v="4"/>
    <n v="2"/>
    <n v="371.29"/>
    <s v="924 Main St"/>
    <x v="3"/>
    <x v="0"/>
    <s v="TRK23086941"/>
    <n v="5"/>
    <s v="WINTER15"/>
    <x v="3"/>
    <n v="742.58"/>
  </r>
  <r>
    <x v="1189"/>
    <x v="666"/>
    <s v="C96136"/>
    <x v="2"/>
    <n v="5"/>
    <n v="389.22"/>
    <s v="149 Main St"/>
    <x v="4"/>
    <x v="1"/>
    <s v="TRK60856682"/>
    <n v="7"/>
    <s v="N/A"/>
    <x v="1"/>
    <n v="1946.1"/>
  </r>
  <r>
    <x v="1190"/>
    <x v="647"/>
    <s v="C46886"/>
    <x v="6"/>
    <n v="3"/>
    <n v="616.39"/>
    <s v="754 Main St"/>
    <x v="2"/>
    <x v="0"/>
    <s v="TRK82791646"/>
    <n v="6"/>
    <s v="FREESHIP"/>
    <x v="0"/>
    <n v="1849.17"/>
  </r>
  <r>
    <x v="1191"/>
    <x v="441"/>
    <s v="C44148"/>
    <x v="6"/>
    <n v="4"/>
    <n v="376.43"/>
    <s v="809 Main St"/>
    <x v="3"/>
    <x v="4"/>
    <s v="TRK67872709"/>
    <n v="5"/>
    <s v="WINTER15"/>
    <x v="0"/>
    <n v="1505.72"/>
  </r>
  <r>
    <x v="1192"/>
    <x v="329"/>
    <s v="C72007"/>
    <x v="3"/>
    <n v="3"/>
    <n v="432.85"/>
    <s v="999 Main St"/>
    <x v="1"/>
    <x v="4"/>
    <s v="TRK16240916"/>
    <n v="4"/>
    <s v="N/A"/>
    <x v="0"/>
    <n v="1298.55"/>
  </r>
  <r>
    <x v="1193"/>
    <x v="667"/>
    <s v="C45104"/>
    <x v="2"/>
    <n v="1"/>
    <n v="687.89"/>
    <s v="348 Main St"/>
    <x v="4"/>
    <x v="2"/>
    <s v="TRK38559816"/>
    <n v="1"/>
    <s v="FREESHIP"/>
    <x v="2"/>
    <n v="687.89"/>
  </r>
  <r>
    <x v="1194"/>
    <x v="614"/>
    <s v="C29885"/>
    <x v="4"/>
    <n v="3"/>
    <n v="189.44"/>
    <s v="725 Main St"/>
    <x v="4"/>
    <x v="4"/>
    <s v="TRK62067865"/>
    <n v="4"/>
    <s v="FREESHIP"/>
    <x v="2"/>
    <n v="568.31999999999994"/>
  </r>
  <r>
    <x v="1195"/>
    <x v="643"/>
    <s v="C21126"/>
    <x v="6"/>
    <n v="1"/>
    <n v="107.04"/>
    <s v="392 Main St"/>
    <x v="2"/>
    <x v="1"/>
    <s v="TRK38009181"/>
    <n v="6"/>
    <s v="FREESHIP"/>
    <x v="4"/>
    <n v="107.04"/>
  </r>
  <r>
    <x v="1196"/>
    <x v="668"/>
    <s v="C20095"/>
    <x v="0"/>
    <n v="2"/>
    <n v="662.53"/>
    <s v="778 Main St"/>
    <x v="1"/>
    <x v="1"/>
    <s v="TRK69207593"/>
    <n v="5"/>
    <s v="N/A"/>
    <x v="3"/>
    <n v="1325.06"/>
  </r>
  <r>
    <x v="1197"/>
    <x v="669"/>
    <s v="C79674"/>
    <x v="2"/>
    <n v="2"/>
    <n v="436.84"/>
    <s v="275 Main St"/>
    <x v="1"/>
    <x v="3"/>
    <s v="TRK88039356"/>
    <n v="2"/>
    <s v="FREESHIP"/>
    <x v="0"/>
    <n v="873.68"/>
  </r>
  <r>
    <x v="1198"/>
    <x v="670"/>
    <s v="C64753"/>
    <x v="3"/>
    <n v="4"/>
    <n v="262.52"/>
    <s v="509 Main St"/>
    <x v="0"/>
    <x v="1"/>
    <s v="TRK71683331"/>
    <n v="4"/>
    <s v="WINTER15"/>
    <x v="0"/>
    <n v="1050.08"/>
  </r>
  <r>
    <x v="1199"/>
    <x v="236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97608-7EBC-45C5-B089-E3897FBA7F88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F14:G20" firstHeaderRow="1" firstDataRow="1" firstDataCol="1"/>
  <pivotFields count="15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/>
    <pivotField numFmtId="2"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A467B-DAEF-4752-85A1-20A8A65CBB43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K3:L17" firstHeaderRow="1" firstDataRow="1" firstDataCol="1"/>
  <pivotFields count="15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dataField="1" numFmtId="2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4"/>
    <field x="1"/>
  </rowFields>
  <rowItems count="14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1713E3-4BBA-4F4F-B249-003713C9728F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E3:F9" firstHeaderRow="1" firstDataRow="1" firstDataCol="1"/>
  <pivotFields count="15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" showAll="0"/>
    <pivotField showAll="0"/>
    <pivotField showAll="0"/>
    <pivotField numFmtId="2"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68940-7760-4891-97F0-39A881BED63C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7:B51" firstHeaderRow="1" firstDataRow="1" firstDataCol="1"/>
  <pivotFields count="15">
    <pivotField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numFmtId="2"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4"/>
    <field x="1"/>
  </rowFields>
  <rowItems count="14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t="grand">
      <x/>
    </i>
  </rowItems>
  <colItems count="1">
    <i/>
  </colItems>
  <dataFields count="1">
    <dataField name="Sum of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CAB12-9C31-42F3-88A9-072E67D9329B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1" firstHeaderRow="1" firstDataRow="1" firstDataCol="1"/>
  <pivotFields count="15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2" showAll="0"/>
    <pivotField showAll="0"/>
    <pivotField showAll="0"/>
    <pivotField showAll="0"/>
    <pivotField showAll="0"/>
    <pivotField numFmtId="1" showAll="0"/>
    <pivotField showAll="0"/>
    <pivotField showAll="0"/>
    <pivotField numFmtId="2"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9DDC3-1D56-428B-BD7D-1C28F417DCBA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24:B30" firstHeaderRow="1" firstDataRow="1" firstDataCol="1"/>
  <pivotFields count="15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" showAll="0"/>
    <pivotField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>
      <items count="6">
        <item x="1"/>
        <item x="3"/>
        <item x="4"/>
        <item x="2"/>
        <item x="0"/>
        <item t="default"/>
      </items>
    </pivotField>
    <pivotField showAll="0"/>
    <pivotField numFmtId="1"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numFmtId="2" showAll="0"/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AC4CFC-B93E-40C6-A56C-DECE6F7319C1}" name="Table22" displayName="Table22" ref="A1:O1201" totalsRowShown="0" headerRowDxfId="33" headerRowBorderDxfId="32" tableBorderDxfId="31">
  <autoFilter ref="A1:O1201" xr:uid="{2171FE6B-1877-431D-92B1-8D31B833719B}"/>
  <tableColumns count="15">
    <tableColumn id="1" xr3:uid="{23BEA558-5AB5-4B06-8054-F38D6F33C71E}" name="OrderID" dataDxfId="30"/>
    <tableColumn id="2" xr3:uid="{78E5A94A-60CB-41FF-B814-60C1356C398B}" name="Date" dataDxfId="29"/>
    <tableColumn id="3" xr3:uid="{C59FD2D4-A727-467C-B7D7-5892B40D21A9}" name="CustomerID" dataDxfId="28"/>
    <tableColumn id="4" xr3:uid="{FB8C3D7F-5700-4931-907A-6AD1E1E15F26}" name="Product" dataDxfId="27"/>
    <tableColumn id="5" xr3:uid="{75FCEB8A-89BD-4BA2-8CB3-1A8A9A71BCFD}" name="Quantity" dataDxfId="26"/>
    <tableColumn id="6" xr3:uid="{12B621EE-79B0-4514-BBC6-DE4D04401C05}" name="UnitPrice" dataDxfId="25"/>
    <tableColumn id="7" xr3:uid="{DBB5A8D0-B4E6-472B-BB3B-8D451D7CD2BF}" name="ShippingAddress"/>
    <tableColumn id="8" xr3:uid="{53CBFB92-D2E5-4715-BF07-035E4E74E569}" name="PaymentMethod" dataDxfId="24"/>
    <tableColumn id="9" xr3:uid="{F9D8F1A5-ADB9-4720-8FFE-79D5A0158359}" name="OrderStatus" dataDxfId="23"/>
    <tableColumn id="10" xr3:uid="{2CFDDD2F-35DE-4F02-B065-71FA2A68E3B9}" name="TrackingNumber" dataDxfId="22"/>
    <tableColumn id="11" xr3:uid="{D1EA8A8D-C097-43BE-AD0C-BF273EE31B84}" name="ItemsInCart" dataDxfId="21"/>
    <tableColumn id="12" xr3:uid="{C24D0B52-5E2D-4E98-9A17-789DD53F786A}" name="CouponCode" dataDxfId="20"/>
    <tableColumn id="13" xr3:uid="{C2C3BB16-AF19-47AB-A47B-F86F2997B763}" name="ReferralSource" dataDxfId="19"/>
    <tableColumn id="14" xr3:uid="{792CD54B-D839-4294-B326-634DFA0C740E}" name="TotalPrice" dataDxfId="18"/>
    <tableColumn id="21" xr3:uid="{B70BA772-C1D6-4323-98C8-A87D8C463CA7}" name="Column1" dataDxfId="17">
      <calculatedColumnFormula>COUNTA(_xlfn.UNIQUE(C1:C1200))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71FE6B-1877-431D-92B1-8D31B833719B}" name="Table2" displayName="Table2" ref="A1:O1201" totalsRowShown="0" headerRowDxfId="14" headerRowBorderDxfId="13" tableBorderDxfId="12">
  <autoFilter ref="A1:O1201" xr:uid="{2171FE6B-1877-431D-92B1-8D31B833719B}"/>
  <tableColumns count="15">
    <tableColumn id="1" xr3:uid="{1BE981FF-2BD1-449D-B027-02F7EBF5CE30}" name="OrderID" dataDxfId="11"/>
    <tableColumn id="2" xr3:uid="{ACA13BA5-0EC8-4FC3-B4D6-E5D612B4F171}" name="Date" dataDxfId="10"/>
    <tableColumn id="3" xr3:uid="{2785EF83-E6B1-46E2-8131-F7634F4D02EF}" name="CustomerID" dataDxfId="9"/>
    <tableColumn id="4" xr3:uid="{904B3663-7DBB-4501-B085-CDFF5477A3FC}" name="Product" dataDxfId="8"/>
    <tableColumn id="5" xr3:uid="{59FF6224-4996-4593-BF8E-8849D9713D59}" name="Quantity" dataDxfId="7"/>
    <tableColumn id="6" xr3:uid="{A9409A0B-0AD8-447B-B236-56BEE82A61A5}" name="UnitPrice" dataCellStyle="Currency"/>
    <tableColumn id="7" xr3:uid="{D6BEACE5-9AE9-4FAD-805E-FF8BB4F2C68B}" name="ShippingAddress"/>
    <tableColumn id="8" xr3:uid="{BF42633E-EE8C-4A48-A9D2-7E3CC3E09D3B}" name="PaymentMethod" dataDxfId="6"/>
    <tableColumn id="9" xr3:uid="{95C1869E-F5A2-4854-B94A-FAE4349863BE}" name="OrderStatus" dataDxfId="5"/>
    <tableColumn id="10" xr3:uid="{EFCD1278-FD18-41A4-AEB4-F8D55CB5E83D}" name="TrackingNumber" dataDxfId="4"/>
    <tableColumn id="11" xr3:uid="{4D02D464-FFBA-4D53-910C-AB97AC881677}" name="ItemsInCart" dataDxfId="3"/>
    <tableColumn id="12" xr3:uid="{E0325676-0A53-479F-B523-5547D27B1401}" name="CouponCode" dataDxfId="2"/>
    <tableColumn id="13" xr3:uid="{B09F3CA0-BFF3-49BA-954A-8078F6DA05BB}" name="ReferralSource" dataDxfId="1"/>
    <tableColumn id="14" xr3:uid="{32FBD530-D9AC-4F6D-A14D-F4EFC39039C5}" name="TotalPrice" dataCellStyle="Currency"/>
    <tableColumn id="15" xr3:uid="{9D2763E1-42D5-4703-B5CA-B8E9E231DCC6}" name="coupon_usage" dataDxfId="0">
      <calculatedColumnFormula>IF(Table2[[#This Row],[CouponCode]]="N/A", "Not Used", "Used")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2EC1E9-C250-4CF1-9F24-03E5BBE244DA}" name="Table3" displayName="Table3" ref="A2:XFD28" totalsRowShown="0">
  <autoFilter ref="A2:XFD28" xr:uid="{8D2EC1E9-C250-4CF1-9F24-03E5BBE244DA}"/>
  <tableColumns count="16384">
    <tableColumn id="1" xr3:uid="{193C2D77-7077-4D0B-97A2-7829B5511084}" name="Column1"/>
    <tableColumn id="2" xr3:uid="{AA1CD5A0-E6AA-419E-BC7A-4253BD32AAEB}" name="Column2"/>
    <tableColumn id="3" xr3:uid="{71B847B8-41C0-4B33-884B-243CB51099E7}" name="Column3"/>
    <tableColumn id="4" xr3:uid="{D81F377D-4477-4F1A-B51D-05C635F21596}" name="Column4"/>
    <tableColumn id="5" xr3:uid="{97678942-06F4-4B15-B7CA-4E0BCD47508F}" name="Column5"/>
    <tableColumn id="6" xr3:uid="{49AAC2F0-52F0-4480-BEE8-AE777D35334F}" name="Column6"/>
    <tableColumn id="7" xr3:uid="{35EE9A06-0F31-47D3-B220-34920A137D72}" name="Column7"/>
    <tableColumn id="8" xr3:uid="{6A2BC47C-F57C-4E18-A7ED-91161D33B9EF}" name="Column8"/>
    <tableColumn id="9" xr3:uid="{75C0816A-8552-44B6-9CD9-AC0ABDF83ECB}" name="Column9"/>
    <tableColumn id="10" xr3:uid="{7BC0207C-2BF9-4231-9048-6C12B309DC9F}" name="Column10"/>
    <tableColumn id="11" xr3:uid="{71A1CD2B-8DB4-4D37-90BA-E2D507A25686}" name="Column11"/>
    <tableColumn id="12" xr3:uid="{58EF6A86-0EBC-4935-B18D-2932D9B33A21}" name="Column12"/>
    <tableColumn id="13" xr3:uid="{90084C6F-BFA6-46B6-B5C2-C8D90DAA2AC3}" name="Column13"/>
    <tableColumn id="14" xr3:uid="{B8AA9D6A-5171-4AC9-BE28-DFB31CCEDA23}" name="Column14"/>
    <tableColumn id="15" xr3:uid="{1505E219-A853-4FBA-8EA7-CD6382BD9204}" name="Column15"/>
    <tableColumn id="16" xr3:uid="{003D2703-92F1-4FB6-8114-A9B16243EAE6}" name="Column16"/>
    <tableColumn id="17" xr3:uid="{61414C27-FFD6-4757-8017-DBB3C1187BAC}" name="Column17"/>
    <tableColumn id="18" xr3:uid="{263AD6CF-D043-49BD-8820-D7CC0CC99BE2}" name="Column18"/>
    <tableColumn id="19" xr3:uid="{6D5C8B69-ACB0-4890-9F36-F56BB570AE50}" name="Column19"/>
    <tableColumn id="20" xr3:uid="{42FDD82E-6B42-44D2-B08D-D0AF709FFF46}" name="Column20"/>
    <tableColumn id="21" xr3:uid="{1F146FCB-5661-43C0-AC31-29D8C7D29C0F}" name="Column21"/>
    <tableColumn id="22" xr3:uid="{443C14D6-3345-4280-A679-7F7A2AED369A}" name="Column22"/>
    <tableColumn id="23" xr3:uid="{C8B0AA86-16EE-45F3-8A0C-A3C0ADCBFE5A}" name="Column23"/>
    <tableColumn id="24" xr3:uid="{3263E73A-A3B5-447F-871B-E668D10F9A81}" name="Column24"/>
    <tableColumn id="25" xr3:uid="{7FCDFA77-0623-4812-BEAC-8768A291344C}" name="Column25"/>
    <tableColumn id="26" xr3:uid="{E370A6E0-30FE-4415-8820-FFA6EE7EC54E}" name="Column26"/>
    <tableColumn id="27" xr3:uid="{5D95FEC5-4615-4882-BB0C-947FE7C7B5DC}" name="Column27"/>
    <tableColumn id="28" xr3:uid="{54D32064-C59C-4ABD-AE0F-C72C0C4732A0}" name="Column28"/>
    <tableColumn id="29" xr3:uid="{763DD54B-9346-49A4-8072-3291971BD020}" name="Column29"/>
    <tableColumn id="30" xr3:uid="{8AEACDB2-6F9D-45F2-AA6B-1186C3AC4B22}" name="Column30"/>
    <tableColumn id="31" xr3:uid="{81324518-BC7A-4DA9-934F-5A292D9033B3}" name="Column31"/>
    <tableColumn id="32" xr3:uid="{8BF5229B-E301-475D-8BF7-E38D12BA9D57}" name="Column32"/>
    <tableColumn id="33" xr3:uid="{97192030-BD98-4CD6-9635-9994DC396062}" name="Column33"/>
    <tableColumn id="34" xr3:uid="{C167336B-F777-4B82-82C6-70D4303C18CD}" name="Column34"/>
    <tableColumn id="35" xr3:uid="{8AB613F0-4DF1-4BB1-AB02-CE5EA6842A16}" name="Column35"/>
    <tableColumn id="36" xr3:uid="{4CBED50C-B5C3-4C26-8A12-4FD89BDCF055}" name="Column36"/>
    <tableColumn id="37" xr3:uid="{F6109D14-1487-463E-8AE7-B163A4361D2C}" name="Column37"/>
    <tableColumn id="38" xr3:uid="{6FC524E4-BEF5-4179-9A8B-025BB665342D}" name="Column38"/>
    <tableColumn id="39" xr3:uid="{BA2008D5-996F-4914-93E7-9A1FB2E74D06}" name="Column39"/>
    <tableColumn id="40" xr3:uid="{37B93E8A-B304-4EEA-8093-5C69FA25AF83}" name="Column40"/>
    <tableColumn id="41" xr3:uid="{F405C781-5557-4A34-A00B-514C0E4DC7EA}" name="Column41"/>
    <tableColumn id="42" xr3:uid="{846AAD3E-F6F8-44CB-B6D1-414CD9E69080}" name="Column42"/>
    <tableColumn id="43" xr3:uid="{0DEC9B8D-CDFF-4905-B8AD-23D49F671FC0}" name="Column43"/>
    <tableColumn id="44" xr3:uid="{DC795E37-E11C-443B-82FF-BCCA54611887}" name="Column44"/>
    <tableColumn id="45" xr3:uid="{87B93B8E-5E70-455B-9757-2CDC784AAE8F}" name="Column45"/>
    <tableColumn id="46" xr3:uid="{B02C4CE1-74C8-4BAB-AC17-674D76F79C6E}" name="Column46"/>
    <tableColumn id="47" xr3:uid="{746E83B4-23C7-4AC6-9104-5D24CF31FB50}" name="Column47"/>
    <tableColumn id="48" xr3:uid="{9AC7DFA0-1982-42FA-B628-78054C67E6E1}" name="Column48"/>
    <tableColumn id="49" xr3:uid="{79146C46-F289-444B-AF00-6FB09CA0B7B2}" name="Column49"/>
    <tableColumn id="50" xr3:uid="{28CEDE6E-1AA0-42A0-BB7A-7A7A9E5CAEEE}" name="Column50"/>
    <tableColumn id="51" xr3:uid="{4905EB0C-E614-4965-BE5D-05C3EE0EC942}" name="Column51"/>
    <tableColumn id="52" xr3:uid="{B25AB43F-274B-42DA-8BE7-62FFB9AC6D56}" name="Column52"/>
    <tableColumn id="53" xr3:uid="{4B7DF8FB-D6E3-4780-9D9A-325DC411A509}" name="Column53"/>
    <tableColumn id="54" xr3:uid="{4A886F78-4FF6-4643-97E1-3A610E71753D}" name="Column54"/>
    <tableColumn id="55" xr3:uid="{F27E5EFB-7C9D-4D33-912C-C68FF24467F7}" name="Column55"/>
    <tableColumn id="56" xr3:uid="{F0146311-CCFA-4A41-A061-423C037DA80F}" name="Column56"/>
    <tableColumn id="57" xr3:uid="{024905A9-F82B-47E6-AE99-D7B466EEEEA9}" name="Column57"/>
    <tableColumn id="58" xr3:uid="{6A4256B2-1D05-4F54-904F-7E45EC725362}" name="Column58"/>
    <tableColumn id="59" xr3:uid="{C4AEA59D-CD84-4198-B9E2-220A1E8F035D}" name="Column59"/>
    <tableColumn id="60" xr3:uid="{079DFDA5-A711-4D7C-B846-9E62B74C7C7D}" name="Column60"/>
    <tableColumn id="61" xr3:uid="{1B34422D-A6B1-4078-84B5-C9F661CA57B1}" name="Column61"/>
    <tableColumn id="62" xr3:uid="{3CF68B90-2BAA-4EAA-ABAC-2F2C21E838CE}" name="Column62"/>
    <tableColumn id="63" xr3:uid="{A09EEF07-5723-46B1-88F9-C41C41AB24A6}" name="Column63"/>
    <tableColumn id="64" xr3:uid="{FE994BDF-8409-49BE-840B-1EF91F8C58DC}" name="Column64"/>
    <tableColumn id="65" xr3:uid="{BA5EC935-4344-42DA-8BB7-C32A1D9EBE2C}" name="Column65"/>
    <tableColumn id="66" xr3:uid="{328F5DC0-6CEA-4D0B-98AF-CA159745F0A8}" name="Column66"/>
    <tableColumn id="67" xr3:uid="{52433110-2361-45DC-9D5E-89180A8693FB}" name="Column67"/>
    <tableColumn id="68" xr3:uid="{202506C2-63A8-45EC-AF80-A29D2574B241}" name="Column68"/>
    <tableColumn id="69" xr3:uid="{4633C4EF-A8C9-4E5C-96C9-4B4D06554801}" name="Column69"/>
    <tableColumn id="70" xr3:uid="{851A83BA-D4D9-4B5C-AD50-4C034BD3F090}" name="Column70"/>
    <tableColumn id="71" xr3:uid="{81F3A766-48BB-4C92-AC1C-AC158CA535C7}" name="Column71"/>
    <tableColumn id="72" xr3:uid="{C8315DD2-DAC3-4F46-B587-BDE6D5EC631B}" name="Column72"/>
    <tableColumn id="73" xr3:uid="{057B3A79-6CD9-4285-B250-4AB14E4AFAFB}" name="Column73"/>
    <tableColumn id="74" xr3:uid="{5CC3E97F-4587-4F60-8BC4-0454CCC13436}" name="Column74"/>
    <tableColumn id="75" xr3:uid="{54684B68-6DDF-4203-995F-BB64C987F55D}" name="Column75"/>
    <tableColumn id="76" xr3:uid="{1151A881-8E4F-4B67-8569-4C67CB6D92C1}" name="Column76"/>
    <tableColumn id="77" xr3:uid="{3544EADD-1BDB-4E0F-8114-ACDD2688181F}" name="Column77"/>
    <tableColumn id="78" xr3:uid="{743E1A69-1B80-4CFE-9B07-E7B35DD873DC}" name="Column78"/>
    <tableColumn id="79" xr3:uid="{A593C2B6-72A6-41EE-A89A-4F6A1F845D19}" name="Column79"/>
    <tableColumn id="80" xr3:uid="{80DFAA3F-2051-46BD-A8A2-83DEF0608E74}" name="Column80"/>
    <tableColumn id="81" xr3:uid="{80E51FE6-5AE9-45FD-AFA0-F4DAE49965E7}" name="Column81"/>
    <tableColumn id="82" xr3:uid="{679BF3F1-42BB-492C-99DF-6AFC452AC918}" name="Column82"/>
    <tableColumn id="83" xr3:uid="{F57D737F-6BC2-4329-8FDA-79714E7C972C}" name="Column83"/>
    <tableColumn id="84" xr3:uid="{95B4976A-209E-4B1C-B533-DBB3B6518DA7}" name="Column84"/>
    <tableColumn id="85" xr3:uid="{1FB2C527-CDDB-4F2B-A882-5E9D061503F5}" name="Column85"/>
    <tableColumn id="86" xr3:uid="{755141A2-2163-4CDF-948F-E5746EAF633C}" name="Column86"/>
    <tableColumn id="87" xr3:uid="{18D471EE-5497-4BFF-92AF-07878C8408F8}" name="Column87"/>
    <tableColumn id="88" xr3:uid="{14E4F89C-2E33-4909-BAAB-9FC8E679F3EA}" name="Column88"/>
    <tableColumn id="89" xr3:uid="{6E80EEA4-E135-4BAE-B84A-532C3193F965}" name="Column89"/>
    <tableColumn id="90" xr3:uid="{487A4EBE-43FD-4477-9D85-F8A01D571FE0}" name="Column90"/>
    <tableColumn id="91" xr3:uid="{214B1B75-A600-4DA0-9B13-B505BBBC3033}" name="Column91"/>
    <tableColumn id="92" xr3:uid="{9A358DE6-D571-4EE2-ADA8-6AA2B96C714B}" name="Column92"/>
    <tableColumn id="93" xr3:uid="{EC793E2C-0D77-410B-8DA1-CB555F122EB4}" name="Column93"/>
    <tableColumn id="94" xr3:uid="{1668D7E3-4097-4301-84EC-4A8A6AAA60F5}" name="Column94"/>
    <tableColumn id="95" xr3:uid="{860B1F37-91B6-4462-AE00-1D5543B696C0}" name="Column95"/>
    <tableColumn id="96" xr3:uid="{1C794828-943E-42CD-8EF0-0B64D99FA4ED}" name="Column96"/>
    <tableColumn id="97" xr3:uid="{75A3B480-A164-4B7E-952A-BBCA3DC272D7}" name="Column97"/>
    <tableColumn id="98" xr3:uid="{924DCB44-136C-470A-B2A0-3B76AA3C7708}" name="Column98"/>
    <tableColumn id="99" xr3:uid="{0EB846CD-AE7B-46CE-8A25-7C62EBDD0BF4}" name="Column99"/>
    <tableColumn id="100" xr3:uid="{C2CCEF34-721C-458E-91CE-9044EA306EC2}" name="Column100"/>
    <tableColumn id="101" xr3:uid="{FE920336-DF7A-49E9-AA37-B14D6280E971}" name="Column101"/>
    <tableColumn id="102" xr3:uid="{01378EF6-FF03-4B36-ADA3-FD69591D45C7}" name="Column102"/>
    <tableColumn id="103" xr3:uid="{61877B08-7A60-4E58-A0A9-9B0A45F93D6B}" name="Column103"/>
    <tableColumn id="104" xr3:uid="{D64948EF-767B-400C-B602-8C65F043B7CB}" name="Column104"/>
    <tableColumn id="105" xr3:uid="{C6747D89-CAA6-476E-9FF8-6C2E26AC2011}" name="Column105"/>
    <tableColumn id="106" xr3:uid="{A7993CA3-84DA-4BE5-88AA-7FEFD4101FD0}" name="Column106"/>
    <tableColumn id="107" xr3:uid="{BE3BDFC7-5CC0-43A1-BE58-185BBD98DF27}" name="Column107"/>
    <tableColumn id="108" xr3:uid="{E001C349-611E-43A1-A14E-4DD0CB2CD60C}" name="Column108"/>
    <tableColumn id="109" xr3:uid="{B6CD80C9-AE26-4AC9-9ACC-A2D8C7C23F3C}" name="Column109"/>
    <tableColumn id="110" xr3:uid="{E536201E-BCA1-4E51-A9C9-27747F70BD93}" name="Column110"/>
    <tableColumn id="111" xr3:uid="{A7C10BF2-7FCB-4792-9E44-A5A076F4413C}" name="Column111"/>
    <tableColumn id="112" xr3:uid="{7EDBD81E-880F-4CAA-8D66-F3EE8A741F97}" name="Column112"/>
    <tableColumn id="113" xr3:uid="{7A496ACC-E215-45D9-BE69-27C995079C12}" name="Column113"/>
    <tableColumn id="114" xr3:uid="{3840C2CB-23B7-4A16-8FD5-CBBED141205E}" name="Column114"/>
    <tableColumn id="115" xr3:uid="{944CD246-1F73-47CA-9666-B15E180C791E}" name="Column115"/>
    <tableColumn id="116" xr3:uid="{42FE1913-258D-4692-B059-EFF61893B35F}" name="Column116"/>
    <tableColumn id="117" xr3:uid="{9F26D29E-D304-4CCB-AE74-8CA62F7BB06E}" name="Column117"/>
    <tableColumn id="118" xr3:uid="{E2501D54-78EF-42B1-BB4F-A13A982DADC0}" name="Column118"/>
    <tableColumn id="119" xr3:uid="{1BC072E5-8879-4D4C-9054-24914D8389EA}" name="Column119"/>
    <tableColumn id="120" xr3:uid="{F4E29988-070C-4445-A9E3-10EA75CF8D40}" name="Column120"/>
    <tableColumn id="121" xr3:uid="{DC03366B-D107-4260-B908-A41F20CBFA35}" name="Column121"/>
    <tableColumn id="122" xr3:uid="{DAE54751-BB94-4B28-BFB3-B45C076C6A49}" name="Column122"/>
    <tableColumn id="123" xr3:uid="{65957C94-7333-492C-A3C3-09E351801F7D}" name="Column123"/>
    <tableColumn id="124" xr3:uid="{35E65467-7845-4211-BE07-1C5C3111055C}" name="Column124"/>
    <tableColumn id="125" xr3:uid="{17A34C03-90CF-4305-88DF-FC296D6D06CF}" name="Column125"/>
    <tableColumn id="126" xr3:uid="{ACD1E200-3BA7-4FF3-8CA4-86FA920761E0}" name="Column126"/>
    <tableColumn id="127" xr3:uid="{6689FCA2-48FA-446D-8451-21C64D01FF1C}" name="Column127"/>
    <tableColumn id="128" xr3:uid="{C281491B-D081-4E4C-AA3A-F245C96C053B}" name="Column128"/>
    <tableColumn id="129" xr3:uid="{F3D58258-BE03-4D2E-ACB0-17EEB12B0C86}" name="Column129"/>
    <tableColumn id="130" xr3:uid="{E724DBF2-34B4-4A65-98A6-F823E71F2DAB}" name="Column130"/>
    <tableColumn id="131" xr3:uid="{D925396E-D4BA-4755-9876-41B9448BFB47}" name="Column131"/>
    <tableColumn id="132" xr3:uid="{4CE2AE73-32F8-4E1E-B03B-EC6DD90FC521}" name="Column132"/>
    <tableColumn id="133" xr3:uid="{1023BD21-00AE-49A6-B998-DCBF3B57083E}" name="Column133"/>
    <tableColumn id="134" xr3:uid="{1635C5AB-9D5E-473F-B67E-0FDE0EDEE08D}" name="Column134"/>
    <tableColumn id="135" xr3:uid="{8D47445F-EB3F-4775-A909-857853DEDA33}" name="Column135"/>
    <tableColumn id="136" xr3:uid="{48E5AEEE-7A85-4073-B2BF-7D8495B57CED}" name="Column136"/>
    <tableColumn id="137" xr3:uid="{3CFFF79A-CBD3-4EA0-9CF4-F009B02AAB81}" name="Column137"/>
    <tableColumn id="138" xr3:uid="{33965086-E2FF-46C1-95FD-E582952F436A}" name="Column138"/>
    <tableColumn id="139" xr3:uid="{38EEA65E-7BCF-4201-8B53-3EBC435E54B2}" name="Column139"/>
    <tableColumn id="140" xr3:uid="{F3238691-8322-4C98-AF8A-73F690202619}" name="Column140"/>
    <tableColumn id="141" xr3:uid="{D5994DC2-AF7E-4E7A-858D-FEB1340CA820}" name="Column141"/>
    <tableColumn id="142" xr3:uid="{AED30F5E-A4F6-4B50-9404-C95BA485FA27}" name="Column142"/>
    <tableColumn id="143" xr3:uid="{0C6D6C9E-757B-47EA-AA62-0CC17E76A1F0}" name="Column143"/>
    <tableColumn id="144" xr3:uid="{ED2D555F-444A-4D5A-A14E-0DCF2BE1B926}" name="Column144"/>
    <tableColumn id="145" xr3:uid="{9F54BCDD-C613-402C-8F19-E0AFBC564091}" name="Column145"/>
    <tableColumn id="146" xr3:uid="{007B3A73-B811-4C57-B95C-C281C380944F}" name="Column146"/>
    <tableColumn id="147" xr3:uid="{51232D45-6949-4DD5-A10F-B8A40546A4EE}" name="Column147"/>
    <tableColumn id="148" xr3:uid="{605ACE1B-035C-41D7-BCB3-A038E94808D6}" name="Column148"/>
    <tableColumn id="149" xr3:uid="{FA785551-7B7F-444C-B374-A95C8D32F5D5}" name="Column149"/>
    <tableColumn id="150" xr3:uid="{8A07D754-7331-4854-9942-FA1366DD409B}" name="Column150"/>
    <tableColumn id="151" xr3:uid="{D7F355F7-BC60-407C-8511-92FADE295805}" name="Column151"/>
    <tableColumn id="152" xr3:uid="{A70756DD-5C53-40FB-9631-FEAE880FAD72}" name="Column152"/>
    <tableColumn id="153" xr3:uid="{5685FE4B-4C02-4AC3-9AAD-DF28B7C68500}" name="Column153"/>
    <tableColumn id="154" xr3:uid="{3A9B20A8-DCB8-453A-9122-EC26A730A313}" name="Column154"/>
    <tableColumn id="155" xr3:uid="{D8EE7AF3-4145-4A61-82C5-155AB1366DE6}" name="Column155"/>
    <tableColumn id="156" xr3:uid="{FD344126-B18A-4422-903A-8A030BE19318}" name="Column156"/>
    <tableColumn id="157" xr3:uid="{C7C72C82-4D43-4682-B35F-41E45084060A}" name="Column157"/>
    <tableColumn id="158" xr3:uid="{2A3F6CC2-2E33-4E8E-8294-80597F86F709}" name="Column158"/>
    <tableColumn id="159" xr3:uid="{54A4AB56-0401-4F0F-BF0E-892DAA1393E5}" name="Column159"/>
    <tableColumn id="160" xr3:uid="{4798D99F-B732-41C9-A2A3-91F5417C8887}" name="Column160"/>
    <tableColumn id="161" xr3:uid="{5587129A-7100-421A-8C08-EE8C5993584F}" name="Column161"/>
    <tableColumn id="162" xr3:uid="{BA42E157-5EFE-421E-9325-11E74D2E75AC}" name="Column162"/>
    <tableColumn id="163" xr3:uid="{AF664667-0EAD-4E9E-A63F-51087E718276}" name="Column163"/>
    <tableColumn id="164" xr3:uid="{692DBC01-50BC-4059-93A7-EA6BE8665AEC}" name="Column164"/>
    <tableColumn id="165" xr3:uid="{A654F29D-47FE-4BF4-A1BB-A8F76C835A04}" name="Column165"/>
    <tableColumn id="166" xr3:uid="{91CF4042-1923-4418-B6D2-448D71DE66AA}" name="Column166"/>
    <tableColumn id="167" xr3:uid="{476BB0BD-1553-4C96-BBF2-A159017AF6F3}" name="Column167"/>
    <tableColumn id="168" xr3:uid="{63899173-77E5-43B5-A9F3-C88B5B3A472F}" name="Column168"/>
    <tableColumn id="169" xr3:uid="{75D0D4BA-AC0B-4CB3-9FF7-23FB0FD5AF77}" name="Column169"/>
    <tableColumn id="170" xr3:uid="{2CA8EFF2-8C69-4D0A-93F2-BF862FEAFB36}" name="Column170"/>
    <tableColumn id="171" xr3:uid="{E647EC6B-05D7-464A-A87D-4F9094907C7E}" name="Column171"/>
    <tableColumn id="172" xr3:uid="{0C9E8BA2-4756-4CF1-A5DA-30AE2B4C36A6}" name="Column172"/>
    <tableColumn id="173" xr3:uid="{881466DA-5D87-43AA-AC3B-830EB3DF6E6A}" name="Column173"/>
    <tableColumn id="174" xr3:uid="{C6236A40-3EBD-487C-8467-9F0BF830AC63}" name="Column174"/>
    <tableColumn id="175" xr3:uid="{11060B7A-A97E-46D9-9910-7B4A8CC4A0DF}" name="Column175"/>
    <tableColumn id="176" xr3:uid="{68988DAF-716D-4E90-828F-839676E94EE9}" name="Column176"/>
    <tableColumn id="177" xr3:uid="{BD143B32-68A0-42E5-8F6D-1E6E01923D54}" name="Column177"/>
    <tableColumn id="178" xr3:uid="{08C7E109-BB2A-42D8-8BFD-815F077C3746}" name="Column178"/>
    <tableColumn id="179" xr3:uid="{2FAB3ADE-12A2-4C15-80C8-C9E44968DBCF}" name="Column179"/>
    <tableColumn id="180" xr3:uid="{38741CBC-B0FE-4DF3-BEA0-5F3FD81324AB}" name="Column180"/>
    <tableColumn id="181" xr3:uid="{AFA9F60B-A7DE-43D4-AB17-0386031559B4}" name="Column181"/>
    <tableColumn id="182" xr3:uid="{7BA5F448-833A-4CF8-A8C6-73F34DDA9C8D}" name="Column182"/>
    <tableColumn id="183" xr3:uid="{FE18CA1C-52F7-4B1E-9914-D3263B545973}" name="Column183"/>
    <tableColumn id="184" xr3:uid="{A845E972-0684-4745-949C-39E6C947730C}" name="Column184"/>
    <tableColumn id="185" xr3:uid="{F35F2287-9D5F-4D1C-B7D5-C4561A93374A}" name="Column185"/>
    <tableColumn id="186" xr3:uid="{72CAE771-1873-4FA4-870E-7564170149AE}" name="Column186"/>
    <tableColumn id="187" xr3:uid="{E049F58A-FC74-4B12-9978-0F469BEA8A0E}" name="Column187"/>
    <tableColumn id="188" xr3:uid="{4D6ACEAB-4D07-463A-AF2B-D988AF95680E}" name="Column188"/>
    <tableColumn id="189" xr3:uid="{C0A1DD6D-7E00-4CAD-8D66-FF46C32EA64B}" name="Column189"/>
    <tableColumn id="190" xr3:uid="{A2423011-59E3-4B7B-AA90-C6BADBD67F6B}" name="Column190"/>
    <tableColumn id="191" xr3:uid="{74588D5E-1C37-493D-BF56-7CCE73CA9BA1}" name="Column191"/>
    <tableColumn id="192" xr3:uid="{7F37EC1C-DAC9-41EF-9DA6-287FA2BF27CE}" name="Column192"/>
    <tableColumn id="193" xr3:uid="{37B62F65-176F-4900-AA15-3A9F77C7981D}" name="Column193"/>
    <tableColumn id="194" xr3:uid="{ADB26BAE-1C02-4958-AD55-F322F86E4CAB}" name="Column194"/>
    <tableColumn id="195" xr3:uid="{E879D3CD-69BC-4778-AD8C-7B0C5490183B}" name="Column195"/>
    <tableColumn id="196" xr3:uid="{094060AB-F886-4982-9E81-58DC580DF953}" name="Column196"/>
    <tableColumn id="197" xr3:uid="{711986BB-5DAD-4843-BB9C-B43DDCAA2FCB}" name="Column197"/>
    <tableColumn id="198" xr3:uid="{CBA46332-0723-44DA-98FC-572F7E1F2DC2}" name="Column198"/>
    <tableColumn id="199" xr3:uid="{C38236F9-1634-4D4B-A64A-F4E03DF86002}" name="Column199"/>
    <tableColumn id="200" xr3:uid="{8490DDC3-56A6-4A0E-9F9E-DA330958686D}" name="Column200"/>
    <tableColumn id="201" xr3:uid="{67183790-6481-4BE9-9E0A-A4CC471F821F}" name="Column201"/>
    <tableColumn id="202" xr3:uid="{5E7BD256-A237-4B58-831F-0FC3CD0FB0DF}" name="Column202"/>
    <tableColumn id="203" xr3:uid="{20E210F2-DD10-490E-97FC-83E52A7A2F3E}" name="Column203"/>
    <tableColumn id="204" xr3:uid="{60A43970-FF88-4837-A9EA-D8BFF9FF11E9}" name="Column204"/>
    <tableColumn id="205" xr3:uid="{3F2C134F-5AE9-45DC-B43C-6E8746A7E3E1}" name="Column205"/>
    <tableColumn id="206" xr3:uid="{2D4D9C59-FDCC-438F-864D-0D304B012A31}" name="Column206"/>
    <tableColumn id="207" xr3:uid="{2F8F9E02-B731-46E6-A64E-ABBBCF3EA632}" name="Column207"/>
    <tableColumn id="208" xr3:uid="{D0312A34-C625-4A09-BF65-25E24DBD56C1}" name="Column208"/>
    <tableColumn id="209" xr3:uid="{561930FC-4C07-4824-9913-1B38DAF20BAF}" name="Column209"/>
    <tableColumn id="210" xr3:uid="{47724712-0E7F-4022-8ABF-EBD9EF5EBE3E}" name="Column210"/>
    <tableColumn id="211" xr3:uid="{18FC7572-3A09-4846-9133-9C7DB857958C}" name="Column211"/>
    <tableColumn id="212" xr3:uid="{CD622D4D-F929-4850-A9F5-B9ABFF33FB4A}" name="Column212"/>
    <tableColumn id="213" xr3:uid="{2CA9108E-CFCD-4519-B37A-D02B4570FE39}" name="Column213"/>
    <tableColumn id="214" xr3:uid="{C2885F54-CAB0-41BB-B7EC-2EB8A2C18370}" name="Column214"/>
    <tableColumn id="215" xr3:uid="{C55B57FD-3342-4E61-986D-6107D4D0C3AB}" name="Column215"/>
    <tableColumn id="216" xr3:uid="{6D5227EC-D5FC-4360-A80A-75FBE69595F8}" name="Column216"/>
    <tableColumn id="217" xr3:uid="{ABDFFC68-1C8E-4AEC-9A26-CE3160647748}" name="Column217"/>
    <tableColumn id="218" xr3:uid="{CA6C51DE-6F8C-440D-8326-96A7F4E28B85}" name="Column218"/>
    <tableColumn id="219" xr3:uid="{2E94D1E9-C855-4D36-A43B-C22D13272882}" name="Column219"/>
    <tableColumn id="220" xr3:uid="{CA6F9856-9B92-4F3A-B667-0F1B851658DA}" name="Column220"/>
    <tableColumn id="221" xr3:uid="{CF4DC383-7303-40A9-A063-F1803AB3568B}" name="Column221"/>
    <tableColumn id="222" xr3:uid="{1C20BA2B-2A3A-4423-8C92-3E266D5B72CE}" name="Column222"/>
    <tableColumn id="223" xr3:uid="{4737F1A0-EF0A-41FE-A451-4854A954F4F5}" name="Column223"/>
    <tableColumn id="224" xr3:uid="{063F3C9F-6183-4A21-9CA4-74FAF2ECD193}" name="Column224"/>
    <tableColumn id="225" xr3:uid="{9DA8C794-E54D-4BC5-83A0-89D709512D6C}" name="Column225"/>
    <tableColumn id="226" xr3:uid="{567863C7-FA20-4399-A69C-A16C9E1CE8F2}" name="Column226"/>
    <tableColumn id="227" xr3:uid="{93333280-2AFB-4F4F-BF5E-04012E3F50E6}" name="Column227"/>
    <tableColumn id="228" xr3:uid="{E5296C21-2622-4303-BA77-E75E43F7F79D}" name="Column228"/>
    <tableColumn id="229" xr3:uid="{8F4A61F8-F910-425F-BFE5-CC2F342FD073}" name="Column229"/>
    <tableColumn id="230" xr3:uid="{62ED582D-98A6-471C-9118-BBE1FBC3795D}" name="Column230"/>
    <tableColumn id="231" xr3:uid="{D09294B2-E718-44AF-A6E7-65805C2CBEC9}" name="Column231"/>
    <tableColumn id="232" xr3:uid="{19FCDAF2-F152-4D98-9B47-D4ACF62E0F17}" name="Column232"/>
    <tableColumn id="233" xr3:uid="{CA61E1FE-98F2-441F-8918-AF6595F8C7F6}" name="Column233"/>
    <tableColumn id="234" xr3:uid="{A2A35C51-E8DC-4551-A74F-91FE19F447CF}" name="Column234"/>
    <tableColumn id="235" xr3:uid="{F482C1E9-10EB-4329-A204-D65E90233355}" name="Column235"/>
    <tableColumn id="236" xr3:uid="{A9BB60F7-ABA8-43F0-96DB-86AFBCC3A741}" name="Column236"/>
    <tableColumn id="237" xr3:uid="{0CBDA584-2C8A-417B-BC3F-0473F9A2B636}" name="Column237"/>
    <tableColumn id="238" xr3:uid="{0925C0A9-E350-4BE6-A361-529A9706760A}" name="Column238"/>
    <tableColumn id="239" xr3:uid="{8E4FC478-1032-4573-BC92-45247A2C65A4}" name="Column239"/>
    <tableColumn id="240" xr3:uid="{BA03F946-BAD3-4348-BA4B-35F30F0F2D8C}" name="Column240"/>
    <tableColumn id="241" xr3:uid="{332ABA3B-3B66-4A15-9C1C-7FA6F458A596}" name="Column241"/>
    <tableColumn id="242" xr3:uid="{0970AD8B-0655-4D3F-BABE-EF2FCDB2A6BE}" name="Column242"/>
    <tableColumn id="243" xr3:uid="{0EB100F5-AC6B-4784-9850-F3855FE56BE9}" name="Column243"/>
    <tableColumn id="244" xr3:uid="{BA4AD4DE-67C7-41ED-982C-2F5165E82E81}" name="Column244"/>
    <tableColumn id="245" xr3:uid="{42CAE752-3043-428B-A2AA-F89B00A98B0C}" name="Column245"/>
    <tableColumn id="246" xr3:uid="{EFFD4028-99D4-4A8A-B9F2-2EE6E08BDD52}" name="Column246"/>
    <tableColumn id="247" xr3:uid="{E86D5E1D-CC3A-487E-A45E-2A01EE264254}" name="Column247"/>
    <tableColumn id="248" xr3:uid="{0B18AD5A-D31C-4FFE-9237-FBEBC411ABB5}" name="Column248"/>
    <tableColumn id="249" xr3:uid="{7AD79B51-5FFD-42B2-BAE5-3241D530DD3D}" name="Column249"/>
    <tableColumn id="250" xr3:uid="{5D995B69-E7EF-4A1C-9D7C-EA2725A0CD9E}" name="Column250"/>
    <tableColumn id="251" xr3:uid="{E9C70151-1787-4197-A793-721CD7CF7CC5}" name="Column251"/>
    <tableColumn id="252" xr3:uid="{7AE6B150-05A4-4431-8FDB-416B79A573AC}" name="Column252"/>
    <tableColumn id="253" xr3:uid="{4EB02063-AEF1-4F78-A76A-2F22D602E93B}" name="Column253"/>
    <tableColumn id="254" xr3:uid="{A269E99C-51B1-426A-B554-215F82629F9B}" name="Column254"/>
    <tableColumn id="255" xr3:uid="{8450B717-2F3E-446F-B91C-B135CE2F154E}" name="Column255"/>
    <tableColumn id="256" xr3:uid="{BDDF0B0C-DA67-43EF-92CE-2C002453BF03}" name="Column256"/>
    <tableColumn id="257" xr3:uid="{1031E263-3B57-4485-B8BE-BB07B0F35922}" name="Column257"/>
    <tableColumn id="258" xr3:uid="{B92C4F86-D71D-41C4-A1FD-5606B877DD7E}" name="Column258"/>
    <tableColumn id="259" xr3:uid="{2A5F1022-748D-4CCC-ABEE-C470F746D741}" name="Column259"/>
    <tableColumn id="260" xr3:uid="{9126E625-46BB-4BF4-B382-EA8E21063F72}" name="Column260"/>
    <tableColumn id="261" xr3:uid="{FAD40528-5E45-4BCB-8BC1-4558E81318EA}" name="Column261"/>
    <tableColumn id="262" xr3:uid="{1390E695-0404-4E9F-AF12-5C9DC3C36860}" name="Column262"/>
    <tableColumn id="263" xr3:uid="{266FA9EF-1F0D-4FC9-B811-D6A5055C0D52}" name="Column263"/>
    <tableColumn id="264" xr3:uid="{36BD2A8A-FA88-4D92-AA6B-BD6C96D04E41}" name="Column264"/>
    <tableColumn id="265" xr3:uid="{0B043F31-5671-45CD-B7C8-12FC45C708C4}" name="Column265"/>
    <tableColumn id="266" xr3:uid="{C54C1220-D0E2-42A9-9686-7D057FADA6D0}" name="Column266"/>
    <tableColumn id="267" xr3:uid="{4E38CB08-53A3-4E0B-8834-2F13936049BB}" name="Column267"/>
    <tableColumn id="268" xr3:uid="{55270B40-7C97-4E1F-993A-86D16C46EA9D}" name="Column268"/>
    <tableColumn id="269" xr3:uid="{5BAF45E4-5731-4C5C-A9F4-E729C4424E35}" name="Column269"/>
    <tableColumn id="270" xr3:uid="{E338BDEE-52F6-4795-82B6-5B766CCEB2DE}" name="Column270"/>
    <tableColumn id="271" xr3:uid="{8F5A228F-689D-42BC-B0F2-0F3B5FDE8D0F}" name="Column271"/>
    <tableColumn id="272" xr3:uid="{AB91A3A3-C384-4F5D-BEFC-0B0502BA5E0D}" name="Column272"/>
    <tableColumn id="273" xr3:uid="{FECB7C4D-08EB-43CF-B6B4-45D79F4B553A}" name="Column273"/>
    <tableColumn id="274" xr3:uid="{CFFDBB63-0725-4C61-8EFD-522EC3F7CAE9}" name="Column274"/>
    <tableColumn id="275" xr3:uid="{3F5199DA-3DBC-4305-8F32-DCDC8A74D4B2}" name="Column275"/>
    <tableColumn id="276" xr3:uid="{D14A029A-E905-41E0-B399-844A9C53AB36}" name="Column276"/>
    <tableColumn id="277" xr3:uid="{73C4B6A0-D7C0-4352-BBB7-C3C9FE046C39}" name="Column277"/>
    <tableColumn id="278" xr3:uid="{18D78394-5D7E-447E-AC32-B6D06C2CED29}" name="Column278"/>
    <tableColumn id="279" xr3:uid="{68E74878-D18A-44A2-8096-86D11EF2CF20}" name="Column279"/>
    <tableColumn id="280" xr3:uid="{1DBA18E7-B299-47F9-BB82-8E443A5F05EA}" name="Column280"/>
    <tableColumn id="281" xr3:uid="{58CA515B-AF46-4596-9C83-DF946EA38BA2}" name="Column281"/>
    <tableColumn id="282" xr3:uid="{92D0BA9A-AD6C-43C6-80DC-DC8A806DB736}" name="Column282"/>
    <tableColumn id="283" xr3:uid="{49FFE83F-1A9F-4BAC-B96C-42D8600DD407}" name="Column283"/>
    <tableColumn id="284" xr3:uid="{474D6157-BF2E-406D-B2B8-B2D84BFEE427}" name="Column284"/>
    <tableColumn id="285" xr3:uid="{E8807750-3010-4CD8-BF05-3D9B0104464D}" name="Column285"/>
    <tableColumn id="286" xr3:uid="{142BA8EC-01D9-450D-AD88-DC3467491D7B}" name="Column286"/>
    <tableColumn id="287" xr3:uid="{BF696973-3092-4236-B2CD-3AB8F37663A1}" name="Column287"/>
    <tableColumn id="288" xr3:uid="{981BFA08-34E3-4911-B51C-3A643F2A2ECC}" name="Column288"/>
    <tableColumn id="289" xr3:uid="{0EC248FF-A1E8-4DB1-8E7C-74E5020BED28}" name="Column289"/>
    <tableColumn id="290" xr3:uid="{6E2829E0-F19B-4B3F-AF7C-8BA4DCDDA624}" name="Column290"/>
    <tableColumn id="291" xr3:uid="{68EEF727-8C7D-4C3E-BB79-B9A3834BC9C8}" name="Column291"/>
    <tableColumn id="292" xr3:uid="{05E0AF25-117A-4AA7-8116-53D6EC5E0CE4}" name="Column292"/>
    <tableColumn id="293" xr3:uid="{1953A5E5-4D33-4F7A-A105-CAA279E92595}" name="Column293"/>
    <tableColumn id="294" xr3:uid="{2C875165-FCFB-41D2-9089-AE9806B3484B}" name="Column294"/>
    <tableColumn id="295" xr3:uid="{3A7D2997-27E3-487F-A55A-D411287AF7F5}" name="Column295"/>
    <tableColumn id="296" xr3:uid="{9D910D39-B89E-49AD-863F-DF7F5FD92E09}" name="Column296"/>
    <tableColumn id="297" xr3:uid="{01AA369B-CFE7-4542-9F85-E335D06897FC}" name="Column297"/>
    <tableColumn id="298" xr3:uid="{F53AC8D8-1513-43DC-BC5A-90B939753FE2}" name="Column298"/>
    <tableColumn id="299" xr3:uid="{8A132FC1-AE3C-46DF-8AD5-9E77CEBE5E46}" name="Column299"/>
    <tableColumn id="300" xr3:uid="{46C5DF5E-F4F6-43E2-A4D6-BF9534582FA5}" name="Column300"/>
    <tableColumn id="301" xr3:uid="{8B97D585-A9D2-419B-9A3B-34F193D22304}" name="Column301"/>
    <tableColumn id="302" xr3:uid="{7F0B771A-33E5-4826-9A49-1953009E9DCE}" name="Column302"/>
    <tableColumn id="303" xr3:uid="{8DB43A94-7E17-4AB6-A913-50D465E0C243}" name="Column303"/>
    <tableColumn id="304" xr3:uid="{1AF2166D-01D9-4B2C-BF1A-557D0F84F19B}" name="Column304"/>
    <tableColumn id="305" xr3:uid="{EDD1B35B-6F36-4A18-AD55-A35434BA6F99}" name="Column305"/>
    <tableColumn id="306" xr3:uid="{10DF5A5A-6AFD-46B8-B5DD-1054BDD755C6}" name="Column306"/>
    <tableColumn id="307" xr3:uid="{95800E47-75BB-44A6-9C06-72DA9867ED4F}" name="Column307"/>
    <tableColumn id="308" xr3:uid="{7F10355A-5F97-4670-8E65-B1C7784E4570}" name="Column308"/>
    <tableColumn id="309" xr3:uid="{8638EF0B-0993-41FC-A21D-F7DE269D765C}" name="Column309"/>
    <tableColumn id="310" xr3:uid="{2EC223F5-A9FF-4055-A0FC-4F53166FB226}" name="Column310"/>
    <tableColumn id="311" xr3:uid="{E3DB7616-DCEA-476D-8952-0FD57A6B3086}" name="Column311"/>
    <tableColumn id="312" xr3:uid="{D6A1876E-9FBA-4F7B-9DC6-88A8AE566BB8}" name="Column312"/>
    <tableColumn id="313" xr3:uid="{2B47A2AB-E853-40D8-AEBB-F9C20213D367}" name="Column313"/>
    <tableColumn id="314" xr3:uid="{0FED533D-B59A-4AE3-8D77-0655FF626DF5}" name="Column314"/>
    <tableColumn id="315" xr3:uid="{2C489953-9D2F-44E4-9A7A-8948D679B27C}" name="Column315"/>
    <tableColumn id="316" xr3:uid="{6130B3F8-3E24-4D50-93A3-69520603C5C1}" name="Column316"/>
    <tableColumn id="317" xr3:uid="{73E1793F-3A19-4D3A-A118-E4123E410598}" name="Column317"/>
    <tableColumn id="318" xr3:uid="{D927796D-9AD9-409A-9139-CC7EC3B674E0}" name="Column318"/>
    <tableColumn id="319" xr3:uid="{4CD6B698-DA7F-426C-A783-2183142CBC09}" name="Column319"/>
    <tableColumn id="320" xr3:uid="{088893D4-41CD-4459-B27E-AEE05FB4B708}" name="Column320"/>
    <tableColumn id="321" xr3:uid="{20F0D689-D313-4868-8747-FC241EE3CA5D}" name="Column321"/>
    <tableColumn id="322" xr3:uid="{9474F985-DD05-4047-946F-3201806EB251}" name="Column322"/>
    <tableColumn id="323" xr3:uid="{B1B12B50-5478-4D68-9CB4-77A30B47D256}" name="Column323"/>
    <tableColumn id="324" xr3:uid="{1B593286-EA1F-48B8-A2F6-0A90ECFD6D58}" name="Column324"/>
    <tableColumn id="325" xr3:uid="{5282ADB2-4C22-4DA2-9D34-7157BA10EBE4}" name="Column325"/>
    <tableColumn id="326" xr3:uid="{D77B3343-F57D-4227-9EFA-5D44C55EFD93}" name="Column326"/>
    <tableColumn id="327" xr3:uid="{3DA9912A-DC47-4234-89B0-ECB6204CD105}" name="Column327"/>
    <tableColumn id="328" xr3:uid="{BC3449EF-EFF8-4107-B956-0EB53DFA9BC4}" name="Column328"/>
    <tableColumn id="329" xr3:uid="{2CA45E08-6162-4CE4-9504-842362228BDF}" name="Column329"/>
    <tableColumn id="330" xr3:uid="{7897FDD1-93B6-4697-99CD-8FE0DB579192}" name="Column330"/>
    <tableColumn id="331" xr3:uid="{4AA374DD-F241-4F28-9356-D1A295EE5C93}" name="Column331"/>
    <tableColumn id="332" xr3:uid="{D4CBB54F-1289-4D3E-8A4C-D0CDF65A4CBB}" name="Column332"/>
    <tableColumn id="333" xr3:uid="{2B9F5445-9AB3-4F10-A98C-73AA0B6D4EC0}" name="Column333"/>
    <tableColumn id="334" xr3:uid="{63C3BE93-14C5-4636-BB3D-FC9D0E3F1415}" name="Column334"/>
    <tableColumn id="335" xr3:uid="{4E39B10D-B5A7-46CC-972F-7199B6FADCB4}" name="Column335"/>
    <tableColumn id="336" xr3:uid="{2C12CE55-38CD-4039-868F-4BCC9461986B}" name="Column336"/>
    <tableColumn id="337" xr3:uid="{153AD181-3387-4D7D-AE86-80754ADF0757}" name="Column337"/>
    <tableColumn id="338" xr3:uid="{4F5DFDA1-8FAC-42DB-BA03-86D0D328B5BE}" name="Column338"/>
    <tableColumn id="339" xr3:uid="{6D4E9062-7F1C-49D4-BA7F-F5A9CFEA692C}" name="Column339"/>
    <tableColumn id="340" xr3:uid="{4F35D1C6-6137-4148-AEB7-718816C4C5E6}" name="Column340"/>
    <tableColumn id="341" xr3:uid="{209A2B4F-E755-4DC8-A627-4C21ED900400}" name="Column341"/>
    <tableColumn id="342" xr3:uid="{EE654939-4646-48BD-93B4-E47D3AB09F67}" name="Column342"/>
    <tableColumn id="343" xr3:uid="{2AAFF37D-ED6C-454D-B0B3-290ADCDD834D}" name="Column343"/>
    <tableColumn id="344" xr3:uid="{07ABFCD7-D097-4A1D-946D-3C3C8A795FE1}" name="Column344"/>
    <tableColumn id="345" xr3:uid="{DFA95A70-6AAE-47C7-AC41-9C350763FD52}" name="Column345"/>
    <tableColumn id="346" xr3:uid="{4FC8A2D7-C41D-47AD-84ED-9D862E225505}" name="Column346"/>
    <tableColumn id="347" xr3:uid="{CA56AE55-E727-4638-8679-D60FBF835852}" name="Column347"/>
    <tableColumn id="348" xr3:uid="{7458112D-EE28-459C-9E4E-DC501A35FC79}" name="Column348"/>
    <tableColumn id="349" xr3:uid="{A9AA55A1-2848-4501-8808-CCD19F860BDF}" name="Column349"/>
    <tableColumn id="350" xr3:uid="{CA950A06-DCE2-4DEA-8162-5135420E097D}" name="Column350"/>
    <tableColumn id="351" xr3:uid="{2A349FED-1C41-40C6-BE8F-52B10B250005}" name="Column351"/>
    <tableColumn id="352" xr3:uid="{F4E8BE20-1ABC-4F49-9C45-8C3F8E741100}" name="Column352"/>
    <tableColumn id="353" xr3:uid="{44C7CA00-0FBD-4E34-8801-12F76B0BE428}" name="Column353"/>
    <tableColumn id="354" xr3:uid="{20CDAE6D-1F26-4053-85AE-881C1C1DAE9C}" name="Column354"/>
    <tableColumn id="355" xr3:uid="{AEC69277-54B5-4834-AE0C-3033FF8CE531}" name="Column355"/>
    <tableColumn id="356" xr3:uid="{E76E0D43-A221-4F19-A748-8D418C75E2FF}" name="Column356"/>
    <tableColumn id="357" xr3:uid="{50F7EC05-2DEE-47A0-85BD-A26887189684}" name="Column357"/>
    <tableColumn id="358" xr3:uid="{533DB2E2-F6CD-48D1-A78B-73239F38B6AE}" name="Column358"/>
    <tableColumn id="359" xr3:uid="{549ECD0B-9FD7-4E99-844F-C72791283377}" name="Column359"/>
    <tableColumn id="360" xr3:uid="{C65F2B24-61FB-4125-AF94-15B79A7CF1D1}" name="Column360"/>
    <tableColumn id="361" xr3:uid="{7540D3EC-64AE-44F0-BDDA-0B10D8B1E0FD}" name="Column361"/>
    <tableColumn id="362" xr3:uid="{9EA681E0-6738-4F31-8E7E-D0BFCB0ED1CD}" name="Column362"/>
    <tableColumn id="363" xr3:uid="{F65AD1D8-9FCA-4BBF-BC89-D0E9AB2412D9}" name="Column363"/>
    <tableColumn id="364" xr3:uid="{E836ABD3-A7F7-4207-A1ED-73C44356F777}" name="Column364"/>
    <tableColumn id="365" xr3:uid="{37D3BF0D-C44E-43ED-9CB7-262B91CCE903}" name="Column365"/>
    <tableColumn id="366" xr3:uid="{097A9500-ACDE-45BD-8DF6-A4824C879157}" name="Column366"/>
    <tableColumn id="367" xr3:uid="{E15F0FD7-DE96-4A65-A3C7-A202747419F7}" name="Column367"/>
    <tableColumn id="368" xr3:uid="{2F8445FD-DECE-461F-BF06-85199F43C103}" name="Column368"/>
    <tableColumn id="369" xr3:uid="{A0E2449F-8BF1-4EB8-8E2C-AB4D925B662B}" name="Column369"/>
    <tableColumn id="370" xr3:uid="{99F07E57-DE08-4B86-8002-E52CD4D852DE}" name="Column370"/>
    <tableColumn id="371" xr3:uid="{3A24EC11-7EA1-47DD-8028-1C39D1E21335}" name="Column371"/>
    <tableColumn id="372" xr3:uid="{AC5B7401-7835-4FDA-BBF5-552401BE4023}" name="Column372"/>
    <tableColumn id="373" xr3:uid="{0003E407-A1AA-413B-AB86-450D5A73B164}" name="Column373"/>
    <tableColumn id="374" xr3:uid="{4FCEB213-4348-465F-8291-C3D956F0714C}" name="Column374"/>
    <tableColumn id="375" xr3:uid="{0F2643EB-6C23-468E-9F1B-A15612628335}" name="Column375"/>
    <tableColumn id="376" xr3:uid="{AB87FC86-E17E-4988-9E49-BD1A404C5FBF}" name="Column376"/>
    <tableColumn id="377" xr3:uid="{293A1F58-5DBE-48A9-9E54-991762E9DD6B}" name="Column377"/>
    <tableColumn id="378" xr3:uid="{205BCF66-B8B6-4A31-A70A-D0DCA657D5E5}" name="Column378"/>
    <tableColumn id="379" xr3:uid="{7CA34A9C-4A30-4484-9EDF-88691B60FD81}" name="Column379"/>
    <tableColumn id="380" xr3:uid="{4EAAE632-F884-4C1D-9EC9-341149C74B7D}" name="Column380"/>
    <tableColumn id="381" xr3:uid="{74770290-A7DC-405F-9F99-2CB4399451E0}" name="Column381"/>
    <tableColumn id="382" xr3:uid="{CB25F1FF-D706-4664-BC00-EC95E25A1DAF}" name="Column382"/>
    <tableColumn id="383" xr3:uid="{97113CF8-9B99-44F0-AAB5-38CE35A38F76}" name="Column383"/>
    <tableColumn id="384" xr3:uid="{FD59106E-3748-42CB-8379-D5F4DE7900BE}" name="Column384"/>
    <tableColumn id="385" xr3:uid="{CC5D76B5-001D-4A48-A211-3A091FF9EE48}" name="Column385"/>
    <tableColumn id="386" xr3:uid="{C084854E-32CD-4C3E-9110-9B66B53D6E6D}" name="Column386"/>
    <tableColumn id="387" xr3:uid="{80E9E883-8D87-4494-9DBC-959EF5A91ED3}" name="Column387"/>
    <tableColumn id="388" xr3:uid="{3561A6A5-9B9B-4240-BED3-1887642DA1B2}" name="Column388"/>
    <tableColumn id="389" xr3:uid="{9E77EDAC-FF6A-4F46-88CF-6CA800DA1792}" name="Column389"/>
    <tableColumn id="390" xr3:uid="{182FDDFA-3915-46D8-AAED-ECFEBAA76BE2}" name="Column390"/>
    <tableColumn id="391" xr3:uid="{BDBCF32F-60CB-4259-9E27-125CE5EC1D68}" name="Column391"/>
    <tableColumn id="392" xr3:uid="{DFB8A52E-402C-4E38-B55A-F68B158ABBD3}" name="Column392"/>
    <tableColumn id="393" xr3:uid="{BBD0210D-BFD1-43DE-A7A6-203A6741EDFC}" name="Column393"/>
    <tableColumn id="394" xr3:uid="{9F8CE88A-A9AC-476F-ACA7-412D0CF4ACDD}" name="Column394"/>
    <tableColumn id="395" xr3:uid="{070BF929-ED70-4045-8981-C4748A274F54}" name="Column395"/>
    <tableColumn id="396" xr3:uid="{BC27F07F-47D7-4160-B03B-5317E9F4D315}" name="Column396"/>
    <tableColumn id="397" xr3:uid="{9DBAD637-10D0-4A55-97F3-99A49B5569FB}" name="Column397"/>
    <tableColumn id="398" xr3:uid="{96C285EA-8742-48D9-ABEC-C9335CD84C40}" name="Column398"/>
    <tableColumn id="399" xr3:uid="{618EDD8E-3779-4F32-8106-5E40E336C6CC}" name="Column399"/>
    <tableColumn id="400" xr3:uid="{8D733CAD-20FC-4783-9EB6-EE8851BEB327}" name="Column400"/>
    <tableColumn id="401" xr3:uid="{7E4FB3D9-C23B-4B02-AAD4-8314E66723A2}" name="Column401"/>
    <tableColumn id="402" xr3:uid="{236ADD4B-468F-4F31-90B4-2348FD4271AB}" name="Column402"/>
    <tableColumn id="403" xr3:uid="{5232BF15-F3E1-4628-A770-1DF8E8EEC5CC}" name="Column403"/>
    <tableColumn id="404" xr3:uid="{C6768366-970C-4880-A071-7441E63FBCB4}" name="Column404"/>
    <tableColumn id="405" xr3:uid="{E52BF0B6-1C8F-4115-94FF-50103920FA89}" name="Column405"/>
    <tableColumn id="406" xr3:uid="{2DEB510D-90D3-4922-A871-6DA1C87F084D}" name="Column406"/>
    <tableColumn id="407" xr3:uid="{D5DF8C4B-3D29-4026-BF28-8C35B58A5FD1}" name="Column407"/>
    <tableColumn id="408" xr3:uid="{473D2BC9-75C4-42D1-B3B5-298470A16AB5}" name="Column408"/>
    <tableColumn id="409" xr3:uid="{D1987D23-8515-4448-9F8A-180CCCB79D78}" name="Column409"/>
    <tableColumn id="410" xr3:uid="{3A079B0F-5F17-4EC2-8DD5-C78000090F51}" name="Column410"/>
    <tableColumn id="411" xr3:uid="{A0236E5D-8826-4B14-8F29-C2BD41B7D505}" name="Column411"/>
    <tableColumn id="412" xr3:uid="{1424B368-D031-4FEF-94CE-C410ABA00F91}" name="Column412"/>
    <tableColumn id="413" xr3:uid="{BAA34343-9284-4B97-9B18-AFC08087FE25}" name="Column413"/>
    <tableColumn id="414" xr3:uid="{60DD7032-CD17-4267-853A-27142B3267D4}" name="Column414"/>
    <tableColumn id="415" xr3:uid="{F4D6F14E-016E-4ED1-8CCE-678DE012B371}" name="Column415"/>
    <tableColumn id="416" xr3:uid="{843E169A-714E-4693-9F78-BA3F13D1865C}" name="Column416"/>
    <tableColumn id="417" xr3:uid="{9AE826DA-91D7-479B-8F6E-8ED1BE724BD7}" name="Column417"/>
    <tableColumn id="418" xr3:uid="{DAA4C344-4AC0-4BF1-A6AC-1FE94B4D8E61}" name="Column418"/>
    <tableColumn id="419" xr3:uid="{BE7DEF6B-5BFC-49FE-ADCA-70A3DC11FA57}" name="Column419"/>
    <tableColumn id="420" xr3:uid="{0FC3CF09-980A-499F-8D95-D13D8D091086}" name="Column420"/>
    <tableColumn id="421" xr3:uid="{E6A23EAC-1151-4CE8-8584-4822AF47E763}" name="Column421"/>
    <tableColumn id="422" xr3:uid="{5D0BF34E-1BF4-439E-8270-86EEB38EF42B}" name="Column422"/>
    <tableColumn id="423" xr3:uid="{04971E1A-9477-4FFA-951A-A3697B493E73}" name="Column423"/>
    <tableColumn id="424" xr3:uid="{9250BEA0-6873-4301-AD84-DEAA75C0F547}" name="Column424"/>
    <tableColumn id="425" xr3:uid="{7303DF6D-45A9-4339-BA4A-4792B7F0A2C7}" name="Column425"/>
    <tableColumn id="426" xr3:uid="{98DBCF7D-958D-434D-ABE0-CABC930D4FA8}" name="Column426"/>
    <tableColumn id="427" xr3:uid="{B1F5E9A7-D314-4C9B-8CB4-D0E2E728CC39}" name="Column427"/>
    <tableColumn id="428" xr3:uid="{A9E11648-CC86-4709-ADFE-D842EE4B7BEE}" name="Column428"/>
    <tableColumn id="429" xr3:uid="{DD5FF0E5-AEB4-4745-BD9C-9428D407771B}" name="Column429"/>
    <tableColumn id="430" xr3:uid="{657C44CE-226D-4B25-BECA-467C528A67D7}" name="Column430"/>
    <tableColumn id="431" xr3:uid="{49575D88-CF97-4FBF-A1F5-0BBD300EC6BC}" name="Column431"/>
    <tableColumn id="432" xr3:uid="{2BAA1345-312D-4EF8-9DF4-BB2E79EAAC66}" name="Column432"/>
    <tableColumn id="433" xr3:uid="{0A2D05AE-9B03-437A-AF7E-F9FF03333157}" name="Column433"/>
    <tableColumn id="434" xr3:uid="{CA803CCC-6A12-4D49-B0D3-E55F9F3DC848}" name="Column434"/>
    <tableColumn id="435" xr3:uid="{F61193B1-84E0-4BE1-8116-2EBC0D18CAE5}" name="Column435"/>
    <tableColumn id="436" xr3:uid="{74D35146-2C6A-40D4-9DA7-75C4340850FE}" name="Column436"/>
    <tableColumn id="437" xr3:uid="{E0FC0FDB-FDFD-49CC-A35A-EAE793F1BD80}" name="Column437"/>
    <tableColumn id="438" xr3:uid="{BF3C3B72-5EDE-46D0-ABCC-02C2F5C17471}" name="Column438"/>
    <tableColumn id="439" xr3:uid="{48B60B4F-7387-4321-BBC0-3E5280A4860B}" name="Column439"/>
    <tableColumn id="440" xr3:uid="{095CD94E-E5FE-47F8-9130-81DCB9E4CC1C}" name="Column440"/>
    <tableColumn id="441" xr3:uid="{CA7C6F23-1AB3-4B49-81C5-5086C9E966AD}" name="Column441"/>
    <tableColumn id="442" xr3:uid="{53F68041-06A3-472F-A1F3-33B397FFC7E7}" name="Column442"/>
    <tableColumn id="443" xr3:uid="{880761F5-5328-440C-B3B7-47874980A115}" name="Column443"/>
    <tableColumn id="444" xr3:uid="{B35CEF12-CE37-45A9-9D0B-104CF9A9F7B7}" name="Column444"/>
    <tableColumn id="445" xr3:uid="{FC9B51AE-9363-4941-A527-14F38A9465C6}" name="Column445"/>
    <tableColumn id="446" xr3:uid="{8078D035-73B0-40AE-9A05-AA12937CCE07}" name="Column446"/>
    <tableColumn id="447" xr3:uid="{53613410-0E24-4CB4-B703-80BD6D093F0B}" name="Column447"/>
    <tableColumn id="448" xr3:uid="{AFDEC817-D9D7-4D6F-897E-B2CBAD72D2F3}" name="Column448"/>
    <tableColumn id="449" xr3:uid="{F6D534FC-1602-4295-9360-FA0114CC557D}" name="Column449"/>
    <tableColumn id="450" xr3:uid="{C0F32062-3F01-49FF-9CEF-CFA91BFCC0D1}" name="Column450"/>
    <tableColumn id="451" xr3:uid="{2B9E48A7-13C3-42D9-B810-59DFCBAA1023}" name="Column451"/>
    <tableColumn id="452" xr3:uid="{2896E037-5528-429A-A1CC-6C0392E60879}" name="Column452"/>
    <tableColumn id="453" xr3:uid="{C7D40904-EFC6-4F2D-A3E7-808925B888BB}" name="Column453"/>
    <tableColumn id="454" xr3:uid="{02C02429-F8BF-45E1-8DCD-2283EC7387E5}" name="Column454"/>
    <tableColumn id="455" xr3:uid="{37C8812C-CB37-4FE5-9DD0-047024EADE1F}" name="Column455"/>
    <tableColumn id="456" xr3:uid="{2AF39731-956D-4D7B-8502-D2B845FD88F5}" name="Column456"/>
    <tableColumn id="457" xr3:uid="{074ED92C-9615-4690-B281-09CBB5984BB4}" name="Column457"/>
    <tableColumn id="458" xr3:uid="{666BFE87-D22F-4AA1-A71D-5E7734EC8E04}" name="Column458"/>
    <tableColumn id="459" xr3:uid="{10310BA0-8FC9-4652-B974-F36E729B9E73}" name="Column459"/>
    <tableColumn id="460" xr3:uid="{4CAC60E8-A114-4FEC-872D-E9231FAEF166}" name="Column460"/>
    <tableColumn id="461" xr3:uid="{41765B90-1377-47C9-80EB-C0649ADBD175}" name="Column461"/>
    <tableColumn id="462" xr3:uid="{942D6190-A37C-45D2-AE96-3A1F25EDD7F6}" name="Column462"/>
    <tableColumn id="463" xr3:uid="{2D096B9C-08C0-4462-85CA-59D6D1DECC19}" name="Column463"/>
    <tableColumn id="464" xr3:uid="{84F212B2-3BF1-4CC4-97B7-486C66D004FA}" name="Column464"/>
    <tableColumn id="465" xr3:uid="{8C88FD73-3480-4627-B51C-EFF66536DC32}" name="Column465"/>
    <tableColumn id="466" xr3:uid="{A7817749-6C93-4BD3-AD98-DA75C246D859}" name="Column466"/>
    <tableColumn id="467" xr3:uid="{170AAE7D-BA9C-43F5-98A7-94D76AD28B31}" name="Column467"/>
    <tableColumn id="468" xr3:uid="{DADB5167-2EA7-4AA0-A89B-DECE48D7D546}" name="Column468"/>
    <tableColumn id="469" xr3:uid="{F895D1B6-5443-4C97-B503-B0CF1600F4A0}" name="Column469"/>
    <tableColumn id="470" xr3:uid="{EF0124B9-4B96-49E6-A0D0-15BC6896BBCA}" name="Column470"/>
    <tableColumn id="471" xr3:uid="{028FD0D1-B44E-4E40-A701-4E7C66E0D263}" name="Column471"/>
    <tableColumn id="472" xr3:uid="{73CFFE65-5C82-4231-864E-D2CB3D628F70}" name="Column472"/>
    <tableColumn id="473" xr3:uid="{E6E4F727-2489-48CC-AFBB-522F292C5DAA}" name="Column473"/>
    <tableColumn id="474" xr3:uid="{45C73BE5-D40E-4445-B3F0-7A4BA6FA76D2}" name="Column474"/>
    <tableColumn id="475" xr3:uid="{FF19E5EF-B63D-4A5E-AA5B-76D02D10B417}" name="Column475"/>
    <tableColumn id="476" xr3:uid="{D9F50475-D3D3-408A-B8FE-337221322201}" name="Column476"/>
    <tableColumn id="477" xr3:uid="{C439CF2E-A4A1-43AD-B710-4FA639DA464F}" name="Column477"/>
    <tableColumn id="478" xr3:uid="{F7A15371-C8DC-4082-A6E3-5634C37452FA}" name="Column478"/>
    <tableColumn id="479" xr3:uid="{A17A3493-35C1-47FD-8736-2C2B64570FB4}" name="Column479"/>
    <tableColumn id="480" xr3:uid="{37FC6CB9-37D6-4F82-8018-80D5CB9D7F97}" name="Column480"/>
    <tableColumn id="481" xr3:uid="{BCA73FCF-5DE0-4128-8865-DA98F0964F34}" name="Column481"/>
    <tableColumn id="482" xr3:uid="{E46AD5C1-D4E0-470A-BAB9-BB4048A59B4F}" name="Column482"/>
    <tableColumn id="483" xr3:uid="{314352D8-15C0-49E5-911C-666DB481AD76}" name="Column483"/>
    <tableColumn id="484" xr3:uid="{B3B69938-C7AC-4DC5-A1C6-D6EB23F2A838}" name="Column484"/>
    <tableColumn id="485" xr3:uid="{E4FBCEB8-C5C1-461D-B507-D4FCF5A5C3D8}" name="Column485"/>
    <tableColumn id="486" xr3:uid="{4529CBD7-1571-4E41-A03E-B2E70960857D}" name="Column486"/>
    <tableColumn id="487" xr3:uid="{97D1BE64-EFD2-46DD-A73A-D47B8AE73885}" name="Column487"/>
    <tableColumn id="488" xr3:uid="{E54DFC99-ED08-4658-A7B2-5E22EA797E56}" name="Column488"/>
    <tableColumn id="489" xr3:uid="{B9280A4E-1B3E-4806-AE78-F25DE05E31DF}" name="Column489"/>
    <tableColumn id="490" xr3:uid="{83294A91-0E64-4813-9ED0-1CAD074ED91C}" name="Column490"/>
    <tableColumn id="491" xr3:uid="{0D22E523-2EB3-442E-96A5-289BECA3B8A5}" name="Column491"/>
    <tableColumn id="492" xr3:uid="{DC606BF6-2752-490E-9CF6-3C0544BC81E0}" name="Column492"/>
    <tableColumn id="493" xr3:uid="{F7A7EDF2-19EF-4AB1-AEAF-601B549B92DE}" name="Column493"/>
    <tableColumn id="494" xr3:uid="{C82FEE16-10F6-48AF-99BC-0344A68CDBAD}" name="Column494"/>
    <tableColumn id="495" xr3:uid="{D42D5A48-6AFC-47F5-A13B-08A13BB54673}" name="Column495"/>
    <tableColumn id="496" xr3:uid="{3D455CF3-02C9-4A39-AB89-BEB3822A4CCF}" name="Column496"/>
    <tableColumn id="497" xr3:uid="{F278CECE-1A10-4D4B-B9AD-2331568F735E}" name="Column497"/>
    <tableColumn id="498" xr3:uid="{406F71E4-36AC-4F4A-A300-22B654E73226}" name="Column498"/>
    <tableColumn id="499" xr3:uid="{1507E19C-9223-4E10-A066-FF8CA96D8EC7}" name="Column499"/>
    <tableColumn id="500" xr3:uid="{4728A8AF-5BF3-4FCD-840C-8547C390EF2D}" name="Column500"/>
    <tableColumn id="501" xr3:uid="{6F954940-E206-4DA8-871F-91C544D7EBD5}" name="Column501"/>
    <tableColumn id="502" xr3:uid="{373ABFC9-1D62-4712-BD62-521E2D7BF6C4}" name="Column502"/>
    <tableColumn id="503" xr3:uid="{0675305E-C790-49D3-A51E-FA3090C58E0F}" name="Column503"/>
    <tableColumn id="504" xr3:uid="{C466727F-4242-4FA1-A60F-A5A5550C94E4}" name="Column504"/>
    <tableColumn id="505" xr3:uid="{994A82FC-AD7C-40A4-BAAD-BA8FEC6D1FC7}" name="Column505"/>
    <tableColumn id="506" xr3:uid="{A7A95D5B-0ECC-4C5E-8C39-D14F1BDBD771}" name="Column506"/>
    <tableColumn id="507" xr3:uid="{CDC2CC41-A450-4EC4-A007-E96AC2D4EF89}" name="Column507"/>
    <tableColumn id="508" xr3:uid="{1B6F3E23-C9ED-4345-9B5D-801E69391260}" name="Column508"/>
    <tableColumn id="509" xr3:uid="{DD0220C0-6DB1-4DC2-A27C-45BBB24DCC73}" name="Column509"/>
    <tableColumn id="510" xr3:uid="{58E3EA9E-92DF-42A0-800F-64D0F2155746}" name="Column510"/>
    <tableColumn id="511" xr3:uid="{FFBC8636-BC0A-4363-8FDC-F596D453DD86}" name="Column511"/>
    <tableColumn id="512" xr3:uid="{D72F24A0-834F-415D-B272-9A67536D05BB}" name="Column512"/>
    <tableColumn id="513" xr3:uid="{D683938B-E3F9-48BE-A519-50245F6FBCDF}" name="Column513"/>
    <tableColumn id="514" xr3:uid="{9ED6A191-8761-4C8A-832B-32FE0EE91429}" name="Column514"/>
    <tableColumn id="515" xr3:uid="{8B06B907-D791-4D28-88C0-EF518BA2B20D}" name="Column515"/>
    <tableColumn id="516" xr3:uid="{9359522D-B5F6-445D-8524-DFF241B5423B}" name="Column516"/>
    <tableColumn id="517" xr3:uid="{07579110-CE0A-4E10-8B9B-08EC7B84C402}" name="Column517"/>
    <tableColumn id="518" xr3:uid="{53B9E3A9-6006-446F-A0AB-83639C25152E}" name="Column518"/>
    <tableColumn id="519" xr3:uid="{8DC4EC08-9533-4657-A47E-354CD24CD144}" name="Column519"/>
    <tableColumn id="520" xr3:uid="{FD8EB7BD-624B-498A-A30F-4A167BD384DE}" name="Column520"/>
    <tableColumn id="521" xr3:uid="{E0DD43D2-92C6-48E2-9C11-B4C0A7F521C2}" name="Column521"/>
    <tableColumn id="522" xr3:uid="{40296033-2022-411D-A3F2-71FFE02A0BA4}" name="Column522"/>
    <tableColumn id="523" xr3:uid="{E1D1BE4A-CC58-4E97-9394-C76677ADDEE5}" name="Column523"/>
    <tableColumn id="524" xr3:uid="{1C1D36A3-E333-4B99-B573-8B84721B28EC}" name="Column524"/>
    <tableColumn id="525" xr3:uid="{342DEB5B-7E0A-41BE-AD35-E9B181345DAB}" name="Column525"/>
    <tableColumn id="526" xr3:uid="{672707AF-1219-4198-80CF-EBF28E6CE746}" name="Column526"/>
    <tableColumn id="527" xr3:uid="{8083039D-6EF8-408F-9E8F-2B0BC87E0466}" name="Column527"/>
    <tableColumn id="528" xr3:uid="{502C02F6-1BF8-48D1-8147-C0B78C419595}" name="Column528"/>
    <tableColumn id="529" xr3:uid="{FF933799-497B-4E68-88FB-996BC2BB8EBA}" name="Column529"/>
    <tableColumn id="530" xr3:uid="{753AC0D1-B797-409B-A922-66D07ECA6BBB}" name="Column530"/>
    <tableColumn id="531" xr3:uid="{A118673F-853E-4D03-A58F-D2779B44956A}" name="Column531"/>
    <tableColumn id="532" xr3:uid="{EC4AD5A4-BEA6-4069-BE57-5341155C24B3}" name="Column532"/>
    <tableColumn id="533" xr3:uid="{22A8A993-6842-41F6-A88B-1AF0ACE1E3AC}" name="Column533"/>
    <tableColumn id="534" xr3:uid="{B91BA235-BC4A-44E1-AC0E-2658B14CB122}" name="Column534"/>
    <tableColumn id="535" xr3:uid="{CB8859DF-08AA-4D1E-B1A4-449F54D1FF45}" name="Column535"/>
    <tableColumn id="536" xr3:uid="{380A6635-F937-42EE-9DFC-84124F575EA7}" name="Column536"/>
    <tableColumn id="537" xr3:uid="{023FA771-AC05-4FF5-9F95-7625E9AD3857}" name="Column537"/>
    <tableColumn id="538" xr3:uid="{A5F3A08A-5852-4618-87F4-010EC0E8BC41}" name="Column538"/>
    <tableColumn id="539" xr3:uid="{A323FF38-6803-4EB7-A10E-E7F6D6DE54D6}" name="Column539"/>
    <tableColumn id="540" xr3:uid="{72F5C6F3-5D62-4EFD-8D9D-709BD3FFCF19}" name="Column540"/>
    <tableColumn id="541" xr3:uid="{753DACB9-5820-4851-B18A-622B057F3016}" name="Column541"/>
    <tableColumn id="542" xr3:uid="{DC5C198B-0505-4C2F-8AAE-6266E62AD447}" name="Column542"/>
    <tableColumn id="543" xr3:uid="{85940224-EBE6-4D04-9ECE-429AAD76AE20}" name="Column543"/>
    <tableColumn id="544" xr3:uid="{0FECD3F5-FE95-4A83-8A88-B67AB0BA7F6D}" name="Column544"/>
    <tableColumn id="545" xr3:uid="{77886322-17CA-4432-A747-AA46364C9FAA}" name="Column545"/>
    <tableColumn id="546" xr3:uid="{338C8673-B34D-46C6-9151-1D44DF60B72B}" name="Column546"/>
    <tableColumn id="547" xr3:uid="{DDC87814-6DB8-4C5D-B8F8-25E29EFFF647}" name="Column547"/>
    <tableColumn id="548" xr3:uid="{C875670E-48C2-457C-9E71-03BF4BC1C80B}" name="Column548"/>
    <tableColumn id="549" xr3:uid="{DE106ED3-9CC0-46DB-BBC7-3CC8B046591B}" name="Column549"/>
    <tableColumn id="550" xr3:uid="{AE6FED41-7D29-48D0-8B66-CAD97396881D}" name="Column550"/>
    <tableColumn id="551" xr3:uid="{540C3935-4FAD-47F5-90BE-B64F13766186}" name="Column551"/>
    <tableColumn id="552" xr3:uid="{BC8161C1-A6A2-4EE9-B40B-DB0C13174FF9}" name="Column552"/>
    <tableColumn id="553" xr3:uid="{ACB6CD9C-EBE5-4757-B4C7-0F3419242CCF}" name="Column553"/>
    <tableColumn id="554" xr3:uid="{D4617F54-B37F-4495-86B7-0C69947A5997}" name="Column554"/>
    <tableColumn id="555" xr3:uid="{19914AA4-AD9B-456E-B049-CA16DB470E73}" name="Column555"/>
    <tableColumn id="556" xr3:uid="{5E13E081-36E3-4787-823D-08C33845A621}" name="Column556"/>
    <tableColumn id="557" xr3:uid="{661489D6-9923-4828-8650-8650602FF5C8}" name="Column557"/>
    <tableColumn id="558" xr3:uid="{5F221C13-F23C-4C75-8999-26232429FDFC}" name="Column558"/>
    <tableColumn id="559" xr3:uid="{33E6C225-ED3A-4EC3-BFAD-506452619B1B}" name="Column559"/>
    <tableColumn id="560" xr3:uid="{BE9BF134-D953-4AF1-9E46-3A824E113B8B}" name="Column560"/>
    <tableColumn id="561" xr3:uid="{42B507E4-22CC-4951-B855-F9E99F2334BF}" name="Column561"/>
    <tableColumn id="562" xr3:uid="{DB6FD5AB-A266-46C6-8E01-4DE1AF951F94}" name="Column562"/>
    <tableColumn id="563" xr3:uid="{4C04ED5C-1192-4145-BD85-1A8350335E7D}" name="Column563"/>
    <tableColumn id="564" xr3:uid="{B636A28E-589D-4FF6-A3F7-908E37CDF8B0}" name="Column564"/>
    <tableColumn id="565" xr3:uid="{EE11E1BA-D403-4948-8F50-FE78D65B9CCE}" name="Column565"/>
    <tableColumn id="566" xr3:uid="{28E8F29B-4344-4E5C-A4AD-0064769CFDE4}" name="Column566"/>
    <tableColumn id="567" xr3:uid="{A20322BE-57DE-4552-95C8-132165B7FCC9}" name="Column567"/>
    <tableColumn id="568" xr3:uid="{8696DD2A-2C4D-4A57-86FA-1552C09A3EC0}" name="Column568"/>
    <tableColumn id="569" xr3:uid="{3EF8263A-6C13-42E4-B6F2-57268004102A}" name="Column569"/>
    <tableColumn id="570" xr3:uid="{66B7A587-F205-4FD7-BD7E-5D4BC21EE40F}" name="Column570"/>
    <tableColumn id="571" xr3:uid="{B37DA73E-2B04-4E63-A4D2-52A50D8A7AEF}" name="Column571"/>
    <tableColumn id="572" xr3:uid="{05B7EBEE-6A6C-467F-B071-E730024EFD71}" name="Column572"/>
    <tableColumn id="573" xr3:uid="{536C2B0A-CDAF-4CDE-AC21-A70C1F7A5F2A}" name="Column573"/>
    <tableColumn id="574" xr3:uid="{517C7559-7D3A-440E-B42E-077E3B55DA40}" name="Column574"/>
    <tableColumn id="575" xr3:uid="{55ADC657-64BE-40F1-AC13-5396D3ECCF90}" name="Column575"/>
    <tableColumn id="576" xr3:uid="{BFE2EE1E-AB89-4B69-AED2-FBF58C6C3681}" name="Column576"/>
    <tableColumn id="577" xr3:uid="{AB448B70-61CE-4289-8074-75E797F1A5A6}" name="Column577"/>
    <tableColumn id="578" xr3:uid="{564F5467-8665-44E7-94DF-33AAF9C7DA74}" name="Column578"/>
    <tableColumn id="579" xr3:uid="{31A5AA92-ADCE-41B7-BA9F-815C98643D96}" name="Column579"/>
    <tableColumn id="580" xr3:uid="{AAF17D61-DF52-4AC3-A2C2-18ACCA431A18}" name="Column580"/>
    <tableColumn id="581" xr3:uid="{EB5393D2-E8DC-4A4A-B620-CA1D8397F6E9}" name="Column581"/>
    <tableColumn id="582" xr3:uid="{846ED770-2C43-4938-A7AC-56F805BCF4A0}" name="Column582"/>
    <tableColumn id="583" xr3:uid="{2353C96B-6ED7-4696-8B15-6F9EB97038B0}" name="Column583"/>
    <tableColumn id="584" xr3:uid="{FD3D2F8E-0EDA-4E7E-B4D8-FB6B2AE5B87F}" name="Column584"/>
    <tableColumn id="585" xr3:uid="{7CE18082-E6DF-4D26-BA1B-3588ADE0FCF1}" name="Column585"/>
    <tableColumn id="586" xr3:uid="{EC9E7529-DE08-48A2-A2D9-2185F039B0E7}" name="Column586"/>
    <tableColumn id="587" xr3:uid="{D4F49A96-B77E-4986-ABD6-113F6A50AD14}" name="Column587"/>
    <tableColumn id="588" xr3:uid="{A9075E7F-BD9D-4567-81DF-E861AF85ABA8}" name="Column588"/>
    <tableColumn id="589" xr3:uid="{8AD4918E-4E3A-4F33-889D-906CF45FCA59}" name="Column589"/>
    <tableColumn id="590" xr3:uid="{C08ABF05-5563-454B-A4E6-0C061878607A}" name="Column590"/>
    <tableColumn id="591" xr3:uid="{6CEEB4AF-AFBB-45A5-A5E2-592DF7DE0351}" name="Column591"/>
    <tableColumn id="592" xr3:uid="{CAD644AE-FD85-46D4-8853-14DE2BC39018}" name="Column592"/>
    <tableColumn id="593" xr3:uid="{B6D1C80B-0700-42FB-81EF-473632A0D77C}" name="Column593"/>
    <tableColumn id="594" xr3:uid="{A1C8C9D7-D15C-49D4-BEA0-531F0A7D24D9}" name="Column594"/>
    <tableColumn id="595" xr3:uid="{EECF5271-5338-4DFA-80AB-CE3CF48F7F90}" name="Column595"/>
    <tableColumn id="596" xr3:uid="{26C0241C-8480-4659-AAE1-4AFA3DF56FF2}" name="Column596"/>
    <tableColumn id="597" xr3:uid="{516FB1D2-B9D4-4917-B5C4-E494AF71CA19}" name="Column597"/>
    <tableColumn id="598" xr3:uid="{3EC72E19-5FD1-4856-9978-99C6623554A3}" name="Column598"/>
    <tableColumn id="599" xr3:uid="{B3FA48FB-0BE3-495A-AA46-ED0C4EC7EB33}" name="Column599"/>
    <tableColumn id="600" xr3:uid="{39C08A05-212F-466A-A5F2-0FD2E9E6E4F0}" name="Column600"/>
    <tableColumn id="601" xr3:uid="{FFBDFFF9-5C23-4D2F-9DB5-F6F006D06D7F}" name="Column601"/>
    <tableColumn id="602" xr3:uid="{090D0DD5-1F98-40FF-9358-1F4376972381}" name="Column602"/>
    <tableColumn id="603" xr3:uid="{94322AEF-5134-42F7-85D4-FB7123BFF721}" name="Column603"/>
    <tableColumn id="604" xr3:uid="{34C14B58-D4D0-42F3-985E-AC35E8906CD6}" name="Column604"/>
    <tableColumn id="605" xr3:uid="{BFCACBB2-367E-4083-9752-1F1205F012DB}" name="Column605"/>
    <tableColumn id="606" xr3:uid="{FFE02B70-F1F8-47AE-A308-4E53C02D5588}" name="Column606"/>
    <tableColumn id="607" xr3:uid="{4A334C03-7CED-447E-B670-1BBA994B43A8}" name="Column607"/>
    <tableColumn id="608" xr3:uid="{474DE123-CBAD-4CB0-B23A-6A175A0E1E67}" name="Column608"/>
    <tableColumn id="609" xr3:uid="{5917DD2A-6644-4193-98A0-1D2C3F0D2188}" name="Column609"/>
    <tableColumn id="610" xr3:uid="{83439303-933E-4412-B7C6-0AA55AC4751C}" name="Column610"/>
    <tableColumn id="611" xr3:uid="{C860AE4A-76F2-41C7-AA0E-887AE555FAAF}" name="Column611"/>
    <tableColumn id="612" xr3:uid="{5B5B25D5-6A3F-4B64-AB0D-4FDCCBC5FD6C}" name="Column612"/>
    <tableColumn id="613" xr3:uid="{E971943F-98F3-48F6-9877-D8B9214A77FD}" name="Column613"/>
    <tableColumn id="614" xr3:uid="{6C7DCA30-4999-4185-90E8-5B5E5382C6DD}" name="Column614"/>
    <tableColumn id="615" xr3:uid="{7F35F747-F21F-4AB3-9DE3-9C97EEDC46B0}" name="Column615"/>
    <tableColumn id="616" xr3:uid="{CF7A0536-839A-4B1F-8084-F608863FA743}" name="Column616"/>
    <tableColumn id="617" xr3:uid="{0E1C1640-6EC4-44D5-BD35-B37965E0FB85}" name="Column617"/>
    <tableColumn id="618" xr3:uid="{DA95F937-801E-40EB-86F5-947F1479C466}" name="Column618"/>
    <tableColumn id="619" xr3:uid="{573CDDC5-65DE-4088-B833-C412EC85223A}" name="Column619"/>
    <tableColumn id="620" xr3:uid="{18C4E36E-BEA1-4F7A-ACE3-14BB5745BF0C}" name="Column620"/>
    <tableColumn id="621" xr3:uid="{E86495F1-8ADC-49C1-BAC0-4B68E45231B5}" name="Column621"/>
    <tableColumn id="622" xr3:uid="{647F35AD-CE21-4251-B63E-5DD664201999}" name="Column622"/>
    <tableColumn id="623" xr3:uid="{5F91E432-E89F-4CAE-B947-CA51F9E281DB}" name="Column623"/>
    <tableColumn id="624" xr3:uid="{9D3F36E3-9A3D-454C-89E5-BB8673E2BD93}" name="Column624"/>
    <tableColumn id="625" xr3:uid="{041EAC3C-220B-4020-8B3F-FE43319A1B7D}" name="Column625"/>
    <tableColumn id="626" xr3:uid="{32D061A9-493C-467E-826B-82D2AFBEFB20}" name="Column626"/>
    <tableColumn id="627" xr3:uid="{14A6F777-DE7D-43B9-A343-EF31CE749C09}" name="Column627"/>
    <tableColumn id="628" xr3:uid="{F2FDD926-4D67-4ACD-83D6-E79312C7E604}" name="Column628"/>
    <tableColumn id="629" xr3:uid="{196F33CB-21FD-4802-9479-3DA7D85256E3}" name="Column629"/>
    <tableColumn id="630" xr3:uid="{10C417E0-7432-4181-B0B4-187743F042D5}" name="Column630"/>
    <tableColumn id="631" xr3:uid="{EB6AF530-5D60-4CF7-AA4B-53B1AE174794}" name="Column631"/>
    <tableColumn id="632" xr3:uid="{FBBF5E25-0EA1-45D3-B6D2-3C6E2829FE27}" name="Column632"/>
    <tableColumn id="633" xr3:uid="{193FC270-E688-4300-B553-1E93196BF985}" name="Column633"/>
    <tableColumn id="634" xr3:uid="{5CFD348A-0AEC-47DE-93E9-723304F9BBD9}" name="Column634"/>
    <tableColumn id="635" xr3:uid="{D41AEBA2-4A86-4CE8-A525-5DAE1ADC3EE8}" name="Column635"/>
    <tableColumn id="636" xr3:uid="{24BF668C-1E11-440A-8514-EA61D1240878}" name="Column636"/>
    <tableColumn id="637" xr3:uid="{88A9A5F6-1F40-4EC3-91DA-6BA70B51A470}" name="Column637"/>
    <tableColumn id="638" xr3:uid="{838F2362-82A7-456B-9469-42930703D342}" name="Column638"/>
    <tableColumn id="639" xr3:uid="{0AF88083-9B1C-441B-9D8A-C7D017D9C34E}" name="Column639"/>
    <tableColumn id="640" xr3:uid="{1E486580-C8D9-434D-B60F-508676AA877E}" name="Column640"/>
    <tableColumn id="641" xr3:uid="{3F44206B-14F9-47E0-9556-A81648D1B0D7}" name="Column641"/>
    <tableColumn id="642" xr3:uid="{C17CE229-11A9-4616-845C-5D8CB60B2ABE}" name="Column642"/>
    <tableColumn id="643" xr3:uid="{93FA6822-0455-49D2-A09D-3EB5F5525EFA}" name="Column643"/>
    <tableColumn id="644" xr3:uid="{05E94BD3-3667-404D-9996-C3DE11CB540B}" name="Column644"/>
    <tableColumn id="645" xr3:uid="{6256328E-0F6C-4186-83B1-16AB7E57ED80}" name="Column645"/>
    <tableColumn id="646" xr3:uid="{59E5FF01-381C-4C0F-85FE-A67D57EA868E}" name="Column646"/>
    <tableColumn id="647" xr3:uid="{DCFD6644-FFF9-4C5E-8541-F827E1BD5DD0}" name="Column647"/>
    <tableColumn id="648" xr3:uid="{D64F4C07-C4FB-43DE-9440-39EE3EEE8900}" name="Column648"/>
    <tableColumn id="649" xr3:uid="{1C045524-9A2C-4D5C-87D7-CF7E47CCFF6C}" name="Column649"/>
    <tableColumn id="650" xr3:uid="{B11841C6-EF67-4396-B330-57347FADFF56}" name="Column650"/>
    <tableColumn id="651" xr3:uid="{504D635D-DF36-4FD9-91B1-0CA6075E1F8E}" name="Column651"/>
    <tableColumn id="652" xr3:uid="{4F5F1FA0-41C4-49B5-9F2F-54C8C351CDC9}" name="Column652"/>
    <tableColumn id="653" xr3:uid="{F70A4182-EB2D-4E4D-B5BF-FA7CC5188A19}" name="Column653"/>
    <tableColumn id="654" xr3:uid="{0F2391A4-BA2C-4733-8036-D26730342E11}" name="Column654"/>
    <tableColumn id="655" xr3:uid="{6BF8EC13-6E95-408C-B226-29A192BE30F4}" name="Column655"/>
    <tableColumn id="656" xr3:uid="{FA76F61A-20AB-4DCA-A8D7-9957DA6A4195}" name="Column656"/>
    <tableColumn id="657" xr3:uid="{5FB1F397-80D3-43EF-8164-E5976EC9D357}" name="Column657"/>
    <tableColumn id="658" xr3:uid="{E16A06D7-48EB-4CB6-863E-E63278E8FDF0}" name="Column658"/>
    <tableColumn id="659" xr3:uid="{32DB19A6-D9AD-4B6D-85C0-9CB53EC0C1EB}" name="Column659"/>
    <tableColumn id="660" xr3:uid="{C49BB5A4-21E8-40F0-9890-651B5A1A4146}" name="Column660"/>
    <tableColumn id="661" xr3:uid="{067A171D-BE11-4017-90EC-22706E4974D1}" name="Column661"/>
    <tableColumn id="662" xr3:uid="{CA82D4F2-2B15-4CC5-925D-6A4ECCB9B4FD}" name="Column662"/>
    <tableColumn id="663" xr3:uid="{71BE2348-14E5-426C-A2F9-A146E40CA779}" name="Column663"/>
    <tableColumn id="664" xr3:uid="{79F0CA67-1290-4F0A-BE2C-1996F006F533}" name="Column664"/>
    <tableColumn id="665" xr3:uid="{7C6710B4-00D3-4EBC-9997-59CDA80A3BCA}" name="Column665"/>
    <tableColumn id="666" xr3:uid="{F048374C-92C0-4939-BC04-5E04BA1306C8}" name="Column666"/>
    <tableColumn id="667" xr3:uid="{A7CDBBBE-DD4B-460F-A034-CA9A1606AAA4}" name="Column667"/>
    <tableColumn id="668" xr3:uid="{224B8EA3-246A-47E3-A09B-2E877A0D2C0C}" name="Column668"/>
    <tableColumn id="669" xr3:uid="{18A5C079-B0CF-413A-91C6-A3EA52699650}" name="Column669"/>
    <tableColumn id="670" xr3:uid="{1DF084EC-FB93-42E7-A168-59CAC3E40231}" name="Column670"/>
    <tableColumn id="671" xr3:uid="{188BF426-C591-4070-B6F1-217A3C44E24E}" name="Column671"/>
    <tableColumn id="672" xr3:uid="{782ABDAB-FD74-4123-9405-D4FB151F5807}" name="Column672"/>
    <tableColumn id="673" xr3:uid="{19062CD9-8BCA-415D-A8DE-7B9FB4E68F84}" name="Column673"/>
    <tableColumn id="674" xr3:uid="{5E25BB5A-8CAD-460B-BD40-69000CAC4F67}" name="Column674"/>
    <tableColumn id="675" xr3:uid="{118F1F93-30DE-4A96-803F-46B83ECEEB27}" name="Column675"/>
    <tableColumn id="676" xr3:uid="{C9EBC520-EBDC-40D1-86D4-4EBA5CB4CA50}" name="Column676"/>
    <tableColumn id="677" xr3:uid="{A9263F59-D909-4F80-8516-215C8B3783CC}" name="Column677"/>
    <tableColumn id="678" xr3:uid="{378F0FE2-4F87-412A-8383-F88A81573122}" name="Column678"/>
    <tableColumn id="679" xr3:uid="{94E35959-1281-4360-B97D-79DDC9925186}" name="Column679"/>
    <tableColumn id="680" xr3:uid="{0CDCB0F1-10BE-4ACD-8AAC-82D52F109008}" name="Column680"/>
    <tableColumn id="681" xr3:uid="{FCD48CF2-F068-4512-8606-F5C55199A401}" name="Column681"/>
    <tableColumn id="682" xr3:uid="{6D48AF9E-C42C-4833-91AC-9716F148350B}" name="Column682"/>
    <tableColumn id="683" xr3:uid="{B994D2F8-84FB-4FE9-8C97-642B4648260B}" name="Column683"/>
    <tableColumn id="684" xr3:uid="{B6FB1FB3-7E1A-4C1B-A2A0-213CD88CA002}" name="Column684"/>
    <tableColumn id="685" xr3:uid="{89D1B918-981E-440C-B2DD-05708A7CC729}" name="Column685"/>
    <tableColumn id="686" xr3:uid="{B7A90842-5D29-43E4-B8C4-F765812BA35B}" name="Column686"/>
    <tableColumn id="687" xr3:uid="{2835D904-244A-4B20-9AC9-10DB56B367DB}" name="Column687"/>
    <tableColumn id="688" xr3:uid="{CFC95D41-7983-41E3-90DF-0A4033E8D720}" name="Column688"/>
    <tableColumn id="689" xr3:uid="{AC78A015-BE86-4363-83CE-8A01B939E912}" name="Column689"/>
    <tableColumn id="690" xr3:uid="{F25A522C-F0F3-4522-8665-03172F331F7B}" name="Column690"/>
    <tableColumn id="691" xr3:uid="{993A816F-74B4-4C24-94D6-1587E47AB17D}" name="Column691"/>
    <tableColumn id="692" xr3:uid="{ABDC40D4-328E-4E59-9B68-FE8FC36E17A2}" name="Column692"/>
    <tableColumn id="693" xr3:uid="{7A629A8B-E074-4803-9EAD-622E5F990A64}" name="Column693"/>
    <tableColumn id="694" xr3:uid="{989B4D52-D064-49FA-BBFB-29D9FC5D9764}" name="Column694"/>
    <tableColumn id="695" xr3:uid="{AFF7E2BD-4435-49CB-89CF-DBB11B8C51B0}" name="Column695"/>
    <tableColumn id="696" xr3:uid="{F61EC9FC-352A-42D3-BA87-3FA303E66919}" name="Column696"/>
    <tableColumn id="697" xr3:uid="{6739FA93-6D42-4809-9D75-2F3F5A2E99A3}" name="Column697"/>
    <tableColumn id="698" xr3:uid="{410BBE46-DF9F-418C-9108-A07CF2FD4080}" name="Column698"/>
    <tableColumn id="699" xr3:uid="{B9095677-3932-45E7-8494-6E1770F829A6}" name="Column699"/>
    <tableColumn id="700" xr3:uid="{7AEA8F3A-5E45-473D-B00D-E72BAE8B768E}" name="Column700"/>
    <tableColumn id="701" xr3:uid="{E0787C2B-4B8F-4A79-BE78-0D8DE7E029A9}" name="Column701"/>
    <tableColumn id="702" xr3:uid="{B7FE2B20-233A-4BB8-BBF7-B07B5EA8F2A0}" name="Column702"/>
    <tableColumn id="703" xr3:uid="{384E4D02-CF7F-43E0-A51A-0D7FE2345FE3}" name="Column703"/>
    <tableColumn id="704" xr3:uid="{C4D8EC7F-5D0C-4EDA-9152-9BA307DAC2EE}" name="Column704"/>
    <tableColumn id="705" xr3:uid="{6E07C023-8027-49A0-BF53-74D2448E3AFA}" name="Column705"/>
    <tableColumn id="706" xr3:uid="{FAF4A074-8B17-4F26-9F6F-CA465CD8754E}" name="Column706"/>
    <tableColumn id="707" xr3:uid="{5485B0DA-B3ED-4162-B0D4-2498638D5E64}" name="Column707"/>
    <tableColumn id="708" xr3:uid="{E596DD82-B226-4D95-8D97-DA6653134045}" name="Column708"/>
    <tableColumn id="709" xr3:uid="{2DBB14D4-AACB-4823-8FA8-E99DD4D970F1}" name="Column709"/>
    <tableColumn id="710" xr3:uid="{7F6AA5CD-86D9-4357-A090-B9DEB23BF1D5}" name="Column710"/>
    <tableColumn id="711" xr3:uid="{7E487B96-3364-4CDE-9018-A53D24586B3B}" name="Column711"/>
    <tableColumn id="712" xr3:uid="{B70B358F-AA01-4F65-AA2F-81DC92767BFD}" name="Column712"/>
    <tableColumn id="713" xr3:uid="{AB1FC207-63AD-416D-8792-64689A55861C}" name="Column713"/>
    <tableColumn id="714" xr3:uid="{E7D3F0EC-05B2-4886-94FF-D0DB587E2C4E}" name="Column714"/>
    <tableColumn id="715" xr3:uid="{8FECE595-B557-4F0A-B957-D382021DBC64}" name="Column715"/>
    <tableColumn id="716" xr3:uid="{3C06D11B-3C9F-4878-8F89-6E9FFD8BFA59}" name="Column716"/>
    <tableColumn id="717" xr3:uid="{C673F47D-1395-4C98-AF79-779D6D20C1A4}" name="Column717"/>
    <tableColumn id="718" xr3:uid="{D256387A-B6A3-404F-B919-A50EEA76BC87}" name="Column718"/>
    <tableColumn id="719" xr3:uid="{53D1AF96-33F5-4008-8A50-4DA26F51EEE6}" name="Column719"/>
    <tableColumn id="720" xr3:uid="{E073CCED-11C0-47ED-9880-C8B0EF5BE988}" name="Column720"/>
    <tableColumn id="721" xr3:uid="{37D7FA7F-4C23-4B64-8750-79BDCEFBCE77}" name="Column721"/>
    <tableColumn id="722" xr3:uid="{7B714795-E984-4A18-8E31-E3B42D3947CA}" name="Column722"/>
    <tableColumn id="723" xr3:uid="{C17D9819-2840-47A5-8A58-B01589BADA12}" name="Column723"/>
    <tableColumn id="724" xr3:uid="{AA555E73-B6B0-4C87-9E40-8347B5FA4449}" name="Column724"/>
    <tableColumn id="725" xr3:uid="{F00BD077-C8B4-4725-8BC8-3ACA49E06463}" name="Column725"/>
    <tableColumn id="726" xr3:uid="{CC1DF307-CA22-40DA-AF25-9A14DD3FA2F4}" name="Column726"/>
    <tableColumn id="727" xr3:uid="{640AD765-A03D-4994-8734-B0D68F5BBB25}" name="Column727"/>
    <tableColumn id="728" xr3:uid="{9D6B80CA-6F7E-40DC-920B-9E7A58FB6551}" name="Column728"/>
    <tableColumn id="729" xr3:uid="{F7752050-7F46-4291-80DA-05F46E2C7433}" name="Column729"/>
    <tableColumn id="730" xr3:uid="{CEB4B5A8-A4E1-4CEC-AFC0-14727DF940EF}" name="Column730"/>
    <tableColumn id="731" xr3:uid="{45FB66B1-57A6-4780-90F6-DAED5620ABD2}" name="Column731"/>
    <tableColumn id="732" xr3:uid="{37C1C111-F662-4E44-AFF9-297CD1F9BF81}" name="Column732"/>
    <tableColumn id="733" xr3:uid="{173D8E01-DDC7-4CE0-ABBB-8E569A1D6BD3}" name="Column733"/>
    <tableColumn id="734" xr3:uid="{5F5E9085-3CB5-48F0-A825-0EB5EDBC7307}" name="Column734"/>
    <tableColumn id="735" xr3:uid="{AA495E14-8AAD-4B23-8BE3-188C4B7A24AA}" name="Column735"/>
    <tableColumn id="736" xr3:uid="{F1113BB8-6E8E-4D43-9F87-3C38EC9B1FEC}" name="Column736"/>
    <tableColumn id="737" xr3:uid="{CA865E16-5D03-4314-8FD7-F45B95C45517}" name="Column737"/>
    <tableColumn id="738" xr3:uid="{BF36E388-EB7A-4E23-9F55-D9AC6C36E424}" name="Column738"/>
    <tableColumn id="739" xr3:uid="{2D1B140C-8978-41DA-960A-98F5C6047F0C}" name="Column739"/>
    <tableColumn id="740" xr3:uid="{55717BBE-90E4-4989-8082-8CA2C402C8AB}" name="Column740"/>
    <tableColumn id="741" xr3:uid="{6AE41739-7DAB-4C7F-B02F-C2B14A22709B}" name="Column741"/>
    <tableColumn id="742" xr3:uid="{5C4F0860-461C-4B29-834C-5AFC10A10A14}" name="Column742"/>
    <tableColumn id="743" xr3:uid="{15B71C3B-0263-4B2C-A25A-2A5CA2015EDD}" name="Column743"/>
    <tableColumn id="744" xr3:uid="{2610933B-0785-4859-B8CF-F0612EF4F829}" name="Column744"/>
    <tableColumn id="745" xr3:uid="{D8FA453C-D21C-4A97-862C-1E30B780A680}" name="Column745"/>
    <tableColumn id="746" xr3:uid="{105F0AD5-57C8-4A97-A0A1-7AD57E28852B}" name="Column746"/>
    <tableColumn id="747" xr3:uid="{CD68250D-D307-41FD-87D1-A6DEA8DB4987}" name="Column747"/>
    <tableColumn id="748" xr3:uid="{5AB1912F-114C-4D03-A9FC-B39D15129F93}" name="Column748"/>
    <tableColumn id="749" xr3:uid="{B27252BB-4572-4141-84CE-107D00DA1148}" name="Column749"/>
    <tableColumn id="750" xr3:uid="{7FBE8236-1639-4FFF-8857-B4C6388F8B62}" name="Column750"/>
    <tableColumn id="751" xr3:uid="{93283664-8D20-4B5F-B626-77A4928A33B0}" name="Column751"/>
    <tableColumn id="752" xr3:uid="{973367E8-0FCF-493F-93C6-9662B532BF2A}" name="Column752"/>
    <tableColumn id="753" xr3:uid="{1A28A2C4-1D64-4B53-86FE-9A5400AC1D3D}" name="Column753"/>
    <tableColumn id="754" xr3:uid="{A5D00EF2-D7EE-493C-B5BB-66D22C05012C}" name="Column754"/>
    <tableColumn id="755" xr3:uid="{D07EE8D0-E88B-4B42-99CB-64F8B20CC62E}" name="Column755"/>
    <tableColumn id="756" xr3:uid="{4C900EA4-7F8A-42C9-8A9D-DE457F085913}" name="Column756"/>
    <tableColumn id="757" xr3:uid="{6FE043CC-0067-4B88-9044-696DC50C85C8}" name="Column757"/>
    <tableColumn id="758" xr3:uid="{9473BDE2-DE22-4C0B-A932-A0C95DBD1C6B}" name="Column758"/>
    <tableColumn id="759" xr3:uid="{6043217F-84A7-438D-8B89-8FD9684A38CD}" name="Column759"/>
    <tableColumn id="760" xr3:uid="{2785F05A-1B99-4E56-9BE5-1331BD10F55A}" name="Column760"/>
    <tableColumn id="761" xr3:uid="{34AB1146-3004-4C7C-9FD7-8476DB04FE3D}" name="Column761"/>
    <tableColumn id="762" xr3:uid="{2369F2B8-EEC2-4830-9D05-1A80BFA87DAE}" name="Column762"/>
    <tableColumn id="763" xr3:uid="{D3D27992-B9DF-46C6-AF03-6473E9E56849}" name="Column763"/>
    <tableColumn id="764" xr3:uid="{F44C4C0E-817B-4792-9E37-73CDFDA848BC}" name="Column764"/>
    <tableColumn id="765" xr3:uid="{80ACD0C7-C167-4F29-A2B1-7C1C29335C86}" name="Column765"/>
    <tableColumn id="766" xr3:uid="{3ECAB6E6-FEEE-48FD-A087-07BA3DF62B20}" name="Column766"/>
    <tableColumn id="767" xr3:uid="{B7C50CFF-234E-4954-BC34-CA2F5BF68334}" name="Column767"/>
    <tableColumn id="768" xr3:uid="{E34326CB-DDEB-437D-9280-536F9728F344}" name="Column768"/>
    <tableColumn id="769" xr3:uid="{C1AC8C2F-335D-4435-B2AD-87EDDF68066D}" name="Column769"/>
    <tableColumn id="770" xr3:uid="{C00D4EC0-7926-4ECC-AC65-7675CBC88ED7}" name="Column770"/>
    <tableColumn id="771" xr3:uid="{3072D72F-D25F-4557-A8FC-25F86E56E088}" name="Column771"/>
    <tableColumn id="772" xr3:uid="{F8079872-DA2A-4992-B86C-03F8411EB4A9}" name="Column772"/>
    <tableColumn id="773" xr3:uid="{A62D1FB3-09BD-46F1-B384-9ABA809E63AE}" name="Column773"/>
    <tableColumn id="774" xr3:uid="{E06445FA-40D7-4AFC-A47A-4E4D163CBC7D}" name="Column774"/>
    <tableColumn id="775" xr3:uid="{57AAFFA0-27E5-43CE-9D79-D5F271191F58}" name="Column775"/>
    <tableColumn id="776" xr3:uid="{1CA1C32F-FF5B-4586-8BCB-57CC2AA23A54}" name="Column776"/>
    <tableColumn id="777" xr3:uid="{2B80D36C-C4B7-4757-A36C-521B1E5D78AA}" name="Column777"/>
    <tableColumn id="778" xr3:uid="{31296C06-EC20-48E5-A32B-F112B8B22215}" name="Column778"/>
    <tableColumn id="779" xr3:uid="{E4B58D3F-A42D-47C0-BE0C-8B260B6D552C}" name="Column779"/>
    <tableColumn id="780" xr3:uid="{8B2C9885-FFC0-4653-83A1-A77B201CA0B7}" name="Column780"/>
    <tableColumn id="781" xr3:uid="{0F82A4F7-D2CF-47AF-B1DF-BD60751CB29A}" name="Column781"/>
    <tableColumn id="782" xr3:uid="{A58C8176-5017-46DF-BCC7-4B3D77613CFF}" name="Column782"/>
    <tableColumn id="783" xr3:uid="{31F815F0-0EF4-4285-8C0E-6AC86CE020C7}" name="Column783"/>
    <tableColumn id="784" xr3:uid="{C7938CB1-56F1-4808-A2FC-2DE9B2434E0C}" name="Column784"/>
    <tableColumn id="785" xr3:uid="{E1BF9FCA-4BC6-4BD3-A088-F693B5E77B5B}" name="Column785"/>
    <tableColumn id="786" xr3:uid="{0332DAC1-6856-4651-A500-11A73C7E0C50}" name="Column786"/>
    <tableColumn id="787" xr3:uid="{6936AC74-BEEC-4CF0-9F6D-878A848C0541}" name="Column787"/>
    <tableColumn id="788" xr3:uid="{7036B387-A2EF-49EF-A98B-849B20637F64}" name="Column788"/>
    <tableColumn id="789" xr3:uid="{9BBB8B8A-3B01-4F38-927F-73CD796C3DEF}" name="Column789"/>
    <tableColumn id="790" xr3:uid="{1EFF71D1-B849-44FD-9937-F8CAD2BDA0EA}" name="Column790"/>
    <tableColumn id="791" xr3:uid="{22A7DCCF-46DE-4787-9950-AEABBA6D64AD}" name="Column791"/>
    <tableColumn id="792" xr3:uid="{84B6941D-1F94-4099-982A-0CFE269653E2}" name="Column792"/>
    <tableColumn id="793" xr3:uid="{8CFAEDED-13A4-400F-B590-4816B112F40B}" name="Column793"/>
    <tableColumn id="794" xr3:uid="{779F6F52-B8BD-4AA4-8DFB-5046AD661B3E}" name="Column794"/>
    <tableColumn id="795" xr3:uid="{96664D9F-1D3E-4E41-BD5D-71BC066AF99F}" name="Column795"/>
    <tableColumn id="796" xr3:uid="{45AEEE18-FC63-465C-AEAE-BDA371BD86E8}" name="Column796"/>
    <tableColumn id="797" xr3:uid="{6A935876-257C-4373-A182-C578561C05AD}" name="Column797"/>
    <tableColumn id="798" xr3:uid="{ED4D8F02-45E1-49FB-AD38-AB2DA5FA45AC}" name="Column798"/>
    <tableColumn id="799" xr3:uid="{1F3B2A0E-8C68-4D8F-82B6-398C6331A2C3}" name="Column799"/>
    <tableColumn id="800" xr3:uid="{A91BE32C-C08F-4D23-B845-21E79405E988}" name="Column800"/>
    <tableColumn id="801" xr3:uid="{32EE44DC-6F05-4907-B88C-B9B09087C057}" name="Column801"/>
    <tableColumn id="802" xr3:uid="{B3AB2B81-897B-4848-BE52-25444A016D39}" name="Column802"/>
    <tableColumn id="803" xr3:uid="{63D0196D-1E30-4565-8A7D-32C155E47BC9}" name="Column803"/>
    <tableColumn id="804" xr3:uid="{25AFD009-578F-4540-989F-990D69549016}" name="Column804"/>
    <tableColumn id="805" xr3:uid="{7238A446-CD76-468E-975F-84DB7355FA53}" name="Column805"/>
    <tableColumn id="806" xr3:uid="{3628793F-5E84-466B-9B56-DB78BB2312BF}" name="Column806"/>
    <tableColumn id="807" xr3:uid="{D08F2F65-86E1-4D70-8CCE-8FD882E537D6}" name="Column807"/>
    <tableColumn id="808" xr3:uid="{6D6AF179-DA47-4802-BEC9-4A38233959FF}" name="Column808"/>
    <tableColumn id="809" xr3:uid="{44574551-78BD-4A3F-84D0-2E0A77FB2EEF}" name="Column809"/>
    <tableColumn id="810" xr3:uid="{7DB2412C-C541-4176-A7B5-1A4706768103}" name="Column810"/>
    <tableColumn id="811" xr3:uid="{C3584F91-7AB4-42B3-BA18-F4A5CACFB4CE}" name="Column811"/>
    <tableColumn id="812" xr3:uid="{910CA644-C9BC-4EA5-AA52-8DA5FAD979B7}" name="Column812"/>
    <tableColumn id="813" xr3:uid="{2FA3DCFE-090B-4ACE-8E91-39F941AAF597}" name="Column813"/>
    <tableColumn id="814" xr3:uid="{F787FFE0-59B4-4F0D-8783-47FACC87CC78}" name="Column814"/>
    <tableColumn id="815" xr3:uid="{2FB99CDD-1A1D-4F90-A383-3483217F70DB}" name="Column815"/>
    <tableColumn id="816" xr3:uid="{D5C60B33-76BE-4403-AA50-E3A0DB8401A8}" name="Column816"/>
    <tableColumn id="817" xr3:uid="{CAAB7463-A307-462C-95F4-C00A8A9256F3}" name="Column817"/>
    <tableColumn id="818" xr3:uid="{F3B27400-1BC0-433A-BB22-19E8796F0C0F}" name="Column818"/>
    <tableColumn id="819" xr3:uid="{45AB6225-A156-4C33-B867-2E47639F8F62}" name="Column819"/>
    <tableColumn id="820" xr3:uid="{2605A49E-3DBB-44E3-8673-37AF94D1C193}" name="Column820"/>
    <tableColumn id="821" xr3:uid="{9CC6ADFD-8155-478B-92E5-7D5B7E13CB08}" name="Column821"/>
    <tableColumn id="822" xr3:uid="{0EBF5E03-8953-4A57-A7CE-5E9CA0F3E7F3}" name="Column822"/>
    <tableColumn id="823" xr3:uid="{9ADB5028-FFDB-469C-BBAD-B82C9AA4FB7F}" name="Column823"/>
    <tableColumn id="824" xr3:uid="{67B925C6-BE45-4922-8012-3EAB2ACF09A0}" name="Column824"/>
    <tableColumn id="825" xr3:uid="{08191D05-6CF8-44DB-A62F-E7D719F7FCC6}" name="Column825"/>
    <tableColumn id="826" xr3:uid="{F986FB0D-0142-435B-9D11-4043CF9AC57D}" name="Column826"/>
    <tableColumn id="827" xr3:uid="{CED058F7-7AD6-40E7-A939-33FA60A52D89}" name="Column827"/>
    <tableColumn id="828" xr3:uid="{0B2B7E6F-5042-439B-B35C-BB03B3A3D474}" name="Column828"/>
    <tableColumn id="829" xr3:uid="{FD8A79DA-266B-4B25-B3B9-17CE1D35F091}" name="Column829"/>
    <tableColumn id="830" xr3:uid="{CC6690BA-9980-47FE-B4DC-A2AAB7160C6E}" name="Column830"/>
    <tableColumn id="831" xr3:uid="{E4011963-3E72-434B-91D4-9EFF053E213D}" name="Column831"/>
    <tableColumn id="832" xr3:uid="{7C9D8E05-3CC9-4FCF-A470-2436F06ADF6D}" name="Column832"/>
    <tableColumn id="833" xr3:uid="{56A72D0A-A705-4747-88F3-DA572F37DED7}" name="Column833"/>
    <tableColumn id="834" xr3:uid="{F904BE7E-C05F-42FA-A44C-5EDC567D59C5}" name="Column834"/>
    <tableColumn id="835" xr3:uid="{07C06E31-0658-4A06-A251-F57DC79474B6}" name="Column835"/>
    <tableColumn id="836" xr3:uid="{5BB03F83-D22D-481A-8034-14964566B174}" name="Column836"/>
    <tableColumn id="837" xr3:uid="{0EE2E960-C99A-41E3-ABA2-2349DFA567CC}" name="Column837"/>
    <tableColumn id="838" xr3:uid="{FA7D4A2B-5867-4A0B-B611-FD799E7DF6E3}" name="Column838"/>
    <tableColumn id="839" xr3:uid="{AB047F28-C874-4452-8AA7-A760E5731382}" name="Column839"/>
    <tableColumn id="840" xr3:uid="{DA781773-8337-40CB-8DCA-AB01F660F9B2}" name="Column840"/>
    <tableColumn id="841" xr3:uid="{1EE92B6C-D912-46F0-B90D-D07161743CB8}" name="Column841"/>
    <tableColumn id="842" xr3:uid="{DECE5042-88F6-4378-97F8-CB476EF79DBC}" name="Column842"/>
    <tableColumn id="843" xr3:uid="{C32F7AE3-85BD-4381-A862-AA97179BA1FF}" name="Column843"/>
    <tableColumn id="844" xr3:uid="{47DD3F1D-2E3A-4808-AB11-DB5598984E09}" name="Column844"/>
    <tableColumn id="845" xr3:uid="{3E4FD4D5-37E3-482F-8C26-505C8B51F04F}" name="Column845"/>
    <tableColumn id="846" xr3:uid="{C34584B1-54AA-460B-BFED-CCA9F4916B96}" name="Column846"/>
    <tableColumn id="847" xr3:uid="{EF6BDB61-B981-4730-9EB5-C3EDB633B3DD}" name="Column847"/>
    <tableColumn id="848" xr3:uid="{FD52B7AB-592A-40BF-9FE2-9B33C846EE7D}" name="Column848"/>
    <tableColumn id="849" xr3:uid="{202472C1-2DB4-4884-995A-9BCA851816F6}" name="Column849"/>
    <tableColumn id="850" xr3:uid="{78FD2B04-0365-4266-AF1D-42300555E598}" name="Column850"/>
    <tableColumn id="851" xr3:uid="{143F73D9-4CE0-4F26-9821-25C8E9D0F7F6}" name="Column851"/>
    <tableColumn id="852" xr3:uid="{7BC1E892-4502-4156-95A1-94CF9E60C0E7}" name="Column852"/>
    <tableColumn id="853" xr3:uid="{54B47C45-8F48-4097-8812-A34F071A466C}" name="Column853"/>
    <tableColumn id="854" xr3:uid="{49B8E4F7-2700-4EE1-A2DB-025C18EF7AF2}" name="Column854"/>
    <tableColumn id="855" xr3:uid="{D7B84601-754E-4AA8-B8B2-306CAFA119EF}" name="Column855"/>
    <tableColumn id="856" xr3:uid="{5A9005EB-CA01-4384-AB00-C1AB42B0CD2E}" name="Column856"/>
    <tableColumn id="857" xr3:uid="{A2C3DEC4-7F7F-4E39-A037-58FDCDE5F750}" name="Column857"/>
    <tableColumn id="858" xr3:uid="{5E07FCEE-BF8F-427A-B527-B09691FD0CA5}" name="Column858"/>
    <tableColumn id="859" xr3:uid="{9BE538EB-2C6E-4010-B53B-132C714388A1}" name="Column859"/>
    <tableColumn id="860" xr3:uid="{45225E99-989A-4435-AF06-B89CCD69ECDF}" name="Column860"/>
    <tableColumn id="861" xr3:uid="{31ED6CDE-DD84-4700-99CE-C142269FCBC2}" name="Column861"/>
    <tableColumn id="862" xr3:uid="{1DDBD538-C308-48A0-9675-F8147D568C3A}" name="Column862"/>
    <tableColumn id="863" xr3:uid="{B608B83E-9271-4595-8D57-167482757284}" name="Column863"/>
    <tableColumn id="864" xr3:uid="{4E663EB7-717D-4899-8F10-453314EB7E7C}" name="Column864"/>
    <tableColumn id="865" xr3:uid="{4F836A5B-A1ED-4F5F-8D38-8496A44962EF}" name="Column865"/>
    <tableColumn id="866" xr3:uid="{8BC0FC61-8ABC-4E3F-955A-826C1BB45692}" name="Column866"/>
    <tableColumn id="867" xr3:uid="{4983780C-FEDD-4C3C-89E3-0636DAAFDDD0}" name="Column867"/>
    <tableColumn id="868" xr3:uid="{C8B16BD3-AB94-4853-AA66-A57B582964BE}" name="Column868"/>
    <tableColumn id="869" xr3:uid="{F56E186E-4A1C-45C1-BCB4-620C99725F96}" name="Column869"/>
    <tableColumn id="870" xr3:uid="{1C53FF99-C66B-4FDB-9459-8A2E238085F7}" name="Column870"/>
    <tableColumn id="871" xr3:uid="{B28279DF-63DC-4350-AA16-0BB808F037C4}" name="Column871"/>
    <tableColumn id="872" xr3:uid="{1188975A-D110-45D5-8D23-EA6756BF2097}" name="Column872"/>
    <tableColumn id="873" xr3:uid="{C28810C9-E34F-4BDF-8852-E82F323248A2}" name="Column873"/>
    <tableColumn id="874" xr3:uid="{EA9DF20E-FED0-4955-8887-D289097B8D4D}" name="Column874"/>
    <tableColumn id="875" xr3:uid="{7E93A1CD-22B8-4124-8A90-DDEDFF315271}" name="Column875"/>
    <tableColumn id="876" xr3:uid="{8E6C73AD-734E-49C2-857D-D837E59B335D}" name="Column876"/>
    <tableColumn id="877" xr3:uid="{BBEC8AFF-26FF-477B-994B-220DDAAFA2C9}" name="Column877"/>
    <tableColumn id="878" xr3:uid="{24160B5E-B573-4F54-BCAB-52398DCEE991}" name="Column878"/>
    <tableColumn id="879" xr3:uid="{6061B005-5415-45F3-A799-9094EA818231}" name="Column879"/>
    <tableColumn id="880" xr3:uid="{CDDEB5C0-BFBA-417D-BB5D-F72033974E3B}" name="Column880"/>
    <tableColumn id="881" xr3:uid="{96525D3F-3E19-4E0B-9B4A-615A9D791A35}" name="Column881"/>
    <tableColumn id="882" xr3:uid="{95CB7612-0B7A-427A-8F31-6B5922598E1A}" name="Column882"/>
    <tableColumn id="883" xr3:uid="{5C9BE705-D673-433C-B6D8-FCEA1A338172}" name="Column883"/>
    <tableColumn id="884" xr3:uid="{BE1E732C-9EC7-438E-A3B9-593F5467E496}" name="Column884"/>
    <tableColumn id="885" xr3:uid="{28291250-A962-4B8D-9509-63EF89720A4D}" name="Column885"/>
    <tableColumn id="886" xr3:uid="{F767785C-C4E9-431B-9C49-A146F3F93E57}" name="Column886"/>
    <tableColumn id="887" xr3:uid="{23190E23-7AD6-44E9-9248-9ED7B2CDF48E}" name="Column887"/>
    <tableColumn id="888" xr3:uid="{B8EBD8C8-A00C-4569-BA0C-6D9E2F5E82DA}" name="Column888"/>
    <tableColumn id="889" xr3:uid="{CCF30D5E-88CD-4899-81EA-6A2513E22FB0}" name="Column889"/>
    <tableColumn id="890" xr3:uid="{520B6A58-1521-43C1-85A8-DFFE3E0F796B}" name="Column890"/>
    <tableColumn id="891" xr3:uid="{81FA2F63-F82F-4700-AFF6-D5D7224744DE}" name="Column891"/>
    <tableColumn id="892" xr3:uid="{242384E6-C45E-4151-83E5-D1CD61DFAD06}" name="Column892"/>
    <tableColumn id="893" xr3:uid="{E7C67A56-0C4E-4FF8-93AF-902DDB52FF0B}" name="Column893"/>
    <tableColumn id="894" xr3:uid="{012E42AD-8198-49DB-A271-E17F63B4428C}" name="Column894"/>
    <tableColumn id="895" xr3:uid="{105604BC-D24D-4DAA-B4F0-25BF61CB0979}" name="Column895"/>
    <tableColumn id="896" xr3:uid="{CB71A5BC-8952-4152-AC53-FA428D5AD3C1}" name="Column896"/>
    <tableColumn id="897" xr3:uid="{A92905C5-3EEB-44D1-96F6-06B190AB789F}" name="Column897"/>
    <tableColumn id="898" xr3:uid="{70C3FFC0-84D4-4E0F-9B01-286135AB5E94}" name="Column898"/>
    <tableColumn id="899" xr3:uid="{BB8E46B9-E4CE-4B5F-9AA4-94409885AE09}" name="Column899"/>
    <tableColumn id="900" xr3:uid="{5904B82D-7C6D-41AF-901B-C3127A6A076D}" name="Column900"/>
    <tableColumn id="901" xr3:uid="{8D462446-714F-4EAF-8310-F81CDA14A610}" name="Column901"/>
    <tableColumn id="902" xr3:uid="{11D59E81-CD84-4A2B-9AC9-055D02069A86}" name="Column902"/>
    <tableColumn id="903" xr3:uid="{B0AE1E4F-05FE-49ED-91F7-44414F8A35EF}" name="Column903"/>
    <tableColumn id="904" xr3:uid="{6B5F41F5-2982-4D99-BD1D-8EB87762BA85}" name="Column904"/>
    <tableColumn id="905" xr3:uid="{2310A959-42A7-499A-A0F8-B4798D382C00}" name="Column905"/>
    <tableColumn id="906" xr3:uid="{78A0F926-5FDA-43BE-994A-071A3F901C01}" name="Column906"/>
    <tableColumn id="907" xr3:uid="{27EF1C24-47DC-4175-A978-68A4798366F8}" name="Column907"/>
    <tableColumn id="908" xr3:uid="{B51A0365-56EA-4E9E-9A50-492467D59750}" name="Column908"/>
    <tableColumn id="909" xr3:uid="{F232C834-15D2-4E7E-B50C-D6DA6F83F377}" name="Column909"/>
    <tableColumn id="910" xr3:uid="{C1C18EF7-662F-48EC-A38E-5E3D83CD68F0}" name="Column910"/>
    <tableColumn id="911" xr3:uid="{70588DB7-3156-4C9A-B1FA-70F27D79AE99}" name="Column911"/>
    <tableColumn id="912" xr3:uid="{94B892AF-3827-4A8D-BE91-B3EF52CAB7B2}" name="Column912"/>
    <tableColumn id="913" xr3:uid="{394B53FA-76CC-4604-BAF0-924EE36A2A78}" name="Column913"/>
    <tableColumn id="914" xr3:uid="{4E9C7EA6-AA67-41D3-9754-273F8AD69CEA}" name="Column914"/>
    <tableColumn id="915" xr3:uid="{E16071BD-19FC-4E5E-AF07-56F0D3CFFCAB}" name="Column915"/>
    <tableColumn id="916" xr3:uid="{34D69DAF-0A90-4613-9CFD-51418AB1B94F}" name="Column916"/>
    <tableColumn id="917" xr3:uid="{64A5BE78-9DFD-4387-8834-BEC1691C44C9}" name="Column917"/>
    <tableColumn id="918" xr3:uid="{9F0A53AC-BABB-48B1-98A4-C0640D9286C2}" name="Column918"/>
    <tableColumn id="919" xr3:uid="{0C2E363A-58BE-4F9D-B030-3B688355EBFC}" name="Column919"/>
    <tableColumn id="920" xr3:uid="{F396750D-9546-4EA5-A97D-7FFDECC7D65E}" name="Column920"/>
    <tableColumn id="921" xr3:uid="{76D9DED4-7DE6-4B7C-B9CC-D5542ADB08E8}" name="Column921"/>
    <tableColumn id="922" xr3:uid="{C26EB96C-B760-4E05-8179-82FF4B3622FF}" name="Column922"/>
    <tableColumn id="923" xr3:uid="{16B10FEB-077B-45E3-937C-77ECA5798843}" name="Column923"/>
    <tableColumn id="924" xr3:uid="{DA9AAE64-2577-452B-B474-9F7BF039155D}" name="Column924"/>
    <tableColumn id="925" xr3:uid="{6A8B2F26-F8AB-45DF-AB06-9E00E5AB22BC}" name="Column925"/>
    <tableColumn id="926" xr3:uid="{4457B87C-27CB-40CA-9D85-46A1DF0A2C50}" name="Column926"/>
    <tableColumn id="927" xr3:uid="{DFA95735-8A78-4478-BA5F-A901A977973A}" name="Column927"/>
    <tableColumn id="928" xr3:uid="{2BCA69E5-9A9C-4A8C-AFD3-F6EC751E1DFB}" name="Column928"/>
    <tableColumn id="929" xr3:uid="{B844007E-9E5F-419F-B685-501B162B2D76}" name="Column929"/>
    <tableColumn id="930" xr3:uid="{D022F8D1-944F-4936-BC80-975731A31BF1}" name="Column930"/>
    <tableColumn id="931" xr3:uid="{4EB4F99B-F875-4EA4-8037-F63DBD07F695}" name="Column931"/>
    <tableColumn id="932" xr3:uid="{D1D140B1-46CB-44CC-8FDA-888E0F835A0A}" name="Column932"/>
    <tableColumn id="933" xr3:uid="{0CB8428E-1406-41FE-A5C3-D07B8F01B73D}" name="Column933"/>
    <tableColumn id="934" xr3:uid="{6199A353-CE44-4F03-9391-BE00FEDD1C9A}" name="Column934"/>
    <tableColumn id="935" xr3:uid="{D9B7A370-C7AE-4F96-B3F5-92544891185E}" name="Column935"/>
    <tableColumn id="936" xr3:uid="{6D7D76E3-F0B6-4CF6-8804-5E1DD08CBFC1}" name="Column936"/>
    <tableColumn id="937" xr3:uid="{8ACAFCCA-CCC4-486C-8AC4-AD4876CB9AE0}" name="Column937"/>
    <tableColumn id="938" xr3:uid="{7A69ECF2-9CDF-42A3-8DA7-9A8DCA8121FB}" name="Column938"/>
    <tableColumn id="939" xr3:uid="{3F8F9179-FCBF-4CDC-BA2E-6268E7A378D1}" name="Column939"/>
    <tableColumn id="940" xr3:uid="{FC76A81B-B9AC-4FCB-8EF0-A3EB77226181}" name="Column940"/>
    <tableColumn id="941" xr3:uid="{95572F0D-BA6C-4E46-AE5A-A21CF3EFA7D5}" name="Column941"/>
    <tableColumn id="942" xr3:uid="{E10F3B80-6FBC-4576-BC36-1E4F1B02248F}" name="Column942"/>
    <tableColumn id="943" xr3:uid="{B55F75C4-9F14-4DC2-AC6A-368D25345192}" name="Column943"/>
    <tableColumn id="944" xr3:uid="{807B957E-C439-46BE-AF56-D4B5013C9937}" name="Column944"/>
    <tableColumn id="945" xr3:uid="{C7B5C39C-76BD-4DD6-B4C1-895704E1D921}" name="Column945"/>
    <tableColumn id="946" xr3:uid="{E6C3D26B-0F78-443C-9292-C48F5E0F5472}" name="Column946"/>
    <tableColumn id="947" xr3:uid="{FF6928AA-6CC2-4B49-84AA-7F5703BFA500}" name="Column947"/>
    <tableColumn id="948" xr3:uid="{1DE37AFB-5241-48C1-886E-4A352617A52C}" name="Column948"/>
    <tableColumn id="949" xr3:uid="{0764BDE9-A17F-41BF-A9D1-75946BC10D3F}" name="Column949"/>
    <tableColumn id="950" xr3:uid="{19866A23-02E1-4171-BB68-C994BDD753FD}" name="Column950"/>
    <tableColumn id="951" xr3:uid="{9BF8BDE1-1D60-43A5-9CEA-156395C2D11B}" name="Column951"/>
    <tableColumn id="952" xr3:uid="{57779455-D875-486F-BBC6-037C83CD264A}" name="Column952"/>
    <tableColumn id="953" xr3:uid="{E4B0C90E-4DA9-40DB-93D6-AEB891F0C2EC}" name="Column953"/>
    <tableColumn id="954" xr3:uid="{7ADDAD2C-D6CC-4F20-8864-D3A4290659A2}" name="Column954"/>
    <tableColumn id="955" xr3:uid="{E351F355-1645-4E38-B3B4-849A0C4347D3}" name="Column955"/>
    <tableColumn id="956" xr3:uid="{7EF188A1-7961-4FB7-A791-1408170544B0}" name="Column956"/>
    <tableColumn id="957" xr3:uid="{A08D1E7A-2BD9-4F7B-BD56-D6FEDEBE8092}" name="Column957"/>
    <tableColumn id="958" xr3:uid="{44512F15-D834-46CA-9183-875FF0390BCF}" name="Column958"/>
    <tableColumn id="959" xr3:uid="{0C75F682-AF31-4C65-81C6-8D8F33B508D5}" name="Column959"/>
    <tableColumn id="960" xr3:uid="{DC24BB4E-BAC1-48F7-BD07-FD25D63704E3}" name="Column960"/>
    <tableColumn id="961" xr3:uid="{6257337B-4585-4104-8BF4-034D995A4AF7}" name="Column961"/>
    <tableColumn id="962" xr3:uid="{A42B76CB-4706-4C59-82BA-CAEE7AA9809E}" name="Column962"/>
    <tableColumn id="963" xr3:uid="{E8180146-E827-4A90-BE03-79E856C8AE0C}" name="Column963"/>
    <tableColumn id="964" xr3:uid="{DCD544C8-B39E-4271-BA11-CE15596D44AC}" name="Column964"/>
    <tableColumn id="965" xr3:uid="{7212F026-C319-4E9E-9829-BE54806605B7}" name="Column965"/>
    <tableColumn id="966" xr3:uid="{1FC2F97C-59A8-4445-8273-3546C367D170}" name="Column966"/>
    <tableColumn id="967" xr3:uid="{4C00C7AD-30F4-483E-A793-2A194C436CAC}" name="Column967"/>
    <tableColumn id="968" xr3:uid="{A932A7E3-E931-4847-B21B-D53A699E8069}" name="Column968"/>
    <tableColumn id="969" xr3:uid="{77C57C0C-3BAF-4AEB-B534-6E8F4A4B6EE3}" name="Column969"/>
    <tableColumn id="970" xr3:uid="{2A9AB61F-C009-423E-A5CF-3907D3AACFD7}" name="Column970"/>
    <tableColumn id="971" xr3:uid="{8B9F7156-AD91-42C8-944E-EB4F79EA341A}" name="Column971"/>
    <tableColumn id="972" xr3:uid="{C4BE7B20-6B1B-42C6-8A54-2099CD65664B}" name="Column972"/>
    <tableColumn id="973" xr3:uid="{38D46786-0C61-4CC7-86CE-2F4DC75DB166}" name="Column973"/>
    <tableColumn id="974" xr3:uid="{F403A1D7-630D-4C71-A3C0-288CCE0A0F44}" name="Column974"/>
    <tableColumn id="975" xr3:uid="{9CE0343B-ABE0-4E01-BE20-FC27357B237D}" name="Column975"/>
    <tableColumn id="976" xr3:uid="{32A2CA5B-51F5-4B42-BAC1-EE69A42B1B35}" name="Column976"/>
    <tableColumn id="977" xr3:uid="{372FF9F1-25E4-42D2-B8CE-2A9740A77B82}" name="Column977"/>
    <tableColumn id="978" xr3:uid="{68B63F98-0C56-4F5E-84C6-227A842E4EF9}" name="Column978"/>
    <tableColumn id="979" xr3:uid="{6BAA816E-52AB-4099-837B-68FB03290AF8}" name="Column979"/>
    <tableColumn id="980" xr3:uid="{49DEDE84-5162-43E1-A51B-63A89CAF2441}" name="Column980"/>
    <tableColumn id="981" xr3:uid="{ABA007AC-6460-4033-BE7D-1F4BC586CC76}" name="Column981"/>
    <tableColumn id="982" xr3:uid="{48CE5450-AED6-4EF9-9F89-9906921DADCB}" name="Column982"/>
    <tableColumn id="983" xr3:uid="{3EC9C358-1ACE-48C8-9477-CAE331A95B77}" name="Column983"/>
    <tableColumn id="984" xr3:uid="{EC9E3C4F-B5A8-4D91-A2B2-D2B509AB9A38}" name="Column984"/>
    <tableColumn id="985" xr3:uid="{1B551074-9000-4375-925F-81D7FBBD2073}" name="Column985"/>
    <tableColumn id="986" xr3:uid="{F6C55AD0-C3BD-4473-8123-BFAD32A351F4}" name="Column986"/>
    <tableColumn id="987" xr3:uid="{D4AFDA0C-A2D5-4126-8707-F5B2D7D43DEB}" name="Column987"/>
    <tableColumn id="988" xr3:uid="{4CFBAB93-0D71-4180-ABB3-7DF137353AD9}" name="Column988"/>
    <tableColumn id="989" xr3:uid="{F902AF4A-A5A4-4584-8C5E-10066C5630FA}" name="Column989"/>
    <tableColumn id="990" xr3:uid="{601C7B96-A296-444F-83B0-3A3645473B93}" name="Column990"/>
    <tableColumn id="991" xr3:uid="{974B9409-F067-4E71-986C-9DF9B7259AFD}" name="Column991"/>
    <tableColumn id="992" xr3:uid="{E4913AA5-9EF8-4764-A699-0039B72EEB2E}" name="Column992"/>
    <tableColumn id="993" xr3:uid="{C624E548-233A-418F-B100-A70184ED8C09}" name="Column993"/>
    <tableColumn id="994" xr3:uid="{6EBD3AF7-1B3E-415A-B09F-58C3E7379954}" name="Column994"/>
    <tableColumn id="995" xr3:uid="{7500A53F-52D7-46DD-AEAB-60A6931B25D3}" name="Column995"/>
    <tableColumn id="996" xr3:uid="{03D62411-88F0-483D-82A9-B871857E9701}" name="Column996"/>
    <tableColumn id="997" xr3:uid="{F742689D-6134-40E4-A305-73EF3B6429DE}" name="Column997"/>
    <tableColumn id="998" xr3:uid="{0FCE08F9-6788-4397-9746-164C3A71D696}" name="Column998"/>
    <tableColumn id="999" xr3:uid="{44710024-3DC3-4439-B187-F4056987D284}" name="Column999"/>
    <tableColumn id="1000" xr3:uid="{27A1FBD9-02DA-4D2D-9B94-2DB2EC733812}" name="Column1000"/>
    <tableColumn id="1001" xr3:uid="{8A02AF96-0E51-48BA-B339-98DFCD0D03E4}" name="Column1001"/>
    <tableColumn id="1002" xr3:uid="{72310BF1-9EA8-437B-AE7A-C324EE2A912D}" name="Column1002"/>
    <tableColumn id="1003" xr3:uid="{B6DF46BA-9FB5-4531-AEE3-6FEE630D4E0F}" name="Column1003"/>
    <tableColumn id="1004" xr3:uid="{10185CCE-E972-4087-973C-DF584197C97D}" name="Column1004"/>
    <tableColumn id="1005" xr3:uid="{958F03D6-CE88-4CE0-AA22-829F2F416DA6}" name="Column1005"/>
    <tableColumn id="1006" xr3:uid="{A4E93658-3807-4C11-993F-53C7272E0A6E}" name="Column1006"/>
    <tableColumn id="1007" xr3:uid="{FB2195D0-DF5B-4D85-9906-D27237CC21E1}" name="Column1007"/>
    <tableColumn id="1008" xr3:uid="{3CC74A09-7F5D-47AA-9F2F-57A8AED795CC}" name="Column1008"/>
    <tableColumn id="1009" xr3:uid="{97BB935B-3B69-4792-B681-9A8FA84867CA}" name="Column1009"/>
    <tableColumn id="1010" xr3:uid="{BD481CFF-3254-4B4A-86AF-2B9315A66B62}" name="Column1010"/>
    <tableColumn id="1011" xr3:uid="{93A75155-2D93-4C8E-B193-344129C7DC1F}" name="Column1011"/>
    <tableColumn id="1012" xr3:uid="{42D10E9E-801B-4020-9D4B-DA532BC5BB04}" name="Column1012"/>
    <tableColumn id="1013" xr3:uid="{9C003DC5-6E3F-4DCD-9686-B50D3B5AA30F}" name="Column1013"/>
    <tableColumn id="1014" xr3:uid="{94B6AD48-AC21-4693-8122-A2636D6B4567}" name="Column1014"/>
    <tableColumn id="1015" xr3:uid="{8AE9AD2E-26E7-4079-90E4-20004C91C7A1}" name="Column1015"/>
    <tableColumn id="1016" xr3:uid="{77D84196-4384-4C30-91B9-C31B16B21214}" name="Column1016"/>
    <tableColumn id="1017" xr3:uid="{3843E46F-B72D-438F-A778-F4D152524787}" name="Column1017"/>
    <tableColumn id="1018" xr3:uid="{E9F3FBB3-E541-462F-8933-71B97D0DE795}" name="Column1018"/>
    <tableColumn id="1019" xr3:uid="{435E977E-CB7B-4547-8A37-B8139093D317}" name="Column1019"/>
    <tableColumn id="1020" xr3:uid="{0654A1DE-1498-4E48-8732-044836EE9CA9}" name="Column1020"/>
    <tableColumn id="1021" xr3:uid="{43361427-6D6B-404A-8BAE-73B318E9865B}" name="Column1021"/>
    <tableColumn id="1022" xr3:uid="{A2ABB7C6-74F8-4EDE-BA27-E25234FECAD9}" name="Column1022"/>
    <tableColumn id="1023" xr3:uid="{03C00F2C-D1F3-42FC-BE02-7EF16F79AAEB}" name="Column1023"/>
    <tableColumn id="1024" xr3:uid="{E9DC56D3-431F-4CB9-8E5F-47003F312A67}" name="Column1024"/>
    <tableColumn id="1025" xr3:uid="{51D2787D-84D6-4CBE-8C89-3A1252CE96D4}" name="Column1025"/>
    <tableColumn id="1026" xr3:uid="{5C8BA504-1EA8-42F6-8132-E08A9533EA95}" name="Column1026"/>
    <tableColumn id="1027" xr3:uid="{34F6445F-DCEE-456D-A4AC-16ACFFFFEAC8}" name="Column1027"/>
    <tableColumn id="1028" xr3:uid="{69296EE5-212E-4CBB-BF69-7E1E51B076AA}" name="Column1028"/>
    <tableColumn id="1029" xr3:uid="{BC921AEE-698F-48A0-BEFD-1A743F0E8AC5}" name="Column1029"/>
    <tableColumn id="1030" xr3:uid="{91B1A8C0-A32D-4906-918E-186BDDA18433}" name="Column1030"/>
    <tableColumn id="1031" xr3:uid="{941B6E2A-5BB3-4B66-8CE4-7B8F56F521C6}" name="Column1031"/>
    <tableColumn id="1032" xr3:uid="{4F68CE2A-1224-4662-B691-2CFFAD674F41}" name="Column1032"/>
    <tableColumn id="1033" xr3:uid="{D3CEB6AE-7A6A-4372-B6E1-7E7A40DFE79F}" name="Column1033"/>
    <tableColumn id="1034" xr3:uid="{5453AD11-D27D-48A5-9BDA-C8AF5944F081}" name="Column1034"/>
    <tableColumn id="1035" xr3:uid="{45EC4FFC-7F46-4862-9393-F636181F2727}" name="Column1035"/>
    <tableColumn id="1036" xr3:uid="{7386E487-CB46-4677-B941-22E59A2FCCB8}" name="Column1036"/>
    <tableColumn id="1037" xr3:uid="{D1506354-71E8-4852-B92D-7FC67C3D14B0}" name="Column1037"/>
    <tableColumn id="1038" xr3:uid="{2B60B78C-62E5-4292-87BC-FDE3CB06FD13}" name="Column1038"/>
    <tableColumn id="1039" xr3:uid="{2BE915E0-8546-4D31-BD92-46E293035DF6}" name="Column1039"/>
    <tableColumn id="1040" xr3:uid="{D40D901B-C606-4D60-AA15-DB15C1CCF643}" name="Column1040"/>
    <tableColumn id="1041" xr3:uid="{686D4948-4A4A-476B-A3B1-47B5674D5976}" name="Column1041"/>
    <tableColumn id="1042" xr3:uid="{B4621D10-24F2-4384-B003-C411F787E3B0}" name="Column1042"/>
    <tableColumn id="1043" xr3:uid="{6999EFC3-64B6-456F-9AE1-9DBDDCA08542}" name="Column1043"/>
    <tableColumn id="1044" xr3:uid="{E2D90F06-F556-414C-8966-170CDA22BD87}" name="Column1044"/>
    <tableColumn id="1045" xr3:uid="{DD6F23E9-65BC-4FED-ABA6-70F7EF533A5A}" name="Column1045"/>
    <tableColumn id="1046" xr3:uid="{060C37D1-D9AF-4193-AE8D-0B851B68F177}" name="Column1046"/>
    <tableColumn id="1047" xr3:uid="{0B6B406A-697B-4925-BC2B-AFD7569FCD25}" name="Column1047"/>
    <tableColumn id="1048" xr3:uid="{9CA39E2C-32F5-4740-B8E4-2A357CA0EDD0}" name="Column1048"/>
    <tableColumn id="1049" xr3:uid="{27398D77-6E3E-4A19-8DEE-5F9B8586AB6C}" name="Column1049"/>
    <tableColumn id="1050" xr3:uid="{05DE9534-6C52-41BD-B9C7-F3B3C3353231}" name="Column1050"/>
    <tableColumn id="1051" xr3:uid="{BB107849-CA00-4A28-9701-5A184C35F9EC}" name="Column1051"/>
    <tableColumn id="1052" xr3:uid="{814A574A-12FC-4A92-8844-14D383291791}" name="Column1052"/>
    <tableColumn id="1053" xr3:uid="{1BB738FF-7CBC-4C24-AB78-C642FE9B8344}" name="Column1053"/>
    <tableColumn id="1054" xr3:uid="{5604400B-FBD8-4392-ABFB-171DC70C47BE}" name="Column1054"/>
    <tableColumn id="1055" xr3:uid="{3AC2DE58-BAB7-4016-AF77-96B4CBA761FC}" name="Column1055"/>
    <tableColumn id="1056" xr3:uid="{FC55A949-3D6E-427B-9253-004561D66115}" name="Column1056"/>
    <tableColumn id="1057" xr3:uid="{B0C37661-3B47-4E03-86A7-9C4B369FDEBE}" name="Column1057"/>
    <tableColumn id="1058" xr3:uid="{35D53C24-588E-43C4-99E7-AED423E9B55B}" name="Column1058"/>
    <tableColumn id="1059" xr3:uid="{161C21D0-54B3-4A7F-878A-18A37B431C2C}" name="Column1059"/>
    <tableColumn id="1060" xr3:uid="{6F4C3EAD-7CEB-45F3-B19C-222B5F6039DF}" name="Column1060"/>
    <tableColumn id="1061" xr3:uid="{8FB26905-7517-48F7-9C80-6266E4AC0F68}" name="Column1061"/>
    <tableColumn id="1062" xr3:uid="{7B9C7D10-C8A6-41B2-9E41-4AC0724CCE46}" name="Column1062"/>
    <tableColumn id="1063" xr3:uid="{AA2819FC-8950-4EDB-B7C2-B61B1B4E859A}" name="Column1063"/>
    <tableColumn id="1064" xr3:uid="{437CA5B9-1440-41F9-A454-30A9610815D1}" name="Column1064"/>
    <tableColumn id="1065" xr3:uid="{A07A6B2C-F39C-4EDB-A551-8EEE2FADA09F}" name="Column1065"/>
    <tableColumn id="1066" xr3:uid="{76548423-CD50-4993-B653-804C2F5C222B}" name="Column1066"/>
    <tableColumn id="1067" xr3:uid="{02B504FE-A157-43BD-9F65-831A90CB6270}" name="Column1067"/>
    <tableColumn id="1068" xr3:uid="{84F6AA08-B473-4BFE-ABD9-749B69F177B3}" name="Column1068"/>
    <tableColumn id="1069" xr3:uid="{418B3C39-FF70-4C80-9987-23607D1901CD}" name="Column1069"/>
    <tableColumn id="1070" xr3:uid="{62A96A58-F908-4834-9E65-0D972436CCAF}" name="Column1070"/>
    <tableColumn id="1071" xr3:uid="{A572442A-F2FD-47EA-862C-C2631FBD700E}" name="Column1071"/>
    <tableColumn id="1072" xr3:uid="{B626BF94-6294-4955-B73C-FA2AF3FF4C46}" name="Column1072"/>
    <tableColumn id="1073" xr3:uid="{755A87EB-F34F-4442-B669-37DA92A23244}" name="Column1073"/>
    <tableColumn id="1074" xr3:uid="{D529A105-0D97-4603-9CBB-2411F2252915}" name="Column1074"/>
    <tableColumn id="1075" xr3:uid="{0701637B-C23C-4710-B6F5-489B68F94C6C}" name="Column1075"/>
    <tableColumn id="1076" xr3:uid="{AFED4368-5F6F-4FC3-A292-423F2090325A}" name="Column1076"/>
    <tableColumn id="1077" xr3:uid="{F384EF55-35D5-4C92-A7E9-7DF7D24D14D3}" name="Column1077"/>
    <tableColumn id="1078" xr3:uid="{EEF9C76C-39F2-4828-9E8C-B9657F8A2286}" name="Column1078"/>
    <tableColumn id="1079" xr3:uid="{31E955DC-A75C-474E-B10A-25F03A2D79B5}" name="Column1079"/>
    <tableColumn id="1080" xr3:uid="{625AE298-B945-45B2-B16B-8A985F53AA8C}" name="Column1080"/>
    <tableColumn id="1081" xr3:uid="{E45D610A-4E91-46FB-AD4E-5FD7179FA4F4}" name="Column1081"/>
    <tableColumn id="1082" xr3:uid="{9CC3A6A5-406B-47C5-A9A9-30E3DD51EDB0}" name="Column1082"/>
    <tableColumn id="1083" xr3:uid="{60ABC4AE-2412-4211-894E-6AB648F9EA8D}" name="Column1083"/>
    <tableColumn id="1084" xr3:uid="{94451068-CC4A-462C-A7BA-BC65AE608A08}" name="Column1084"/>
    <tableColumn id="1085" xr3:uid="{A170EC5F-F45B-43DB-9F15-EA0A45FB808B}" name="Column1085"/>
    <tableColumn id="1086" xr3:uid="{ECB0D950-9FA4-4E73-8EDF-7ABC071E2140}" name="Column1086"/>
    <tableColumn id="1087" xr3:uid="{7B5EFC44-1C98-4F10-B9C1-9A0C5F7B8CD2}" name="Column1087"/>
    <tableColumn id="1088" xr3:uid="{EB0CEA74-8848-49DE-A68D-59F6B1BA791C}" name="Column1088"/>
    <tableColumn id="1089" xr3:uid="{B6AE73B3-99B0-4A8E-9801-D50FD012084F}" name="Column1089"/>
    <tableColumn id="1090" xr3:uid="{3C2934DC-CDB9-4B9D-AEF8-0693A182DB51}" name="Column1090"/>
    <tableColumn id="1091" xr3:uid="{FE26DAE4-8190-472B-B815-0944735904A4}" name="Column1091"/>
    <tableColumn id="1092" xr3:uid="{E5780C51-B97C-451D-BDC9-F956DBDD34EF}" name="Column1092"/>
    <tableColumn id="1093" xr3:uid="{695FBC3B-F864-42B8-A19B-34FE01A87976}" name="Column1093"/>
    <tableColumn id="1094" xr3:uid="{1084561F-465E-492D-B5F8-7FAC89BFEF28}" name="Column1094"/>
    <tableColumn id="1095" xr3:uid="{CB990C90-3294-4991-B402-B8843E24ECA7}" name="Column1095"/>
    <tableColumn id="1096" xr3:uid="{E62D8131-5284-4EE3-9A28-D775D72DBA41}" name="Column1096"/>
    <tableColumn id="1097" xr3:uid="{1F8ED651-6AC8-4068-B711-ECDFFD1DD93C}" name="Column1097"/>
    <tableColumn id="1098" xr3:uid="{B6258111-D1E1-4646-A22E-B4631EDA0BB3}" name="Column1098"/>
    <tableColumn id="1099" xr3:uid="{D7B8BB45-A305-4076-82FA-8CCC28C1C303}" name="Column1099"/>
    <tableColumn id="1100" xr3:uid="{B3ADB2C9-2C8A-4060-B40F-483B0DC38517}" name="Column1100"/>
    <tableColumn id="1101" xr3:uid="{6CE919E8-04A3-4121-A81C-DA176894E40A}" name="Column1101"/>
    <tableColumn id="1102" xr3:uid="{99829AE2-37A4-4499-93A3-55382A981AA7}" name="Column1102"/>
    <tableColumn id="1103" xr3:uid="{A2E02249-C255-41D8-8B56-BE688AF2B0AD}" name="Column1103"/>
    <tableColumn id="1104" xr3:uid="{41B5DF95-9EC1-448F-817E-7C1DB62E72B0}" name="Column1104"/>
    <tableColumn id="1105" xr3:uid="{27FF36A2-8FA8-41AE-9ADF-A06297F6FD40}" name="Column1105"/>
    <tableColumn id="1106" xr3:uid="{9B74CD01-7B9B-4E6C-B1CD-A6377B7607E3}" name="Column1106"/>
    <tableColumn id="1107" xr3:uid="{315868B9-6193-4F08-A3DA-81916EBB53EA}" name="Column1107"/>
    <tableColumn id="1108" xr3:uid="{DD428316-B4FB-43AA-8A01-11952FDB6868}" name="Column1108"/>
    <tableColumn id="1109" xr3:uid="{123A2544-129B-47E5-ABB9-23762FAC1531}" name="Column1109"/>
    <tableColumn id="1110" xr3:uid="{9AB0C97D-1EEE-4A9F-9B80-F503AB901E78}" name="Column1110"/>
    <tableColumn id="1111" xr3:uid="{2464E5A8-203B-44A0-9923-88DF0B1BD078}" name="Column1111"/>
    <tableColumn id="1112" xr3:uid="{CEB87BCF-65B0-4322-A145-18B612BEE997}" name="Column1112"/>
    <tableColumn id="1113" xr3:uid="{348FCFF1-F427-4F8A-BA5E-D451E2085D43}" name="Column1113"/>
    <tableColumn id="1114" xr3:uid="{BB1EB356-3C4B-4094-8089-7C3E2001F3AE}" name="Column1114"/>
    <tableColumn id="1115" xr3:uid="{C8EC56E2-03C7-4F76-A49A-A97ABA1B348C}" name="Column1115"/>
    <tableColumn id="1116" xr3:uid="{062E2F0A-B13D-44C9-9D3A-61DBBAFA94E1}" name="Column1116"/>
    <tableColumn id="1117" xr3:uid="{40BBBBAA-4674-42C2-9A90-0FC20EE703B8}" name="Column1117"/>
    <tableColumn id="1118" xr3:uid="{DCF72D5E-1CE4-4607-827E-5CC82FE56949}" name="Column1118"/>
    <tableColumn id="1119" xr3:uid="{DFBF0C09-B81B-4937-8957-CFE76E5C2167}" name="Column1119"/>
    <tableColumn id="1120" xr3:uid="{B82CE982-0693-4465-880A-804566BEF620}" name="Column1120"/>
    <tableColumn id="1121" xr3:uid="{9ED6A4F7-A150-4C49-9E95-2945D9C773E9}" name="Column1121"/>
    <tableColumn id="1122" xr3:uid="{42162E18-633B-4486-A99E-1487195DDA0E}" name="Column1122"/>
    <tableColumn id="1123" xr3:uid="{3B85ECC3-811F-46AF-9C6F-7A73774C0825}" name="Column1123"/>
    <tableColumn id="1124" xr3:uid="{26E1004F-894F-4D10-B58D-EBC067F6E641}" name="Column1124"/>
    <tableColumn id="1125" xr3:uid="{0B6F3DCA-6734-4A2A-92F1-622A8270EB2B}" name="Column1125"/>
    <tableColumn id="1126" xr3:uid="{B0A159A9-AAD2-476D-8BC6-58D1D0D3B513}" name="Column1126"/>
    <tableColumn id="1127" xr3:uid="{3BFB9A4E-5F2B-43F0-9DE7-5B9524B4E1A0}" name="Column1127"/>
    <tableColumn id="1128" xr3:uid="{A5C1504B-B65A-491D-B07D-3BCCAE6431DB}" name="Column1128"/>
    <tableColumn id="1129" xr3:uid="{DAA05CF2-FAFE-46CD-B84A-CBB3FC7F1D9D}" name="Column1129"/>
    <tableColumn id="1130" xr3:uid="{DCCC9A0B-CCE4-46F8-84D0-2B03CD87E6E5}" name="Column1130"/>
    <tableColumn id="1131" xr3:uid="{FC6673CA-1E96-4DC5-967D-1EC8A661FF7F}" name="Column1131"/>
    <tableColumn id="1132" xr3:uid="{C8E709F5-8520-4F84-A131-997C53F78111}" name="Column1132"/>
    <tableColumn id="1133" xr3:uid="{C1CFB29F-A7D2-4D4B-96AA-884194D17BB7}" name="Column1133"/>
    <tableColumn id="1134" xr3:uid="{EDEFE592-67AC-40CE-81B1-DD458FA1065E}" name="Column1134"/>
    <tableColumn id="1135" xr3:uid="{07A0B4B7-83BE-48EA-8CC6-555C8CB870D0}" name="Column1135"/>
    <tableColumn id="1136" xr3:uid="{A7294C44-40BF-48E0-802D-57F358FAA503}" name="Column1136"/>
    <tableColumn id="1137" xr3:uid="{03C30C2B-FDE6-4BFD-9FDB-0364B2E14B5A}" name="Column1137"/>
    <tableColumn id="1138" xr3:uid="{CF95887E-BE42-4466-BBC8-C49A06870956}" name="Column1138"/>
    <tableColumn id="1139" xr3:uid="{A2601909-6669-4164-A0D8-3A363A6D7E38}" name="Column1139"/>
    <tableColumn id="1140" xr3:uid="{1C112B5D-D828-453B-9CC4-7B3A0763F288}" name="Column1140"/>
    <tableColumn id="1141" xr3:uid="{F3B591C1-299F-4C93-987D-6398E7201E30}" name="Column1141"/>
    <tableColumn id="1142" xr3:uid="{8078B3D8-196C-4FD8-AAC4-350E802CDF60}" name="Column1142"/>
    <tableColumn id="1143" xr3:uid="{26B7B17A-CA36-485E-B5DF-9533E7D16749}" name="Column1143"/>
    <tableColumn id="1144" xr3:uid="{E013AA9D-7C31-4F11-B302-FD228F96A2BF}" name="Column1144"/>
    <tableColumn id="1145" xr3:uid="{3EC2B7E0-05B7-475D-85A0-B0E6A11F3836}" name="Column1145"/>
    <tableColumn id="1146" xr3:uid="{8131EFC2-161D-432D-89D0-92C33C942D41}" name="Column1146"/>
    <tableColumn id="1147" xr3:uid="{DB70C592-C518-425F-89F2-172AFE94DD5E}" name="Column1147"/>
    <tableColumn id="1148" xr3:uid="{D96C6F9E-6857-41DF-9682-02917F606AF4}" name="Column1148"/>
    <tableColumn id="1149" xr3:uid="{E4EE3C02-3CBE-4D87-9EF9-8873D63D9EDF}" name="Column1149"/>
    <tableColumn id="1150" xr3:uid="{DD846EBE-AA61-4167-AC6C-367E8C8C4867}" name="Column1150"/>
    <tableColumn id="1151" xr3:uid="{9F62FAC8-5358-467B-99E1-59C38FCCF3E4}" name="Column1151"/>
    <tableColumn id="1152" xr3:uid="{53509F2D-315C-4A47-9D62-329206ACA63B}" name="Column1152"/>
    <tableColumn id="1153" xr3:uid="{785A1262-6BB6-4A9F-8241-85771D63C8B1}" name="Column1153"/>
    <tableColumn id="1154" xr3:uid="{5B2A886D-F473-40E5-9E8F-8270B42B55ED}" name="Column1154"/>
    <tableColumn id="1155" xr3:uid="{4502D255-9EF6-49E7-8163-0ECA1A76A65D}" name="Column1155"/>
    <tableColumn id="1156" xr3:uid="{0E988CE7-81A7-40E4-B0CD-AB4D8A3549C8}" name="Column1156"/>
    <tableColumn id="1157" xr3:uid="{BA189019-ADDD-4E26-895D-CC952F5EA11D}" name="Column1157"/>
    <tableColumn id="1158" xr3:uid="{AF8F4B88-B916-407C-8AAF-2D51DC53EDBB}" name="Column1158"/>
    <tableColumn id="1159" xr3:uid="{1FC7956B-C8A3-438F-8288-34A47E322291}" name="Column1159"/>
    <tableColumn id="1160" xr3:uid="{E47237FD-6875-4E4A-984F-0D3D11A104A8}" name="Column1160"/>
    <tableColumn id="1161" xr3:uid="{D53F2318-F99E-4FC2-8DCC-934318A2F505}" name="Column1161"/>
    <tableColumn id="1162" xr3:uid="{EF14387E-089A-4795-8E35-04DBA6E8F0D5}" name="Column1162"/>
    <tableColumn id="1163" xr3:uid="{1F1007A2-DBF3-495A-97D3-855EE2CEB7AA}" name="Column1163"/>
    <tableColumn id="1164" xr3:uid="{20AC4EFE-BA16-47E2-A1F2-4AB27C89B449}" name="Column1164"/>
    <tableColumn id="1165" xr3:uid="{89D4D047-4BDF-4B01-A25A-9C4618E21593}" name="Column1165"/>
    <tableColumn id="1166" xr3:uid="{5B049704-90BF-402E-831F-104426CEC9D9}" name="Column1166"/>
    <tableColumn id="1167" xr3:uid="{1ED286EE-492B-4A43-B4D2-7E04B81D6575}" name="Column1167"/>
    <tableColumn id="1168" xr3:uid="{A1969E49-702D-43E5-BC1A-EEEE1CD7367E}" name="Column1168"/>
    <tableColumn id="1169" xr3:uid="{AC2CBCDF-9B30-4245-B762-73E032F39AC7}" name="Column1169"/>
    <tableColumn id="1170" xr3:uid="{AFC88861-B94E-4EE6-93E6-C4C1DD96AC27}" name="Column1170"/>
    <tableColumn id="1171" xr3:uid="{52876514-F358-44CD-9578-3EC262184C2D}" name="Column1171"/>
    <tableColumn id="1172" xr3:uid="{434C9C70-0C31-4452-9E05-5691570E6360}" name="Column1172"/>
    <tableColumn id="1173" xr3:uid="{A010A5F1-71CB-4E5E-BD44-F5277548A610}" name="Column1173"/>
    <tableColumn id="1174" xr3:uid="{BE6AABB3-38D6-4BCE-A364-9A13748D56CE}" name="Column1174"/>
    <tableColumn id="1175" xr3:uid="{D32086E7-4E68-4B28-B8BF-2F5694D6A847}" name="Column1175"/>
    <tableColumn id="1176" xr3:uid="{5D9FDC4F-EB75-4E06-973C-17C9E387593D}" name="Column1176"/>
    <tableColumn id="1177" xr3:uid="{8104B9A6-E973-4DA9-9EB3-F26BC62175CC}" name="Column1177"/>
    <tableColumn id="1178" xr3:uid="{A94DBDE3-22EB-4D57-AC92-6740610DB906}" name="Column1178"/>
    <tableColumn id="1179" xr3:uid="{A8E8FE1F-CF14-4F0B-AE52-DAD684B495E1}" name="Column1179"/>
    <tableColumn id="1180" xr3:uid="{DF4710BB-EB94-4C18-A11C-45ECBAA837C0}" name="Column1180"/>
    <tableColumn id="1181" xr3:uid="{DABB9AD3-33FB-4690-A91A-EFF41740E831}" name="Column1181"/>
    <tableColumn id="1182" xr3:uid="{D7E86ED3-A735-4EE4-8309-42E952F1B82D}" name="Column1182"/>
    <tableColumn id="1183" xr3:uid="{54732FB9-671D-491E-A31E-AD6B8552CA3D}" name="Column1183"/>
    <tableColumn id="1184" xr3:uid="{1A981094-9AED-431E-8828-F69CF3EAE211}" name="Column1184"/>
    <tableColumn id="1185" xr3:uid="{62A3AD8A-2803-4395-A36F-E90012847D38}" name="Column1185"/>
    <tableColumn id="1186" xr3:uid="{86A69094-CA0A-4AC0-BC79-D7B2F9C695B3}" name="Column1186"/>
    <tableColumn id="1187" xr3:uid="{1E91F890-6305-419F-9E29-728D1DCE506A}" name="Column1187"/>
    <tableColumn id="1188" xr3:uid="{9F2539BF-06F4-4365-88DA-CB25333DC8D0}" name="Column1188"/>
    <tableColumn id="1189" xr3:uid="{D9EBF612-9FE4-4BE3-B6A9-9450A161414E}" name="Column1189"/>
    <tableColumn id="1190" xr3:uid="{B9E83737-6BFF-4BFA-9324-99BE5BB958AC}" name="Column1190"/>
    <tableColumn id="1191" xr3:uid="{4B91749B-9110-4ED2-91A0-A13871156ACC}" name="Column1191"/>
    <tableColumn id="1192" xr3:uid="{6CAA93A7-B590-4D09-95A3-227B3284E328}" name="Column1192"/>
    <tableColumn id="1193" xr3:uid="{2C281DA2-3187-4899-86D9-5F149ADCE441}" name="Column1193"/>
    <tableColumn id="1194" xr3:uid="{DA409E34-AF22-4E10-B26F-DAA05EEB3A85}" name="Column1194"/>
    <tableColumn id="1195" xr3:uid="{1137BDC4-E403-4C9C-8660-31CFB4684CC4}" name="Column1195"/>
    <tableColumn id="1196" xr3:uid="{D7E7F6E2-AD15-4C87-84C5-B8CB8A833434}" name="Column1196"/>
    <tableColumn id="1197" xr3:uid="{7C1C58DE-1339-4A59-951D-1F4D20AFCF48}" name="Column1197"/>
    <tableColumn id="1198" xr3:uid="{1C89FF7A-35E2-47FC-8B76-7EF1FFFC731C}" name="Column1198"/>
    <tableColumn id="1199" xr3:uid="{26EBA338-2D97-4C60-A3E1-2BC00DB044A9}" name="Column1199"/>
    <tableColumn id="1200" xr3:uid="{991B01E1-DD4C-4D89-8082-250DAE16E785}" name="Column1200"/>
    <tableColumn id="1201" xr3:uid="{88194F6C-A8B8-44DE-BCEA-A59FF8F40956}" name="Column1201"/>
    <tableColumn id="1202" xr3:uid="{88A59D0E-5088-40F5-B2AA-22715FBC7D25}" name="Column1202"/>
    <tableColumn id="1203" xr3:uid="{16A959EC-3CD2-4A8D-8E66-F06A25B923B2}" name="Column1203"/>
    <tableColumn id="1204" xr3:uid="{C506596B-C632-4B07-A20D-3CD0E9FA7B52}" name="Column1204"/>
    <tableColumn id="1205" xr3:uid="{6E12481D-6E25-45CF-B574-6E290A66BF81}" name="Column1205"/>
    <tableColumn id="1206" xr3:uid="{B0922F8D-7C15-4312-8771-8C7C56B9E961}" name="Column1206"/>
    <tableColumn id="1207" xr3:uid="{4AAB7849-617E-4420-8203-4E9C56F4FB75}" name="Column1207"/>
    <tableColumn id="1208" xr3:uid="{DDB21325-BA29-408C-AF16-51A8A9873353}" name="Column1208"/>
    <tableColumn id="1209" xr3:uid="{80DEEB35-D513-403A-B5A0-AAC5FE872CF1}" name="Column1209"/>
    <tableColumn id="1210" xr3:uid="{6C50CB37-DD62-46DC-B564-98F1CB7BEEF4}" name="Column1210"/>
    <tableColumn id="1211" xr3:uid="{0171401F-C8FC-4332-8E4A-DCDBF84CD481}" name="Column1211"/>
    <tableColumn id="1212" xr3:uid="{A9E7FC88-19B7-43EE-BC2B-633D3E48DBE1}" name="Column1212"/>
    <tableColumn id="1213" xr3:uid="{DE5725A0-79BD-4A12-8235-4BCDB0AB89CD}" name="Column1213"/>
    <tableColumn id="1214" xr3:uid="{173AE637-86AB-4021-A68A-843AA28AC93A}" name="Column1214"/>
    <tableColumn id="1215" xr3:uid="{8C647D62-F66D-44E5-9C5E-FB5DC48681B0}" name="Column1215"/>
    <tableColumn id="1216" xr3:uid="{5007AE61-C7A3-476F-B9B1-14D535550B9E}" name="Column1216"/>
    <tableColumn id="1217" xr3:uid="{E5CD8246-C56E-4437-B9AB-34757DACCA88}" name="Column1217"/>
    <tableColumn id="1218" xr3:uid="{F3456C7B-778A-4AD6-90E9-214445C69146}" name="Column1218"/>
    <tableColumn id="1219" xr3:uid="{C08782B3-D134-4EBD-97DF-A9B29DF20E1D}" name="Column1219"/>
    <tableColumn id="1220" xr3:uid="{27848AE2-DAC6-4E05-8189-6F23B436ABD9}" name="Column1220"/>
    <tableColumn id="1221" xr3:uid="{929D2A03-58C6-4B4B-95D9-0F093237B89D}" name="Column1221"/>
    <tableColumn id="1222" xr3:uid="{41C70C86-D4EB-4E19-BC90-51E768CFE4EF}" name="Column1222"/>
    <tableColumn id="1223" xr3:uid="{79DFE6AF-229A-45E9-8378-71BCDE8F5DFC}" name="Column1223"/>
    <tableColumn id="1224" xr3:uid="{7FB59A3D-BD59-4198-9DA4-240CBE4285E5}" name="Column1224"/>
    <tableColumn id="1225" xr3:uid="{D2782901-14F8-4E84-8C89-B5EBC007D2C7}" name="Column1225"/>
    <tableColumn id="1226" xr3:uid="{E5769BB2-C4E6-4555-A13D-6906AD7C6F66}" name="Column1226"/>
    <tableColumn id="1227" xr3:uid="{D8AA9E35-8442-46F2-82A5-3124FE7189C0}" name="Column1227"/>
    <tableColumn id="1228" xr3:uid="{FB7F1A45-3252-4423-A740-34BE1598A332}" name="Column1228"/>
    <tableColumn id="1229" xr3:uid="{CA631102-D9CA-46DE-A59C-A5941A9C353F}" name="Column1229"/>
    <tableColumn id="1230" xr3:uid="{BD94A5A3-6C69-47AE-9F36-7DBDEC399120}" name="Column1230"/>
    <tableColumn id="1231" xr3:uid="{B8E92E55-946F-4B04-96C9-DA4DCF019E78}" name="Column1231"/>
    <tableColumn id="1232" xr3:uid="{D082FBF0-7358-440C-8A9E-11B70A5C9EBA}" name="Column1232"/>
    <tableColumn id="1233" xr3:uid="{A88A7D76-EB95-47AF-BEF0-83E886850D2B}" name="Column1233"/>
    <tableColumn id="1234" xr3:uid="{2868DDBD-36EA-44CE-A172-E2B9AB619BB1}" name="Column1234"/>
    <tableColumn id="1235" xr3:uid="{C76D4743-E3B5-4AA4-A509-624D8635C187}" name="Column1235"/>
    <tableColumn id="1236" xr3:uid="{29DA1648-3B60-4406-A945-1696EC4168B6}" name="Column1236"/>
    <tableColumn id="1237" xr3:uid="{05A2366E-5A98-408C-848A-1B5E6900E732}" name="Column1237"/>
    <tableColumn id="1238" xr3:uid="{EBF8FF8B-3409-4E4D-A3AD-A596DC3379DA}" name="Column1238"/>
    <tableColumn id="1239" xr3:uid="{BF8EBE5A-8F3E-41FD-B069-9494697DECBC}" name="Column1239"/>
    <tableColumn id="1240" xr3:uid="{5AC3D4B1-3398-4FC0-BFEB-54DBEF018B7F}" name="Column1240"/>
    <tableColumn id="1241" xr3:uid="{7E224B52-239B-4986-9E8C-2EF18E175F96}" name="Column1241"/>
    <tableColumn id="1242" xr3:uid="{81FDC39E-143F-4247-AB3B-928C442609A9}" name="Column1242"/>
    <tableColumn id="1243" xr3:uid="{CB63028A-922F-4BFD-8F9E-131B9DF7036E}" name="Column1243"/>
    <tableColumn id="1244" xr3:uid="{EFC3414B-80EC-4BC3-BAB7-6D503AE509BB}" name="Column1244"/>
    <tableColumn id="1245" xr3:uid="{F72E2F65-B85B-45DD-A068-298F7C0F18E5}" name="Column1245"/>
    <tableColumn id="1246" xr3:uid="{896B818C-5709-4B2B-8667-BAC8A01716DC}" name="Column1246"/>
    <tableColumn id="1247" xr3:uid="{A6104E0A-4E06-4497-B206-F93A5B118569}" name="Column1247"/>
    <tableColumn id="1248" xr3:uid="{D6FC494C-8AD0-4497-8000-F60048738A4F}" name="Column1248"/>
    <tableColumn id="1249" xr3:uid="{9E7DC4F0-4AE1-4DEB-A6C1-A804C5928424}" name="Column1249"/>
    <tableColumn id="1250" xr3:uid="{ABFCCC6E-67E5-4B87-BE57-4E1175611D5D}" name="Column1250"/>
    <tableColumn id="1251" xr3:uid="{69A08FE7-CBE2-4864-B1D2-CCD53ED1CF24}" name="Column1251"/>
    <tableColumn id="1252" xr3:uid="{C72E7AF6-7C93-4441-86ED-E2402F2CC6B3}" name="Column1252"/>
    <tableColumn id="1253" xr3:uid="{FFF9A175-643E-45EB-B20D-6D8C4FC76624}" name="Column1253"/>
    <tableColumn id="1254" xr3:uid="{62226F1E-D4D3-4AE2-8BA5-C538DD819871}" name="Column1254"/>
    <tableColumn id="1255" xr3:uid="{6C8C9026-0DC6-46D1-A86E-7FC3A134D5E1}" name="Column1255"/>
    <tableColumn id="1256" xr3:uid="{417D4AC3-7978-47FD-8E96-E067B656F69F}" name="Column1256"/>
    <tableColumn id="1257" xr3:uid="{4EAE4418-6C3C-4787-8C26-555C3DAD3C1E}" name="Column1257"/>
    <tableColumn id="1258" xr3:uid="{58F8A54A-06C3-472C-BC76-FF6775B98C0F}" name="Column1258"/>
    <tableColumn id="1259" xr3:uid="{B0C42E0F-1E82-4D89-8A9F-70A8730DF193}" name="Column1259"/>
    <tableColumn id="1260" xr3:uid="{49AF3619-C45B-4E0A-AF1E-FAE24EC7F703}" name="Column1260"/>
    <tableColumn id="1261" xr3:uid="{65BC348E-EDFF-478D-93DD-9AEBE90B1CB2}" name="Column1261"/>
    <tableColumn id="1262" xr3:uid="{CBF40CA1-BACC-4224-A429-3FE73ACD50BA}" name="Column1262"/>
    <tableColumn id="1263" xr3:uid="{132A1611-4617-4A61-B951-5D05DCB55887}" name="Column1263"/>
    <tableColumn id="1264" xr3:uid="{4AB6B72E-2F73-494C-9959-3BBBA927A904}" name="Column1264"/>
    <tableColumn id="1265" xr3:uid="{36FB2958-F3CE-4A96-A1B8-8EC4345940A8}" name="Column1265"/>
    <tableColumn id="1266" xr3:uid="{EDBBF03E-D40E-4B38-9B77-6CEECE4B5077}" name="Column1266"/>
    <tableColumn id="1267" xr3:uid="{1643C34A-2AB8-4F5A-BBFD-15BF2207A769}" name="Column1267"/>
    <tableColumn id="1268" xr3:uid="{B596B779-DC15-4C3E-AD0C-61D261EE0503}" name="Column1268"/>
    <tableColumn id="1269" xr3:uid="{C039D302-47B8-402E-AB94-43F2CCE80D96}" name="Column1269"/>
    <tableColumn id="1270" xr3:uid="{04D113D7-B193-44C4-8D71-EA5E1BDC14A8}" name="Column1270"/>
    <tableColumn id="1271" xr3:uid="{68589015-6FE1-4C4C-AD1C-AA02C2EF0462}" name="Column1271"/>
    <tableColumn id="1272" xr3:uid="{92CFA0CA-2742-4CDD-A31B-C840942941F5}" name="Column1272"/>
    <tableColumn id="1273" xr3:uid="{EED4ADB8-491C-4BA6-AB56-112B19822A6F}" name="Column1273"/>
    <tableColumn id="1274" xr3:uid="{3914467F-5A20-4C82-BB45-2D913100C402}" name="Column1274"/>
    <tableColumn id="1275" xr3:uid="{15BACC0F-840D-465B-865F-2B6F6B305E0E}" name="Column1275"/>
    <tableColumn id="1276" xr3:uid="{0A78AE9E-2D10-4E7C-B594-CA6F1B260ECF}" name="Column1276"/>
    <tableColumn id="1277" xr3:uid="{13DC6E35-5F86-4DAC-8090-74C4B3B0EA9A}" name="Column1277"/>
    <tableColumn id="1278" xr3:uid="{211A9BF9-6880-449A-9D85-FAD6ABA08AC5}" name="Column1278"/>
    <tableColumn id="1279" xr3:uid="{39CB209F-EBDD-4B6F-BA4C-47DCE57D1599}" name="Column1279"/>
    <tableColumn id="1280" xr3:uid="{57583310-1288-4F16-9DEE-F2A994F783A5}" name="Column1280"/>
    <tableColumn id="1281" xr3:uid="{8D9E1EC5-6988-45C0-98AC-FDB0DED8980C}" name="Column1281"/>
    <tableColumn id="1282" xr3:uid="{D6282F15-1487-40A0-A77E-D8D350ED4BBE}" name="Column1282"/>
    <tableColumn id="1283" xr3:uid="{AE5F0AC6-D125-4C02-87D3-75BCD2A5F7B8}" name="Column1283"/>
    <tableColumn id="1284" xr3:uid="{4EC28674-3BC3-4CEA-88F5-EE424F19CC94}" name="Column1284"/>
    <tableColumn id="1285" xr3:uid="{15059B22-9805-4583-90FF-61F971B9D9D5}" name="Column1285"/>
    <tableColumn id="1286" xr3:uid="{19087AD4-868C-4B4A-B93A-0E400EEB0FCE}" name="Column1286"/>
    <tableColumn id="1287" xr3:uid="{09A1D221-94BD-4E07-86D1-4B68EB638BD3}" name="Column1287"/>
    <tableColumn id="1288" xr3:uid="{F4C1CAC6-542E-4608-BC6E-589090707FD7}" name="Column1288"/>
    <tableColumn id="1289" xr3:uid="{1FAD9CC7-7E5A-4F92-9958-48EFBF4B647E}" name="Column1289"/>
    <tableColumn id="1290" xr3:uid="{DC25E8A2-3A6E-4330-B654-7F1DE3285324}" name="Column1290"/>
    <tableColumn id="1291" xr3:uid="{6B28E7BE-FAFF-40DC-8719-6CD7D39693DD}" name="Column1291"/>
    <tableColumn id="1292" xr3:uid="{76E6B41A-4BB4-4B26-9555-8815A578530A}" name="Column1292"/>
    <tableColumn id="1293" xr3:uid="{9B018798-D106-4D84-AB2E-984DA039419A}" name="Column1293"/>
    <tableColumn id="1294" xr3:uid="{B0FB63FE-A7A0-4B9F-8941-CD819E5C7047}" name="Column1294"/>
    <tableColumn id="1295" xr3:uid="{91510450-ACCB-4F2D-82B8-6DE3FF33229A}" name="Column1295"/>
    <tableColumn id="1296" xr3:uid="{F440A310-50A3-446E-AD35-B48C72C3AFCD}" name="Column1296"/>
    <tableColumn id="1297" xr3:uid="{2640D2CB-1997-47D5-9229-2DED33FD228A}" name="Column1297"/>
    <tableColumn id="1298" xr3:uid="{0031E4F0-13F4-436A-8717-17DD747A8A55}" name="Column1298"/>
    <tableColumn id="1299" xr3:uid="{89EFF44C-7714-4A1C-A734-C6200451661C}" name="Column1299"/>
    <tableColumn id="1300" xr3:uid="{2EC0D386-E77D-446D-A81D-A9540991DDF0}" name="Column1300"/>
    <tableColumn id="1301" xr3:uid="{EF3168CB-04F9-463F-B995-A019C733CA6E}" name="Column1301"/>
    <tableColumn id="1302" xr3:uid="{41A968ED-A927-4FF4-8687-8A36EF865E5A}" name="Column1302"/>
    <tableColumn id="1303" xr3:uid="{B9FEC7C1-5398-4F54-9B38-254A0800E6F5}" name="Column1303"/>
    <tableColumn id="1304" xr3:uid="{C35E9D83-05C3-4696-B7E3-478E58A167D4}" name="Column1304"/>
    <tableColumn id="1305" xr3:uid="{5039B220-635D-4379-8653-2694F4D3FA31}" name="Column1305"/>
    <tableColumn id="1306" xr3:uid="{73BCB8A8-C171-4146-B98D-FBD292BCB130}" name="Column1306"/>
    <tableColumn id="1307" xr3:uid="{E5CAD444-40A1-4B35-B51B-F91ED1C06E3F}" name="Column1307"/>
    <tableColumn id="1308" xr3:uid="{924DC4DC-D567-4D85-888A-17AEB9FD691F}" name="Column1308"/>
    <tableColumn id="1309" xr3:uid="{D3304737-999C-4B9E-BD27-81F1820E504A}" name="Column1309"/>
    <tableColumn id="1310" xr3:uid="{391EBD58-3E78-41C5-9D69-5957B0EEB9EF}" name="Column1310"/>
    <tableColumn id="1311" xr3:uid="{67767DE9-5F8C-404A-8A33-E99103464EF8}" name="Column1311"/>
    <tableColumn id="1312" xr3:uid="{9E5FE1D5-76E1-4696-8CF2-22A1DBB35B61}" name="Column1312"/>
    <tableColumn id="1313" xr3:uid="{D735E99F-BFB3-46A2-8C17-C6CC98A80822}" name="Column1313"/>
    <tableColumn id="1314" xr3:uid="{D0997352-6203-436B-AE28-3CAD62DA7D31}" name="Column1314"/>
    <tableColumn id="1315" xr3:uid="{E38B0C04-CD98-40DE-888F-690DE9440F7C}" name="Column1315"/>
    <tableColumn id="1316" xr3:uid="{12CF25D7-FCB9-42E0-B2E1-408507A60CDF}" name="Column1316"/>
    <tableColumn id="1317" xr3:uid="{D6BBD94A-D4D1-4DC9-906A-BE7AF85598AE}" name="Column1317"/>
    <tableColumn id="1318" xr3:uid="{FD9707BD-8A10-4B83-8F7E-1DD8543A3BD1}" name="Column1318"/>
    <tableColumn id="1319" xr3:uid="{A99EC581-754F-4572-B46F-BB68C10A80CB}" name="Column1319"/>
    <tableColumn id="1320" xr3:uid="{DA4F95BE-CB8A-4656-AB0D-CFDCA62E2662}" name="Column1320"/>
    <tableColumn id="1321" xr3:uid="{80235320-A1E6-4B25-8CD3-F66AB2BDBFDC}" name="Column1321"/>
    <tableColumn id="1322" xr3:uid="{65637AF1-A57B-4C97-9377-6581329E1571}" name="Column1322"/>
    <tableColumn id="1323" xr3:uid="{7509160C-4CBB-42FF-B530-AC191A943702}" name="Column1323"/>
    <tableColumn id="1324" xr3:uid="{BCD380B8-86D4-4EB7-841E-1D75CBA07C51}" name="Column1324"/>
    <tableColumn id="1325" xr3:uid="{E0DA1A8A-929C-4234-861B-12F3FECC7A4F}" name="Column1325"/>
    <tableColumn id="1326" xr3:uid="{99FD9EED-6DB6-4D53-A216-0782DEB1FC5E}" name="Column1326"/>
    <tableColumn id="1327" xr3:uid="{0C2ADFE4-E7B7-4B09-A0D5-C60A9579D519}" name="Column1327"/>
    <tableColumn id="1328" xr3:uid="{02F07372-4D87-4D6D-ABA9-0251563B1263}" name="Column1328"/>
    <tableColumn id="1329" xr3:uid="{AD744458-DC27-42A5-AAEE-63AE5BC9289E}" name="Column1329"/>
    <tableColumn id="1330" xr3:uid="{E084F77C-16DF-44B3-997A-F74380FACF02}" name="Column1330"/>
    <tableColumn id="1331" xr3:uid="{6C151CE6-6BD5-4BE7-BDA8-206A0A8FA917}" name="Column1331"/>
    <tableColumn id="1332" xr3:uid="{5B261351-863D-412C-A858-DE3A2D8E775B}" name="Column1332"/>
    <tableColumn id="1333" xr3:uid="{67DBD5BF-E620-4969-A712-380E9230DC64}" name="Column1333"/>
    <tableColumn id="1334" xr3:uid="{FD9B7E7D-127E-4C40-9847-072D95EA5A42}" name="Column1334"/>
    <tableColumn id="1335" xr3:uid="{BDCE1EFE-35F2-4BCE-9AFD-080F7457C77D}" name="Column1335"/>
    <tableColumn id="1336" xr3:uid="{E2D82A5D-DFA2-4E5E-9AA0-E43FF8BE085D}" name="Column1336"/>
    <tableColumn id="1337" xr3:uid="{932DC106-237A-409F-B98F-DA72FDE6D7BE}" name="Column1337"/>
    <tableColumn id="1338" xr3:uid="{68E7C2BC-9D06-4D14-8820-70FD25A60452}" name="Column1338"/>
    <tableColumn id="1339" xr3:uid="{1788DFF1-5303-4EEC-8541-4125889EF439}" name="Column1339"/>
    <tableColumn id="1340" xr3:uid="{138BA295-D930-4DC8-80BB-6A8EDDC27AC1}" name="Column1340"/>
    <tableColumn id="1341" xr3:uid="{3249E84E-CA79-4BC7-B8C6-A7C12EA74302}" name="Column1341"/>
    <tableColumn id="1342" xr3:uid="{900626C6-BA04-421B-91CD-03EF95ED90E8}" name="Column1342"/>
    <tableColumn id="1343" xr3:uid="{EDB19949-D0BF-492C-912A-8FD8E6D4E92D}" name="Column1343"/>
    <tableColumn id="1344" xr3:uid="{33E40F80-0F7E-4302-AAD3-B92EA2C4FD27}" name="Column1344"/>
    <tableColumn id="1345" xr3:uid="{5B954D75-FEFD-445B-B3A3-02D6A14F59A1}" name="Column1345"/>
    <tableColumn id="1346" xr3:uid="{E046B8D7-E92C-43E9-8958-F07BE8163123}" name="Column1346"/>
    <tableColumn id="1347" xr3:uid="{71A63690-70C8-4C96-92D4-A1566D8D96F0}" name="Column1347"/>
    <tableColumn id="1348" xr3:uid="{ABC6074E-12B0-4D23-9A46-A91C43AA7569}" name="Column1348"/>
    <tableColumn id="1349" xr3:uid="{38E77502-4800-4CCB-B61D-FB3A2FA86F94}" name="Column1349"/>
    <tableColumn id="1350" xr3:uid="{74C7B340-9BC5-49A5-A018-1929F7AC13F9}" name="Column1350"/>
    <tableColumn id="1351" xr3:uid="{E4856D4D-7115-4739-AC71-2D3B20EDDBA0}" name="Column1351"/>
    <tableColumn id="1352" xr3:uid="{5ABA559E-76F7-4416-B8D9-EBC8C905A031}" name="Column1352"/>
    <tableColumn id="1353" xr3:uid="{35DFD394-FE69-4FA2-BEC2-94FDF1C36C62}" name="Column1353"/>
    <tableColumn id="1354" xr3:uid="{68607658-98B5-4B49-B741-1DF3482D852F}" name="Column1354"/>
    <tableColumn id="1355" xr3:uid="{F83FCC85-0F99-4817-8EEE-5083E9F50404}" name="Column1355"/>
    <tableColumn id="1356" xr3:uid="{514711DC-5C39-42E9-A5FB-B3119EA6711A}" name="Column1356"/>
    <tableColumn id="1357" xr3:uid="{3A81AFDA-37FE-496B-BAAD-3F5B60FFD2D7}" name="Column1357"/>
    <tableColumn id="1358" xr3:uid="{6337D1B1-1A93-494A-8B01-49F14C4D5091}" name="Column1358"/>
    <tableColumn id="1359" xr3:uid="{FE985A59-AF8D-4080-AC59-47CA35C9DFFD}" name="Column1359"/>
    <tableColumn id="1360" xr3:uid="{58E3A6AB-9053-4F49-841F-9A613F226FCF}" name="Column1360"/>
    <tableColumn id="1361" xr3:uid="{CEDA9B44-BF9E-4F75-B37E-4C535424E4FE}" name="Column1361"/>
    <tableColumn id="1362" xr3:uid="{822044BA-3A14-466D-B1F1-D00F5FF5D667}" name="Column1362"/>
    <tableColumn id="1363" xr3:uid="{D8124753-11F5-4785-91EE-1967571ADC1A}" name="Column1363"/>
    <tableColumn id="1364" xr3:uid="{9693A7A6-55AD-4C49-A7F0-801E583B1DBD}" name="Column1364"/>
    <tableColumn id="1365" xr3:uid="{7C995B3E-CCB7-43FA-98BF-1E43C8E38AE3}" name="Column1365"/>
    <tableColumn id="1366" xr3:uid="{9217ABF3-364F-433A-A0E2-E1638857079D}" name="Column1366"/>
    <tableColumn id="1367" xr3:uid="{66F6DBAE-18AA-44A6-ACCF-2F71AFB90326}" name="Column1367"/>
    <tableColumn id="1368" xr3:uid="{58A2D76A-98EB-48D7-813F-A64BA930A1D6}" name="Column1368"/>
    <tableColumn id="1369" xr3:uid="{DC61F222-2810-4CE9-BE32-ECE702EF50D0}" name="Column1369"/>
    <tableColumn id="1370" xr3:uid="{1E575EBF-2703-47CB-BAC8-53B9F017BA7A}" name="Column1370"/>
    <tableColumn id="1371" xr3:uid="{9C976183-B150-459D-80BF-E4C45E4322EB}" name="Column1371"/>
    <tableColumn id="1372" xr3:uid="{4D69FEA0-4F8C-40D2-941C-2BDAE0FD53C9}" name="Column1372"/>
    <tableColumn id="1373" xr3:uid="{25BA4ECB-45BC-4E37-9E1B-72FA76BAE52B}" name="Column1373"/>
    <tableColumn id="1374" xr3:uid="{428E6A6A-1C2F-4746-8B6D-15A50FFC7DC5}" name="Column1374"/>
    <tableColumn id="1375" xr3:uid="{70448943-2BA5-4661-B3D1-3708EE0C3BBD}" name="Column1375"/>
    <tableColumn id="1376" xr3:uid="{FBEDA782-4672-4B31-9FF7-9981779747DB}" name="Column1376"/>
    <tableColumn id="1377" xr3:uid="{AF7E33D8-368C-4B04-9D18-452B764BE66E}" name="Column1377"/>
    <tableColumn id="1378" xr3:uid="{D7C01DC9-D938-4D9D-B186-874896493C75}" name="Column1378"/>
    <tableColumn id="1379" xr3:uid="{718121A7-D697-4783-9B43-F55CFC71A8FE}" name="Column1379"/>
    <tableColumn id="1380" xr3:uid="{DEA608F3-6FB0-4E09-B38D-DA8BDFA99552}" name="Column1380"/>
    <tableColumn id="1381" xr3:uid="{69F5BBA2-C988-4085-AECF-D5805D2BE620}" name="Column1381"/>
    <tableColumn id="1382" xr3:uid="{A263A619-572A-44A8-9F00-F02C45F3BF9B}" name="Column1382"/>
    <tableColumn id="1383" xr3:uid="{2A83B362-9B28-4DB1-93D3-470E7F541116}" name="Column1383"/>
    <tableColumn id="1384" xr3:uid="{87BC0E16-A586-4D73-913D-B207A374DBC9}" name="Column1384"/>
    <tableColumn id="1385" xr3:uid="{E18E109B-1A95-474D-B36D-6B397C6A7699}" name="Column1385"/>
    <tableColumn id="1386" xr3:uid="{FFFAD95C-2F19-45A0-8689-46528CE5064D}" name="Column1386"/>
    <tableColumn id="1387" xr3:uid="{8C32D9E3-BF06-4EA0-8B5F-AA34D8525E01}" name="Column1387"/>
    <tableColumn id="1388" xr3:uid="{79CE6F36-EDEC-4911-8914-4ECCCDEAB9B8}" name="Column1388"/>
    <tableColumn id="1389" xr3:uid="{4554E0E5-F543-4A06-9BB8-22686074464A}" name="Column1389"/>
    <tableColumn id="1390" xr3:uid="{373FA477-7180-44CE-93E9-B5FC2682D4B1}" name="Column1390"/>
    <tableColumn id="1391" xr3:uid="{CF1AAB58-FD33-4D28-8749-71B31C3B118B}" name="Column1391"/>
    <tableColumn id="1392" xr3:uid="{300FD600-28D3-48BD-A754-9F94EA579339}" name="Column1392"/>
    <tableColumn id="1393" xr3:uid="{2C5D9A00-D938-4C0F-B498-34D26A218BEC}" name="Column1393"/>
    <tableColumn id="1394" xr3:uid="{E56734EE-08BC-4ECC-96D0-E9CD942EB704}" name="Column1394"/>
    <tableColumn id="1395" xr3:uid="{FCC559A9-913C-4F28-A226-09C114684A0E}" name="Column1395"/>
    <tableColumn id="1396" xr3:uid="{54C329E2-E95C-449B-BB02-651090F82BF9}" name="Column1396"/>
    <tableColumn id="1397" xr3:uid="{CB014942-ADE3-45BB-A2CF-02C6B6910E9B}" name="Column1397"/>
    <tableColumn id="1398" xr3:uid="{9A4B4823-51AC-489A-B5DA-A9119D844127}" name="Column1398"/>
    <tableColumn id="1399" xr3:uid="{ED9AAF77-E97D-4D62-8191-48BF3E79FF61}" name="Column1399"/>
    <tableColumn id="1400" xr3:uid="{29711684-ACA5-4F44-A6DF-4C37D0886FF4}" name="Column1400"/>
    <tableColumn id="1401" xr3:uid="{4B214AA1-B72D-4D0B-8477-50227F7D457A}" name="Column1401"/>
    <tableColumn id="1402" xr3:uid="{B06BC1F3-BE60-45BE-99A5-C418CBFAA164}" name="Column1402"/>
    <tableColumn id="1403" xr3:uid="{AF596C60-8F2A-4DEC-A806-00A7806CED34}" name="Column1403"/>
    <tableColumn id="1404" xr3:uid="{34BD26C3-2FCE-467F-9135-A5FEA4277C50}" name="Column1404"/>
    <tableColumn id="1405" xr3:uid="{0567D9D0-8320-4A67-B91F-FF32CF9F9F08}" name="Column1405"/>
    <tableColumn id="1406" xr3:uid="{4B1FB084-F067-4F97-882E-3B4431E1D8E7}" name="Column1406"/>
    <tableColumn id="1407" xr3:uid="{FEE3ACA3-511D-4FEF-8D4F-4B598B8BE1E4}" name="Column1407"/>
    <tableColumn id="1408" xr3:uid="{E5207177-8C40-4B4B-8C68-4A488B3EA069}" name="Column1408"/>
    <tableColumn id="1409" xr3:uid="{C7640693-804E-4C57-B480-9CB4E1D48215}" name="Column1409"/>
    <tableColumn id="1410" xr3:uid="{ACDAD872-0991-45E8-957F-E5C2C7F86472}" name="Column1410"/>
    <tableColumn id="1411" xr3:uid="{810C534E-4A05-4F3E-8AEB-AFDB7F6D38FD}" name="Column1411"/>
    <tableColumn id="1412" xr3:uid="{C1005AF0-BF6F-485D-A2B5-2B231511FBAD}" name="Column1412"/>
    <tableColumn id="1413" xr3:uid="{4B2C13A2-B25F-4458-A294-877FAFD6492F}" name="Column1413"/>
    <tableColumn id="1414" xr3:uid="{C20B9BD7-E2A5-493C-99D4-BE8A9A444652}" name="Column1414"/>
    <tableColumn id="1415" xr3:uid="{36408E0A-AB8D-489B-8038-C0FBC29D567B}" name="Column1415"/>
    <tableColumn id="1416" xr3:uid="{D7124BDA-28D9-41B4-8B9C-A87E0B8012B3}" name="Column1416"/>
    <tableColumn id="1417" xr3:uid="{EB7723E2-7AF3-4FBB-A841-1ACC3465E1BB}" name="Column1417"/>
    <tableColumn id="1418" xr3:uid="{AD2A53FE-704F-4348-95E3-B5B75B7ECEE8}" name="Column1418"/>
    <tableColumn id="1419" xr3:uid="{B021EA85-FC3F-4668-B733-4D44A1202515}" name="Column1419"/>
    <tableColumn id="1420" xr3:uid="{726156B2-8EA2-4CEA-8EEC-AFB8A1F2C055}" name="Column1420"/>
    <tableColumn id="1421" xr3:uid="{08EAB4CA-1583-4BFF-9632-FD3ED9E0BB82}" name="Column1421"/>
    <tableColumn id="1422" xr3:uid="{2CB9D888-3028-478A-B89F-52FE9DCDE54D}" name="Column1422"/>
    <tableColumn id="1423" xr3:uid="{EC8F5140-E2D6-4AF8-BFC2-A5376956F656}" name="Column1423"/>
    <tableColumn id="1424" xr3:uid="{87766AAC-2D24-4732-9165-3CA697134D6B}" name="Column1424"/>
    <tableColumn id="1425" xr3:uid="{65B2811E-2638-4F69-A1AA-9438C26FD5DE}" name="Column1425"/>
    <tableColumn id="1426" xr3:uid="{CA12AD26-58E6-4427-8B6E-971020FF4589}" name="Column1426"/>
    <tableColumn id="1427" xr3:uid="{E3BD21C6-3A72-4526-A2A6-183E9B869FD8}" name="Column1427"/>
    <tableColumn id="1428" xr3:uid="{E814EE14-FF28-4F2B-9910-DF28F20AB68D}" name="Column1428"/>
    <tableColumn id="1429" xr3:uid="{BCE337D4-73DC-4CF3-A496-6CDBFC5A0875}" name="Column1429"/>
    <tableColumn id="1430" xr3:uid="{6C5BA6E3-64E3-418A-8988-AAB50D6520A2}" name="Column1430"/>
    <tableColumn id="1431" xr3:uid="{C748542D-8CA9-41D5-90EC-09644DD058B4}" name="Column1431"/>
    <tableColumn id="1432" xr3:uid="{9AB11D8E-9724-48BD-BF89-865ACAA10B77}" name="Column1432"/>
    <tableColumn id="1433" xr3:uid="{41C7E28C-301C-462E-BEE4-963B5FC308D6}" name="Column1433"/>
    <tableColumn id="1434" xr3:uid="{BBBFCFB2-8C48-4633-A5B6-A5AF38482682}" name="Column1434"/>
    <tableColumn id="1435" xr3:uid="{0014D6C5-B7EB-4217-8630-B61FCBD2A568}" name="Column1435"/>
    <tableColumn id="1436" xr3:uid="{45EBE3AB-D114-4893-AC22-F1A5764A67A2}" name="Column1436"/>
    <tableColumn id="1437" xr3:uid="{91A98938-40B2-4077-B7F3-F6D79AE64D5D}" name="Column1437"/>
    <tableColumn id="1438" xr3:uid="{00DF6F63-9579-4686-93FC-1A1286BC4841}" name="Column1438"/>
    <tableColumn id="1439" xr3:uid="{F2C3997F-751C-4B00-B651-2FFD5B5D601D}" name="Column1439"/>
    <tableColumn id="1440" xr3:uid="{DC09C97D-1FBE-41CA-989A-2D7148070005}" name="Column1440"/>
    <tableColumn id="1441" xr3:uid="{164521C5-A6BA-4F19-8D16-263482CE61A7}" name="Column1441"/>
    <tableColumn id="1442" xr3:uid="{7501049F-D86E-4F91-9A64-219D64DBB34E}" name="Column1442"/>
    <tableColumn id="1443" xr3:uid="{C6C73DF8-3D58-4475-9AAB-91BDC588C775}" name="Column1443"/>
    <tableColumn id="1444" xr3:uid="{891E6666-7DBB-469F-A248-C1EE7B3FBCB7}" name="Column1444"/>
    <tableColumn id="1445" xr3:uid="{B69B21A1-729A-41A5-AD74-5B1E3CD0868D}" name="Column1445"/>
    <tableColumn id="1446" xr3:uid="{B84EF89A-815A-4953-8CF3-C18B9F0BF081}" name="Column1446"/>
    <tableColumn id="1447" xr3:uid="{D1F78924-F0DC-4EA0-92E8-81D3ABB49CC8}" name="Column1447"/>
    <tableColumn id="1448" xr3:uid="{DECB4095-17D0-4D85-B7BD-94C3004A4161}" name="Column1448"/>
    <tableColumn id="1449" xr3:uid="{2BC7C5DD-FEE1-41E3-A5C1-1B6CB62EC327}" name="Column1449"/>
    <tableColumn id="1450" xr3:uid="{A37CA0FE-A3F9-4EBA-9AEC-60185897E4D2}" name="Column1450"/>
    <tableColumn id="1451" xr3:uid="{1A0A9812-3DFE-4400-9461-C941ABD92BFA}" name="Column1451"/>
    <tableColumn id="1452" xr3:uid="{5E805C53-8C33-4C66-88ED-E8B61D719409}" name="Column1452"/>
    <tableColumn id="1453" xr3:uid="{A5E2D791-C832-4230-8E74-50A1390B86BB}" name="Column1453"/>
    <tableColumn id="1454" xr3:uid="{BBE51DF0-26A8-47AC-8BE1-FA30CC6F5D66}" name="Column1454"/>
    <tableColumn id="1455" xr3:uid="{5A56B22D-40BF-4940-A2C3-CB57F209BF8E}" name="Column1455"/>
    <tableColumn id="1456" xr3:uid="{89EE564A-5B58-426C-8A17-50A70C8B88ED}" name="Column1456"/>
    <tableColumn id="1457" xr3:uid="{8F07A3CE-534F-4B3C-A808-416E2367CA7B}" name="Column1457"/>
    <tableColumn id="1458" xr3:uid="{AE20AAD4-B2E7-4ACF-8FCC-C14486864D32}" name="Column1458"/>
    <tableColumn id="1459" xr3:uid="{1CA19411-0F65-4818-B41E-BE8C3B596A78}" name="Column1459"/>
    <tableColumn id="1460" xr3:uid="{F6E0942F-0328-4AA9-A4FA-494A50D344A0}" name="Column1460"/>
    <tableColumn id="1461" xr3:uid="{13FAAD2D-7638-4AF9-ADF5-352279EFA9A3}" name="Column1461"/>
    <tableColumn id="1462" xr3:uid="{9438AF8F-F142-408F-9AF9-8C93A2FC8257}" name="Column1462"/>
    <tableColumn id="1463" xr3:uid="{D6500D25-4B48-4037-BE50-2AC5C04DC641}" name="Column1463"/>
    <tableColumn id="1464" xr3:uid="{EB8BADF8-9D70-4FF5-B7FE-C43B5DF20E1C}" name="Column1464"/>
    <tableColumn id="1465" xr3:uid="{FF2F22D7-A543-4A79-9C1F-2FF84FEE9E46}" name="Column1465"/>
    <tableColumn id="1466" xr3:uid="{3E98E396-AEEF-42BE-BCFE-6C375EA484AE}" name="Column1466"/>
    <tableColumn id="1467" xr3:uid="{07684DB5-90E4-4A71-92EE-830192341746}" name="Column1467"/>
    <tableColumn id="1468" xr3:uid="{E08EE769-0423-4FB5-8E73-1838796629BB}" name="Column1468"/>
    <tableColumn id="1469" xr3:uid="{48FAFC80-EC67-49C0-A0D0-1C419562D475}" name="Column1469"/>
    <tableColumn id="1470" xr3:uid="{91B06F9A-040D-4AFB-B550-F4CBF0A01FDC}" name="Column1470"/>
    <tableColumn id="1471" xr3:uid="{8A51F351-FE6A-492A-B339-DCA13E18D21E}" name="Column1471"/>
    <tableColumn id="1472" xr3:uid="{10633CCA-3C8B-46FA-99D4-D2705E093034}" name="Column1472"/>
    <tableColumn id="1473" xr3:uid="{1E9593E9-17FF-48E2-A35D-54EA6844A311}" name="Column1473"/>
    <tableColumn id="1474" xr3:uid="{A805AC73-DBB2-4675-B205-A93629E2BD99}" name="Column1474"/>
    <tableColumn id="1475" xr3:uid="{5420D1B4-AF18-4F7F-B071-41D1EC3BB3BD}" name="Column1475"/>
    <tableColumn id="1476" xr3:uid="{66FB581A-76FD-4FE2-8321-F9077107ABB9}" name="Column1476"/>
    <tableColumn id="1477" xr3:uid="{48AB8EE0-9981-4F1A-AE10-58C20966623E}" name="Column1477"/>
    <tableColumn id="1478" xr3:uid="{6AD51531-0270-4FFB-AEC4-2D30848B4513}" name="Column1478"/>
    <tableColumn id="1479" xr3:uid="{4DC8300F-FCB6-4FFE-AC19-8589562D8D06}" name="Column1479"/>
    <tableColumn id="1480" xr3:uid="{684A7662-DD1D-47C8-B37B-142F82C9F488}" name="Column1480"/>
    <tableColumn id="1481" xr3:uid="{95A93F4C-0BCB-4888-A1F3-979396A0E91A}" name="Column1481"/>
    <tableColumn id="1482" xr3:uid="{6AF07F65-AAA8-491E-802E-54DE5D0C85D1}" name="Column1482"/>
    <tableColumn id="1483" xr3:uid="{55106D0D-3B0C-4DD8-B209-2E7739F3A51F}" name="Column1483"/>
    <tableColumn id="1484" xr3:uid="{E33CC30E-D3D2-4974-843C-E6C61C540D81}" name="Column1484"/>
    <tableColumn id="1485" xr3:uid="{96372223-8FA2-41C3-B6F5-7814239918E1}" name="Column1485"/>
    <tableColumn id="1486" xr3:uid="{C988FA05-21BA-4E91-98DB-DDC1B07A0D2F}" name="Column1486"/>
    <tableColumn id="1487" xr3:uid="{835D7F12-2F1C-4257-B393-6D5A15A18028}" name="Column1487"/>
    <tableColumn id="1488" xr3:uid="{43E51092-47A3-4700-8501-378BB3F04DCA}" name="Column1488"/>
    <tableColumn id="1489" xr3:uid="{4A81B371-407A-4315-8E53-251F29DC19E2}" name="Column1489"/>
    <tableColumn id="1490" xr3:uid="{43637870-AC0F-4188-BBEE-AACF2E02F5AB}" name="Column1490"/>
    <tableColumn id="1491" xr3:uid="{51F4A399-2FC2-4331-B687-8527AB1FFD63}" name="Column1491"/>
    <tableColumn id="1492" xr3:uid="{29DF8CA6-96A6-4B14-931A-4704D5F64296}" name="Column1492"/>
    <tableColumn id="1493" xr3:uid="{D44716CB-BAA0-49E5-A305-E790812D1390}" name="Column1493"/>
    <tableColumn id="1494" xr3:uid="{D23512D8-7790-42D6-9603-3F5547308E3A}" name="Column1494"/>
    <tableColumn id="1495" xr3:uid="{944B472A-6FA4-4B7E-8D71-B0200F01E4F5}" name="Column1495"/>
    <tableColumn id="1496" xr3:uid="{57EF50B3-6E11-46EB-91C8-D3EDE1A6CE74}" name="Column1496"/>
    <tableColumn id="1497" xr3:uid="{9E5C4252-2676-4215-A57F-8F454708A628}" name="Column1497"/>
    <tableColumn id="1498" xr3:uid="{0BDA840C-4B86-4011-A140-CFB0808BF3DB}" name="Column1498"/>
    <tableColumn id="1499" xr3:uid="{A50D4459-8625-4D1B-ADAD-B50C3426F532}" name="Column1499"/>
    <tableColumn id="1500" xr3:uid="{3C3F0B86-3087-435F-9AC8-C1CBA551FEBE}" name="Column1500"/>
    <tableColumn id="1501" xr3:uid="{957FA21A-145D-45F7-935C-EFE146446194}" name="Column1501"/>
    <tableColumn id="1502" xr3:uid="{30A2D39E-837A-43F0-AC11-30FF774D399F}" name="Column1502"/>
    <tableColumn id="1503" xr3:uid="{C3EF560D-0C11-46F8-BD98-BF77F74AFA30}" name="Column1503"/>
    <tableColumn id="1504" xr3:uid="{0D16AC8C-2C90-4D4F-BE53-60FEB750EC8D}" name="Column1504"/>
    <tableColumn id="1505" xr3:uid="{9F8822C0-7796-4A34-99CF-58F1BCF2D58F}" name="Column1505"/>
    <tableColumn id="1506" xr3:uid="{1F234CE2-8ED5-40DB-8A91-610AFA42ECCE}" name="Column1506"/>
    <tableColumn id="1507" xr3:uid="{D74D0D7A-CFBD-4759-B1D7-C9092CA6F90E}" name="Column1507"/>
    <tableColumn id="1508" xr3:uid="{861503E9-E0B0-457D-A587-2BCB8FE0272F}" name="Column1508"/>
    <tableColumn id="1509" xr3:uid="{DE335272-3BE1-4940-8D1D-4C763CF2A19C}" name="Column1509"/>
    <tableColumn id="1510" xr3:uid="{13F2B762-0EE2-4875-9167-EA9D2DC8C212}" name="Column1510"/>
    <tableColumn id="1511" xr3:uid="{7FB9E5D5-2A4F-4523-9DED-F8607F10E678}" name="Column1511"/>
    <tableColumn id="1512" xr3:uid="{02BD0D0A-18B2-477B-A3E8-DC363748CEA5}" name="Column1512"/>
    <tableColumn id="1513" xr3:uid="{21CF202E-2119-4161-815A-6A2686B97530}" name="Column1513"/>
    <tableColumn id="1514" xr3:uid="{4749F027-E42E-4D07-A2CF-491CC865EEB1}" name="Column1514"/>
    <tableColumn id="1515" xr3:uid="{2E4F5A0A-3CFB-43F1-A6A4-2D0C95656282}" name="Column1515"/>
    <tableColumn id="1516" xr3:uid="{D1E0E87F-9AB8-4EF8-A698-6529D4E15FEC}" name="Column1516"/>
    <tableColumn id="1517" xr3:uid="{8FC7F203-BA89-4CDC-A144-38D423F8F38C}" name="Column1517"/>
    <tableColumn id="1518" xr3:uid="{C12A4B2E-18C9-462C-B483-08FB47396BA5}" name="Column1518"/>
    <tableColumn id="1519" xr3:uid="{9A8B1749-063A-4C99-AE08-5209ED9CD78F}" name="Column1519"/>
    <tableColumn id="1520" xr3:uid="{6212FF4A-A081-4E00-9387-1C8A4FD68100}" name="Column1520"/>
    <tableColumn id="1521" xr3:uid="{A5AEA459-70FC-4525-A6E4-01CA0A6A0D6E}" name="Column1521"/>
    <tableColumn id="1522" xr3:uid="{E6183112-24E8-4FCF-8DFF-85A893EA4E9D}" name="Column1522"/>
    <tableColumn id="1523" xr3:uid="{3DB357BD-0B9C-42EA-AFDB-5F2B5A1564EB}" name="Column1523"/>
    <tableColumn id="1524" xr3:uid="{4F4AB5CD-F78B-418D-87D3-9F08F51318A9}" name="Column1524"/>
    <tableColumn id="1525" xr3:uid="{36F845C2-51B6-45EB-800E-7C15E32C9035}" name="Column1525"/>
    <tableColumn id="1526" xr3:uid="{27AAC758-DA36-45F5-9B03-729AE03AF859}" name="Column1526"/>
    <tableColumn id="1527" xr3:uid="{5F0BBF3C-A18E-4055-9B1A-17C2CB9A5CFE}" name="Column1527"/>
    <tableColumn id="1528" xr3:uid="{C3EBDBA7-9D8C-4CA5-A2BE-6CF4B58E1297}" name="Column1528"/>
    <tableColumn id="1529" xr3:uid="{A2C39D6A-DF45-41BE-9FC3-68719C0156C9}" name="Column1529"/>
    <tableColumn id="1530" xr3:uid="{B2ECDDFB-3A52-4034-9D06-69CC08343C2E}" name="Column1530"/>
    <tableColumn id="1531" xr3:uid="{9A839ECE-7F86-495B-A45E-1D9D713790DD}" name="Column1531"/>
    <tableColumn id="1532" xr3:uid="{FAFDA560-9F17-4858-AC52-5F016C62D5E6}" name="Column1532"/>
    <tableColumn id="1533" xr3:uid="{9BB9BB7D-6322-4E10-8D4C-0FDD4500B03F}" name="Column1533"/>
    <tableColumn id="1534" xr3:uid="{DB1D847A-BF66-4308-B3B1-6D567A55B926}" name="Column1534"/>
    <tableColumn id="1535" xr3:uid="{A7E93648-3307-4EAF-B0B1-842F5845D327}" name="Column1535"/>
    <tableColumn id="1536" xr3:uid="{3AFE9DAF-9D6D-40C5-AD16-09FC0717B173}" name="Column1536"/>
    <tableColumn id="1537" xr3:uid="{49187FD4-1096-42B9-A476-7B8FE4C68514}" name="Column1537"/>
    <tableColumn id="1538" xr3:uid="{E899DB91-EAD3-4912-8BEE-087EF521FF2A}" name="Column1538"/>
    <tableColumn id="1539" xr3:uid="{2BEB8BA1-6958-4D50-8EAD-0C3829D694CE}" name="Column1539"/>
    <tableColumn id="1540" xr3:uid="{0F105D01-60ED-4AFA-B39D-CFB2819EAE8B}" name="Column1540"/>
    <tableColumn id="1541" xr3:uid="{92D6A45D-0875-463E-B42C-21E86F095C36}" name="Column1541"/>
    <tableColumn id="1542" xr3:uid="{3090780A-FC45-409F-A5BD-93F6FB1F65FD}" name="Column1542"/>
    <tableColumn id="1543" xr3:uid="{66AA51EB-E1A0-48FF-B31F-A44614D6DED1}" name="Column1543"/>
    <tableColumn id="1544" xr3:uid="{AC3AFE93-6A3A-4605-9888-44A563113AE0}" name="Column1544"/>
    <tableColumn id="1545" xr3:uid="{16BCA838-51C5-4D0A-A9B9-421FA1779850}" name="Column1545"/>
    <tableColumn id="1546" xr3:uid="{325F4C35-435A-4B88-AB46-5A9BEB30512A}" name="Column1546"/>
    <tableColumn id="1547" xr3:uid="{9AE1F7F5-262C-4035-93D3-D31B098BA912}" name="Column1547"/>
    <tableColumn id="1548" xr3:uid="{3AD9C397-62BD-4B20-85F4-F320D18C0BBF}" name="Column1548"/>
    <tableColumn id="1549" xr3:uid="{1AB7181A-B933-4600-BFDC-887C6E2ED8DB}" name="Column1549"/>
    <tableColumn id="1550" xr3:uid="{7E3AC978-1A64-49C5-9134-F94289B6132C}" name="Column1550"/>
    <tableColumn id="1551" xr3:uid="{F36110DD-9E32-4DDF-B904-CF8334C56DA9}" name="Column1551"/>
    <tableColumn id="1552" xr3:uid="{3705F46C-6E51-4E3B-869D-9ECC3F0A7CA8}" name="Column1552"/>
    <tableColumn id="1553" xr3:uid="{1F4A698D-953D-4996-B856-4D92F011B3FC}" name="Column1553"/>
    <tableColumn id="1554" xr3:uid="{0151BB50-AAD7-44B1-ADE0-03B8FC837C44}" name="Column1554"/>
    <tableColumn id="1555" xr3:uid="{0CEFE646-D6E4-482B-9265-C0ED203169DD}" name="Column1555"/>
    <tableColumn id="1556" xr3:uid="{372A3384-FC35-444F-AB4F-72F72909C3DE}" name="Column1556"/>
    <tableColumn id="1557" xr3:uid="{83658A6E-52E2-42C8-BDE4-B45115B0B73D}" name="Column1557"/>
    <tableColumn id="1558" xr3:uid="{62905525-1CF8-4BD7-B4C5-6F0B165FAFC8}" name="Column1558"/>
    <tableColumn id="1559" xr3:uid="{5B597A33-94FC-4CD4-B980-9CC518467BB9}" name="Column1559"/>
    <tableColumn id="1560" xr3:uid="{E5CD131D-CF29-46F5-8173-ED3C44CD4137}" name="Column1560"/>
    <tableColumn id="1561" xr3:uid="{383D07C1-55B1-487D-8B22-9D2991B7D9DF}" name="Column1561"/>
    <tableColumn id="1562" xr3:uid="{1B17ECAD-B8A8-411E-869B-C6E854ABB17E}" name="Column1562"/>
    <tableColumn id="1563" xr3:uid="{E8C4B24D-6E25-4A0A-8FC5-F724539082D1}" name="Column1563"/>
    <tableColumn id="1564" xr3:uid="{11D881F6-911F-4CC7-8EDE-911054442256}" name="Column1564"/>
    <tableColumn id="1565" xr3:uid="{802AFBD1-8512-4018-B219-402ADBC0D2AC}" name="Column1565"/>
    <tableColumn id="1566" xr3:uid="{4F48A748-E417-4D8C-8B15-B93DCE73F70B}" name="Column1566"/>
    <tableColumn id="1567" xr3:uid="{64D3436C-825A-4229-B634-8730D22D2841}" name="Column1567"/>
    <tableColumn id="1568" xr3:uid="{D671DF23-D0B8-4CA7-B19A-4482B904737D}" name="Column1568"/>
    <tableColumn id="1569" xr3:uid="{2B036085-F4F5-48E0-AF9E-0B239B9425FE}" name="Column1569"/>
    <tableColumn id="1570" xr3:uid="{05B9E4EA-8B3A-4396-A655-05BDC8455B5E}" name="Column1570"/>
    <tableColumn id="1571" xr3:uid="{5B49F1DD-AE0D-4B40-B318-1E5B7BEED1ED}" name="Column1571"/>
    <tableColumn id="1572" xr3:uid="{16139281-B2AB-4805-89DB-8A50AB519484}" name="Column1572"/>
    <tableColumn id="1573" xr3:uid="{8148BADF-651B-4B7A-9D0E-3242695E9165}" name="Column1573"/>
    <tableColumn id="1574" xr3:uid="{13ED37ED-0EE8-499F-BB6A-9F46025BD239}" name="Column1574"/>
    <tableColumn id="1575" xr3:uid="{C6B327AA-5586-45E6-BC42-D08F59A54F6A}" name="Column1575"/>
    <tableColumn id="1576" xr3:uid="{055C853F-F359-4035-987D-3465CDD56ECB}" name="Column1576"/>
    <tableColumn id="1577" xr3:uid="{CF73790B-41CE-4268-84BF-9F7BD51993D2}" name="Column1577"/>
    <tableColumn id="1578" xr3:uid="{15077CE7-CBCC-48BC-9ADB-90604C1A2B98}" name="Column1578"/>
    <tableColumn id="1579" xr3:uid="{3C198F1E-38CA-4619-84BF-D8B3587E7567}" name="Column1579"/>
    <tableColumn id="1580" xr3:uid="{EBB6AC2F-B02D-4EEA-9EA6-66A16D754339}" name="Column1580"/>
    <tableColumn id="1581" xr3:uid="{84C11F8A-F020-416D-9B79-FE34FDECAFA8}" name="Column1581"/>
    <tableColumn id="1582" xr3:uid="{FF97A665-1DDE-4B0B-8479-60548AC33608}" name="Column1582"/>
    <tableColumn id="1583" xr3:uid="{FB50299C-38A2-4D2A-8390-D6EEDB2580CC}" name="Column1583"/>
    <tableColumn id="1584" xr3:uid="{86F84A1D-478F-4C78-B42B-E55B67979A74}" name="Column1584"/>
    <tableColumn id="1585" xr3:uid="{7671C179-FC38-4A7A-B128-7F7FA4648B5D}" name="Column1585"/>
    <tableColumn id="1586" xr3:uid="{92D15165-45CB-4D36-8AFE-E102FAB1038B}" name="Column1586"/>
    <tableColumn id="1587" xr3:uid="{326AB806-C6DE-4FAB-953D-97B735EE6308}" name="Column1587"/>
    <tableColumn id="1588" xr3:uid="{CDC728CF-3013-4F92-BE93-5A25F2250EB0}" name="Column1588"/>
    <tableColumn id="1589" xr3:uid="{B0C5ADD8-558A-43FD-BCE1-E216A60914D0}" name="Column1589"/>
    <tableColumn id="1590" xr3:uid="{3C038256-4F2E-49DA-9299-138DC46C79E3}" name="Column1590"/>
    <tableColumn id="1591" xr3:uid="{7CF86342-184A-4394-8914-CE0044D7B7AB}" name="Column1591"/>
    <tableColumn id="1592" xr3:uid="{4CB378FA-4959-413B-89C4-03E16E403F64}" name="Column1592"/>
    <tableColumn id="1593" xr3:uid="{A856B459-9AE7-45C7-B493-FFB46605A431}" name="Column1593"/>
    <tableColumn id="1594" xr3:uid="{F373E883-3A4E-4D51-A6AF-A8D18B487404}" name="Column1594"/>
    <tableColumn id="1595" xr3:uid="{E79FE79A-F5D9-4D3E-A60F-EB25D52F723A}" name="Column1595"/>
    <tableColumn id="1596" xr3:uid="{812A279F-A0DF-4F88-BA6D-A9B2C03B239B}" name="Column1596"/>
    <tableColumn id="1597" xr3:uid="{878AA8A8-2609-4120-A412-51CE5B7E0BC6}" name="Column1597"/>
    <tableColumn id="1598" xr3:uid="{536CBFA8-9B9D-41B7-8D40-86497B706F3A}" name="Column1598"/>
    <tableColumn id="1599" xr3:uid="{3A883C24-2975-4ACE-966A-7CEE6608267F}" name="Column1599"/>
    <tableColumn id="1600" xr3:uid="{D6151D57-3725-495A-B737-895E9F053C60}" name="Column1600"/>
    <tableColumn id="1601" xr3:uid="{D5D78083-F252-4C8E-92F6-21819579EB1C}" name="Column1601"/>
    <tableColumn id="1602" xr3:uid="{569BA295-695E-4BC4-92CE-1902B6B79D93}" name="Column1602"/>
    <tableColumn id="1603" xr3:uid="{29E63848-7C6B-426C-A488-F50D7FB45F9F}" name="Column1603"/>
    <tableColumn id="1604" xr3:uid="{CBE10E65-0F3A-4499-8C21-0C09989C75D0}" name="Column1604"/>
    <tableColumn id="1605" xr3:uid="{8A2A9155-2C94-4C02-9EAE-DDB37A89BBA1}" name="Column1605"/>
    <tableColumn id="1606" xr3:uid="{5DDE40B0-B016-42D5-ABB4-945F2E465A69}" name="Column1606"/>
    <tableColumn id="1607" xr3:uid="{0D5C4F09-377C-4338-8F0C-62AA20E08AE6}" name="Column1607"/>
    <tableColumn id="1608" xr3:uid="{7B3AF3AA-AAF4-42D5-8544-49E3056FECC6}" name="Column1608"/>
    <tableColumn id="1609" xr3:uid="{DEDAE9FF-2C13-4C2D-8EF1-EDB669FC5FC7}" name="Column1609"/>
    <tableColumn id="1610" xr3:uid="{B189229F-2423-45C4-90D9-45CCA185F316}" name="Column1610"/>
    <tableColumn id="1611" xr3:uid="{C046EF50-5731-480C-BD26-7DA49ECA365A}" name="Column1611"/>
    <tableColumn id="1612" xr3:uid="{E173A522-6987-44AA-A124-45E106D741F6}" name="Column1612"/>
    <tableColumn id="1613" xr3:uid="{BF715729-55AA-4494-8843-968CA4DAE760}" name="Column1613"/>
    <tableColumn id="1614" xr3:uid="{98A3BAC2-CE6B-4C4D-8492-88F855CE6AFF}" name="Column1614"/>
    <tableColumn id="1615" xr3:uid="{23D3FDFA-DB19-4C3A-8898-CB3DDF3B89B5}" name="Column1615"/>
    <tableColumn id="1616" xr3:uid="{8266CB21-129B-4D63-B9AB-DC775969228F}" name="Column1616"/>
    <tableColumn id="1617" xr3:uid="{0E320C84-0954-472D-BF6B-E3BABA9AB9B4}" name="Column1617"/>
    <tableColumn id="1618" xr3:uid="{004F40B2-A21B-47A0-8B48-4E135EAB048C}" name="Column1618"/>
    <tableColumn id="1619" xr3:uid="{594F8235-19AA-4800-86A5-24413AADF45E}" name="Column1619"/>
    <tableColumn id="1620" xr3:uid="{F790D642-012C-4263-B33D-D84D193C6608}" name="Column1620"/>
    <tableColumn id="1621" xr3:uid="{61C0609F-EC92-4B8E-83B9-C64A015F11CE}" name="Column1621"/>
    <tableColumn id="1622" xr3:uid="{21BADF5D-7517-40CB-BE26-F3BE28F7A715}" name="Column1622"/>
    <tableColumn id="1623" xr3:uid="{C707E4F0-3326-4E44-85A4-2EC44CB15A46}" name="Column1623"/>
    <tableColumn id="1624" xr3:uid="{ECC80E18-B10F-4B79-90BD-80641073AF79}" name="Column1624"/>
    <tableColumn id="1625" xr3:uid="{ABD4A815-DC0B-420A-93D6-CD778EDB598B}" name="Column1625"/>
    <tableColumn id="1626" xr3:uid="{F8F9F9AD-C893-4C12-8247-B4F69C2988B9}" name="Column1626"/>
    <tableColumn id="1627" xr3:uid="{3D867014-459D-4D91-B8A5-8829F93F2AF0}" name="Column1627"/>
    <tableColumn id="1628" xr3:uid="{629FA00F-3CBF-4646-81F7-41CB932B0C0B}" name="Column1628"/>
    <tableColumn id="1629" xr3:uid="{CB0A783D-77E9-4F53-9E47-5CB0CA9E8C0D}" name="Column1629"/>
    <tableColumn id="1630" xr3:uid="{D366A65C-9AC3-4FA4-8D0B-3E42BDB95D00}" name="Column1630"/>
    <tableColumn id="1631" xr3:uid="{58A1EE13-5B3D-4EC4-AD5F-B0BC8CB5556B}" name="Column1631"/>
    <tableColumn id="1632" xr3:uid="{01B9CCCE-31CE-4A1F-99F3-43E47D7CF11B}" name="Column1632"/>
    <tableColumn id="1633" xr3:uid="{73C4B555-F66F-41F1-A883-28E47F2350F7}" name="Column1633"/>
    <tableColumn id="1634" xr3:uid="{0253AAF6-0478-42AD-BBEA-B10DD6BC6123}" name="Column1634"/>
    <tableColumn id="1635" xr3:uid="{231EEC52-328B-41B9-916F-51F7C9CD7B12}" name="Column1635"/>
    <tableColumn id="1636" xr3:uid="{C3BB9699-D36C-4482-AC49-7BF607A30AC5}" name="Column1636"/>
    <tableColumn id="1637" xr3:uid="{2A57AF0D-C0B1-42B0-9DD8-7D2646D202A6}" name="Column1637"/>
    <tableColumn id="1638" xr3:uid="{D642548C-E270-4DF1-BA25-68E033A4F896}" name="Column1638"/>
    <tableColumn id="1639" xr3:uid="{E8B21D3D-FF85-4B61-B08B-4285371F6A3C}" name="Column1639"/>
    <tableColumn id="1640" xr3:uid="{7673D297-9DD9-4919-9E23-4693F9214351}" name="Column1640"/>
    <tableColumn id="1641" xr3:uid="{53A94171-2E23-4466-8EF5-9EA1603C1008}" name="Column1641"/>
    <tableColumn id="1642" xr3:uid="{C2615B63-B242-47CA-8A87-6EEA9D00DE7A}" name="Column1642"/>
    <tableColumn id="1643" xr3:uid="{3FCBF4E9-EA52-483B-ACC4-F77C3F0E1F12}" name="Column1643"/>
    <tableColumn id="1644" xr3:uid="{BC3A946F-E0A7-4AEE-B69A-07D43B71809F}" name="Column1644"/>
    <tableColumn id="1645" xr3:uid="{E4BBAFFB-195D-46E2-81A8-97E3892C4B75}" name="Column1645"/>
    <tableColumn id="1646" xr3:uid="{91AF4E09-6BCA-4245-BD26-D230A44436CE}" name="Column1646"/>
    <tableColumn id="1647" xr3:uid="{2F8F3BE3-76EF-4A45-99EE-E45CA0ADE50A}" name="Column1647"/>
    <tableColumn id="1648" xr3:uid="{3B9E2640-DC2F-4DF1-A07D-AFAEC5E57F93}" name="Column1648"/>
    <tableColumn id="1649" xr3:uid="{5D100F90-8237-40DE-BC20-1846C2393D8A}" name="Column1649"/>
    <tableColumn id="1650" xr3:uid="{22928C41-FF4E-4D4F-8C69-C33B0BEFA887}" name="Column1650"/>
    <tableColumn id="1651" xr3:uid="{3100DAFF-C34D-48F8-AD7C-A44398F0FF09}" name="Column1651"/>
    <tableColumn id="1652" xr3:uid="{6274E21B-A2C9-42AE-AE73-A879B900FE25}" name="Column1652"/>
    <tableColumn id="1653" xr3:uid="{BEBD207C-E426-49DE-BC58-99A8FF241F5C}" name="Column1653"/>
    <tableColumn id="1654" xr3:uid="{24176CA2-4446-47AA-9559-74CE57E3D09C}" name="Column1654"/>
    <tableColumn id="1655" xr3:uid="{CF33A783-B02C-4237-AC9E-DD4793495202}" name="Column1655"/>
    <tableColumn id="1656" xr3:uid="{D8D16E98-CD5C-4353-A507-E164A77EF8ED}" name="Column1656"/>
    <tableColumn id="1657" xr3:uid="{CCDE0F9B-720B-44D8-B942-967F88809261}" name="Column1657"/>
    <tableColumn id="1658" xr3:uid="{80B64E9C-EDB9-4421-9411-DBE297C496B3}" name="Column1658"/>
    <tableColumn id="1659" xr3:uid="{3C47D61A-1B63-435F-8EAD-B7CB8100A2B7}" name="Column1659"/>
    <tableColumn id="1660" xr3:uid="{DCDDD807-A3A3-41A8-A566-3E881B40D88A}" name="Column1660"/>
    <tableColumn id="1661" xr3:uid="{B5B4F2D1-A4B6-405A-B92F-C6CBDC7F36F2}" name="Column1661"/>
    <tableColumn id="1662" xr3:uid="{67BB12BC-B4CD-4D68-A54E-8AE739F3C00D}" name="Column1662"/>
    <tableColumn id="1663" xr3:uid="{08992825-EBCF-4986-B435-D2BEDD549836}" name="Column1663"/>
    <tableColumn id="1664" xr3:uid="{D83C95E2-1DEF-4309-A7D7-7E24FDED7FB4}" name="Column1664"/>
    <tableColumn id="1665" xr3:uid="{007C1242-2A91-42AB-A9C7-FB46953543E1}" name="Column1665"/>
    <tableColumn id="1666" xr3:uid="{74C2A84D-0F50-4DBC-B010-C45D41F950CB}" name="Column1666"/>
    <tableColumn id="1667" xr3:uid="{287653BF-A339-4278-9A10-9F6AADEBAEE4}" name="Column1667"/>
    <tableColumn id="1668" xr3:uid="{F26C622E-8D7B-4E24-98E5-19AAF0F94854}" name="Column1668"/>
    <tableColumn id="1669" xr3:uid="{71DFA6F1-6864-43B8-9CD7-56C834B8B779}" name="Column1669"/>
    <tableColumn id="1670" xr3:uid="{FBF4BFC6-F341-49CC-AD6C-689B3A6AB8BE}" name="Column1670"/>
    <tableColumn id="1671" xr3:uid="{90E53AA8-88FC-44D3-8F0B-C8A1F43C52D6}" name="Column1671"/>
    <tableColumn id="1672" xr3:uid="{815404BB-DD04-4BDA-A53C-6CC1D2743AA9}" name="Column1672"/>
    <tableColumn id="1673" xr3:uid="{BD69BB70-A144-442F-A865-E5D113919FAE}" name="Column1673"/>
    <tableColumn id="1674" xr3:uid="{DE6BA26F-02F1-4074-AF6E-AD597CBCFC1A}" name="Column1674"/>
    <tableColumn id="1675" xr3:uid="{7A11298F-0F01-44EA-8FDA-1B4DAA5A6CFD}" name="Column1675"/>
    <tableColumn id="1676" xr3:uid="{004795C5-9D3D-4B55-9A1E-03E9220ED8A8}" name="Column1676"/>
    <tableColumn id="1677" xr3:uid="{E0D35E42-7A2F-46F3-8634-B173B9041D8A}" name="Column1677"/>
    <tableColumn id="1678" xr3:uid="{C70143F6-C734-40B7-BC7D-0375C05FDA58}" name="Column1678"/>
    <tableColumn id="1679" xr3:uid="{6300A7AF-41C4-4902-AAF3-00BE4DC41B3C}" name="Column1679"/>
    <tableColumn id="1680" xr3:uid="{2CE25020-99C9-438E-B02B-F376D9747B3A}" name="Column1680"/>
    <tableColumn id="1681" xr3:uid="{72C63046-5467-419F-BBCB-2617728B5EB9}" name="Column1681"/>
    <tableColumn id="1682" xr3:uid="{73637B20-00A8-4A29-8FCF-0C284921E102}" name="Column1682"/>
    <tableColumn id="1683" xr3:uid="{7876F377-7AD0-4DEC-B126-5C7232E354C9}" name="Column1683"/>
    <tableColumn id="1684" xr3:uid="{186AA10D-F9B5-47E6-889B-CFADF004E24C}" name="Column1684"/>
    <tableColumn id="1685" xr3:uid="{29D76CA5-2B1F-487B-B0CB-67E48EF3C849}" name="Column1685"/>
    <tableColumn id="1686" xr3:uid="{4A821014-C701-4649-9B81-60AEC16E1FAF}" name="Column1686"/>
    <tableColumn id="1687" xr3:uid="{E334FB52-7612-4969-B7D8-E29B38AE44BC}" name="Column1687"/>
    <tableColumn id="1688" xr3:uid="{5131F105-AE89-46E6-A83F-1CB2AD9D69AA}" name="Column1688"/>
    <tableColumn id="1689" xr3:uid="{E366A1EB-4DCF-4996-A897-9B8BBA102FBD}" name="Column1689"/>
    <tableColumn id="1690" xr3:uid="{AC5734B2-2515-47A8-8074-3EC36CEDA6ED}" name="Column1690"/>
    <tableColumn id="1691" xr3:uid="{97E6AD73-0E24-48F1-AD3A-EB7503B7BCD1}" name="Column1691"/>
    <tableColumn id="1692" xr3:uid="{0D254BBC-8B44-4621-9A25-A8A4D7836541}" name="Column1692"/>
    <tableColumn id="1693" xr3:uid="{72B24966-31E1-4282-8AD1-6BE5DA8804DD}" name="Column1693"/>
    <tableColumn id="1694" xr3:uid="{0B7467C1-580B-4040-A8BF-4630EBCDD641}" name="Column1694"/>
    <tableColumn id="1695" xr3:uid="{AE86185F-6621-417F-99A8-90A422FDE0C2}" name="Column1695"/>
    <tableColumn id="1696" xr3:uid="{A8126BA5-9467-4C2E-B332-EA37132E331A}" name="Column1696"/>
    <tableColumn id="1697" xr3:uid="{D9F87156-2513-42BE-AC1D-028BBA318E5D}" name="Column1697"/>
    <tableColumn id="1698" xr3:uid="{1CF406E3-6C66-489B-8A95-D455EAC41009}" name="Column1698"/>
    <tableColumn id="1699" xr3:uid="{4FD283FD-F5C0-4506-B1E7-46BA903F6066}" name="Column1699"/>
    <tableColumn id="1700" xr3:uid="{9CC94AFC-276B-4752-A745-1459185BBEEB}" name="Column1700"/>
    <tableColumn id="1701" xr3:uid="{94EB4C52-28A9-49EA-BA12-4ABD5A6EFD42}" name="Column1701"/>
    <tableColumn id="1702" xr3:uid="{BCC639EA-6C4C-41D3-A339-A536939D8786}" name="Column1702"/>
    <tableColumn id="1703" xr3:uid="{40E51D85-8E20-4E78-82A7-F395405EB3A6}" name="Column1703"/>
    <tableColumn id="1704" xr3:uid="{37AEE83A-D161-46AB-BAB2-D2D62534CECD}" name="Column1704"/>
    <tableColumn id="1705" xr3:uid="{2FD85D3A-EB36-480D-832F-FA062884808F}" name="Column1705"/>
    <tableColumn id="1706" xr3:uid="{EB4915DE-C4E2-4F29-B952-6DCCEC0932A6}" name="Column1706"/>
    <tableColumn id="1707" xr3:uid="{8573DFD8-27C3-42E0-854B-F027199E21A9}" name="Column1707"/>
    <tableColumn id="1708" xr3:uid="{96FF9CD1-D308-4E0C-9931-35391C131435}" name="Column1708"/>
    <tableColumn id="1709" xr3:uid="{83722BFA-D6C1-4852-A647-ED6A84727D85}" name="Column1709"/>
    <tableColumn id="1710" xr3:uid="{3FF18A63-0904-4DAC-9673-17F9C9A30D39}" name="Column1710"/>
    <tableColumn id="1711" xr3:uid="{E4D8E21C-87E6-4436-8EF4-B282D081DB58}" name="Column1711"/>
    <tableColumn id="1712" xr3:uid="{250881E3-2F1C-4CAD-8565-4E2BCAFDE4FB}" name="Column1712"/>
    <tableColumn id="1713" xr3:uid="{9227D265-ED9D-4384-9EDA-71B5C5E5169C}" name="Column1713"/>
    <tableColumn id="1714" xr3:uid="{7727043B-5894-49B7-A39A-81C204BB4FAD}" name="Column1714"/>
    <tableColumn id="1715" xr3:uid="{79B9454F-E7FF-41EE-8D5D-F7141B48AD95}" name="Column1715"/>
    <tableColumn id="1716" xr3:uid="{A5F9FE6D-CCFC-4D3F-A869-EB3B3F089456}" name="Column1716"/>
    <tableColumn id="1717" xr3:uid="{C755EBD0-4F72-4027-B069-110BFD8CD346}" name="Column1717"/>
    <tableColumn id="1718" xr3:uid="{89319E89-6CAF-4336-9A88-390D524FD8DC}" name="Column1718"/>
    <tableColumn id="1719" xr3:uid="{5D395504-4673-4F1B-BB0B-1BB27C118651}" name="Column1719"/>
    <tableColumn id="1720" xr3:uid="{EC0EC8AA-951E-4014-AC49-09863FD53BC8}" name="Column1720"/>
    <tableColumn id="1721" xr3:uid="{F2ED6DDD-64BF-4F14-90DD-22D17F8B97A7}" name="Column1721"/>
    <tableColumn id="1722" xr3:uid="{D4AF3462-82D4-43BB-A8D4-15C0FE674A56}" name="Column1722"/>
    <tableColumn id="1723" xr3:uid="{4E34FB92-6780-48CB-B7EA-E6A5FB1269F7}" name="Column1723"/>
    <tableColumn id="1724" xr3:uid="{4BF382F1-341C-4C0C-A20B-9CE21AD0997B}" name="Column1724"/>
    <tableColumn id="1725" xr3:uid="{FECCC440-B933-4175-AA95-624BCA9BBA75}" name="Column1725"/>
    <tableColumn id="1726" xr3:uid="{AF80122F-EAE4-4300-AD4D-21CEA37DB559}" name="Column1726"/>
    <tableColumn id="1727" xr3:uid="{465F9BE4-89FD-49A5-8AC2-9293F7DB4E86}" name="Column1727"/>
    <tableColumn id="1728" xr3:uid="{045BD71D-15FB-43B2-ABB6-90271A061A77}" name="Column1728"/>
    <tableColumn id="1729" xr3:uid="{D19FE871-96A3-4215-8AF6-7A6E261B7D8C}" name="Column1729"/>
    <tableColumn id="1730" xr3:uid="{C8325105-3D12-4D3E-A9A1-3BC4F6283ACA}" name="Column1730"/>
    <tableColumn id="1731" xr3:uid="{82D88027-C715-4533-AF26-613BE5F3BDFD}" name="Column1731"/>
    <tableColumn id="1732" xr3:uid="{00ED1985-49E7-4683-B253-5827E0E80B34}" name="Column1732"/>
    <tableColumn id="1733" xr3:uid="{1303EFD1-3A85-4EDC-91FA-4BE95E438ECD}" name="Column1733"/>
    <tableColumn id="1734" xr3:uid="{9DFF0C53-3D55-4788-AC30-3BF51E1AB119}" name="Column1734"/>
    <tableColumn id="1735" xr3:uid="{E7512AE1-671E-424D-BC97-BF1FD98CAB58}" name="Column1735"/>
    <tableColumn id="1736" xr3:uid="{545F8D6B-0433-4B5D-A158-06472A866ABA}" name="Column1736"/>
    <tableColumn id="1737" xr3:uid="{61BAAAAC-BBD6-4A72-8131-A5903071FEAB}" name="Column1737"/>
    <tableColumn id="1738" xr3:uid="{7D3D8644-E42C-4526-AB8D-93F2C7050405}" name="Column1738"/>
    <tableColumn id="1739" xr3:uid="{84C89791-8C9E-407C-9F4F-44E10E92FFDB}" name="Column1739"/>
    <tableColumn id="1740" xr3:uid="{BE24F500-A551-4D74-A89B-8AED0EBC74F6}" name="Column1740"/>
    <tableColumn id="1741" xr3:uid="{45ACCA79-3558-475F-BA50-16E4A7DD600F}" name="Column1741"/>
    <tableColumn id="1742" xr3:uid="{72607358-36AE-437D-B574-E6C056E3366F}" name="Column1742"/>
    <tableColumn id="1743" xr3:uid="{BBE2B058-ED8C-4060-B2E3-78AB81EE0A82}" name="Column1743"/>
    <tableColumn id="1744" xr3:uid="{ED654637-127F-4F3E-AFB2-51C783C45FE0}" name="Column1744"/>
    <tableColumn id="1745" xr3:uid="{C1A3CC01-2742-484E-AAAB-67A760EFBACA}" name="Column1745"/>
    <tableColumn id="1746" xr3:uid="{5408685B-6D54-4890-BB72-09058B7208DD}" name="Column1746"/>
    <tableColumn id="1747" xr3:uid="{F1D49391-109E-4454-B34F-5E628DACFF7F}" name="Column1747"/>
    <tableColumn id="1748" xr3:uid="{0E534268-EE70-4F62-B58F-EEBCB0701CD2}" name="Column1748"/>
    <tableColumn id="1749" xr3:uid="{ECC7A69F-1560-4AFE-B80D-AB72DA12AF1A}" name="Column1749"/>
    <tableColumn id="1750" xr3:uid="{87A45DF1-2FB8-4425-8EE9-8DABFA8863E7}" name="Column1750"/>
    <tableColumn id="1751" xr3:uid="{A28D9830-99E7-4D00-8F03-87AEE3504859}" name="Column1751"/>
    <tableColumn id="1752" xr3:uid="{0DFAB3DF-DCF5-4082-8665-D296E39D7222}" name="Column1752"/>
    <tableColumn id="1753" xr3:uid="{693D204B-3027-47D8-99A3-4308957E2481}" name="Column1753"/>
    <tableColumn id="1754" xr3:uid="{4B0E49C1-6349-4424-A0D9-98164383A3BF}" name="Column1754"/>
    <tableColumn id="1755" xr3:uid="{886B32F8-4980-436A-8995-10E5B57FEEBE}" name="Column1755"/>
    <tableColumn id="1756" xr3:uid="{17A1A464-43E8-416E-BBB7-5FEFC0A0D5D4}" name="Column1756"/>
    <tableColumn id="1757" xr3:uid="{F0C72876-038F-43AE-90BF-5ADEA7477993}" name="Column1757"/>
    <tableColumn id="1758" xr3:uid="{4338D3AF-9658-488E-AF1D-CCA73A545ACB}" name="Column1758"/>
    <tableColumn id="1759" xr3:uid="{1610A71B-C708-449F-8FA6-106FFCF57DAC}" name="Column1759"/>
    <tableColumn id="1760" xr3:uid="{600DA7CE-3A75-48A6-B9F1-E84C1FE0AB69}" name="Column1760"/>
    <tableColumn id="1761" xr3:uid="{652F608B-FE90-4896-B9B8-49A46FD509D6}" name="Column1761"/>
    <tableColumn id="1762" xr3:uid="{C28A0ADF-BF91-42D4-B97B-52D48FF3DF17}" name="Column1762"/>
    <tableColumn id="1763" xr3:uid="{51363DC4-1F56-4BC4-BAB7-8B5EA45AEC69}" name="Column1763"/>
    <tableColumn id="1764" xr3:uid="{34AA07B3-FB73-4FFA-883A-316BC6568D1C}" name="Column1764"/>
    <tableColumn id="1765" xr3:uid="{8AF01331-E783-411D-A428-D97596DCC903}" name="Column1765"/>
    <tableColumn id="1766" xr3:uid="{9454B264-3DAE-4C4B-889C-0374F0A60600}" name="Column1766"/>
    <tableColumn id="1767" xr3:uid="{EA3A0790-616C-4B3A-A044-63AB190363C5}" name="Column1767"/>
    <tableColumn id="1768" xr3:uid="{E2DF5C19-4133-4BA9-87AF-C26117A1787F}" name="Column1768"/>
    <tableColumn id="1769" xr3:uid="{C8E170AD-C521-4C78-9116-9B95CBD9BFF0}" name="Column1769"/>
    <tableColumn id="1770" xr3:uid="{D64FCD45-215A-4CF2-B6A1-6FA1CF39B400}" name="Column1770"/>
    <tableColumn id="1771" xr3:uid="{4F9C78FF-E32B-4A90-9F43-E0F9F2937AB5}" name="Column1771"/>
    <tableColumn id="1772" xr3:uid="{EF900A06-FF54-4B3D-8D40-A7F7C084389B}" name="Column1772"/>
    <tableColumn id="1773" xr3:uid="{8BEB9D6E-1C6D-4377-A5BD-3630863CF6E6}" name="Column1773"/>
    <tableColumn id="1774" xr3:uid="{59AD7D7D-A731-44E6-B402-1F7CF77B756D}" name="Column1774"/>
    <tableColumn id="1775" xr3:uid="{7E6208F0-71F1-47BB-A60F-77DA8E86A800}" name="Column1775"/>
    <tableColumn id="1776" xr3:uid="{90752E0F-69D7-47C6-8AAC-D2B1A8F61FCC}" name="Column1776"/>
    <tableColumn id="1777" xr3:uid="{DA92F54A-21E8-4DD5-B4E3-36464E640BB2}" name="Column1777"/>
    <tableColumn id="1778" xr3:uid="{E9BDC4D6-3FBD-4E5D-BDD2-049834F34A96}" name="Column1778"/>
    <tableColumn id="1779" xr3:uid="{70D10101-8ADC-4EF4-A84C-4922D9AB8178}" name="Column1779"/>
    <tableColumn id="1780" xr3:uid="{B983AAD3-317F-44E9-BE23-1150BF8ED095}" name="Column1780"/>
    <tableColumn id="1781" xr3:uid="{C0DCF86D-832A-467C-8920-8DFC988CD51F}" name="Column1781"/>
    <tableColumn id="1782" xr3:uid="{A0403163-84A4-45C9-8E5A-28C24505FC5C}" name="Column1782"/>
    <tableColumn id="1783" xr3:uid="{ECB05CEA-ED01-483F-8348-74C5D0BD7AA4}" name="Column1783"/>
    <tableColumn id="1784" xr3:uid="{2807504D-13DB-4314-A7F8-A9697408D45F}" name="Column1784"/>
    <tableColumn id="1785" xr3:uid="{B5C33972-86F7-425E-B7CE-15866E639CB1}" name="Column1785"/>
    <tableColumn id="1786" xr3:uid="{D35EFAB2-3A60-49D6-AC1D-3E4F122BD483}" name="Column1786"/>
    <tableColumn id="1787" xr3:uid="{B6F39BD9-03C5-402A-90E0-FBF21A5D642B}" name="Column1787"/>
    <tableColumn id="1788" xr3:uid="{5DDFB289-22FB-48F5-9C79-943B5A4F0BEC}" name="Column1788"/>
    <tableColumn id="1789" xr3:uid="{806558D0-B6E5-4E3B-BC45-D6917706CDF4}" name="Column1789"/>
    <tableColumn id="1790" xr3:uid="{0C933468-8F51-44EA-9EE0-FB9C07BB4574}" name="Column1790"/>
    <tableColumn id="1791" xr3:uid="{0097AA84-3139-41B9-9E24-C72DB42ACF65}" name="Column1791"/>
    <tableColumn id="1792" xr3:uid="{FA945E93-A004-44C2-8325-ECA181CC4EEF}" name="Column1792"/>
    <tableColumn id="1793" xr3:uid="{6A5BA642-F9B0-4477-95AB-1585873F8363}" name="Column1793"/>
    <tableColumn id="1794" xr3:uid="{F8805345-B86D-44D5-B25E-D3F087A5A56B}" name="Column1794"/>
    <tableColumn id="1795" xr3:uid="{4B6B1B00-31BC-489E-B9D9-956A3CFE35D6}" name="Column1795"/>
    <tableColumn id="1796" xr3:uid="{7C0E9D4D-94F0-4DB0-9BE8-EBC77277FB0B}" name="Column1796"/>
    <tableColumn id="1797" xr3:uid="{637BBEAC-282B-49EA-A5B1-B74FE747EC9F}" name="Column1797"/>
    <tableColumn id="1798" xr3:uid="{830C2DDD-D6E3-423C-9D2D-4C850DD28D2B}" name="Column1798"/>
    <tableColumn id="1799" xr3:uid="{AE166934-DBC3-4E28-92EF-3C1B22E5A9B8}" name="Column1799"/>
    <tableColumn id="1800" xr3:uid="{B7AD2418-7F3C-4EBA-975A-DA45A39A3CE6}" name="Column1800"/>
    <tableColumn id="1801" xr3:uid="{411BA682-448A-41C2-B30D-E87289B88BE9}" name="Column1801"/>
    <tableColumn id="1802" xr3:uid="{D6FB1102-77EB-40BE-A263-F558B443B1C5}" name="Column1802"/>
    <tableColumn id="1803" xr3:uid="{91A6D1F6-2561-47E7-BD20-9FA606B073D7}" name="Column1803"/>
    <tableColumn id="1804" xr3:uid="{E31330DE-F335-467F-B51F-7477AA749A55}" name="Column1804"/>
    <tableColumn id="1805" xr3:uid="{D6F097ED-5EB9-4A8A-88D2-C56C5CA2BC52}" name="Column1805"/>
    <tableColumn id="1806" xr3:uid="{457C3C17-762B-44FD-A1DE-2ED6E8163048}" name="Column1806"/>
    <tableColumn id="1807" xr3:uid="{540E67EA-76E6-4718-ABF9-7E49DC840787}" name="Column1807"/>
    <tableColumn id="1808" xr3:uid="{33B95171-B474-4E10-B494-F6796B71764E}" name="Column1808"/>
    <tableColumn id="1809" xr3:uid="{BACD0717-C333-4C2C-B9D4-5F40B8D67C0B}" name="Column1809"/>
    <tableColumn id="1810" xr3:uid="{BA8852BF-464A-429D-ADD5-AB29E19B47A6}" name="Column1810"/>
    <tableColumn id="1811" xr3:uid="{D1B3DAE7-7B47-4EFB-BFB5-45AD57E72BD3}" name="Column1811"/>
    <tableColumn id="1812" xr3:uid="{07F06EC9-D057-4B53-A5CF-24102C2AE926}" name="Column1812"/>
    <tableColumn id="1813" xr3:uid="{1EB982CE-2DF0-4B8C-B910-32BD47E8C556}" name="Column1813"/>
    <tableColumn id="1814" xr3:uid="{D3D36AAC-E702-4715-BC66-BCC830013095}" name="Column1814"/>
    <tableColumn id="1815" xr3:uid="{DFA8EEAB-3BE3-4C1F-B6B8-8A949C137F63}" name="Column1815"/>
    <tableColumn id="1816" xr3:uid="{6C193758-5362-482A-8637-D2C08CF2C690}" name="Column1816"/>
    <tableColumn id="1817" xr3:uid="{4679C45B-E22D-4D52-9993-AE40246BB69B}" name="Column1817"/>
    <tableColumn id="1818" xr3:uid="{EFDFFBEF-758A-44C3-81B6-E18832877558}" name="Column1818"/>
    <tableColumn id="1819" xr3:uid="{E1B458CF-1968-4CCF-A7D4-47D12184E7C2}" name="Column1819"/>
    <tableColumn id="1820" xr3:uid="{555A2519-4903-42E9-9D2B-752C971026B8}" name="Column1820"/>
    <tableColumn id="1821" xr3:uid="{A5A28D36-0174-4532-8C1A-CB55F76FF1DA}" name="Column1821"/>
    <tableColumn id="1822" xr3:uid="{6F2DCEFE-8AC7-4B37-854B-4FC83ABFFDF3}" name="Column1822"/>
    <tableColumn id="1823" xr3:uid="{7C22378F-EBD7-46FB-9BAE-97642C93449E}" name="Column1823"/>
    <tableColumn id="1824" xr3:uid="{5FB0CCBF-839D-4E9E-8706-C8DC1B048DEB}" name="Column1824"/>
    <tableColumn id="1825" xr3:uid="{B2506338-C3BF-4AD4-A33A-9888E4888A68}" name="Column1825"/>
    <tableColumn id="1826" xr3:uid="{3FD60078-EE62-4432-A49F-D1C6D5A61661}" name="Column1826"/>
    <tableColumn id="1827" xr3:uid="{B0ABDAF3-70EF-4F70-B016-F3EC7C9F62EB}" name="Column1827"/>
    <tableColumn id="1828" xr3:uid="{BE95E6B0-827C-4116-8DF8-32279C57369A}" name="Column1828"/>
    <tableColumn id="1829" xr3:uid="{6965188C-DA09-440B-B70D-53833EA35DD4}" name="Column1829"/>
    <tableColumn id="1830" xr3:uid="{3226BBBF-23E6-40FF-ACFB-7294552586A7}" name="Column1830"/>
    <tableColumn id="1831" xr3:uid="{992A92B9-7E7D-4AF4-805A-1C21AC044ADA}" name="Column1831"/>
    <tableColumn id="1832" xr3:uid="{01BF4BAF-2FB1-4807-B8A7-076D784FF45D}" name="Column1832"/>
    <tableColumn id="1833" xr3:uid="{8C8A3A77-06AB-4348-8D62-FBE5307CFF4C}" name="Column1833"/>
    <tableColumn id="1834" xr3:uid="{510396D5-D767-469F-8137-BF7B925D373D}" name="Column1834"/>
    <tableColumn id="1835" xr3:uid="{17A1D5C6-1DE3-48D0-AD74-2D157325BEC0}" name="Column1835"/>
    <tableColumn id="1836" xr3:uid="{DFABE081-DEE5-4503-B4A6-7D362774BF24}" name="Column1836"/>
    <tableColumn id="1837" xr3:uid="{29857FB4-D701-462C-B1FF-54044D39E58E}" name="Column1837"/>
    <tableColumn id="1838" xr3:uid="{D72613C8-A9DE-4FD5-941E-6CFFC32E774C}" name="Column1838"/>
    <tableColumn id="1839" xr3:uid="{DF00B449-251D-4BBD-AA75-F680EB167554}" name="Column1839"/>
    <tableColumn id="1840" xr3:uid="{4AE3D1DD-5B33-41F1-840D-9F1C4EECEB90}" name="Column1840"/>
    <tableColumn id="1841" xr3:uid="{5E727448-62C5-4D9D-B533-905E30DB7759}" name="Column1841"/>
    <tableColumn id="1842" xr3:uid="{5C0A3596-3B8E-4E13-8FC8-8AC3A6749E17}" name="Column1842"/>
    <tableColumn id="1843" xr3:uid="{4B2F4F34-D4F6-4BAF-9926-29CB6765E284}" name="Column1843"/>
    <tableColumn id="1844" xr3:uid="{996D34A6-BAA5-421C-A712-677815DFA036}" name="Column1844"/>
    <tableColumn id="1845" xr3:uid="{57ADE4F4-6B71-4120-97D4-161A69EEB4E7}" name="Column1845"/>
    <tableColumn id="1846" xr3:uid="{B64C420E-AB1F-482D-A62B-9DE5D442CF91}" name="Column1846"/>
    <tableColumn id="1847" xr3:uid="{736C7A86-2490-4F98-BB1D-D286D65F632C}" name="Column1847"/>
    <tableColumn id="1848" xr3:uid="{77A0E2B7-63BF-4004-8083-907DD43A0631}" name="Column1848"/>
    <tableColumn id="1849" xr3:uid="{05996154-4E29-4970-A6B3-D29A7E2433F5}" name="Column1849"/>
    <tableColumn id="1850" xr3:uid="{38B40456-743D-4301-9EF8-001F455FFB8E}" name="Column1850"/>
    <tableColumn id="1851" xr3:uid="{DD180E1B-CF36-4DE8-A2EA-5FD6FC455BB6}" name="Column1851"/>
    <tableColumn id="1852" xr3:uid="{A8498B73-0D00-4EE5-A4A0-BB5D89A43CEB}" name="Column1852"/>
    <tableColumn id="1853" xr3:uid="{5E308824-03A0-40AA-A58A-1FA8FE60F535}" name="Column1853"/>
    <tableColumn id="1854" xr3:uid="{75F65332-3638-4294-985D-58DA821A1E15}" name="Column1854"/>
    <tableColumn id="1855" xr3:uid="{8456391B-9525-45BB-BF3E-7D9B163C8075}" name="Column1855"/>
    <tableColumn id="1856" xr3:uid="{121F25CE-BC51-447D-8844-4AF4F6C7071B}" name="Column1856"/>
    <tableColumn id="1857" xr3:uid="{C4BF5190-178C-44C1-A9AB-8062A9CEE3F9}" name="Column1857"/>
    <tableColumn id="1858" xr3:uid="{B2B9FD86-EE09-407E-8555-D9CEFC527642}" name="Column1858"/>
    <tableColumn id="1859" xr3:uid="{EA0684D7-F6D5-4554-B305-44A74483913F}" name="Column1859"/>
    <tableColumn id="1860" xr3:uid="{A8284117-A283-4B52-976D-0EED05888B80}" name="Column1860"/>
    <tableColumn id="1861" xr3:uid="{6FB1E435-42A8-438E-87F6-0E3AC5D0CB29}" name="Column1861"/>
    <tableColumn id="1862" xr3:uid="{4E44A3A8-BDF7-4C77-B80C-3FD443030D53}" name="Column1862"/>
    <tableColumn id="1863" xr3:uid="{FEDA9F14-7992-4C32-AFFC-1F2A41120A7C}" name="Column1863"/>
    <tableColumn id="1864" xr3:uid="{3CF228EC-6871-43B0-BAFB-AA54B2C1D20E}" name="Column1864"/>
    <tableColumn id="1865" xr3:uid="{D2D31C8D-D0DC-4BA8-B0ED-8B3ADF3D3427}" name="Column1865"/>
    <tableColumn id="1866" xr3:uid="{D34C480B-1189-4B50-89B5-85A15D869AAF}" name="Column1866"/>
    <tableColumn id="1867" xr3:uid="{35AD741B-4289-4DF3-9A1E-8A236D7895D9}" name="Column1867"/>
    <tableColumn id="1868" xr3:uid="{1B616D08-D3EF-4FC9-93F7-3892ADAB3CC5}" name="Column1868"/>
    <tableColumn id="1869" xr3:uid="{A9E2E167-7884-4EBA-B399-B73A203F49E3}" name="Column1869"/>
    <tableColumn id="1870" xr3:uid="{AC4F2DF8-AEA5-43AC-BE70-8712A7BCF37D}" name="Column1870"/>
    <tableColumn id="1871" xr3:uid="{D9BFD678-27D5-4642-B344-482D21365B3E}" name="Column1871"/>
    <tableColumn id="1872" xr3:uid="{52251797-35E1-4052-BF23-6CD4EAF16D45}" name="Column1872"/>
    <tableColumn id="1873" xr3:uid="{2D9F65F7-36CE-42B9-8F04-532F35F4EC42}" name="Column1873"/>
    <tableColumn id="1874" xr3:uid="{A2A8BEFA-D388-4C56-87A7-1C81FD545A70}" name="Column1874"/>
    <tableColumn id="1875" xr3:uid="{79FB3E4D-848E-478A-B8CD-F82423CF8528}" name="Column1875"/>
    <tableColumn id="1876" xr3:uid="{21B270AD-FB05-4DF9-91C3-E0E91AEAF15A}" name="Column1876"/>
    <tableColumn id="1877" xr3:uid="{AFD3719F-D7F9-4D63-BE91-640F1E8BB4A3}" name="Column1877"/>
    <tableColumn id="1878" xr3:uid="{DBA4CCFD-B298-43DD-A833-0B4EE166F7B6}" name="Column1878"/>
    <tableColumn id="1879" xr3:uid="{E76A2BF5-2533-4D73-BAD3-FE616B814BE9}" name="Column1879"/>
    <tableColumn id="1880" xr3:uid="{66589DD0-356C-4C63-9537-F22F819D9034}" name="Column1880"/>
    <tableColumn id="1881" xr3:uid="{0F4FDA3F-63E7-44E4-90F5-6DE06CAE7F21}" name="Column1881"/>
    <tableColumn id="1882" xr3:uid="{F1216E44-2B13-45BF-8FF8-109001BE3362}" name="Column1882"/>
    <tableColumn id="1883" xr3:uid="{DEDF1841-A055-4FC5-8C96-08F5B108F68F}" name="Column1883"/>
    <tableColumn id="1884" xr3:uid="{075F7D66-E581-4265-8288-F59C2B596D7A}" name="Column1884"/>
    <tableColumn id="1885" xr3:uid="{6F7204FA-AC57-4D8D-916D-CEB04178C4C3}" name="Column1885"/>
    <tableColumn id="1886" xr3:uid="{C4EF217C-00E2-4026-BEDA-E12628DFCDAC}" name="Column1886"/>
    <tableColumn id="1887" xr3:uid="{60D0CB88-7187-4521-A108-D859042907C2}" name="Column1887"/>
    <tableColumn id="1888" xr3:uid="{FCE0D637-916F-4C5B-A57F-7201C5316D33}" name="Column1888"/>
    <tableColumn id="1889" xr3:uid="{1B456DFA-877D-4C0A-AA87-754C7943B89D}" name="Column1889"/>
    <tableColumn id="1890" xr3:uid="{0BC76851-6216-45C5-A693-4AC11EB1442D}" name="Column1890"/>
    <tableColumn id="1891" xr3:uid="{A7596360-C489-45D5-8A83-514FF719FFEA}" name="Column1891"/>
    <tableColumn id="1892" xr3:uid="{8D483B6A-D184-4BDD-956B-B4F870B38763}" name="Column1892"/>
    <tableColumn id="1893" xr3:uid="{7865EB27-F00F-4EB5-A6ED-EB427FD0987F}" name="Column1893"/>
    <tableColumn id="1894" xr3:uid="{A3F521C1-20CE-4318-B225-0B20FE38796B}" name="Column1894"/>
    <tableColumn id="1895" xr3:uid="{B1E57D17-D48C-4848-9805-094926C8D634}" name="Column1895"/>
    <tableColumn id="1896" xr3:uid="{E3A53390-E2E0-40CA-8189-3BC1602997A7}" name="Column1896"/>
    <tableColumn id="1897" xr3:uid="{8BB34A7A-1F87-4833-BEA1-BD941FD89600}" name="Column1897"/>
    <tableColumn id="1898" xr3:uid="{BA7FE509-A950-4A35-8841-88F1492B171A}" name="Column1898"/>
    <tableColumn id="1899" xr3:uid="{7A1D22D8-D619-4B12-853F-9FA684770EF0}" name="Column1899"/>
    <tableColumn id="1900" xr3:uid="{7575A391-139C-4475-A23E-25A37A09F096}" name="Column1900"/>
    <tableColumn id="1901" xr3:uid="{00270358-EFBA-4E29-9430-1810AA887260}" name="Column1901"/>
    <tableColumn id="1902" xr3:uid="{9241F47C-E697-4A34-908E-D9DC6A6D2BDE}" name="Column1902"/>
    <tableColumn id="1903" xr3:uid="{62A78587-584D-4A08-9CC4-E24A85FC1273}" name="Column1903"/>
    <tableColumn id="1904" xr3:uid="{20A49C27-5014-4C93-94CA-EB963C24301A}" name="Column1904"/>
    <tableColumn id="1905" xr3:uid="{25F768E6-EFD6-448F-9BCE-F0AADEA4F207}" name="Column1905"/>
    <tableColumn id="1906" xr3:uid="{1ED0416B-C591-4B90-B422-0BB2F89764FB}" name="Column1906"/>
    <tableColumn id="1907" xr3:uid="{05819819-20C6-4E9D-B2DF-1B3104C87CE9}" name="Column1907"/>
    <tableColumn id="1908" xr3:uid="{22C9CD97-3147-4899-9E49-52E2AFCDA431}" name="Column1908"/>
    <tableColumn id="1909" xr3:uid="{2795AAA9-B8C0-4E15-BBC2-B7B27E7C91A4}" name="Column1909"/>
    <tableColumn id="1910" xr3:uid="{DA994DF4-9E80-4225-8136-8B3F398EEBB0}" name="Column1910"/>
    <tableColumn id="1911" xr3:uid="{656413C7-A2B4-4FA6-9B03-8BC0C5E48755}" name="Column1911"/>
    <tableColumn id="1912" xr3:uid="{276ABE04-2EF4-4993-9FBE-0A4FF3FA2E7C}" name="Column1912"/>
    <tableColumn id="1913" xr3:uid="{F1CA93C1-A235-4003-8436-4619DB6D5FD1}" name="Column1913"/>
    <tableColumn id="1914" xr3:uid="{AC68F38D-7020-459D-BE7B-8CD8EC7D8FA9}" name="Column1914"/>
    <tableColumn id="1915" xr3:uid="{6FB68F0B-49F1-4136-8D14-EA2E5F7436D4}" name="Column1915"/>
    <tableColumn id="1916" xr3:uid="{C5596B5F-04E2-4E96-B448-F247AB96D0DF}" name="Column1916"/>
    <tableColumn id="1917" xr3:uid="{57EA0A0E-4095-48AC-A728-336AAD2965F2}" name="Column1917"/>
    <tableColumn id="1918" xr3:uid="{A4B488A6-55C0-4511-B803-A7F9DC9D60D6}" name="Column1918"/>
    <tableColumn id="1919" xr3:uid="{71C535F0-EE89-4DA9-9F07-821CDDD5049B}" name="Column1919"/>
    <tableColumn id="1920" xr3:uid="{6A45B022-D97D-4DE5-A836-724DBF6ACCD3}" name="Column1920"/>
    <tableColumn id="1921" xr3:uid="{44DD4F7D-3897-4689-84FF-09D019B30BAE}" name="Column1921"/>
    <tableColumn id="1922" xr3:uid="{3B4B0E87-1A65-4D50-8FC1-89A05FAECB76}" name="Column1922"/>
    <tableColumn id="1923" xr3:uid="{C5691BEA-094E-41AA-8BD7-AD9BE6E29C38}" name="Column1923"/>
    <tableColumn id="1924" xr3:uid="{95F32E72-0091-4B4F-9716-4556D980E11B}" name="Column1924"/>
    <tableColumn id="1925" xr3:uid="{85C9A9E7-1737-4FE5-A6D2-20C3723E17B4}" name="Column1925"/>
    <tableColumn id="1926" xr3:uid="{CAFB5A64-EA5C-4648-BD1D-4A4B68922E21}" name="Column1926"/>
    <tableColumn id="1927" xr3:uid="{42AD0E9C-7FE0-4B50-9ECB-0201C9750AC2}" name="Column1927"/>
    <tableColumn id="1928" xr3:uid="{2C84436A-3D31-4402-ACE0-336E1F6B16F1}" name="Column1928"/>
    <tableColumn id="1929" xr3:uid="{5F825B4E-E6CB-4457-9622-A9764D5AB28D}" name="Column1929"/>
    <tableColumn id="1930" xr3:uid="{83E55246-081F-462B-A336-3CD94BDEDA2E}" name="Column1930"/>
    <tableColumn id="1931" xr3:uid="{E152C39F-5D7A-4F26-A554-A018A0A4F9CF}" name="Column1931"/>
    <tableColumn id="1932" xr3:uid="{BD65D13B-80BA-4C17-AD34-1A14DB427530}" name="Column1932"/>
    <tableColumn id="1933" xr3:uid="{09A4F687-3280-4E6D-AC9C-98905E5CC48B}" name="Column1933"/>
    <tableColumn id="1934" xr3:uid="{ECCC6F86-A6FD-482A-BF11-03A7998BCCA3}" name="Column1934"/>
    <tableColumn id="1935" xr3:uid="{3F0353A4-9460-4AA6-8A2F-94D6657848C8}" name="Column1935"/>
    <tableColumn id="1936" xr3:uid="{DB7EEA75-A561-4604-93A9-814B8DB2A517}" name="Column1936"/>
    <tableColumn id="1937" xr3:uid="{E03765C0-FF80-411B-90FF-AD624078858E}" name="Column1937"/>
    <tableColumn id="1938" xr3:uid="{98CA6F20-0CA2-4666-9FF3-1E33304FC6C2}" name="Column1938"/>
    <tableColumn id="1939" xr3:uid="{43369DDB-0C63-4D4E-846A-EE46D14487AA}" name="Column1939"/>
    <tableColumn id="1940" xr3:uid="{54F859EC-183D-4BBB-8560-D3562AD0E377}" name="Column1940"/>
    <tableColumn id="1941" xr3:uid="{0AB03661-C4A7-4E3D-BD6C-BB5DAEEE20DC}" name="Column1941"/>
    <tableColumn id="1942" xr3:uid="{0948A5CF-67C7-4FAB-9615-306088426B8C}" name="Column1942"/>
    <tableColumn id="1943" xr3:uid="{064A0932-97AA-43E4-9564-BABC0DE41638}" name="Column1943"/>
    <tableColumn id="1944" xr3:uid="{F251060D-9DED-4E0D-A5CD-5A0E51750140}" name="Column1944"/>
    <tableColumn id="1945" xr3:uid="{8A60BD22-FA91-421D-A6AE-42D157D31D96}" name="Column1945"/>
    <tableColumn id="1946" xr3:uid="{22C9DAE8-0A84-409E-B366-9A5A9852A3DD}" name="Column1946"/>
    <tableColumn id="1947" xr3:uid="{BDC039B4-29F7-4E8A-9AAF-7463CE32819C}" name="Column1947"/>
    <tableColumn id="1948" xr3:uid="{34DB6BC5-6916-4F89-BA38-10CC7B0D90A1}" name="Column1948"/>
    <tableColumn id="1949" xr3:uid="{8C86304E-DE66-4466-AB7E-593314660BDD}" name="Column1949"/>
    <tableColumn id="1950" xr3:uid="{8FFBDB1B-7D07-43AD-93CA-81485B92B903}" name="Column1950"/>
    <tableColumn id="1951" xr3:uid="{24F7BDDE-7407-487D-9D18-031BA0515574}" name="Column1951"/>
    <tableColumn id="1952" xr3:uid="{85F9ACF3-6422-42D4-A967-2CF5C784CD39}" name="Column1952"/>
    <tableColumn id="1953" xr3:uid="{4510ED45-DAF1-4212-8A8E-5AAEBB4087D3}" name="Column1953"/>
    <tableColumn id="1954" xr3:uid="{50BEB15C-4B08-4CA9-8515-8247AAF93A94}" name="Column1954"/>
    <tableColumn id="1955" xr3:uid="{E7D8DC8F-4A22-4C3B-B323-4557DABCB0D0}" name="Column1955"/>
    <tableColumn id="1956" xr3:uid="{0EBBBC46-92CD-4E03-99FB-90530CEE3E0A}" name="Column1956"/>
    <tableColumn id="1957" xr3:uid="{39686B2D-2245-4304-82DA-5DB6D13432DB}" name="Column1957"/>
    <tableColumn id="1958" xr3:uid="{41F49C3C-91F4-44BD-BD1B-06A62C6552F8}" name="Column1958"/>
    <tableColumn id="1959" xr3:uid="{7BA08E61-3B7F-4073-A528-8BABB014E5D9}" name="Column1959"/>
    <tableColumn id="1960" xr3:uid="{2B5C9C46-7BF6-4CFE-8159-0B63C51FA762}" name="Column1960"/>
    <tableColumn id="1961" xr3:uid="{6D159BF8-2189-45C0-A2FC-D5AF82D2F8E4}" name="Column1961"/>
    <tableColumn id="1962" xr3:uid="{F005AC61-F6D8-4FF2-8447-A33C61740809}" name="Column1962"/>
    <tableColumn id="1963" xr3:uid="{A4AFD61C-0842-4A66-A86E-E4B35A869D23}" name="Column1963"/>
    <tableColumn id="1964" xr3:uid="{F379E06E-A97A-4A9E-AE53-AA9D4C6DDA39}" name="Column1964"/>
    <tableColumn id="1965" xr3:uid="{706C3664-CAD9-42C9-A88B-FA46F0DAF5F7}" name="Column1965"/>
    <tableColumn id="1966" xr3:uid="{2993C917-08D5-4E5D-B131-B1BA860784DC}" name="Column1966"/>
    <tableColumn id="1967" xr3:uid="{CCB5C1CC-AA1B-47AD-ACCB-AA5DA39066EC}" name="Column1967"/>
    <tableColumn id="1968" xr3:uid="{496C99D3-889D-4CD1-AAC1-2678CD12CAA3}" name="Column1968"/>
    <tableColumn id="1969" xr3:uid="{69FE1C28-D25F-4CFC-AE02-C02E85D8B741}" name="Column1969"/>
    <tableColumn id="1970" xr3:uid="{F3C315B0-C026-4E3F-836A-AD692750D8EC}" name="Column1970"/>
    <tableColumn id="1971" xr3:uid="{E2BE2C22-0842-48B8-A1F0-451BEAF890F3}" name="Column1971"/>
    <tableColumn id="1972" xr3:uid="{BB3C35DE-70B4-426C-9BE7-98FC6C36AED7}" name="Column1972"/>
    <tableColumn id="1973" xr3:uid="{986F0BD7-9AC8-4F00-80DB-C02909AF48EF}" name="Column1973"/>
    <tableColumn id="1974" xr3:uid="{2B048C65-2503-4F6D-8228-EFF476768761}" name="Column1974"/>
    <tableColumn id="1975" xr3:uid="{ED02F40A-9001-4148-9C0D-EB22A110B650}" name="Column1975"/>
    <tableColumn id="1976" xr3:uid="{E2079156-192D-4F1D-98B4-E963D207CF83}" name="Column1976"/>
    <tableColumn id="1977" xr3:uid="{474BE9A7-89BF-4AFA-96AA-15924C115EEA}" name="Column1977"/>
    <tableColumn id="1978" xr3:uid="{29A39384-5B98-4A86-9523-FB105D7120FE}" name="Column1978"/>
    <tableColumn id="1979" xr3:uid="{10CEC4C9-4F83-4D56-912B-678347E5C025}" name="Column1979"/>
    <tableColumn id="1980" xr3:uid="{96D61435-0528-4B8D-8417-FB31D05789AB}" name="Column1980"/>
    <tableColumn id="1981" xr3:uid="{2B7E5BBF-3C9F-4BD8-9298-C28937EA5045}" name="Column1981"/>
    <tableColumn id="1982" xr3:uid="{38EF346E-456B-4D3C-9D42-A0FB6679E6E4}" name="Column1982"/>
    <tableColumn id="1983" xr3:uid="{C9CF0C04-1E2B-40E7-B5F9-CF3BC906D18C}" name="Column1983"/>
    <tableColumn id="1984" xr3:uid="{AE1154C2-1FA9-4000-BE2D-9E6B486910D8}" name="Column1984"/>
    <tableColumn id="1985" xr3:uid="{FF1DE6BA-F417-4A54-86E1-E519A9AAB721}" name="Column1985"/>
    <tableColumn id="1986" xr3:uid="{D454731C-8826-4A62-AE4B-63983B477698}" name="Column1986"/>
    <tableColumn id="1987" xr3:uid="{FCB65849-8380-4B64-93EF-159D25F4A02C}" name="Column1987"/>
    <tableColumn id="1988" xr3:uid="{39C9C970-10DE-4070-97FB-7C34AEE2968B}" name="Column1988"/>
    <tableColumn id="1989" xr3:uid="{30104B3F-730B-411D-B5A0-AA3FF0EC67DC}" name="Column1989"/>
    <tableColumn id="1990" xr3:uid="{80B2CA6B-870C-41CE-B06B-68FDE170D0FB}" name="Column1990"/>
    <tableColumn id="1991" xr3:uid="{72C83923-D0DF-4718-92CF-DB0866D1B83A}" name="Column1991"/>
    <tableColumn id="1992" xr3:uid="{0EC375B4-7EC9-40E8-B763-87651077F9AF}" name="Column1992"/>
    <tableColumn id="1993" xr3:uid="{A9869850-352D-4773-803D-485CC847A6DD}" name="Column1993"/>
    <tableColumn id="1994" xr3:uid="{3649BD42-D34A-4F4B-B3A6-FAE0B49F9A4E}" name="Column1994"/>
    <tableColumn id="1995" xr3:uid="{E358038E-856E-4C67-9138-0256CD3C855A}" name="Column1995"/>
    <tableColumn id="1996" xr3:uid="{CBABEDC0-27BB-4F81-B1C6-64ED01DE6EB5}" name="Column1996"/>
    <tableColumn id="1997" xr3:uid="{9C930566-187E-4781-B343-00CE6882A292}" name="Column1997"/>
    <tableColumn id="1998" xr3:uid="{F5AFB627-A7D7-42A0-ACE7-A2C1A1A189F1}" name="Column1998"/>
    <tableColumn id="1999" xr3:uid="{D276C108-2A9D-4817-B9B4-49D34C354F92}" name="Column1999"/>
    <tableColumn id="2000" xr3:uid="{A01BE41C-2725-4607-ACB9-B07DC61F9343}" name="Column2000"/>
    <tableColumn id="2001" xr3:uid="{869C73C1-09D2-43D8-BF0D-87780853B7C4}" name="Column2001"/>
    <tableColumn id="2002" xr3:uid="{5FB400EA-902C-42C1-B034-716D6C534240}" name="Column2002"/>
    <tableColumn id="2003" xr3:uid="{54C4289A-DE4A-412E-B14B-564E8E65381D}" name="Column2003"/>
    <tableColumn id="2004" xr3:uid="{50E1A4D7-FD37-4517-A5B5-6CD67DC57D6C}" name="Column2004"/>
    <tableColumn id="2005" xr3:uid="{FAFCEE87-B8A7-4127-89FD-3FB610E02FC2}" name="Column2005"/>
    <tableColumn id="2006" xr3:uid="{E6320F5A-7D3E-41C8-9875-60BD344F048D}" name="Column2006"/>
    <tableColumn id="2007" xr3:uid="{96B53B1B-324C-48F4-A703-222F1B4E3724}" name="Column2007"/>
    <tableColumn id="2008" xr3:uid="{6FD8EAB4-8C18-449C-BC87-B9CE4970D9D1}" name="Column2008"/>
    <tableColumn id="2009" xr3:uid="{71A41D4F-E183-4694-AD8D-B7F353E6CF27}" name="Column2009"/>
    <tableColumn id="2010" xr3:uid="{7418FEF3-AA9F-4BBE-B705-D16A5EDCBC3F}" name="Column2010"/>
    <tableColumn id="2011" xr3:uid="{3357949B-3429-4C5E-841B-60A37C725781}" name="Column2011"/>
    <tableColumn id="2012" xr3:uid="{0DE3ED1A-CA19-4393-997F-5EE28F9C8389}" name="Column2012"/>
    <tableColumn id="2013" xr3:uid="{1FB8A080-09B5-4460-92A8-351BA97680A3}" name="Column2013"/>
    <tableColumn id="2014" xr3:uid="{CFBC5039-5636-4C6F-A71E-6DFE761F717A}" name="Column2014"/>
    <tableColumn id="2015" xr3:uid="{035AA486-5121-4821-BCD8-4A5A1E51848E}" name="Column2015"/>
    <tableColumn id="2016" xr3:uid="{E87133DE-45C9-4DD8-991E-A3DDF9077F64}" name="Column2016"/>
    <tableColumn id="2017" xr3:uid="{C8D7EFF1-A908-48E3-8C43-304E83A08F44}" name="Column2017"/>
    <tableColumn id="2018" xr3:uid="{65B1C7F5-CC3B-4DD1-90E1-D4EA922F7614}" name="Column2018"/>
    <tableColumn id="2019" xr3:uid="{27356DD7-6600-4BC3-A395-C515CA2490A5}" name="Column2019"/>
    <tableColumn id="2020" xr3:uid="{16DDD0B1-C086-4B10-AAA1-6301284A22A6}" name="Column2020"/>
    <tableColumn id="2021" xr3:uid="{1B277690-7922-4799-978C-D2C94FBD6206}" name="Column2021"/>
    <tableColumn id="2022" xr3:uid="{B8E5C230-7202-475C-9B1A-E3432EBAC6D4}" name="Column2022"/>
    <tableColumn id="2023" xr3:uid="{C2553749-AA43-4306-ABBC-4C0DA36D29EC}" name="Column2023"/>
    <tableColumn id="2024" xr3:uid="{944787AE-5EE0-4DDC-BF25-8D8D2BDB12EC}" name="Column2024"/>
    <tableColumn id="2025" xr3:uid="{21A9E676-5818-4A83-A8AB-53E982B2ACAE}" name="Column2025"/>
    <tableColumn id="2026" xr3:uid="{0196D220-9D26-4710-AC80-E65FE2EED230}" name="Column2026"/>
    <tableColumn id="2027" xr3:uid="{9F45B2D8-BEC7-490C-9DA1-05CB822DFD2E}" name="Column2027"/>
    <tableColumn id="2028" xr3:uid="{7A81C538-127E-4650-BBF2-1A5916BCD01F}" name="Column2028"/>
    <tableColumn id="2029" xr3:uid="{4E96427E-737A-4138-9E1D-5842F8D074F9}" name="Column2029"/>
    <tableColumn id="2030" xr3:uid="{101AD7F2-DEC7-4BF4-BFD7-9948AD0695FF}" name="Column2030"/>
    <tableColumn id="2031" xr3:uid="{23114559-FF63-4594-978E-62032BF9A12F}" name="Column2031"/>
    <tableColumn id="2032" xr3:uid="{843D2DBE-4D32-4945-9544-0C1E66C1810E}" name="Column2032"/>
    <tableColumn id="2033" xr3:uid="{159A3119-CC08-47C9-ADE7-ED0A216A391F}" name="Column2033"/>
    <tableColumn id="2034" xr3:uid="{0EA043B2-9687-418C-9A80-9D2C62A3C7D1}" name="Column2034"/>
    <tableColumn id="2035" xr3:uid="{C675572D-2A9C-4E18-B42B-0EDD6680E26F}" name="Column2035"/>
    <tableColumn id="2036" xr3:uid="{AEE42312-54AE-48BC-941D-EF2AF0BB1D0A}" name="Column2036"/>
    <tableColumn id="2037" xr3:uid="{05DC542B-ED22-4507-9A72-108009EBE66E}" name="Column2037"/>
    <tableColumn id="2038" xr3:uid="{950133CA-2973-48F8-87CA-D55CA43E3659}" name="Column2038"/>
    <tableColumn id="2039" xr3:uid="{EFCBA8F7-F17F-42F1-9CBF-2B9744089F5B}" name="Column2039"/>
    <tableColumn id="2040" xr3:uid="{3C407A09-4464-40B6-A4FE-D5FB237C8CF4}" name="Column2040"/>
    <tableColumn id="2041" xr3:uid="{A1D07986-4B90-495A-BEA8-81604FA7D666}" name="Column2041"/>
    <tableColumn id="2042" xr3:uid="{4BA4CD7F-D20D-445C-90EC-DCBDB8DFE081}" name="Column2042"/>
    <tableColumn id="2043" xr3:uid="{C6E2DB17-6CD7-45AB-9B33-2E2F578ED9D6}" name="Column2043"/>
    <tableColumn id="2044" xr3:uid="{6E6DEC67-863E-479C-9FEC-F7EDAA261AD1}" name="Column2044"/>
    <tableColumn id="2045" xr3:uid="{6679F857-502F-4836-B40B-0566C48B04F5}" name="Column2045"/>
    <tableColumn id="2046" xr3:uid="{D96F2375-DF1B-4E63-8B99-FB247F1D1F1C}" name="Column2046"/>
    <tableColumn id="2047" xr3:uid="{2446D42F-0792-43F2-BC28-704767AF0DC4}" name="Column2047"/>
    <tableColumn id="2048" xr3:uid="{A1E4654E-95CB-4D98-9683-2608A57F381B}" name="Column2048"/>
    <tableColumn id="2049" xr3:uid="{48366A49-C9C9-4E56-AE34-F52773F6247C}" name="Column2049"/>
    <tableColumn id="2050" xr3:uid="{67509726-DA23-4F8D-962B-0FCBDB7553E4}" name="Column2050"/>
    <tableColumn id="2051" xr3:uid="{D5B80EE0-04B6-440F-A962-900AFFFF5389}" name="Column2051"/>
    <tableColumn id="2052" xr3:uid="{64FA38BD-67C2-4BF5-A534-4035F9C97AA7}" name="Column2052"/>
    <tableColumn id="2053" xr3:uid="{706F721A-BD85-4EB1-A30F-CB29251AEE97}" name="Column2053"/>
    <tableColumn id="2054" xr3:uid="{B5F97679-06ED-467F-85D3-166E5654E760}" name="Column2054"/>
    <tableColumn id="2055" xr3:uid="{4EDBEC4D-8A04-4893-B09B-F2DC76B1397E}" name="Column2055"/>
    <tableColumn id="2056" xr3:uid="{5E155BAB-3ABF-4611-846A-6C3396ACCE5B}" name="Column2056"/>
    <tableColumn id="2057" xr3:uid="{55E39DBA-0E17-46D3-B94C-BF44B64C9DF9}" name="Column2057"/>
    <tableColumn id="2058" xr3:uid="{24D32C83-E88E-4B58-95FB-21FC2F4F9342}" name="Column2058"/>
    <tableColumn id="2059" xr3:uid="{B5C9CBC4-3519-4981-9933-D6B3B484D421}" name="Column2059"/>
    <tableColumn id="2060" xr3:uid="{4B0CFD32-19E7-425A-8C5B-0CA1F96511D6}" name="Column2060"/>
    <tableColumn id="2061" xr3:uid="{C03F18F0-6BF9-4417-9C8F-77389554894A}" name="Column2061"/>
    <tableColumn id="2062" xr3:uid="{6046AA64-1038-4754-AAF7-1CBB15308A9A}" name="Column2062"/>
    <tableColumn id="2063" xr3:uid="{9C095DEB-0BED-41A1-B63F-2453DD1084F5}" name="Column2063"/>
    <tableColumn id="2064" xr3:uid="{BD8C6EB1-22F7-4965-9D9B-92FD430FC2A5}" name="Column2064"/>
    <tableColumn id="2065" xr3:uid="{1A505955-FA74-47E0-8D06-62A3674C42B9}" name="Column2065"/>
    <tableColumn id="2066" xr3:uid="{86C9B356-C1FA-465D-A201-82C01F6BA4BA}" name="Column2066"/>
    <tableColumn id="2067" xr3:uid="{778C08F7-4841-4089-89B4-60D315EFA0F1}" name="Column2067"/>
    <tableColumn id="2068" xr3:uid="{C8816764-F3CD-4F54-8D1B-2BF0D3ECC53D}" name="Column2068"/>
    <tableColumn id="2069" xr3:uid="{F0F8BEC5-17DC-4F69-B732-59F0876C027C}" name="Column2069"/>
    <tableColumn id="2070" xr3:uid="{DDE8A022-7A6C-4100-A532-55AC47CE456C}" name="Column2070"/>
    <tableColumn id="2071" xr3:uid="{63B27A0B-E515-4DB1-B4CA-42FEEE881CB9}" name="Column2071"/>
    <tableColumn id="2072" xr3:uid="{86C99712-970C-497C-8AB3-5CF26086A008}" name="Column2072"/>
    <tableColumn id="2073" xr3:uid="{3C641B98-6948-404F-BA02-D1C9AE932327}" name="Column2073"/>
    <tableColumn id="2074" xr3:uid="{AF1767FD-F3D9-478B-92BC-8C689DB5166F}" name="Column2074"/>
    <tableColumn id="2075" xr3:uid="{4FFE9948-E9EA-4FB6-8330-50F2442FFAB3}" name="Column2075"/>
    <tableColumn id="2076" xr3:uid="{357A273F-724E-43F2-8360-E4B1E6D6975B}" name="Column2076"/>
    <tableColumn id="2077" xr3:uid="{B6786D50-9790-4F9A-B3D1-B12D6BE0BBD7}" name="Column2077"/>
    <tableColumn id="2078" xr3:uid="{BB8C08B1-20D9-440C-8F1F-1D4F0BD392DB}" name="Column2078"/>
    <tableColumn id="2079" xr3:uid="{472FE480-7FDA-42E7-A115-9B14D468A11F}" name="Column2079"/>
    <tableColumn id="2080" xr3:uid="{69B92B1A-704B-41F8-8EEF-6AA6F9C1719F}" name="Column2080"/>
    <tableColumn id="2081" xr3:uid="{17F253F9-CAE4-4450-89C9-AA1A5AC1D7CA}" name="Column2081"/>
    <tableColumn id="2082" xr3:uid="{796D0778-3975-42ED-BBBA-879A2C1F8FE8}" name="Column2082"/>
    <tableColumn id="2083" xr3:uid="{6076A8B7-C92E-4165-94BA-B167A50FBAD0}" name="Column2083"/>
    <tableColumn id="2084" xr3:uid="{CB21FA79-31D5-45AF-A5AF-72106BDFEAF0}" name="Column2084"/>
    <tableColumn id="2085" xr3:uid="{DC38CFB7-F233-464B-9585-608B3ACE2DEF}" name="Column2085"/>
    <tableColumn id="2086" xr3:uid="{2EBE5FD7-8CDB-4B88-86B0-9113002C0167}" name="Column2086"/>
    <tableColumn id="2087" xr3:uid="{8B423E20-8829-45FA-B998-C3C4D9AA1497}" name="Column2087"/>
    <tableColumn id="2088" xr3:uid="{AF5D22B8-A432-4BA3-8E5B-7C7C3121350E}" name="Column2088"/>
    <tableColumn id="2089" xr3:uid="{702E0BC0-05B7-4AC4-B754-A6A49964CED9}" name="Column2089"/>
    <tableColumn id="2090" xr3:uid="{BF280B27-C02E-47A3-B6AD-39F9B09A62A8}" name="Column2090"/>
    <tableColumn id="2091" xr3:uid="{BB6A0C26-923A-466C-B7FF-6A87C59BB972}" name="Column2091"/>
    <tableColumn id="2092" xr3:uid="{0C7DD49B-6F1E-4B94-95E8-E66DE764654F}" name="Column2092"/>
    <tableColumn id="2093" xr3:uid="{B1345BA3-AA01-41E0-BA42-83524A585302}" name="Column2093"/>
    <tableColumn id="2094" xr3:uid="{EB568953-AB28-4599-8B3B-E55807C58B51}" name="Column2094"/>
    <tableColumn id="2095" xr3:uid="{A8170235-28F1-43E8-BFEF-D076E5E52ABA}" name="Column2095"/>
    <tableColumn id="2096" xr3:uid="{534639F1-0E5F-4D9D-9AD6-40047BB9FE28}" name="Column2096"/>
    <tableColumn id="2097" xr3:uid="{D58BF73A-A6FD-4395-8674-9A4FE402A931}" name="Column2097"/>
    <tableColumn id="2098" xr3:uid="{1BC5D756-54E5-4FF1-AFDF-E95567F43837}" name="Column2098"/>
    <tableColumn id="2099" xr3:uid="{59612E98-F8DB-411F-BB54-415CF1E986D0}" name="Column2099"/>
    <tableColumn id="2100" xr3:uid="{69076F0F-B2EC-4748-A3BC-EB6537C2EACE}" name="Column2100"/>
    <tableColumn id="2101" xr3:uid="{8C2EA06D-DC0E-45C1-8577-73EB83D97077}" name="Column2101"/>
    <tableColumn id="2102" xr3:uid="{A5A7D927-EEF1-41A0-9501-8B3DAF120DA9}" name="Column2102"/>
    <tableColumn id="2103" xr3:uid="{B18FF1C6-71AF-41D1-8E0D-9680CC42E019}" name="Column2103"/>
    <tableColumn id="2104" xr3:uid="{259F5E9A-811B-415B-A30B-A3E879E32BDD}" name="Column2104"/>
    <tableColumn id="2105" xr3:uid="{69572319-BE0B-4570-8E03-C67C7B3FAF93}" name="Column2105"/>
    <tableColumn id="2106" xr3:uid="{07D5F784-C112-4878-B5E4-9E946EFD406B}" name="Column2106"/>
    <tableColumn id="2107" xr3:uid="{273162B7-5977-4570-95F5-6152B688F922}" name="Column2107"/>
    <tableColumn id="2108" xr3:uid="{E3DBDB4D-088A-4A6F-8A78-6B6F1E91D41B}" name="Column2108"/>
    <tableColumn id="2109" xr3:uid="{605E3CA0-9C56-4864-A492-249DD440DFC7}" name="Column2109"/>
    <tableColumn id="2110" xr3:uid="{DC207399-1EA8-44AA-98C9-F159B6357A36}" name="Column2110"/>
    <tableColumn id="2111" xr3:uid="{218678F8-A973-4068-9B31-F2744388BF58}" name="Column2111"/>
    <tableColumn id="2112" xr3:uid="{92583699-5ED0-495D-920E-AD4DED56F2BA}" name="Column2112"/>
    <tableColumn id="2113" xr3:uid="{80FFC78B-86A9-4755-8903-0B31DE3D7BE5}" name="Column2113"/>
    <tableColumn id="2114" xr3:uid="{5CF844C4-5120-4216-83E7-425437396FE5}" name="Column2114"/>
    <tableColumn id="2115" xr3:uid="{F1F3D625-EF3E-42E9-B84D-EF169B47BFD5}" name="Column2115"/>
    <tableColumn id="2116" xr3:uid="{7D589172-AD82-4965-A25A-0B0E78917ED4}" name="Column2116"/>
    <tableColumn id="2117" xr3:uid="{F9BCCED3-A021-46AB-B9F3-00C506CDE510}" name="Column2117"/>
    <tableColumn id="2118" xr3:uid="{2DAB91A7-302E-414F-8F8F-1CA1C6B85F34}" name="Column2118"/>
    <tableColumn id="2119" xr3:uid="{0CBA826D-4E83-4802-8D48-056B160BD023}" name="Column2119"/>
    <tableColumn id="2120" xr3:uid="{3F99567D-25E4-43D6-8A18-9DEAE4EF6DB0}" name="Column2120"/>
    <tableColumn id="2121" xr3:uid="{C4C5C66F-3236-41EA-9727-AB84B067F530}" name="Column2121"/>
    <tableColumn id="2122" xr3:uid="{416A7C72-2953-4B61-A0E4-EB8A6206E219}" name="Column2122"/>
    <tableColumn id="2123" xr3:uid="{1DF5210E-CFB2-4950-8CB4-159DB31CA189}" name="Column2123"/>
    <tableColumn id="2124" xr3:uid="{04B9514E-2C63-4251-A5F5-E5D17304F93B}" name="Column2124"/>
    <tableColumn id="2125" xr3:uid="{CBCE76F6-95FF-40C0-931F-A547712395CC}" name="Column2125"/>
    <tableColumn id="2126" xr3:uid="{D207DB4D-D50A-485A-90B2-8637C6D3E594}" name="Column2126"/>
    <tableColumn id="2127" xr3:uid="{E25BDBB0-A226-4FED-87D2-03EF7B6F386B}" name="Column2127"/>
    <tableColumn id="2128" xr3:uid="{9FA8C528-A5CD-409E-A648-675AB13550EB}" name="Column2128"/>
    <tableColumn id="2129" xr3:uid="{6D577767-918B-4FCB-B415-D2290689234C}" name="Column2129"/>
    <tableColumn id="2130" xr3:uid="{B815DD2D-188F-436C-B0C0-2A9CEF272ED5}" name="Column2130"/>
    <tableColumn id="2131" xr3:uid="{89363CFF-1E13-4694-9147-E0C03A6F7D79}" name="Column2131"/>
    <tableColumn id="2132" xr3:uid="{0A5D50F5-B0C2-4B8C-ACD4-7D264CA24D05}" name="Column2132"/>
    <tableColumn id="2133" xr3:uid="{ED290E2B-B27E-43A6-91C2-F448F2DA7FF4}" name="Column2133"/>
    <tableColumn id="2134" xr3:uid="{8C377BC0-161C-4E01-AE1A-99E628F058C5}" name="Column2134"/>
    <tableColumn id="2135" xr3:uid="{36B0A9A5-6EEA-4291-9F13-1DD1779C8AAE}" name="Column2135"/>
    <tableColumn id="2136" xr3:uid="{35383EBC-3A5D-4FBD-B2E3-E8CB79ED6C0A}" name="Column2136"/>
    <tableColumn id="2137" xr3:uid="{FB3737CF-409C-49CB-9E3A-443274820A7B}" name="Column2137"/>
    <tableColumn id="2138" xr3:uid="{C5B91FFF-6431-4AA6-A121-AF48277BB485}" name="Column2138"/>
    <tableColumn id="2139" xr3:uid="{65E3CA69-8F8D-42F4-A32B-77550BF7CB59}" name="Column2139"/>
    <tableColumn id="2140" xr3:uid="{4E3E0362-9F01-4288-91F0-596C8C234E44}" name="Column2140"/>
    <tableColumn id="2141" xr3:uid="{8771A8CA-577C-4305-9C08-C575AEAB051A}" name="Column2141"/>
    <tableColumn id="2142" xr3:uid="{887376A2-9B31-4197-8884-EBA3DDB912B9}" name="Column2142"/>
    <tableColumn id="2143" xr3:uid="{0641B6A1-E054-4E7E-8911-58F22AFC20D8}" name="Column2143"/>
    <tableColumn id="2144" xr3:uid="{2E510421-DC5E-40EC-88A5-B11BB7C2B58B}" name="Column2144"/>
    <tableColumn id="2145" xr3:uid="{5632D760-19F3-4D20-BD18-4B546D762E87}" name="Column2145"/>
    <tableColumn id="2146" xr3:uid="{D11F9BF8-91F7-4AD7-AE27-1EB35D0E3EB2}" name="Column2146"/>
    <tableColumn id="2147" xr3:uid="{77280B5B-9DD0-4740-AEB5-85237BC890CE}" name="Column2147"/>
    <tableColumn id="2148" xr3:uid="{61F61B89-69F2-4E9F-BAF3-EF7B0FAD1F58}" name="Column2148"/>
    <tableColumn id="2149" xr3:uid="{D129D6BC-AF32-431D-A864-D1DE205C79EF}" name="Column2149"/>
    <tableColumn id="2150" xr3:uid="{6A0CF49A-2C3A-48F7-9849-C7C93144B224}" name="Column2150"/>
    <tableColumn id="2151" xr3:uid="{E223C287-EC5E-4DFF-A2DC-1AB734373394}" name="Column2151"/>
    <tableColumn id="2152" xr3:uid="{1F87BB1E-D5F5-4576-B623-C5B9F3EEF66E}" name="Column2152"/>
    <tableColumn id="2153" xr3:uid="{67442C7D-080A-498E-9AC6-3B5757794B41}" name="Column2153"/>
    <tableColumn id="2154" xr3:uid="{709DFEB9-3F45-4722-AF0B-4952958498DB}" name="Column2154"/>
    <tableColumn id="2155" xr3:uid="{3368D6AD-823F-41F6-AFD2-2FBB55585B0B}" name="Column2155"/>
    <tableColumn id="2156" xr3:uid="{DF4000BE-A219-4F51-A259-0CD109825AC9}" name="Column2156"/>
    <tableColumn id="2157" xr3:uid="{E1415B30-1263-496F-BCF1-A5214EDCDC6E}" name="Column2157"/>
    <tableColumn id="2158" xr3:uid="{596C23DB-43AB-4E6B-ADB8-4180B784BDFB}" name="Column2158"/>
    <tableColumn id="2159" xr3:uid="{77CEF845-E94D-4014-90B0-1C03A5E938F5}" name="Column2159"/>
    <tableColumn id="2160" xr3:uid="{9C8D3A4E-8F51-4680-BDEF-4099E488CF70}" name="Column2160"/>
    <tableColumn id="2161" xr3:uid="{DFDF43A0-D274-4733-85CF-11ACF5F2428F}" name="Column2161"/>
    <tableColumn id="2162" xr3:uid="{F4548C85-3D22-46F8-B050-34E5EE5A2FA5}" name="Column2162"/>
    <tableColumn id="2163" xr3:uid="{14E3567F-E5D6-43A2-AAFF-B735ABAA2CA8}" name="Column2163"/>
    <tableColumn id="2164" xr3:uid="{03EB50B6-567C-4998-99AB-1E278A3C3723}" name="Column2164"/>
    <tableColumn id="2165" xr3:uid="{EEBB3C6C-B389-4C93-8D0C-72897BEE88DF}" name="Column2165"/>
    <tableColumn id="2166" xr3:uid="{F75D0FE3-6678-4EB2-AB15-A55D68A8CD93}" name="Column2166"/>
    <tableColumn id="2167" xr3:uid="{13F63CB8-5017-472E-828D-131F4D0B0905}" name="Column2167"/>
    <tableColumn id="2168" xr3:uid="{D94A19CA-A340-4D37-8B7F-CB6A7BEA2F8D}" name="Column2168"/>
    <tableColumn id="2169" xr3:uid="{8C5D8510-D4FC-4748-B831-C9A0E22191A8}" name="Column2169"/>
    <tableColumn id="2170" xr3:uid="{51A9DAF6-7CEF-47FD-B6A7-C68883DB54D2}" name="Column2170"/>
    <tableColumn id="2171" xr3:uid="{5267CFC2-9AA6-4960-A789-472D9DAC9A66}" name="Column2171"/>
    <tableColumn id="2172" xr3:uid="{8DD4F14C-6C58-4793-8FD5-1EECC18DD03F}" name="Column2172"/>
    <tableColumn id="2173" xr3:uid="{530D6DAF-50E8-4182-8B41-BFA58A77D9F8}" name="Column2173"/>
    <tableColumn id="2174" xr3:uid="{9C8EC782-0E46-44AE-8EAE-CA426D034FD4}" name="Column2174"/>
    <tableColumn id="2175" xr3:uid="{BF130D37-C94E-43A6-9EED-A936E928903C}" name="Column2175"/>
    <tableColumn id="2176" xr3:uid="{A1B416D9-ADA0-43E2-ACAF-E1294CC049EE}" name="Column2176"/>
    <tableColumn id="2177" xr3:uid="{1850823A-2C78-4FB9-9F80-26689CB7F095}" name="Column2177"/>
    <tableColumn id="2178" xr3:uid="{EE154C11-4981-4289-892D-278C1119D43F}" name="Column2178"/>
    <tableColumn id="2179" xr3:uid="{277F3914-8194-4B28-AF1E-5299246791AE}" name="Column2179"/>
    <tableColumn id="2180" xr3:uid="{C373644D-523B-48F1-974E-DB918A4B2A6E}" name="Column2180"/>
    <tableColumn id="2181" xr3:uid="{A3DDCEFA-72B1-4BA7-9F11-40D0A250A74B}" name="Column2181"/>
    <tableColumn id="2182" xr3:uid="{7B0A6FD6-46C4-435E-AF24-3B3585CD2BF7}" name="Column2182"/>
    <tableColumn id="2183" xr3:uid="{3A0AFCB2-E399-4DAE-91DE-825F8655AC3B}" name="Column2183"/>
    <tableColumn id="2184" xr3:uid="{068CC0C1-B893-4C97-BC00-25B58E17F5D8}" name="Column2184"/>
    <tableColumn id="2185" xr3:uid="{29648B96-70F5-4141-B659-EA916E981F2C}" name="Column2185"/>
    <tableColumn id="2186" xr3:uid="{3405CEBB-190A-4B7B-BBB0-918C0BA7D98F}" name="Column2186"/>
    <tableColumn id="2187" xr3:uid="{1B452C5F-0E7A-4C36-921D-4DF448BE05E5}" name="Column2187"/>
    <tableColumn id="2188" xr3:uid="{4DD305A5-C40C-4DCA-8455-E3A587554E4D}" name="Column2188"/>
    <tableColumn id="2189" xr3:uid="{FF06FD39-7350-4ECF-B018-D19F332C926E}" name="Column2189"/>
    <tableColumn id="2190" xr3:uid="{CB6FCE76-5999-457C-84F6-99F0932C63D8}" name="Column2190"/>
    <tableColumn id="2191" xr3:uid="{32395593-FF49-495F-B89B-1E9914F5DE39}" name="Column2191"/>
    <tableColumn id="2192" xr3:uid="{8051FF01-FC59-47A6-B127-DEE9A11CDC3E}" name="Column2192"/>
    <tableColumn id="2193" xr3:uid="{26203CD9-7882-4993-AD6B-AFB43F8DE8D7}" name="Column2193"/>
    <tableColumn id="2194" xr3:uid="{73709523-A29B-43D7-B78F-F98EC915A93E}" name="Column2194"/>
    <tableColumn id="2195" xr3:uid="{9DA674EF-99CA-4542-A656-405AA6C9FB38}" name="Column2195"/>
    <tableColumn id="2196" xr3:uid="{F2999A39-0C5A-49AF-BC6E-18BD641BBF78}" name="Column2196"/>
    <tableColumn id="2197" xr3:uid="{979876CE-5DA7-49D7-9E4B-C9BC5A39AFE0}" name="Column2197"/>
    <tableColumn id="2198" xr3:uid="{9C7C3DA1-8D36-4BF1-A97A-8F2E68CD3BB4}" name="Column2198"/>
    <tableColumn id="2199" xr3:uid="{00BCBA0A-2C0A-42FC-B287-1617C5150D3C}" name="Column2199"/>
    <tableColumn id="2200" xr3:uid="{9F0C57AE-20E1-4690-BB8D-964C9BBE9F1A}" name="Column2200"/>
    <tableColumn id="2201" xr3:uid="{3E3506BC-E8C7-45AD-B568-40ADCBABC2CA}" name="Column2201"/>
    <tableColumn id="2202" xr3:uid="{17F69624-8AF4-4459-9222-F376B17BC94D}" name="Column2202"/>
    <tableColumn id="2203" xr3:uid="{38A5A39D-AFFC-4C9F-92C9-0B5933C46033}" name="Column2203"/>
    <tableColumn id="2204" xr3:uid="{927E5B95-E34E-4347-8EE3-3FE00015D08A}" name="Column2204"/>
    <tableColumn id="2205" xr3:uid="{F6C15323-DDA9-4734-AFA1-CC02EDD9E49B}" name="Column2205"/>
    <tableColumn id="2206" xr3:uid="{0D367C86-50AD-4457-B899-A3A9A74D951B}" name="Column2206"/>
    <tableColumn id="2207" xr3:uid="{C25A0609-91B8-4019-84E6-A053D8C1D13F}" name="Column2207"/>
    <tableColumn id="2208" xr3:uid="{0553D657-B73C-44CC-9B6D-A1CD4938F6E8}" name="Column2208"/>
    <tableColumn id="2209" xr3:uid="{80F5EC1E-999D-4633-A767-80526CBACBEB}" name="Column2209"/>
    <tableColumn id="2210" xr3:uid="{047EB6AF-EFE4-466E-8373-25B5892E45BA}" name="Column2210"/>
    <tableColumn id="2211" xr3:uid="{A2D7E619-4F04-4CA9-B3F0-D1B692B7C5E0}" name="Column2211"/>
    <tableColumn id="2212" xr3:uid="{7573DC45-56C4-46AA-9BB0-680C33F346C4}" name="Column2212"/>
    <tableColumn id="2213" xr3:uid="{50FACDCA-E7BE-49AC-882A-748595D5E093}" name="Column2213"/>
    <tableColumn id="2214" xr3:uid="{77DDEBAA-A0C1-473B-A09C-E9AD2CE1C174}" name="Column2214"/>
    <tableColumn id="2215" xr3:uid="{D9995500-9725-4334-AD22-57AEF8F874BC}" name="Column2215"/>
    <tableColumn id="2216" xr3:uid="{536CAFA6-B8E2-423A-AE5A-F167A07B83C8}" name="Column2216"/>
    <tableColumn id="2217" xr3:uid="{BE628002-A246-41FC-96C0-5263B30CA4AB}" name="Column2217"/>
    <tableColumn id="2218" xr3:uid="{DEE355C8-DF6F-462F-B26C-2B61ED4D52AC}" name="Column2218"/>
    <tableColumn id="2219" xr3:uid="{E95F0CE1-2329-4199-938D-0797C9527162}" name="Column2219"/>
    <tableColumn id="2220" xr3:uid="{6B0A5095-B0B4-4674-866B-A25BF27AB1E6}" name="Column2220"/>
    <tableColumn id="2221" xr3:uid="{0E054F67-8291-42D2-857B-1503FF359DB0}" name="Column2221"/>
    <tableColumn id="2222" xr3:uid="{421DD43B-6977-46F4-ADC9-28A00E38C99F}" name="Column2222"/>
    <tableColumn id="2223" xr3:uid="{DC827B25-AAC3-44B2-8E28-5E11FBA02120}" name="Column2223"/>
    <tableColumn id="2224" xr3:uid="{1D58E5D8-10F7-43B7-ADED-6FAA61DA40B9}" name="Column2224"/>
    <tableColumn id="2225" xr3:uid="{C0E5C2AE-EB40-4809-BCD9-25F57800DC6D}" name="Column2225"/>
    <tableColumn id="2226" xr3:uid="{B650B96F-A379-4434-8B10-8B1F8834B373}" name="Column2226"/>
    <tableColumn id="2227" xr3:uid="{BC61C084-4358-48C0-8448-63AAD5C3A417}" name="Column2227"/>
    <tableColumn id="2228" xr3:uid="{E031F657-56C6-4454-B5C8-AF868B4CC0B1}" name="Column2228"/>
    <tableColumn id="2229" xr3:uid="{3BAFF2E2-8FD1-4233-8CFC-3CAEC9274DB6}" name="Column2229"/>
    <tableColumn id="2230" xr3:uid="{EE876D9E-47B7-469E-810F-8C920C3FCC39}" name="Column2230"/>
    <tableColumn id="2231" xr3:uid="{03AB3F6F-4978-4B46-B282-627ADFE8CB58}" name="Column2231"/>
    <tableColumn id="2232" xr3:uid="{90EAAD94-51A2-4CD1-A42C-78F6D0328625}" name="Column2232"/>
    <tableColumn id="2233" xr3:uid="{F5BE4BED-6066-427A-99B3-D1DC578150C0}" name="Column2233"/>
    <tableColumn id="2234" xr3:uid="{73CD4D53-B288-4372-9FFE-F1D3779F34A6}" name="Column2234"/>
    <tableColumn id="2235" xr3:uid="{28E7AD74-93C3-413F-B4BE-62F6D2ECFD31}" name="Column2235"/>
    <tableColumn id="2236" xr3:uid="{66D13D7F-A649-482B-891F-D3998E9EDA90}" name="Column2236"/>
    <tableColumn id="2237" xr3:uid="{A9DE5674-68F4-4526-BC25-A3B4ECB1A24B}" name="Column2237"/>
    <tableColumn id="2238" xr3:uid="{6B37B7A2-48E9-440C-B8EE-9D19D62AF4B5}" name="Column2238"/>
    <tableColumn id="2239" xr3:uid="{61C217F6-FF9C-478D-BAD4-2F1EBD41460B}" name="Column2239"/>
    <tableColumn id="2240" xr3:uid="{39018A8E-880D-4A1B-AA5C-A0BAA01F945A}" name="Column2240"/>
    <tableColumn id="2241" xr3:uid="{CD8270ED-C8B1-4477-82DE-792CDD6FC45C}" name="Column2241"/>
    <tableColumn id="2242" xr3:uid="{534F8E9F-27B0-4FC9-8CDC-E1E6CE507681}" name="Column2242"/>
    <tableColumn id="2243" xr3:uid="{0B22DF34-3C53-450A-B6AD-758177C1FB9F}" name="Column2243"/>
    <tableColumn id="2244" xr3:uid="{911BBC8C-90E5-489B-BCB9-7180F400038C}" name="Column2244"/>
    <tableColumn id="2245" xr3:uid="{4B754122-6ABC-4785-A69E-D8011C05FD74}" name="Column2245"/>
    <tableColumn id="2246" xr3:uid="{BA88A3C0-1C07-42A3-8A24-F11D35181DF8}" name="Column2246"/>
    <tableColumn id="2247" xr3:uid="{608F81CC-847D-4637-8DB8-268638355329}" name="Column2247"/>
    <tableColumn id="2248" xr3:uid="{3D0C5148-A997-4F09-BF18-42E5BE858815}" name="Column2248"/>
    <tableColumn id="2249" xr3:uid="{E2C17E84-A6E1-4498-A0CC-CF494DB5156B}" name="Column2249"/>
    <tableColumn id="2250" xr3:uid="{30004A59-C4F4-498B-B8C6-A695067DD008}" name="Column2250"/>
    <tableColumn id="2251" xr3:uid="{4C0BF6EB-99F2-47AC-8341-696A22655D66}" name="Column2251"/>
    <tableColumn id="2252" xr3:uid="{EFCBBCA9-15C3-46DA-B186-0E984D34B21C}" name="Column2252"/>
    <tableColumn id="2253" xr3:uid="{44F50F75-5816-4C00-B2D9-790A4ED19B0E}" name="Column2253"/>
    <tableColumn id="2254" xr3:uid="{C850C230-B01B-4EEC-914F-00D8FE686063}" name="Column2254"/>
    <tableColumn id="2255" xr3:uid="{1C327738-558D-41D3-A0BC-CF2705D120A6}" name="Column2255"/>
    <tableColumn id="2256" xr3:uid="{F6527BA3-760E-4419-8DA1-A8BA472985D8}" name="Column2256"/>
    <tableColumn id="2257" xr3:uid="{50E2C988-9CB7-431F-AC86-2FF1C68A480A}" name="Column2257"/>
    <tableColumn id="2258" xr3:uid="{3D8C24F0-C9B0-4EBD-8D94-11B456AD3B3F}" name="Column2258"/>
    <tableColumn id="2259" xr3:uid="{EC0ECFE6-98B9-4592-BF41-0C545553FBDD}" name="Column2259"/>
    <tableColumn id="2260" xr3:uid="{4D9A71FC-9B75-48F8-9118-3B80FD2F2549}" name="Column2260"/>
    <tableColumn id="2261" xr3:uid="{0B7BFA1C-999A-48FC-91B1-8C5F5F326283}" name="Column2261"/>
    <tableColumn id="2262" xr3:uid="{0E40F455-F43F-4DB9-8304-C2E351FA9BD8}" name="Column2262"/>
    <tableColumn id="2263" xr3:uid="{EE15B63B-7DB0-4040-9F13-FB7F44654E98}" name="Column2263"/>
    <tableColumn id="2264" xr3:uid="{BA9AA092-09B7-4E96-A8CB-CAB0F0EEF691}" name="Column2264"/>
    <tableColumn id="2265" xr3:uid="{6A31E980-10DE-423B-9781-7C24ED3A0384}" name="Column2265"/>
    <tableColumn id="2266" xr3:uid="{B838AD5D-1C4F-4141-8959-E280FBF5AC34}" name="Column2266"/>
    <tableColumn id="2267" xr3:uid="{F7838A7D-B8A0-4BAF-B7DA-C845B13E1184}" name="Column2267"/>
    <tableColumn id="2268" xr3:uid="{5573B326-DFF8-42A2-A06E-51792520D166}" name="Column2268"/>
    <tableColumn id="2269" xr3:uid="{5C85DB47-16DB-4B65-9EDE-EB3910AD4E97}" name="Column2269"/>
    <tableColumn id="2270" xr3:uid="{783FDFC3-FC59-46FB-B686-618598EE805D}" name="Column2270"/>
    <tableColumn id="2271" xr3:uid="{05DCBAB7-0E56-47D4-8BCA-1DB8FE8C8294}" name="Column2271"/>
    <tableColumn id="2272" xr3:uid="{86FF06AB-5C04-4F0E-8B36-D21C6543ED3C}" name="Column2272"/>
    <tableColumn id="2273" xr3:uid="{8CA77EEB-C568-4BE8-8068-A04CC0D45B1B}" name="Column2273"/>
    <tableColumn id="2274" xr3:uid="{3CBD7254-0EDA-4785-83F5-02096FF2B9D1}" name="Column2274"/>
    <tableColumn id="2275" xr3:uid="{07C90F4A-8772-49FE-9EF4-65B5F1B891BA}" name="Column2275"/>
    <tableColumn id="2276" xr3:uid="{6D6CB2C9-61F2-4E45-98F4-F86496FE0CCA}" name="Column2276"/>
    <tableColumn id="2277" xr3:uid="{A9C4B3B6-02F0-40F8-9AF4-1046700E101E}" name="Column2277"/>
    <tableColumn id="2278" xr3:uid="{8C4BAB9C-B223-4B4D-8003-29AD30209C6A}" name="Column2278"/>
    <tableColumn id="2279" xr3:uid="{5C006966-D25C-4ECE-B8F1-908195BE29B1}" name="Column2279"/>
    <tableColumn id="2280" xr3:uid="{C017CD09-8009-4B9E-B363-4E71E74799AD}" name="Column2280"/>
    <tableColumn id="2281" xr3:uid="{33852110-4BDC-48B9-88CD-586474F99B63}" name="Column2281"/>
    <tableColumn id="2282" xr3:uid="{9F0FAA23-8A0A-400E-8A97-A098C7C81E88}" name="Column2282"/>
    <tableColumn id="2283" xr3:uid="{6D94640E-42F8-4819-ADEF-4F03F2F6CB52}" name="Column2283"/>
    <tableColumn id="2284" xr3:uid="{B88C809A-D66E-4790-B15F-92A3D5983567}" name="Column2284"/>
    <tableColumn id="2285" xr3:uid="{81E0A0DA-49FF-4797-8B79-E698A7560AD4}" name="Column2285"/>
    <tableColumn id="2286" xr3:uid="{0DE1AB0E-9BC5-40D8-BEBB-42C1F24E7E45}" name="Column2286"/>
    <tableColumn id="2287" xr3:uid="{C80E3083-F7FE-440A-BF86-AB6706802990}" name="Column2287"/>
    <tableColumn id="2288" xr3:uid="{0471E866-9F6B-4584-9F23-60B0242A8C7F}" name="Column2288"/>
    <tableColumn id="2289" xr3:uid="{5B580B14-198B-4CAA-92E7-7BD23A5B1838}" name="Column2289"/>
    <tableColumn id="2290" xr3:uid="{CAA9DFB6-4137-484B-968C-0805A922BA13}" name="Column2290"/>
    <tableColumn id="2291" xr3:uid="{3B693C57-9F73-49AC-8661-F165CE65DD58}" name="Column2291"/>
    <tableColumn id="2292" xr3:uid="{D166C1B3-6B86-4F20-87F5-E25EDD5A7F03}" name="Column2292"/>
    <tableColumn id="2293" xr3:uid="{6F589BB3-7E7D-4B82-8C02-50597C5CCB4C}" name="Column2293"/>
    <tableColumn id="2294" xr3:uid="{4F0FF5A8-53C8-4E1B-A92E-20676D5B04A4}" name="Column2294"/>
    <tableColumn id="2295" xr3:uid="{09BDBE24-DBFC-4C2A-A63C-64B37BE8F750}" name="Column2295"/>
    <tableColumn id="2296" xr3:uid="{BA2DDCB9-BEA3-4E6A-B749-645891029CF8}" name="Column2296"/>
    <tableColumn id="2297" xr3:uid="{074BCE21-C827-4BC5-A488-EDE1FBED651C}" name="Column2297"/>
    <tableColumn id="2298" xr3:uid="{FC5AC0E2-1C74-4A80-806A-E0CBA220710E}" name="Column2298"/>
    <tableColumn id="2299" xr3:uid="{99869F15-ACAB-42C3-92CB-66B239AE39DB}" name="Column2299"/>
    <tableColumn id="2300" xr3:uid="{14A74040-7ADE-4728-904A-771BA1C2F23F}" name="Column2300"/>
    <tableColumn id="2301" xr3:uid="{5808309B-C17F-4B88-A0AC-5341D3A7EDA4}" name="Column2301"/>
    <tableColumn id="2302" xr3:uid="{08C218D3-D7CA-4741-AEFA-D0ACDC0755C5}" name="Column2302"/>
    <tableColumn id="2303" xr3:uid="{4AC3798D-21B8-4C97-A8AA-C1DA5EE8BD9A}" name="Column2303"/>
    <tableColumn id="2304" xr3:uid="{BAF05C57-F72F-440D-A507-50584760A704}" name="Column2304"/>
    <tableColumn id="2305" xr3:uid="{B9410AA8-C612-4828-8156-18678B6B1D2C}" name="Column2305"/>
    <tableColumn id="2306" xr3:uid="{7A7DBFD2-D74C-42E5-85AC-8754A5BB3D0C}" name="Column2306"/>
    <tableColumn id="2307" xr3:uid="{8AAAC058-10BA-4B02-A5D9-EEDCC4FF4AB6}" name="Column2307"/>
    <tableColumn id="2308" xr3:uid="{94FA7196-5164-4BF2-ACEA-3916E198E8FD}" name="Column2308"/>
    <tableColumn id="2309" xr3:uid="{754F1A9C-6A70-4B78-A221-5555B7D58699}" name="Column2309"/>
    <tableColumn id="2310" xr3:uid="{0F76B0DE-27F4-45AB-94DF-0EB09B1E2F84}" name="Column2310"/>
    <tableColumn id="2311" xr3:uid="{1010B2B0-51C3-47D6-8173-D7776E282DCB}" name="Column2311"/>
    <tableColumn id="2312" xr3:uid="{61B877A4-CC21-4E22-8C1A-0122FF17BDD6}" name="Column2312"/>
    <tableColumn id="2313" xr3:uid="{0A22F4CE-8146-4ABA-B018-763FF3A03A6B}" name="Column2313"/>
    <tableColumn id="2314" xr3:uid="{462F150E-F206-4FB8-863A-F2C5EA54887A}" name="Column2314"/>
    <tableColumn id="2315" xr3:uid="{6EE0B3A6-9BE3-4BF8-9F82-4201C56A4D9D}" name="Column2315"/>
    <tableColumn id="2316" xr3:uid="{E6FA1619-8F99-45DB-9979-6372E2C650C7}" name="Column2316"/>
    <tableColumn id="2317" xr3:uid="{C7DB0715-EDEF-41F4-83F8-416A931CE5E5}" name="Column2317"/>
    <tableColumn id="2318" xr3:uid="{7A16CEA4-FC48-4E42-9BF3-05B5598DE032}" name="Column2318"/>
    <tableColumn id="2319" xr3:uid="{0642FB04-9B60-4976-8922-2F530D52BCCF}" name="Column2319"/>
    <tableColumn id="2320" xr3:uid="{9E113153-E256-4872-A489-B2D0A01C025C}" name="Column2320"/>
    <tableColumn id="2321" xr3:uid="{EB697A6B-27F7-4570-A1C0-79F2F765E9DF}" name="Column2321"/>
    <tableColumn id="2322" xr3:uid="{F53E4248-D8A6-40A7-A372-B6787E6D7461}" name="Column2322"/>
    <tableColumn id="2323" xr3:uid="{48F0CD35-7AFE-4F2E-A123-A69DFB35EA41}" name="Column2323"/>
    <tableColumn id="2324" xr3:uid="{B99619FD-1091-43CA-B8F9-3DBCBACB4857}" name="Column2324"/>
    <tableColumn id="2325" xr3:uid="{23B37530-4F63-490E-AE29-BAC59FA96355}" name="Column2325"/>
    <tableColumn id="2326" xr3:uid="{ECBA4109-FFE3-467E-BF78-04B6FCE39666}" name="Column2326"/>
    <tableColumn id="2327" xr3:uid="{DCCCCC2B-F5E2-4686-86AD-DCBEB719B415}" name="Column2327"/>
    <tableColumn id="2328" xr3:uid="{A23B6315-AF60-4782-B751-1FAA26177804}" name="Column2328"/>
    <tableColumn id="2329" xr3:uid="{09EB0A63-AA4F-4D43-8234-333F7831A3AD}" name="Column2329"/>
    <tableColumn id="2330" xr3:uid="{F36122FB-AE02-433B-B5BB-A56F9633496F}" name="Column2330"/>
    <tableColumn id="2331" xr3:uid="{2E7CDA3E-0AC3-4C27-92EC-44A9D7B6B587}" name="Column2331"/>
    <tableColumn id="2332" xr3:uid="{BD1DFE3F-953E-4A33-91E5-031AF4580872}" name="Column2332"/>
    <tableColumn id="2333" xr3:uid="{8BA14000-279C-492A-A764-33F3049F0D6A}" name="Column2333"/>
    <tableColumn id="2334" xr3:uid="{D267215C-9594-422C-B048-7B910AFDC524}" name="Column2334"/>
    <tableColumn id="2335" xr3:uid="{D1CCF91A-61E5-4718-8F76-77F43F2945A6}" name="Column2335"/>
    <tableColumn id="2336" xr3:uid="{240AC4B0-1757-4840-A7E3-2260A5A4D283}" name="Column2336"/>
    <tableColumn id="2337" xr3:uid="{F5FD0F01-FF8D-4CDE-94AD-C168346AA1AD}" name="Column2337"/>
    <tableColumn id="2338" xr3:uid="{6617A08E-8A77-4C96-8DBC-958DA1F9A8AC}" name="Column2338"/>
    <tableColumn id="2339" xr3:uid="{CF026AD0-3F15-4220-885F-ACDC2A1A308B}" name="Column2339"/>
    <tableColumn id="2340" xr3:uid="{6EE455BE-A921-4E38-9D15-2CE65C6DD071}" name="Column2340"/>
    <tableColumn id="2341" xr3:uid="{59A9A6C5-430C-4788-B98C-241A6B07A797}" name="Column2341"/>
    <tableColumn id="2342" xr3:uid="{267293CC-7476-44F9-92CA-C5649C0A18BD}" name="Column2342"/>
    <tableColumn id="2343" xr3:uid="{AA03FEE0-A640-434D-89AE-8CFB3BE23FAF}" name="Column2343"/>
    <tableColumn id="2344" xr3:uid="{CE7EA868-E8DD-48A3-BFDC-4F10BC9A7345}" name="Column2344"/>
    <tableColumn id="2345" xr3:uid="{6E8F2DE1-DAF8-4D14-B434-961369811514}" name="Column2345"/>
    <tableColumn id="2346" xr3:uid="{22289576-F886-482C-BA58-7BF012E6680E}" name="Column2346"/>
    <tableColumn id="2347" xr3:uid="{C8C308D0-1B97-48BB-B168-3A36730417ED}" name="Column2347"/>
    <tableColumn id="2348" xr3:uid="{081D5D90-7807-46D2-9D32-10CD81EE4029}" name="Column2348"/>
    <tableColumn id="2349" xr3:uid="{B6EB86EE-CB82-4276-8374-A0B7EC49D0E9}" name="Column2349"/>
    <tableColumn id="2350" xr3:uid="{68B5300E-E2FB-491E-B58C-6C7E46B3C667}" name="Column2350"/>
    <tableColumn id="2351" xr3:uid="{63A73F46-B0FC-4705-952D-8AF593B539BC}" name="Column2351"/>
    <tableColumn id="2352" xr3:uid="{D9C8E64B-FCF5-4F50-8ACF-9C9BB82181E3}" name="Column2352"/>
    <tableColumn id="2353" xr3:uid="{E181710C-94C3-4C72-B3CC-310775BFBBA5}" name="Column2353"/>
    <tableColumn id="2354" xr3:uid="{31AC8D58-E9AF-4986-99C6-274E1947E33E}" name="Column2354"/>
    <tableColumn id="2355" xr3:uid="{552E4FDA-6863-4948-9CE9-78B9EA5B2844}" name="Column2355"/>
    <tableColumn id="2356" xr3:uid="{D62DDD02-1D8A-4F34-82EE-1607B9504CBE}" name="Column2356"/>
    <tableColumn id="2357" xr3:uid="{C520B7E7-45F4-4F8E-A652-B60E018BCDC2}" name="Column2357"/>
    <tableColumn id="2358" xr3:uid="{DC799F4E-9DA9-452E-B5CD-BFF948D0882E}" name="Column2358"/>
    <tableColumn id="2359" xr3:uid="{A2502DE3-CE0F-4652-B893-D4ABADF480DF}" name="Column2359"/>
    <tableColumn id="2360" xr3:uid="{3B0981E8-C67C-4B22-B950-4D8967AA7787}" name="Column2360"/>
    <tableColumn id="2361" xr3:uid="{FFCEEC61-EEE1-4B9B-B564-47A0BD130606}" name="Column2361"/>
    <tableColumn id="2362" xr3:uid="{0BC1A4D4-EC4D-4016-B5C3-132645D6E035}" name="Column2362"/>
    <tableColumn id="2363" xr3:uid="{12C2E504-AD53-4DCA-9166-7EF5BAB98135}" name="Column2363"/>
    <tableColumn id="2364" xr3:uid="{1680F7A7-C497-43E1-BE62-9274608283EA}" name="Column2364"/>
    <tableColumn id="2365" xr3:uid="{0BAD68D6-8C5C-4174-AB32-7416AF934632}" name="Column2365"/>
    <tableColumn id="2366" xr3:uid="{11D92CB6-E3E8-4E02-8D3D-5F4E6339953E}" name="Column2366"/>
    <tableColumn id="2367" xr3:uid="{87FABDA6-2A78-40F3-8451-3028F30FBB37}" name="Column2367"/>
    <tableColumn id="2368" xr3:uid="{6BF4D77A-8C7A-489F-B529-A9DA433AB978}" name="Column2368"/>
    <tableColumn id="2369" xr3:uid="{01E6E026-7B42-4584-B543-AF49D2221248}" name="Column2369"/>
    <tableColumn id="2370" xr3:uid="{6D446FD8-67FF-4CDF-AD10-95BC55D36D9C}" name="Column2370"/>
    <tableColumn id="2371" xr3:uid="{78A06EB2-3911-46E4-875B-6687ABEE4532}" name="Column2371"/>
    <tableColumn id="2372" xr3:uid="{C8669A05-046D-4A5E-830C-F1280DD5643B}" name="Column2372"/>
    <tableColumn id="2373" xr3:uid="{A9C9767C-4095-4DF8-B4C4-10481DB1FA4E}" name="Column2373"/>
    <tableColumn id="2374" xr3:uid="{55CD7D27-60F9-46DA-BF77-E242D70E2DC7}" name="Column2374"/>
    <tableColumn id="2375" xr3:uid="{1D877A86-A301-4632-8943-18972191C1DD}" name="Column2375"/>
    <tableColumn id="2376" xr3:uid="{7A8D6447-0912-4063-A28D-AC6058A138B6}" name="Column2376"/>
    <tableColumn id="2377" xr3:uid="{E88C4B10-F16C-4716-932A-134C155E247E}" name="Column2377"/>
    <tableColumn id="2378" xr3:uid="{72313328-E7A0-42B3-A910-CBCF2ACC94F2}" name="Column2378"/>
    <tableColumn id="2379" xr3:uid="{4BB082E9-2CC9-4070-86C1-C9F9AC34A27A}" name="Column2379"/>
    <tableColumn id="2380" xr3:uid="{C40F85C6-A6D8-406C-BB2E-7E0188985FB1}" name="Column2380"/>
    <tableColumn id="2381" xr3:uid="{19CC448B-3FEB-4277-8972-3808AA74119A}" name="Column2381"/>
    <tableColumn id="2382" xr3:uid="{95EA39EA-F0B0-481B-89F7-1E9793555E59}" name="Column2382"/>
    <tableColumn id="2383" xr3:uid="{C345CC68-D1D1-46A8-9B14-3689EF852C5E}" name="Column2383"/>
    <tableColumn id="2384" xr3:uid="{B08D27F5-18C1-44A0-B2F3-C3958367D818}" name="Column2384"/>
    <tableColumn id="2385" xr3:uid="{4EED5A37-DC77-42A0-A351-6D7B4D391026}" name="Column2385"/>
    <tableColumn id="2386" xr3:uid="{CA0B855D-CD97-4C6A-B23B-8E90E2B94B14}" name="Column2386"/>
    <tableColumn id="2387" xr3:uid="{3992881D-A000-4C40-86FF-97922DACEA58}" name="Column2387"/>
    <tableColumn id="2388" xr3:uid="{2600DEA0-310E-4257-B159-7B0B716BCDA3}" name="Column2388"/>
    <tableColumn id="2389" xr3:uid="{6F7EC5B7-D99C-43D4-9B22-39060790FDA0}" name="Column2389"/>
    <tableColumn id="2390" xr3:uid="{EE485BED-CE65-4EE3-9E36-7834178FECF9}" name="Column2390"/>
    <tableColumn id="2391" xr3:uid="{DF00A897-A322-44CD-9C9E-98D5144165A4}" name="Column2391"/>
    <tableColumn id="2392" xr3:uid="{1DA2D32E-8166-4BC1-8885-EE81F8FB813B}" name="Column2392"/>
    <tableColumn id="2393" xr3:uid="{4D0FF3D1-5805-48E5-9890-E2DA0EE12EF2}" name="Column2393"/>
    <tableColumn id="2394" xr3:uid="{DF114F5B-9694-4F38-8166-DF0C753DE8BB}" name="Column2394"/>
    <tableColumn id="2395" xr3:uid="{A916EE22-BA1D-4E78-889C-C23E7F70846B}" name="Column2395"/>
    <tableColumn id="2396" xr3:uid="{46E58355-EB2F-4511-AF45-0493298993A6}" name="Column2396"/>
    <tableColumn id="2397" xr3:uid="{30DEB6CE-3D24-43DC-A875-D0387ACC793F}" name="Column2397"/>
    <tableColumn id="2398" xr3:uid="{9007BDB3-C02A-4039-B8FF-F5E3D21C9767}" name="Column2398"/>
    <tableColumn id="2399" xr3:uid="{BB2B2E6F-FC51-436E-9528-E0FF89ADC782}" name="Column2399"/>
    <tableColumn id="2400" xr3:uid="{EAF481B6-4306-4F3D-964E-9ABC63948BAC}" name="Column2400"/>
    <tableColumn id="2401" xr3:uid="{C9CE34CA-627E-4551-8F57-E97B6E7EB5EE}" name="Column2401"/>
    <tableColumn id="2402" xr3:uid="{B19A32A6-68D9-4CF4-AEE5-5C7DAECE178F}" name="Column2402"/>
    <tableColumn id="2403" xr3:uid="{157F2AF3-6C6E-4B3B-8E33-AE303DEFACEC}" name="Column2403"/>
    <tableColumn id="2404" xr3:uid="{D4112F6F-8E7B-4F8A-9C60-F388024FC51D}" name="Column2404"/>
    <tableColumn id="2405" xr3:uid="{28272B14-08B6-4415-B80A-4999DBE91CAE}" name="Column2405"/>
    <tableColumn id="2406" xr3:uid="{2BEDAF3F-9E1B-406F-A2B3-81A821F82A01}" name="Column2406"/>
    <tableColumn id="2407" xr3:uid="{4B37C296-C006-427F-8A8C-6CDCCCD8917C}" name="Column2407"/>
    <tableColumn id="2408" xr3:uid="{9E2EE1EA-80FE-4174-AA96-2112266EDD5D}" name="Column2408"/>
    <tableColumn id="2409" xr3:uid="{AA13D9FE-46C1-4D66-8327-1DCF3B799026}" name="Column2409"/>
    <tableColumn id="2410" xr3:uid="{0B9F3E47-3A4D-4627-AE9C-94B9F3D2251A}" name="Column2410"/>
    <tableColumn id="2411" xr3:uid="{0E2341D1-D9C8-4A44-9D4E-A98F1FC92EDC}" name="Column2411"/>
    <tableColumn id="2412" xr3:uid="{4CCBF1D2-A3D0-43A6-86DF-1175A5120F74}" name="Column2412"/>
    <tableColumn id="2413" xr3:uid="{087BFC5A-1B61-436C-8635-D469E3352C86}" name="Column2413"/>
    <tableColumn id="2414" xr3:uid="{38C77286-7515-4F61-8611-333D4958561F}" name="Column2414"/>
    <tableColumn id="2415" xr3:uid="{B8197978-CFD2-48BC-83C2-CCFB77FD8CCA}" name="Column2415"/>
    <tableColumn id="2416" xr3:uid="{F53592FA-3E48-4230-BD40-F01C45E3CABA}" name="Column2416"/>
    <tableColumn id="2417" xr3:uid="{49FE7D48-A13C-4A01-9C03-BEC34EA67307}" name="Column2417"/>
    <tableColumn id="2418" xr3:uid="{D8C2D71C-4538-4BE4-AA67-456C8B326CC4}" name="Column2418"/>
    <tableColumn id="2419" xr3:uid="{DA40D877-7815-4F69-8379-8EC6ECEFC74C}" name="Column2419"/>
    <tableColumn id="2420" xr3:uid="{341841D0-A503-44EB-AE31-4F0BC0FE863A}" name="Column2420"/>
    <tableColumn id="2421" xr3:uid="{10526529-8AB6-463A-B55F-5B83F3518629}" name="Column2421"/>
    <tableColumn id="2422" xr3:uid="{777015C5-73E6-4BA3-9698-4B1DE84BFE1F}" name="Column2422"/>
    <tableColumn id="2423" xr3:uid="{E90285C4-A7E4-4F2A-A9DE-6EF13AE43DAD}" name="Column2423"/>
    <tableColumn id="2424" xr3:uid="{C72EEB24-777A-4097-8ECB-7E74AB9A32F0}" name="Column2424"/>
    <tableColumn id="2425" xr3:uid="{F6FAAE2A-3F69-4F66-BDA0-609938B11894}" name="Column2425"/>
    <tableColumn id="2426" xr3:uid="{9EAD0168-684A-4CDE-8ABE-C834DBCA6BEF}" name="Column2426"/>
    <tableColumn id="2427" xr3:uid="{E870E32C-FD42-447A-B6FB-07B0D291D0B7}" name="Column2427"/>
    <tableColumn id="2428" xr3:uid="{D0DADBE0-60C0-4C6A-B536-2558F7C7C535}" name="Column2428"/>
    <tableColumn id="2429" xr3:uid="{DB222AD8-4043-4A4B-8A14-1728130E013B}" name="Column2429"/>
    <tableColumn id="2430" xr3:uid="{EF8C1A83-890E-43A8-8F15-6ABCCFBAB205}" name="Column2430"/>
    <tableColumn id="2431" xr3:uid="{D67739F2-304D-4974-BE5B-D11609FA0CE1}" name="Column2431"/>
    <tableColumn id="2432" xr3:uid="{6EBAB23E-9A92-4281-94AE-0100C9DB8353}" name="Column2432"/>
    <tableColumn id="2433" xr3:uid="{5C1BD134-C3D3-4AA8-BB02-ABD3A06652D6}" name="Column2433"/>
    <tableColumn id="2434" xr3:uid="{BC724E76-DD8C-449D-8B23-200CCBDBC997}" name="Column2434"/>
    <tableColumn id="2435" xr3:uid="{CB684A16-279A-4465-9ED7-DFCC6BEFB8E3}" name="Column2435"/>
    <tableColumn id="2436" xr3:uid="{7727E10E-307A-4ABF-8E2A-20BCB7685E78}" name="Column2436"/>
    <tableColumn id="2437" xr3:uid="{312B3FFE-B1A1-488E-ACC4-92CDC518B019}" name="Column2437"/>
    <tableColumn id="2438" xr3:uid="{E6E3E541-0BC5-493B-AEC7-3D719BB1D5AA}" name="Column2438"/>
    <tableColumn id="2439" xr3:uid="{02CB9497-E573-4562-A354-A609F9CCBD5F}" name="Column2439"/>
    <tableColumn id="2440" xr3:uid="{EEA11B2A-256B-4A37-B4FD-3084D220047A}" name="Column2440"/>
    <tableColumn id="2441" xr3:uid="{F4D52057-F894-4118-8722-0AAC2052D995}" name="Column2441"/>
    <tableColumn id="2442" xr3:uid="{4E8075F8-51F5-4F55-8532-CE694DD46253}" name="Column2442"/>
    <tableColumn id="2443" xr3:uid="{44F3A3D7-F834-456B-B397-5866290B619A}" name="Column2443"/>
    <tableColumn id="2444" xr3:uid="{AF970FB4-8AFC-4203-A0E9-BE4DAF5F6381}" name="Column2444"/>
    <tableColumn id="2445" xr3:uid="{AEFEDA54-574F-4668-A79F-9DC1DB542278}" name="Column2445"/>
    <tableColumn id="2446" xr3:uid="{803997D8-3786-4626-AE1A-CB95B64A1EE5}" name="Column2446"/>
    <tableColumn id="2447" xr3:uid="{F49363F1-0051-4C5A-B374-FC889AFB20B0}" name="Column2447"/>
    <tableColumn id="2448" xr3:uid="{4578DBE3-C269-4693-93E3-D26C0B20C3AE}" name="Column2448"/>
    <tableColumn id="2449" xr3:uid="{FF2975CD-0020-4A28-8610-64D61B96D191}" name="Column2449"/>
    <tableColumn id="2450" xr3:uid="{26C3F476-E4C0-4DE1-8653-1A88444DC822}" name="Column2450"/>
    <tableColumn id="2451" xr3:uid="{3120047C-F52F-43AF-908A-CE5F6C0A6C50}" name="Column2451"/>
    <tableColumn id="2452" xr3:uid="{046E7DE7-B302-4A1F-BF49-74921ABC4E6C}" name="Column2452"/>
    <tableColumn id="2453" xr3:uid="{8D2365FB-ECCF-4ED3-9280-77CB3B021766}" name="Column2453"/>
    <tableColumn id="2454" xr3:uid="{8AD94EF7-8CC6-4EF5-B12A-32F9D62B4D52}" name="Column2454"/>
    <tableColumn id="2455" xr3:uid="{7434BA0A-4442-4729-87D5-8A433746453E}" name="Column2455"/>
    <tableColumn id="2456" xr3:uid="{230836C0-74C4-4BDB-9F93-C31C15684314}" name="Column2456"/>
    <tableColumn id="2457" xr3:uid="{34194EE4-AA85-4F3C-A5D0-2AB517C0F3FA}" name="Column2457"/>
    <tableColumn id="2458" xr3:uid="{0D7CE518-B6A9-46CE-8234-ACAEF62D42A6}" name="Column2458"/>
    <tableColumn id="2459" xr3:uid="{B1353FB6-9ECB-4E9B-90B6-E2BA55FB9C22}" name="Column2459"/>
    <tableColumn id="2460" xr3:uid="{9278CD74-D86C-4681-9FA2-4747C1F925C8}" name="Column2460"/>
    <tableColumn id="2461" xr3:uid="{68A57C3B-D693-4431-8412-58D09712B19D}" name="Column2461"/>
    <tableColumn id="2462" xr3:uid="{B33EC5E1-6D90-4C0B-9B4A-188901EDAADB}" name="Column2462"/>
    <tableColumn id="2463" xr3:uid="{2D5B86EF-FBA1-402A-B66B-E4935AB16C13}" name="Column2463"/>
    <tableColumn id="2464" xr3:uid="{DA9E546E-9DBB-4D39-8396-155235C430EE}" name="Column2464"/>
    <tableColumn id="2465" xr3:uid="{0EF740B9-96C4-49AB-9DDA-E5FF2D63D06F}" name="Column2465"/>
    <tableColumn id="2466" xr3:uid="{121B9459-2382-4065-992B-1CDE33C11C50}" name="Column2466"/>
    <tableColumn id="2467" xr3:uid="{51566A4E-6A36-4592-980B-4A2D83C510FA}" name="Column2467"/>
    <tableColumn id="2468" xr3:uid="{3E1F1995-C72B-4942-B8E7-DA2315266E4A}" name="Column2468"/>
    <tableColumn id="2469" xr3:uid="{3CE29636-0A08-489D-82BF-7A1B0A4C79F2}" name="Column2469"/>
    <tableColumn id="2470" xr3:uid="{0AEDCF29-F197-4792-81E1-988AB5177D81}" name="Column2470"/>
    <tableColumn id="2471" xr3:uid="{060F5CF3-8AD2-498A-BC71-2C1156D92E11}" name="Column2471"/>
    <tableColumn id="2472" xr3:uid="{2E106FB4-D15B-48D5-B079-0A1F9796BB3D}" name="Column2472"/>
    <tableColumn id="2473" xr3:uid="{BDCBFDC0-30FF-4441-8E99-34738FA16E06}" name="Column2473"/>
    <tableColumn id="2474" xr3:uid="{2490623B-398C-45E4-ACDF-DB795E28097C}" name="Column2474"/>
    <tableColumn id="2475" xr3:uid="{670DD673-80A8-4A6C-B185-349CC7CDCA57}" name="Column2475"/>
    <tableColumn id="2476" xr3:uid="{5394EE7A-F549-4AB4-BB1D-93A5E9E22F59}" name="Column2476"/>
    <tableColumn id="2477" xr3:uid="{A3089A99-F1D1-4366-A461-1A0F541D3F06}" name="Column2477"/>
    <tableColumn id="2478" xr3:uid="{3C6762EE-17C0-4164-A7E7-5793C3421552}" name="Column2478"/>
    <tableColumn id="2479" xr3:uid="{AAA7CEEE-226A-455E-ABFC-F2B0378C4DE1}" name="Column2479"/>
    <tableColumn id="2480" xr3:uid="{7C13DDE5-2A4D-44B9-8392-21E5F7B4ED75}" name="Column2480"/>
    <tableColumn id="2481" xr3:uid="{F30DDF39-E7EC-494B-BEE5-21D2E2C36290}" name="Column2481"/>
    <tableColumn id="2482" xr3:uid="{3060019D-9649-467C-BD99-22B1AAB9CD33}" name="Column2482"/>
    <tableColumn id="2483" xr3:uid="{F0B42999-F636-4C24-AC04-BA6FEE65B79E}" name="Column2483"/>
    <tableColumn id="2484" xr3:uid="{307EBE01-9A10-4C0F-9BFD-46480B8594C2}" name="Column2484"/>
    <tableColumn id="2485" xr3:uid="{3343A6A8-E1CA-4DF7-8425-57DDA8D9FD0C}" name="Column2485"/>
    <tableColumn id="2486" xr3:uid="{45A7A57C-6C5C-4B8F-95B0-08C43BBF6755}" name="Column2486"/>
    <tableColumn id="2487" xr3:uid="{7F46AF0B-060B-4CCA-A721-5835EBFA5235}" name="Column2487"/>
    <tableColumn id="2488" xr3:uid="{8E53DC50-7167-4904-A7EE-EC6E85844A31}" name="Column2488"/>
    <tableColumn id="2489" xr3:uid="{C16614E0-883E-435F-95BA-F7DEBBA2F59E}" name="Column2489"/>
    <tableColumn id="2490" xr3:uid="{435D76BE-6549-4A5B-96A7-3B3F95CCA5FC}" name="Column2490"/>
    <tableColumn id="2491" xr3:uid="{A5D9733F-A271-4B45-AD25-CE49ECA2414B}" name="Column2491"/>
    <tableColumn id="2492" xr3:uid="{BC596F7C-B173-41DC-B52C-24A7DD0F97E3}" name="Column2492"/>
    <tableColumn id="2493" xr3:uid="{E9007C77-A5C2-4976-9303-4776589A4D83}" name="Column2493"/>
    <tableColumn id="2494" xr3:uid="{EA11983C-C38C-418C-AA60-A00E7EAFA1C9}" name="Column2494"/>
    <tableColumn id="2495" xr3:uid="{D0FE87D9-AFE6-416A-82C6-0B94A1B6D4D2}" name="Column2495"/>
    <tableColumn id="2496" xr3:uid="{E6DB2A89-2E1C-4D4A-A876-212815C94DF1}" name="Column2496"/>
    <tableColumn id="2497" xr3:uid="{92204F1A-1422-42ED-BA88-C03E57BF43D9}" name="Column2497"/>
    <tableColumn id="2498" xr3:uid="{34454561-8E42-4DA1-AA4A-CADD4A11940F}" name="Column2498"/>
    <tableColumn id="2499" xr3:uid="{B5591457-4305-4898-91D4-316077DA507B}" name="Column2499"/>
    <tableColumn id="2500" xr3:uid="{3ADA0174-7E63-4284-B764-7E17A02DF0DA}" name="Column2500"/>
    <tableColumn id="2501" xr3:uid="{7C8635BC-C433-4133-A2F7-4CAFF2AFB31D}" name="Column2501"/>
    <tableColumn id="2502" xr3:uid="{F4FEB49A-CC41-4D9B-AF06-9E28B724B08F}" name="Column2502"/>
    <tableColumn id="2503" xr3:uid="{F7D8C991-11F6-4D1F-AAA8-645246B9938E}" name="Column2503"/>
    <tableColumn id="2504" xr3:uid="{E4FBA1C3-B385-4589-B047-AE60F5884895}" name="Column2504"/>
    <tableColumn id="2505" xr3:uid="{7F67E450-8C6D-4A4A-BE3C-91A1298D593E}" name="Column2505"/>
    <tableColumn id="2506" xr3:uid="{3C082EDB-7507-4440-AAF1-0506FF87BFD7}" name="Column2506"/>
    <tableColumn id="2507" xr3:uid="{D86E1470-DD56-4A7A-8F58-44C5B0562176}" name="Column2507"/>
    <tableColumn id="2508" xr3:uid="{0587887E-5EE9-42F5-9545-EE6C7E2B2704}" name="Column2508"/>
    <tableColumn id="2509" xr3:uid="{89101849-CEC0-403B-BA47-01F92EFABEEE}" name="Column2509"/>
    <tableColumn id="2510" xr3:uid="{33102061-252E-49D4-BC16-AD1D4CAD87E1}" name="Column2510"/>
    <tableColumn id="2511" xr3:uid="{C1ED3F71-FBC1-44FA-BD73-F328FF7CC66E}" name="Column2511"/>
    <tableColumn id="2512" xr3:uid="{87285C87-6D1C-4EDF-A724-A981168B7653}" name="Column2512"/>
    <tableColumn id="2513" xr3:uid="{E0BF962A-A7E4-4C32-8B65-FFDA47B4D3BE}" name="Column2513"/>
    <tableColumn id="2514" xr3:uid="{98B81EDA-9ACB-48CD-B10C-7D0953ADE162}" name="Column2514"/>
    <tableColumn id="2515" xr3:uid="{2266282F-290D-4A58-A13C-26F6420DABC8}" name="Column2515"/>
    <tableColumn id="2516" xr3:uid="{D7E868E0-269A-43BB-B0A7-8F9E2B7A451B}" name="Column2516"/>
    <tableColumn id="2517" xr3:uid="{254EBE75-7C10-40CD-8E0D-0979EBAB8C78}" name="Column2517"/>
    <tableColumn id="2518" xr3:uid="{DA5AB705-A3C5-4FD1-860B-7161BB65CA5C}" name="Column2518"/>
    <tableColumn id="2519" xr3:uid="{AB2247CB-A2CD-46EB-90C7-714F8090F0DB}" name="Column2519"/>
    <tableColumn id="2520" xr3:uid="{E18EA5B5-0FD6-41FE-808F-7B195DC6491E}" name="Column2520"/>
    <tableColumn id="2521" xr3:uid="{CB23CCD0-D068-4210-9E4E-A3EE4F77B314}" name="Column2521"/>
    <tableColumn id="2522" xr3:uid="{B0CB4C56-1C13-4530-9EAF-A9DCD13B34D4}" name="Column2522"/>
    <tableColumn id="2523" xr3:uid="{98411C95-F59B-46DA-92E0-D7C7DFB9B136}" name="Column2523"/>
    <tableColumn id="2524" xr3:uid="{2F141D8A-7F33-4766-BBE9-0AEF5C9F35A5}" name="Column2524"/>
    <tableColumn id="2525" xr3:uid="{1ED12DBA-F591-4521-8DF2-B9B3AEF4BF33}" name="Column2525"/>
    <tableColumn id="2526" xr3:uid="{0E07248D-EA0C-4189-98C3-5B5D16BB3553}" name="Column2526"/>
    <tableColumn id="2527" xr3:uid="{4C1AE03E-B600-4648-8716-0F79015DBF3D}" name="Column2527"/>
    <tableColumn id="2528" xr3:uid="{32957847-4E0B-46F9-9033-941BBE6797C2}" name="Column2528"/>
    <tableColumn id="2529" xr3:uid="{6961A6CA-2259-4C3E-B751-5961380563C1}" name="Column2529"/>
    <tableColumn id="2530" xr3:uid="{AD64F4BF-E3A0-415D-8AB5-28E35FD9D912}" name="Column2530"/>
    <tableColumn id="2531" xr3:uid="{251F3926-AD43-4A6A-9B99-38805DACA713}" name="Column2531"/>
    <tableColumn id="2532" xr3:uid="{7C3D117D-2B23-4979-A355-26F6AE3D13DA}" name="Column2532"/>
    <tableColumn id="2533" xr3:uid="{FE708513-8958-4E7F-9544-D4B77A7BAB7A}" name="Column2533"/>
    <tableColumn id="2534" xr3:uid="{F6AD1847-F7D7-4379-8F63-370993E5709E}" name="Column2534"/>
    <tableColumn id="2535" xr3:uid="{ADF8DD80-A41F-4FDE-9F68-9CA2F5735F78}" name="Column2535"/>
    <tableColumn id="2536" xr3:uid="{3B798C13-20BA-4DD2-B8FE-52247CD890F4}" name="Column2536"/>
    <tableColumn id="2537" xr3:uid="{6BB646FE-B84A-41F7-AF55-2995BB32F220}" name="Column2537"/>
    <tableColumn id="2538" xr3:uid="{A82BB143-C304-4751-AA64-D4790844FB0C}" name="Column2538"/>
    <tableColumn id="2539" xr3:uid="{43599C29-2160-414C-A318-03751D0C86A8}" name="Column2539"/>
    <tableColumn id="2540" xr3:uid="{46E0A4CB-9887-453F-A8BD-4CD3D5C66DFD}" name="Column2540"/>
    <tableColumn id="2541" xr3:uid="{87C7CC43-68ED-4AB0-8822-C574BE483C88}" name="Column2541"/>
    <tableColumn id="2542" xr3:uid="{220CC4CB-5225-4483-B3E4-20ECD12A7685}" name="Column2542"/>
    <tableColumn id="2543" xr3:uid="{F3FEE004-BE49-42A0-9A8F-8B027468B3D1}" name="Column2543"/>
    <tableColumn id="2544" xr3:uid="{9629207B-A82A-40B6-979C-7D8711C77C60}" name="Column2544"/>
    <tableColumn id="2545" xr3:uid="{87A210D5-C851-46A4-A127-94EF63F2BCE1}" name="Column2545"/>
    <tableColumn id="2546" xr3:uid="{B1F4F6BC-9502-4998-93CF-741BD036B69E}" name="Column2546"/>
    <tableColumn id="2547" xr3:uid="{D10EF840-148E-4017-861B-6734057EC77E}" name="Column2547"/>
    <tableColumn id="2548" xr3:uid="{1F71B96B-4594-4D1C-88CF-ABBEAE7648DA}" name="Column2548"/>
    <tableColumn id="2549" xr3:uid="{29836EC3-5F7B-4399-86B5-EC1A83ED489B}" name="Column2549"/>
    <tableColumn id="2550" xr3:uid="{D512DF00-D3DC-4A87-84CC-136E7DCECE32}" name="Column2550"/>
    <tableColumn id="2551" xr3:uid="{199F18E7-5E46-45D3-A30E-C30E9A53CCB6}" name="Column2551"/>
    <tableColumn id="2552" xr3:uid="{76AE99A4-47BB-4F92-B645-4B23702B732A}" name="Column2552"/>
    <tableColumn id="2553" xr3:uid="{F04CB6DE-6C03-48BD-979C-9E2E09F9D240}" name="Column2553"/>
    <tableColumn id="2554" xr3:uid="{B0A9236B-48E6-4538-BC46-B1DEBBFE5B9E}" name="Column2554"/>
    <tableColumn id="2555" xr3:uid="{85D1C4A5-6B89-4693-B25F-633037C81D98}" name="Column2555"/>
    <tableColumn id="2556" xr3:uid="{11AD26E9-0E10-4734-8DA3-2E7AA610E0AC}" name="Column2556"/>
    <tableColumn id="2557" xr3:uid="{739DE566-F716-4797-A860-194F7D2FB6A4}" name="Column2557"/>
    <tableColumn id="2558" xr3:uid="{86AB1134-7FA3-4382-B153-C1F4815D0177}" name="Column2558"/>
    <tableColumn id="2559" xr3:uid="{6742F62C-73F5-4181-8DA8-63F1FF0883AB}" name="Column2559"/>
    <tableColumn id="2560" xr3:uid="{E010600E-F168-4FE1-BBD6-9A0C6AF7FA89}" name="Column2560"/>
    <tableColumn id="2561" xr3:uid="{D066B51C-905E-4E57-BC8E-ABE4D6E91146}" name="Column2561"/>
    <tableColumn id="2562" xr3:uid="{2A1FCE4D-F442-4809-9EE1-48E7FE75C2A5}" name="Column2562"/>
    <tableColumn id="2563" xr3:uid="{33946310-A2AB-4943-899C-2FC7A7E26445}" name="Column2563"/>
    <tableColumn id="2564" xr3:uid="{97E57157-9AEE-4D0C-B0C1-9462DE795523}" name="Column2564"/>
    <tableColumn id="2565" xr3:uid="{80311083-75FE-4C98-A42F-14EE15FC58BE}" name="Column2565"/>
    <tableColumn id="2566" xr3:uid="{FB3F49FB-6E5A-4F57-BDFB-A301A0303892}" name="Column2566"/>
    <tableColumn id="2567" xr3:uid="{489AD91D-0F17-4C48-8CB1-8F86D79FB517}" name="Column2567"/>
    <tableColumn id="2568" xr3:uid="{777FAA03-32E6-4E40-AC60-6FBA74C5692C}" name="Column2568"/>
    <tableColumn id="2569" xr3:uid="{306DBD7E-BC7D-4CAB-85E4-C381E788C2E2}" name="Column2569"/>
    <tableColumn id="2570" xr3:uid="{B8FAD929-6BB5-49A2-B492-B6E9A66B2E35}" name="Column2570"/>
    <tableColumn id="2571" xr3:uid="{BF8C1E8F-763F-47B2-A47C-90EA2780B536}" name="Column2571"/>
    <tableColumn id="2572" xr3:uid="{72B3B210-A355-4161-8DAD-942B448E9906}" name="Column2572"/>
    <tableColumn id="2573" xr3:uid="{ED4A6E66-FEF1-4390-BD49-0608ECFAB7A8}" name="Column2573"/>
    <tableColumn id="2574" xr3:uid="{7C203F62-D4A6-48BF-8D38-1A5A86EDB2B6}" name="Column2574"/>
    <tableColumn id="2575" xr3:uid="{98C4EA4B-4D90-41A9-B37D-152597FA0E26}" name="Column2575"/>
    <tableColumn id="2576" xr3:uid="{2BA40CF0-53DA-4CFE-B171-9C6C5E55005B}" name="Column2576"/>
    <tableColumn id="2577" xr3:uid="{1DFC5725-7F4E-451B-B15B-DBD28521316D}" name="Column2577"/>
    <tableColumn id="2578" xr3:uid="{E910A020-E62C-4FD4-94FD-6BC1C59E3FFC}" name="Column2578"/>
    <tableColumn id="2579" xr3:uid="{35AAF667-D6ED-4E12-9AC5-6B4958E27D2E}" name="Column2579"/>
    <tableColumn id="2580" xr3:uid="{4F264821-FD45-4EDD-ACBE-697ACE2AD372}" name="Column2580"/>
    <tableColumn id="2581" xr3:uid="{0C794BA9-3631-40F0-976A-6CE7DB3D483F}" name="Column2581"/>
    <tableColumn id="2582" xr3:uid="{6C878737-B4BC-4460-87E2-1AC260C68487}" name="Column2582"/>
    <tableColumn id="2583" xr3:uid="{7AAE4EEB-004A-4B0C-A790-D0E840BD5A33}" name="Column2583"/>
    <tableColumn id="2584" xr3:uid="{893FEC10-C045-4473-BCE9-53CA475D62D2}" name="Column2584"/>
    <tableColumn id="2585" xr3:uid="{B386D1C2-A62F-4E5C-B1B5-EFCACC4E779F}" name="Column2585"/>
    <tableColumn id="2586" xr3:uid="{55A8FCA1-8907-4A99-BFE9-20ABC9DBB62A}" name="Column2586"/>
    <tableColumn id="2587" xr3:uid="{CCB8D417-ECE4-4A7A-A68C-6B0F43F140A2}" name="Column2587"/>
    <tableColumn id="2588" xr3:uid="{6712FACF-96DE-42FE-A192-434EB658AE46}" name="Column2588"/>
    <tableColumn id="2589" xr3:uid="{D99F22DB-9DF0-45E3-ABF0-A4FED7F92393}" name="Column2589"/>
    <tableColumn id="2590" xr3:uid="{82060EF4-1BC8-4733-863D-A91EBDFC75B0}" name="Column2590"/>
    <tableColumn id="2591" xr3:uid="{2F6D4277-AE0E-4680-8D45-4191FC5F628E}" name="Column2591"/>
    <tableColumn id="2592" xr3:uid="{B4E83070-9A82-4E9F-9598-E0630017D5C8}" name="Column2592"/>
    <tableColumn id="2593" xr3:uid="{FF2C7311-7111-4185-A786-380D84809A2E}" name="Column2593"/>
    <tableColumn id="2594" xr3:uid="{59373A32-70C4-4D5A-A708-3EF8665F91DC}" name="Column2594"/>
    <tableColumn id="2595" xr3:uid="{25C7C582-FFE4-4753-A427-2D74EB253327}" name="Column2595"/>
    <tableColumn id="2596" xr3:uid="{F247DEBC-3BCD-4622-A69A-408C57D79D00}" name="Column2596"/>
    <tableColumn id="2597" xr3:uid="{F3620586-28A1-4A9E-8409-91BBE7BAF87E}" name="Column2597"/>
    <tableColumn id="2598" xr3:uid="{76A63439-7D59-443F-8433-E6CC297AEA44}" name="Column2598"/>
    <tableColumn id="2599" xr3:uid="{D99D0A53-D5E5-4C2E-ADDC-7C8C0106D490}" name="Column2599"/>
    <tableColumn id="2600" xr3:uid="{106AFF22-57F6-4E97-99C9-EA8012576C57}" name="Column2600"/>
    <tableColumn id="2601" xr3:uid="{9E71ADEA-3A96-4431-8C3D-29847F4D9408}" name="Column2601"/>
    <tableColumn id="2602" xr3:uid="{7DCD1473-B792-4E5C-96F3-7D412CCA021E}" name="Column2602"/>
    <tableColumn id="2603" xr3:uid="{68E2AC78-14BE-408B-99CD-335C71B35E29}" name="Column2603"/>
    <tableColumn id="2604" xr3:uid="{80D21D0A-1C0E-4837-A294-4368C2515C86}" name="Column2604"/>
    <tableColumn id="2605" xr3:uid="{9C150E40-08F1-4867-B449-38FC54A58E61}" name="Column2605"/>
    <tableColumn id="2606" xr3:uid="{6325CA25-FDEE-4AC8-BC1B-CF02E85BB539}" name="Column2606"/>
    <tableColumn id="2607" xr3:uid="{D419C982-1ACD-4303-A487-E027CF4386D2}" name="Column2607"/>
    <tableColumn id="2608" xr3:uid="{63224F5D-5887-49E4-A986-CC9F42608B83}" name="Column2608"/>
    <tableColumn id="2609" xr3:uid="{2B68A115-CD92-4B83-8F27-79F15261B53C}" name="Column2609"/>
    <tableColumn id="2610" xr3:uid="{620B276C-C4FD-4E06-8FC9-E5A48229CEE0}" name="Column2610"/>
    <tableColumn id="2611" xr3:uid="{F654294F-272E-4C26-BA71-804D336EA48C}" name="Column2611"/>
    <tableColumn id="2612" xr3:uid="{53847909-A1B2-4997-B88E-5D4282246A41}" name="Column2612"/>
    <tableColumn id="2613" xr3:uid="{57CD021E-D1D7-4A04-9988-4D76FDD66376}" name="Column2613"/>
    <tableColumn id="2614" xr3:uid="{73F6C3B6-2CB2-4A9E-AADD-2B3A18A7D807}" name="Column2614"/>
    <tableColumn id="2615" xr3:uid="{6C6EEAD9-1D3B-4EC8-A3ED-922ED0351042}" name="Column2615"/>
    <tableColumn id="2616" xr3:uid="{9001A451-C3F7-4468-A7B5-BF058C0D377B}" name="Column2616"/>
    <tableColumn id="2617" xr3:uid="{87EABB35-5E15-4EA7-963E-6F8A66EA3D63}" name="Column2617"/>
    <tableColumn id="2618" xr3:uid="{529C5C87-CECE-4ADD-91ED-BBD12904BD63}" name="Column2618"/>
    <tableColumn id="2619" xr3:uid="{FACEF39B-78E1-4C1A-8336-3F152D603B57}" name="Column2619"/>
    <tableColumn id="2620" xr3:uid="{84970D64-92E1-483A-A011-60A79A4D46C2}" name="Column2620"/>
    <tableColumn id="2621" xr3:uid="{7E4EA3EE-6646-4461-9574-08E30CD97841}" name="Column2621"/>
    <tableColumn id="2622" xr3:uid="{94F9A9F5-FE25-44D8-9935-1FCCDA05F6E9}" name="Column2622"/>
    <tableColumn id="2623" xr3:uid="{76EF2F5F-57D3-4BC4-9488-3C55B2469CA4}" name="Column2623"/>
    <tableColumn id="2624" xr3:uid="{EBEC8857-7C33-4B43-9FF4-61B71B7A7BB5}" name="Column2624"/>
    <tableColumn id="2625" xr3:uid="{85B426FE-EE03-4C2A-B32E-FA8C2CB34F46}" name="Column2625"/>
    <tableColumn id="2626" xr3:uid="{9313B51B-4FFD-45AD-96B8-119644A95CD0}" name="Column2626"/>
    <tableColumn id="2627" xr3:uid="{E34A8E21-2AA1-42CC-8BBF-F67A9AED9097}" name="Column2627"/>
    <tableColumn id="2628" xr3:uid="{834A2C2C-1EED-4A83-9D2E-84BF70E00FF2}" name="Column2628"/>
    <tableColumn id="2629" xr3:uid="{1E431B48-02B8-48B5-8D3B-FF40899D743F}" name="Column2629"/>
    <tableColumn id="2630" xr3:uid="{19E6BE01-6BC4-48FB-ABA3-980E0D2AB1B1}" name="Column2630"/>
    <tableColumn id="2631" xr3:uid="{DA7D6D1F-9F5B-4B2D-81EA-BC35F61294E6}" name="Column2631"/>
    <tableColumn id="2632" xr3:uid="{9FD63659-E86F-4725-AB39-5DBA5F8D11FF}" name="Column2632"/>
    <tableColumn id="2633" xr3:uid="{0F80538B-21FA-49F8-B3FF-E062ABA97C74}" name="Column2633"/>
    <tableColumn id="2634" xr3:uid="{51A72CCC-940B-4E7E-BA4D-2B2F0652B5FB}" name="Column2634"/>
    <tableColumn id="2635" xr3:uid="{F858FC11-CED2-4CA9-8176-3B5607EFB8C1}" name="Column2635"/>
    <tableColumn id="2636" xr3:uid="{C4F42572-CFC5-419A-8A86-03404ABC4EA6}" name="Column2636"/>
    <tableColumn id="2637" xr3:uid="{AEFC4E9E-9E8E-41DC-BC99-1C662C4DE551}" name="Column2637"/>
    <tableColumn id="2638" xr3:uid="{9921875C-37B7-45EE-8082-4072F33190B3}" name="Column2638"/>
    <tableColumn id="2639" xr3:uid="{ECE92B9F-73A9-47BC-A1A3-AE37ABCE9E5F}" name="Column2639"/>
    <tableColumn id="2640" xr3:uid="{A456340D-0CD4-4639-87DB-073AA3959631}" name="Column2640"/>
    <tableColumn id="2641" xr3:uid="{97ABC70C-7366-4A7A-89B0-F7376168E84A}" name="Column2641"/>
    <tableColumn id="2642" xr3:uid="{075CE575-8FE4-4298-8697-23E51A3E2E1E}" name="Column2642"/>
    <tableColumn id="2643" xr3:uid="{596BC510-687D-412E-BD2A-92332B1B0EC3}" name="Column2643"/>
    <tableColumn id="2644" xr3:uid="{AC57782E-0169-4E9A-B35F-615E37A2B0FA}" name="Column2644"/>
    <tableColumn id="2645" xr3:uid="{8D99BE1E-4DB2-42F0-B02B-77523BFDCC7F}" name="Column2645"/>
    <tableColumn id="2646" xr3:uid="{436B6C97-B12E-421B-832F-5C183BAA902C}" name="Column2646"/>
    <tableColumn id="2647" xr3:uid="{B5690198-951C-45C7-977A-295F37CA47B3}" name="Column2647"/>
    <tableColumn id="2648" xr3:uid="{76941C4E-9A9E-4450-BEB1-23A76FED7C05}" name="Column2648"/>
    <tableColumn id="2649" xr3:uid="{120BE679-FF96-4CA6-ADDB-9448F554539A}" name="Column2649"/>
    <tableColumn id="2650" xr3:uid="{FA6DD275-E30C-41A3-A8FA-4DBBD089EB3A}" name="Column2650"/>
    <tableColumn id="2651" xr3:uid="{A87D7293-FA1B-4236-BB16-D0D8C848F279}" name="Column2651"/>
    <tableColumn id="2652" xr3:uid="{EC5D4CD9-1B91-4D2C-814B-62462478BD83}" name="Column2652"/>
    <tableColumn id="2653" xr3:uid="{D66A3C4C-E08A-4AA3-B93C-C4A56FA44616}" name="Column2653"/>
    <tableColumn id="2654" xr3:uid="{7BD54847-0449-4829-BA93-1169F0636C6E}" name="Column2654"/>
    <tableColumn id="2655" xr3:uid="{A6072F3A-C087-4B0B-A115-216F1D72615B}" name="Column2655"/>
    <tableColumn id="2656" xr3:uid="{1A539CC0-015E-410D-82FB-A54026F99816}" name="Column2656"/>
    <tableColumn id="2657" xr3:uid="{259EE3D5-66F8-48CC-B471-26F65CF59136}" name="Column2657"/>
    <tableColumn id="2658" xr3:uid="{9E3EAEA5-D208-4E51-8B65-48C8D7C8DFE8}" name="Column2658"/>
    <tableColumn id="2659" xr3:uid="{BD035F05-FD0C-4C14-A41B-44C995E52BBF}" name="Column2659"/>
    <tableColumn id="2660" xr3:uid="{F7927ACD-6792-42B8-A684-6E0C3786C17B}" name="Column2660"/>
    <tableColumn id="2661" xr3:uid="{891637AF-3FE8-4D6C-A7B3-4989BF548D04}" name="Column2661"/>
    <tableColumn id="2662" xr3:uid="{F5B111B4-DDCF-476A-8556-E86C1C515ED1}" name="Column2662"/>
    <tableColumn id="2663" xr3:uid="{04AA4340-1C85-4790-BAFD-93B80F0E023E}" name="Column2663"/>
    <tableColumn id="2664" xr3:uid="{6659D104-F4BE-4631-BFED-61C2062759B2}" name="Column2664"/>
    <tableColumn id="2665" xr3:uid="{6378F5F0-646A-4CF9-8426-7BF55E2A3C72}" name="Column2665"/>
    <tableColumn id="2666" xr3:uid="{A1414A3C-858C-4AA6-BBD5-56CD5F99A998}" name="Column2666"/>
    <tableColumn id="2667" xr3:uid="{BC8FAA0F-3764-478E-B5D4-4A1320881848}" name="Column2667"/>
    <tableColumn id="2668" xr3:uid="{C8E21F09-BBC4-41E3-92C1-E3CEC2D07343}" name="Column2668"/>
    <tableColumn id="2669" xr3:uid="{461EE6EC-AC4F-4B2F-B296-84C07ECFE6CA}" name="Column2669"/>
    <tableColumn id="2670" xr3:uid="{427B8D6C-5E2E-44C9-94D0-37549DAC9E4C}" name="Column2670"/>
    <tableColumn id="2671" xr3:uid="{B8532712-C175-4063-BA09-72C65EE08B91}" name="Column2671"/>
    <tableColumn id="2672" xr3:uid="{BCB59CE8-B72E-42E8-936C-E7C5527D8EEB}" name="Column2672"/>
    <tableColumn id="2673" xr3:uid="{AF5E0AB8-5230-4A13-AC02-3195DD738926}" name="Column2673"/>
    <tableColumn id="2674" xr3:uid="{D1257F35-DBE7-4837-8CF7-42C8D9615030}" name="Column2674"/>
    <tableColumn id="2675" xr3:uid="{3608AD47-DDB5-49B4-9807-0E908F64C80F}" name="Column2675"/>
    <tableColumn id="2676" xr3:uid="{39DE8F17-913B-4B8F-89CD-EAD0C1186E6C}" name="Column2676"/>
    <tableColumn id="2677" xr3:uid="{82C0EFDC-D6A6-48D5-A39C-F12B85F5E5FE}" name="Column2677"/>
    <tableColumn id="2678" xr3:uid="{CF190902-5F2A-4B8F-869B-A8A877AA6414}" name="Column2678"/>
    <tableColumn id="2679" xr3:uid="{D90593BF-AEF9-4316-AD7D-D30FF594F120}" name="Column2679"/>
    <tableColumn id="2680" xr3:uid="{99C05507-3817-4A10-9F86-75E4E3589321}" name="Column2680"/>
    <tableColumn id="2681" xr3:uid="{5D1B220E-C8BB-4D89-8D4A-F7E2BF842C4E}" name="Column2681"/>
    <tableColumn id="2682" xr3:uid="{3A22A23D-1730-4B8E-86B0-DEE57D0D50C8}" name="Column2682"/>
    <tableColumn id="2683" xr3:uid="{F762B11D-AF9C-4D6C-8F68-7EB4E830BA52}" name="Column2683"/>
    <tableColumn id="2684" xr3:uid="{79EF627B-1531-456E-8C5B-6624B18ED557}" name="Column2684"/>
    <tableColumn id="2685" xr3:uid="{FED20DC8-E549-4AA1-93E0-F2DD09F452B9}" name="Column2685"/>
    <tableColumn id="2686" xr3:uid="{5D8CC488-22ED-4A54-B360-41C0B7812DBA}" name="Column2686"/>
    <tableColumn id="2687" xr3:uid="{3305EE22-2163-4836-A724-D6C575EDCE0D}" name="Column2687"/>
    <tableColumn id="2688" xr3:uid="{4870244C-4210-4101-ACF2-07B6C61D12BB}" name="Column2688"/>
    <tableColumn id="2689" xr3:uid="{CE69B71D-21B2-4078-A4E6-21752A64D4FA}" name="Column2689"/>
    <tableColumn id="2690" xr3:uid="{6C700972-CFFD-435D-8223-6C32CBEDE073}" name="Column2690"/>
    <tableColumn id="2691" xr3:uid="{AC8B530A-004F-4EA0-BF91-82B9F1B91EC7}" name="Column2691"/>
    <tableColumn id="2692" xr3:uid="{3D39B3CB-0D8B-41E7-86F5-2F402E504643}" name="Column2692"/>
    <tableColumn id="2693" xr3:uid="{DBB365C2-EBCE-492C-83AD-5A79D757BDCF}" name="Column2693"/>
    <tableColumn id="2694" xr3:uid="{2F675DB2-2286-442D-A259-971D4E8C5D6A}" name="Column2694"/>
    <tableColumn id="2695" xr3:uid="{47C62139-8571-4D23-9500-15B4E147AF2A}" name="Column2695"/>
    <tableColumn id="2696" xr3:uid="{5F754CE2-2D0D-43BE-A93B-DCE094AF66C8}" name="Column2696"/>
    <tableColumn id="2697" xr3:uid="{16D63F1E-EAAC-4AA2-92A6-9479D0F53463}" name="Column2697"/>
    <tableColumn id="2698" xr3:uid="{B8B99315-09FC-48CF-AE82-1B34697FFDE1}" name="Column2698"/>
    <tableColumn id="2699" xr3:uid="{3DFA5220-981D-4371-A291-A5615E824347}" name="Column2699"/>
    <tableColumn id="2700" xr3:uid="{157E0C44-5B82-4A1C-8D0D-0B5C7D3CD676}" name="Column2700"/>
    <tableColumn id="2701" xr3:uid="{5488FA0C-930F-4CE0-8D4F-7E12FB3BBE93}" name="Column2701"/>
    <tableColumn id="2702" xr3:uid="{1BACF75C-0B33-4BD3-8B34-846F7C5F5E83}" name="Column2702"/>
    <tableColumn id="2703" xr3:uid="{8EFD6454-E585-408E-AE99-68A935FFABC0}" name="Column2703"/>
    <tableColumn id="2704" xr3:uid="{9C06665A-007F-465F-B389-3AA161B58777}" name="Column2704"/>
    <tableColumn id="2705" xr3:uid="{7308ADBC-F28C-4B3C-903B-61E3DAC24237}" name="Column2705"/>
    <tableColumn id="2706" xr3:uid="{EA0A112B-DC05-43F5-8C50-C72DF6ADCF45}" name="Column2706"/>
    <tableColumn id="2707" xr3:uid="{F5FD6BEF-CD8F-4964-97BA-0CFF18A53278}" name="Column2707"/>
    <tableColumn id="2708" xr3:uid="{946CFEB2-08C3-47E9-B849-BEF7E3B39899}" name="Column2708"/>
    <tableColumn id="2709" xr3:uid="{5E67CC2D-80E8-4039-ABED-297D7D0DA36A}" name="Column2709"/>
    <tableColumn id="2710" xr3:uid="{0036C241-58A8-4031-B3F7-A428E61369F0}" name="Column2710"/>
    <tableColumn id="2711" xr3:uid="{32C6B118-6BD0-45F6-BA6E-B05AFA09DC3C}" name="Column2711"/>
    <tableColumn id="2712" xr3:uid="{5CCDF9BF-65B7-40AD-90AB-76EA063C9DE2}" name="Column2712"/>
    <tableColumn id="2713" xr3:uid="{FBD1A577-FEF6-4125-97F0-FA16B3138357}" name="Column2713"/>
    <tableColumn id="2714" xr3:uid="{33BB0DB1-EC30-4F26-AD8E-BBBD680DC396}" name="Column2714"/>
    <tableColumn id="2715" xr3:uid="{A9FE7911-8625-4068-8A5E-6B8A8DF6A544}" name="Column2715"/>
    <tableColumn id="2716" xr3:uid="{A0A304FA-BF48-462B-A608-17F1F703C47E}" name="Column2716"/>
    <tableColumn id="2717" xr3:uid="{C0D456AB-AA4F-42A9-89A5-FB2E2E17AE29}" name="Column2717"/>
    <tableColumn id="2718" xr3:uid="{86FB5042-1A90-4B60-AF87-1BA8305700B7}" name="Column2718"/>
    <tableColumn id="2719" xr3:uid="{0EC19321-B4F0-4D21-8F87-C64528EE80EE}" name="Column2719"/>
    <tableColumn id="2720" xr3:uid="{7A1FF7EA-6B41-413A-B002-C4A98F3D4B5F}" name="Column2720"/>
    <tableColumn id="2721" xr3:uid="{651DF29D-DD9E-48D5-9B3D-280C2FC46535}" name="Column2721"/>
    <tableColumn id="2722" xr3:uid="{E5FBBD22-2438-4E94-BEAB-652060D2A956}" name="Column2722"/>
    <tableColumn id="2723" xr3:uid="{D044B907-0A85-47BD-BCA3-BA3EE3541C93}" name="Column2723"/>
    <tableColumn id="2724" xr3:uid="{7EAF6AB1-057C-4E0A-BAA0-885C21B06461}" name="Column2724"/>
    <tableColumn id="2725" xr3:uid="{AE896F7B-E4FB-4588-B667-A5F02646D6A3}" name="Column2725"/>
    <tableColumn id="2726" xr3:uid="{DD5EB693-C0B1-4365-ACC4-CD622FCC6FD2}" name="Column2726"/>
    <tableColumn id="2727" xr3:uid="{F56F1297-5065-47C4-9363-6A375D4D5F7F}" name="Column2727"/>
    <tableColumn id="2728" xr3:uid="{4B819B60-F6BB-4D51-9C7B-815AFBB4D3EB}" name="Column2728"/>
    <tableColumn id="2729" xr3:uid="{87E85DD4-0E23-4212-B032-E6EECD2CFF7F}" name="Column2729"/>
    <tableColumn id="2730" xr3:uid="{DA747998-39C4-4FED-97EA-80F37A5EF9E6}" name="Column2730"/>
    <tableColumn id="2731" xr3:uid="{8F2A0A43-4CED-499C-B2F7-1C64E959637D}" name="Column2731"/>
    <tableColumn id="2732" xr3:uid="{38EA33B1-8DB3-4E4D-AB36-201720B04802}" name="Column2732"/>
    <tableColumn id="2733" xr3:uid="{3E019BFB-E23E-4C08-A395-AC1FD1C29291}" name="Column2733"/>
    <tableColumn id="2734" xr3:uid="{C43E7E13-BE87-40D2-AF29-579C9BEBA47C}" name="Column2734"/>
    <tableColumn id="2735" xr3:uid="{B66BA430-DAFF-438D-BAD6-F61E75A773F9}" name="Column2735"/>
    <tableColumn id="2736" xr3:uid="{122DE749-A4B4-4057-A2A7-F5628067A807}" name="Column2736"/>
    <tableColumn id="2737" xr3:uid="{3C1A6887-0D34-4D67-9582-7305BCCE8755}" name="Column2737"/>
    <tableColumn id="2738" xr3:uid="{987C8DC7-A919-4433-A359-A63EB28C5F03}" name="Column2738"/>
    <tableColumn id="2739" xr3:uid="{856C763D-2421-4651-8FFE-7F9DAFC746B9}" name="Column2739"/>
    <tableColumn id="2740" xr3:uid="{64A8BFAC-DD4D-44B9-AE1C-4A586CA89050}" name="Column2740"/>
    <tableColumn id="2741" xr3:uid="{A8E6F82A-5339-4E94-AF10-13949E5757EC}" name="Column2741"/>
    <tableColumn id="2742" xr3:uid="{04E6BBB4-0D4A-4416-8510-326AA53CB0AC}" name="Column2742"/>
    <tableColumn id="2743" xr3:uid="{07166623-B801-4DE3-A353-718F8E22685D}" name="Column2743"/>
    <tableColumn id="2744" xr3:uid="{45EB4351-9548-4D89-9D0D-2118A90042E0}" name="Column2744"/>
    <tableColumn id="2745" xr3:uid="{CF0159F6-AA39-414C-8785-A2FC4F5C9802}" name="Column2745"/>
    <tableColumn id="2746" xr3:uid="{3947FB5F-7C4B-4334-8D8D-4D2DA6E951F6}" name="Column2746"/>
    <tableColumn id="2747" xr3:uid="{E78E06F0-F8AD-4A9A-AA4B-587EAB83CE02}" name="Column2747"/>
    <tableColumn id="2748" xr3:uid="{30924260-D8A1-484C-B7E5-55CADEE91621}" name="Column2748"/>
    <tableColumn id="2749" xr3:uid="{D1700541-E4C7-4724-9A03-6BF352F288F7}" name="Column2749"/>
    <tableColumn id="2750" xr3:uid="{7537EC02-B639-4BD5-ADBD-3635E979A121}" name="Column2750"/>
    <tableColumn id="2751" xr3:uid="{88815506-32B0-4B04-B5F4-3A5CBE6151BD}" name="Column2751"/>
    <tableColumn id="2752" xr3:uid="{1AD27278-81BE-4548-9F63-60611B463A8A}" name="Column2752"/>
    <tableColumn id="2753" xr3:uid="{66F50887-A137-4C12-AD32-938D2641D8F2}" name="Column2753"/>
    <tableColumn id="2754" xr3:uid="{D5E3DBF4-54C0-4B79-BACD-C669311D2E37}" name="Column2754"/>
    <tableColumn id="2755" xr3:uid="{27A2A395-18B3-4A04-B68D-1B2A80D987E4}" name="Column2755"/>
    <tableColumn id="2756" xr3:uid="{2E0B37F5-1F44-4E70-B498-52B508DB9C7E}" name="Column2756"/>
    <tableColumn id="2757" xr3:uid="{B7CC1036-BD9C-4327-A959-74DE576C7F02}" name="Column2757"/>
    <tableColumn id="2758" xr3:uid="{A87B90D8-A34E-460A-B061-AD0C4C94D591}" name="Column2758"/>
    <tableColumn id="2759" xr3:uid="{6CDA1FD7-DA71-483F-B63E-134C685D3F24}" name="Column2759"/>
    <tableColumn id="2760" xr3:uid="{13047898-8B1B-47F1-80D8-74F13D1B40EF}" name="Column2760"/>
    <tableColumn id="2761" xr3:uid="{529B2F12-79C6-4FAD-ADDF-181B65B2B2F8}" name="Column2761"/>
    <tableColumn id="2762" xr3:uid="{6C6043E7-E804-4453-A6F4-F95EB67812B5}" name="Column2762"/>
    <tableColumn id="2763" xr3:uid="{94B12D51-E13F-4E0C-B46C-1B79A0E91AB8}" name="Column2763"/>
    <tableColumn id="2764" xr3:uid="{A60F6FB4-EC1D-4182-9C56-C1463747B820}" name="Column2764"/>
    <tableColumn id="2765" xr3:uid="{ED141F91-96D8-452B-950A-83D21E457A64}" name="Column2765"/>
    <tableColumn id="2766" xr3:uid="{AA3B905E-FF75-4B88-A144-9C67E8245E73}" name="Column2766"/>
    <tableColumn id="2767" xr3:uid="{8AE69678-07F5-4772-8B62-AFCC39B6E33E}" name="Column2767"/>
    <tableColumn id="2768" xr3:uid="{420A12F8-D344-4795-9146-0B15FE34E597}" name="Column2768"/>
    <tableColumn id="2769" xr3:uid="{437872A4-CFC1-477B-9162-D6C41BDB4B6F}" name="Column2769"/>
    <tableColumn id="2770" xr3:uid="{7B443C38-B192-487F-AC8C-D78F76C08C30}" name="Column2770"/>
    <tableColumn id="2771" xr3:uid="{23A15C41-EAA9-48B5-8082-76D6EFD895E7}" name="Column2771"/>
    <tableColumn id="2772" xr3:uid="{F61BFA59-E648-4161-BEC7-FCB71264886A}" name="Column2772"/>
    <tableColumn id="2773" xr3:uid="{46C30464-BE48-409E-9F9C-1940F6EBA778}" name="Column2773"/>
    <tableColumn id="2774" xr3:uid="{CDE4429A-C8AD-407F-B900-70494299CA19}" name="Column2774"/>
    <tableColumn id="2775" xr3:uid="{028537CD-4F38-43D3-AAA2-4F2E3766F546}" name="Column2775"/>
    <tableColumn id="2776" xr3:uid="{A1FF8D25-CD54-4412-AD3F-4287637901DE}" name="Column2776"/>
    <tableColumn id="2777" xr3:uid="{15C62EFC-7651-4692-B9AD-977EA88ACBEC}" name="Column2777"/>
    <tableColumn id="2778" xr3:uid="{A8AE0B36-8F67-4EF1-B584-A88717CCF8D4}" name="Column2778"/>
    <tableColumn id="2779" xr3:uid="{732D0CF9-56D7-4BBD-8607-70050EF38820}" name="Column2779"/>
    <tableColumn id="2780" xr3:uid="{CDFFA402-65D3-4024-AA50-EAAB8E0DCF59}" name="Column2780"/>
    <tableColumn id="2781" xr3:uid="{0F20F910-9C46-450A-A989-9057FEE1FF3A}" name="Column2781"/>
    <tableColumn id="2782" xr3:uid="{9012525F-38A8-43AA-AC50-076513EBD388}" name="Column2782"/>
    <tableColumn id="2783" xr3:uid="{5FC488E9-4E03-4C15-A649-24046D5D9BD4}" name="Column2783"/>
    <tableColumn id="2784" xr3:uid="{F1D9B5E8-21B9-4090-9BCF-A46B86A59064}" name="Column2784"/>
    <tableColumn id="2785" xr3:uid="{0DB7E014-5F04-406A-8828-F25AB9A8B9D7}" name="Column2785"/>
    <tableColumn id="2786" xr3:uid="{515CFBDE-AA67-4914-9665-5134BBCCFF38}" name="Column2786"/>
    <tableColumn id="2787" xr3:uid="{FC3756BD-E121-42D8-A41A-CD9FD8EF5FA1}" name="Column2787"/>
    <tableColumn id="2788" xr3:uid="{7C4F0411-FB67-48DC-89D8-D9E6C65CA618}" name="Column2788"/>
    <tableColumn id="2789" xr3:uid="{F3F98AE0-DACC-43CE-83F8-096058AD4BEF}" name="Column2789"/>
    <tableColumn id="2790" xr3:uid="{31CDE424-B979-4615-9F37-380F50366A58}" name="Column2790"/>
    <tableColumn id="2791" xr3:uid="{DADB2A34-7415-4C57-81B5-40A1A5A3B817}" name="Column2791"/>
    <tableColumn id="2792" xr3:uid="{AC6FD657-BB89-43FF-BCE4-0F9DE084F0E9}" name="Column2792"/>
    <tableColumn id="2793" xr3:uid="{B3131076-F4A9-49BA-8827-060D1A1F5825}" name="Column2793"/>
    <tableColumn id="2794" xr3:uid="{5B3307B7-6CED-4B90-8049-D8D844AE3081}" name="Column2794"/>
    <tableColumn id="2795" xr3:uid="{03D077BD-0926-471F-8754-80E95C92F8E7}" name="Column2795"/>
    <tableColumn id="2796" xr3:uid="{447C8976-003A-4070-8177-5FBD0DD29FB2}" name="Column2796"/>
    <tableColumn id="2797" xr3:uid="{1FCE7154-A023-4B2D-A4DC-9D3521B38950}" name="Column2797"/>
    <tableColumn id="2798" xr3:uid="{C2FC0657-16EE-46B4-94AD-328BAD1FE386}" name="Column2798"/>
    <tableColumn id="2799" xr3:uid="{2532C002-B9B1-4455-BE87-574BFB819DF8}" name="Column2799"/>
    <tableColumn id="2800" xr3:uid="{CDF9D381-015E-44C2-AE85-F9B62FDB89ED}" name="Column2800"/>
    <tableColumn id="2801" xr3:uid="{562D6976-BEF6-4AFD-A9E5-CEDD5E4ABF76}" name="Column2801"/>
    <tableColumn id="2802" xr3:uid="{82B51F71-26C1-41D0-A33A-DC94D416947C}" name="Column2802"/>
    <tableColumn id="2803" xr3:uid="{2F118FF0-A76C-40BB-BA00-EC16906D50FB}" name="Column2803"/>
    <tableColumn id="2804" xr3:uid="{26D612FB-D981-45FB-960B-72930484E1C7}" name="Column2804"/>
    <tableColumn id="2805" xr3:uid="{D8FA565A-1BCA-41F3-B665-31805F910D2D}" name="Column2805"/>
    <tableColumn id="2806" xr3:uid="{A2E6E1A0-2C1A-4B7A-90ED-E0B9CD4B9375}" name="Column2806"/>
    <tableColumn id="2807" xr3:uid="{245C059B-4F77-4AFD-97E6-14CEF98C49D4}" name="Column2807"/>
    <tableColumn id="2808" xr3:uid="{E15846C2-2AAD-41C4-8141-6A58718421EB}" name="Column2808"/>
    <tableColumn id="2809" xr3:uid="{F1BA3F80-1D82-4493-94EF-67E69C23A9B0}" name="Column2809"/>
    <tableColumn id="2810" xr3:uid="{6A645ECF-5027-4530-8614-A947BD4A9995}" name="Column2810"/>
    <tableColumn id="2811" xr3:uid="{EEA3744A-FDED-4F14-94D3-CF1E5FD30B3F}" name="Column2811"/>
    <tableColumn id="2812" xr3:uid="{528A5C41-23DB-4322-A53D-5F3F7B0D4EF2}" name="Column2812"/>
    <tableColumn id="2813" xr3:uid="{8596F737-E3BE-4DE8-A9A5-38A576D89A41}" name="Column2813"/>
    <tableColumn id="2814" xr3:uid="{2B2653C1-7F23-4376-B321-56DD02023FE8}" name="Column2814"/>
    <tableColumn id="2815" xr3:uid="{45C375D8-0281-437E-9FE6-50CCEC160D65}" name="Column2815"/>
    <tableColumn id="2816" xr3:uid="{D74F8264-0364-4EB9-A29B-F7FE67A7FF5C}" name="Column2816"/>
    <tableColumn id="2817" xr3:uid="{ADD7A4AF-FA3A-4BAF-8C06-3720B64D2CC6}" name="Column2817"/>
    <tableColumn id="2818" xr3:uid="{C251F909-26A9-4571-A9E3-115862E69ABC}" name="Column2818"/>
    <tableColumn id="2819" xr3:uid="{91CFE56F-EA43-47E5-AA1A-7C39D4B88B50}" name="Column2819"/>
    <tableColumn id="2820" xr3:uid="{63834E78-0D7F-41EB-8CDA-6AEAF3B2FD1A}" name="Column2820"/>
    <tableColumn id="2821" xr3:uid="{03AD3B92-C7E0-4477-BA72-F19EA105B7BB}" name="Column2821"/>
    <tableColumn id="2822" xr3:uid="{4A1D924D-D77B-46C8-9E7F-8D15CD63F35B}" name="Column2822"/>
    <tableColumn id="2823" xr3:uid="{A43DA464-3BDD-443F-A10D-C79E08F89AEC}" name="Column2823"/>
    <tableColumn id="2824" xr3:uid="{FD5B748B-F52C-4A1A-938B-24CE36B805E0}" name="Column2824"/>
    <tableColumn id="2825" xr3:uid="{17B4B8D6-C887-4EF7-A16F-1178B81BFAD2}" name="Column2825"/>
    <tableColumn id="2826" xr3:uid="{37BC2E03-6172-4656-BE71-935022ECBE81}" name="Column2826"/>
    <tableColumn id="2827" xr3:uid="{3720D697-AFB7-4F32-A2D0-F54B1A57160E}" name="Column2827"/>
    <tableColumn id="2828" xr3:uid="{E9D1A8B0-168F-4488-9163-730EC3237D57}" name="Column2828"/>
    <tableColumn id="2829" xr3:uid="{C7DD1F47-F4FB-44E5-8646-7105436D019E}" name="Column2829"/>
    <tableColumn id="2830" xr3:uid="{DE3C6E96-2F15-4EB3-A295-F152865D161E}" name="Column2830"/>
    <tableColumn id="2831" xr3:uid="{EB8CCC2B-90E9-44B1-9B1E-728DA60A857A}" name="Column2831"/>
    <tableColumn id="2832" xr3:uid="{6CFADA56-6026-4D88-856D-ABE7B3F5691B}" name="Column2832"/>
    <tableColumn id="2833" xr3:uid="{DC0187FA-146C-44C2-9157-C7976C05FD92}" name="Column2833"/>
    <tableColumn id="2834" xr3:uid="{BF05B59B-8638-4914-9B71-6D55961E3107}" name="Column2834"/>
    <tableColumn id="2835" xr3:uid="{12DA8B6F-64A7-4F18-A749-B90A9A2FC516}" name="Column2835"/>
    <tableColumn id="2836" xr3:uid="{4C7B1206-2DDF-46B1-BDE1-D28505F61DC5}" name="Column2836"/>
    <tableColumn id="2837" xr3:uid="{0FDED719-227F-44C0-B034-2F5D2A9601B3}" name="Column2837"/>
    <tableColumn id="2838" xr3:uid="{F05F95D4-456A-48DA-B21B-928A90C53133}" name="Column2838"/>
    <tableColumn id="2839" xr3:uid="{D4DC8FCF-73D7-4C09-A525-4F7C782C45A1}" name="Column2839"/>
    <tableColumn id="2840" xr3:uid="{E36841D5-9D17-40B5-B21C-1F3834E04A99}" name="Column2840"/>
    <tableColumn id="2841" xr3:uid="{1B7BFDAF-4182-4AE5-9914-57393C304BEA}" name="Column2841"/>
    <tableColumn id="2842" xr3:uid="{B469EA04-F168-4302-973C-8F37470A1BD0}" name="Column2842"/>
    <tableColumn id="2843" xr3:uid="{B7091911-2329-42AB-B374-0DCAC044E2E8}" name="Column2843"/>
    <tableColumn id="2844" xr3:uid="{AF4FEA9E-2678-4EEE-85E7-BBE69E9E5924}" name="Column2844"/>
    <tableColumn id="2845" xr3:uid="{FBB052E5-5B54-47DC-B2EA-7D58246A8AE8}" name="Column2845"/>
    <tableColumn id="2846" xr3:uid="{FFD4EAC9-5FDE-43D2-AB7E-8234E2C8F911}" name="Column2846"/>
    <tableColumn id="2847" xr3:uid="{D854471C-8361-4C67-B35C-84FD1B0E8954}" name="Column2847"/>
    <tableColumn id="2848" xr3:uid="{216EAB0C-FE2F-4595-96CB-F52CFFA7D3D2}" name="Column2848"/>
    <tableColumn id="2849" xr3:uid="{6CFB5783-7B71-404D-AC49-523AACEB4534}" name="Column2849"/>
    <tableColumn id="2850" xr3:uid="{63DDCD79-081D-41E0-A497-2497FC869EE1}" name="Column2850"/>
    <tableColumn id="2851" xr3:uid="{61CC1D3D-D58D-4635-9BB4-1EB02DC44610}" name="Column2851"/>
    <tableColumn id="2852" xr3:uid="{2910F18B-C8AB-43C7-A185-45E6284078EE}" name="Column2852"/>
    <tableColumn id="2853" xr3:uid="{E2AE88F6-39F6-445F-9882-FE1B569B14AE}" name="Column2853"/>
    <tableColumn id="2854" xr3:uid="{C8F6BF94-B242-4264-ACD4-7562B7956E26}" name="Column2854"/>
    <tableColumn id="2855" xr3:uid="{F1852B89-F4A4-4BE9-B576-3C6C3D51B82B}" name="Column2855"/>
    <tableColumn id="2856" xr3:uid="{9A85A966-A1A0-4E97-B5CC-992DF633769A}" name="Column2856"/>
    <tableColumn id="2857" xr3:uid="{1348E060-1E0E-49D5-8AAA-4872D9F3FEDE}" name="Column2857"/>
    <tableColumn id="2858" xr3:uid="{1787C594-5D1A-46AA-9BE5-9243FF4DB47F}" name="Column2858"/>
    <tableColumn id="2859" xr3:uid="{76B7BF71-5AD2-4E76-94CB-34A01270B6F8}" name="Column2859"/>
    <tableColumn id="2860" xr3:uid="{352B0214-4789-41C8-ABA7-274F52A3E09E}" name="Column2860"/>
    <tableColumn id="2861" xr3:uid="{0B63CF9B-1233-42DE-8C98-DA782F7C5298}" name="Column2861"/>
    <tableColumn id="2862" xr3:uid="{E46BBA7C-7B70-4C01-82A8-B5562FDECED1}" name="Column2862"/>
    <tableColumn id="2863" xr3:uid="{6092C9CF-6C5E-4EFA-A02D-D8D25BBE69A4}" name="Column2863"/>
    <tableColumn id="2864" xr3:uid="{80872725-C120-4195-B2D5-732D3C06FA6F}" name="Column2864"/>
    <tableColumn id="2865" xr3:uid="{7B8D828D-64C9-46D8-9A1D-AD0DFD41A1C7}" name="Column2865"/>
    <tableColumn id="2866" xr3:uid="{A339BB8D-CD2D-4789-A238-1D73BA0B8B6C}" name="Column2866"/>
    <tableColumn id="2867" xr3:uid="{FF895E98-1553-416E-BE13-3B33FD5F2335}" name="Column2867"/>
    <tableColumn id="2868" xr3:uid="{FB365F7A-AFDD-4C4E-8C67-1176103D967E}" name="Column2868"/>
    <tableColumn id="2869" xr3:uid="{F07E02C5-F283-45DF-AE3B-D9BEC9FA3324}" name="Column2869"/>
    <tableColumn id="2870" xr3:uid="{AF1703E4-9782-4329-804F-FBF5C45580E0}" name="Column2870"/>
    <tableColumn id="2871" xr3:uid="{BF359ECF-6FAF-4152-BA10-266EDE69944A}" name="Column2871"/>
    <tableColumn id="2872" xr3:uid="{F934A1F6-2330-4AC0-9FFA-0B53EDA7ED14}" name="Column2872"/>
    <tableColumn id="2873" xr3:uid="{5656609E-D0AE-4A16-AF3C-378655E2182C}" name="Column2873"/>
    <tableColumn id="2874" xr3:uid="{8F27FC7A-6A20-47B9-B3B5-AE59E6F504A9}" name="Column2874"/>
    <tableColumn id="2875" xr3:uid="{F37A1D4D-5738-41FA-BBDA-CFBFBB5CBF38}" name="Column2875"/>
    <tableColumn id="2876" xr3:uid="{742C2D0E-AFF4-43F6-8C5F-192F9265EF74}" name="Column2876"/>
    <tableColumn id="2877" xr3:uid="{A07F322D-2296-4DC9-A02F-DF5F54855E77}" name="Column2877"/>
    <tableColumn id="2878" xr3:uid="{B9230BF2-2191-4ADD-A54A-B14C1DA08B1B}" name="Column2878"/>
    <tableColumn id="2879" xr3:uid="{25478AFC-36F1-4B84-9DB4-A0CCB49E1606}" name="Column2879"/>
    <tableColumn id="2880" xr3:uid="{344C02D7-787D-40E9-BB3B-061830B61065}" name="Column2880"/>
    <tableColumn id="2881" xr3:uid="{A96D792F-3843-4F11-A37C-EE5D60826FA6}" name="Column2881"/>
    <tableColumn id="2882" xr3:uid="{5429538F-B94E-4543-8C0D-AE8D7651DFD0}" name="Column2882"/>
    <tableColumn id="2883" xr3:uid="{51B9439C-07FC-4DBE-9758-C2C6B7FAF9BE}" name="Column2883"/>
    <tableColumn id="2884" xr3:uid="{977F3C8E-26A5-4FBF-876C-1F2D22627DF3}" name="Column2884"/>
    <tableColumn id="2885" xr3:uid="{1185C402-E880-4C44-BAB4-76DE15E85A6F}" name="Column2885"/>
    <tableColumn id="2886" xr3:uid="{721178A6-BB64-47BE-8D02-F67625C89B51}" name="Column2886"/>
    <tableColumn id="2887" xr3:uid="{6A71A1D1-B9A2-490B-A3A5-CFAEBB725CB8}" name="Column2887"/>
    <tableColumn id="2888" xr3:uid="{AEF0E105-D3B0-407D-9F85-B2E475FAD4A7}" name="Column2888"/>
    <tableColumn id="2889" xr3:uid="{B4E95594-F7AB-494E-8A52-4CFEDC54D59E}" name="Column2889"/>
    <tableColumn id="2890" xr3:uid="{4535845B-67D0-4560-93ED-708A90D6A162}" name="Column2890"/>
    <tableColumn id="2891" xr3:uid="{085C64D9-6268-4572-ACE5-AB7DE0AD6D2A}" name="Column2891"/>
    <tableColumn id="2892" xr3:uid="{7B31452F-130B-4AA8-B603-02AB1A1BD376}" name="Column2892"/>
    <tableColumn id="2893" xr3:uid="{95CD9DC2-BFD0-4AA7-87F3-E3B87C7D9656}" name="Column2893"/>
    <tableColumn id="2894" xr3:uid="{219BE673-025F-4066-9CB1-2B2E35D00B6F}" name="Column2894"/>
    <tableColumn id="2895" xr3:uid="{55A0D2C2-C90C-44B7-AE8A-89FDB8A22331}" name="Column2895"/>
    <tableColumn id="2896" xr3:uid="{9CFC9752-2055-4AF7-9A22-B483FE540C31}" name="Column2896"/>
    <tableColumn id="2897" xr3:uid="{3AED8B38-DFB6-4257-9DAE-BA841C14DDDA}" name="Column2897"/>
    <tableColumn id="2898" xr3:uid="{3E171B81-341D-4522-BE13-9D75F2372714}" name="Column2898"/>
    <tableColumn id="2899" xr3:uid="{03A33A09-53E5-4C43-BB11-D234121C0851}" name="Column2899"/>
    <tableColumn id="2900" xr3:uid="{CD3E87BA-6142-4F88-A1BD-54E82B8E3302}" name="Column2900"/>
    <tableColumn id="2901" xr3:uid="{449432BD-C194-45CF-B8B0-47099990C275}" name="Column2901"/>
    <tableColumn id="2902" xr3:uid="{02500167-432A-4048-8021-947416B8C1BC}" name="Column2902"/>
    <tableColumn id="2903" xr3:uid="{6E73EDE8-A713-4820-B117-E6C9371E7C21}" name="Column2903"/>
    <tableColumn id="2904" xr3:uid="{D0E383B7-DE88-4800-AE29-90874C47164A}" name="Column2904"/>
    <tableColumn id="2905" xr3:uid="{940B800B-6399-4D03-8C82-CA27C8AB1DB7}" name="Column2905"/>
    <tableColumn id="2906" xr3:uid="{C438B79C-E2A3-407E-ABDF-1F478C0BE910}" name="Column2906"/>
    <tableColumn id="2907" xr3:uid="{76D34F12-91FE-4621-A57A-E61815F1F54C}" name="Column2907"/>
    <tableColumn id="2908" xr3:uid="{A93776B2-D06F-4881-A4D0-AFEB9009A164}" name="Column2908"/>
    <tableColumn id="2909" xr3:uid="{580BD2E3-024F-4EA3-8E66-84DB99DBB077}" name="Column2909"/>
    <tableColumn id="2910" xr3:uid="{2F3EE6F4-6839-4B2A-957B-D5833DD3AE27}" name="Column2910"/>
    <tableColumn id="2911" xr3:uid="{BE2C9449-8592-4E5F-8236-012A2EF1F977}" name="Column2911"/>
    <tableColumn id="2912" xr3:uid="{59174377-8360-4EB3-B3DB-8A12A2E03821}" name="Column2912"/>
    <tableColumn id="2913" xr3:uid="{0ACFF49E-B198-40BE-B623-C3754F473143}" name="Column2913"/>
    <tableColumn id="2914" xr3:uid="{8FEC4B74-C9A0-488A-BD36-513E0A5BE007}" name="Column2914"/>
    <tableColumn id="2915" xr3:uid="{8AD6C56A-6F17-4BC5-8BD9-7951EADF53E8}" name="Column2915"/>
    <tableColumn id="2916" xr3:uid="{1D8801E1-4003-438D-84FA-C53D2B28408C}" name="Column2916"/>
    <tableColumn id="2917" xr3:uid="{3F20602B-E090-4C1A-B36C-D4AF7FE17DF2}" name="Column2917"/>
    <tableColumn id="2918" xr3:uid="{B32E5711-5E84-4F68-AC55-862B09D0D60D}" name="Column2918"/>
    <tableColumn id="2919" xr3:uid="{4B496964-3D3C-46E4-83B1-5B99F0E61F21}" name="Column2919"/>
    <tableColumn id="2920" xr3:uid="{80B1172A-A0C1-4CC2-BFE3-A1E6F4D0E269}" name="Column2920"/>
    <tableColumn id="2921" xr3:uid="{4359558C-6592-4275-A264-1DE29553E8BE}" name="Column2921"/>
    <tableColumn id="2922" xr3:uid="{97990AAD-549D-49CD-8E0B-F1B0FE08A0D8}" name="Column2922"/>
    <tableColumn id="2923" xr3:uid="{B9FCEDC9-7523-4A4F-B3B9-E790E2536525}" name="Column2923"/>
    <tableColumn id="2924" xr3:uid="{3347470F-D6A2-4629-B1D7-67AB621656E1}" name="Column2924"/>
    <tableColumn id="2925" xr3:uid="{229CFC36-D9D7-4DF4-955D-D63B5B4A99E9}" name="Column2925"/>
    <tableColumn id="2926" xr3:uid="{24F3473D-26D7-4E06-861A-B82BD9CC224F}" name="Column2926"/>
    <tableColumn id="2927" xr3:uid="{3276CEBB-6527-481C-A497-C839B78509B7}" name="Column2927"/>
    <tableColumn id="2928" xr3:uid="{D86E4C12-F3D9-4729-8FD4-77DF883B8076}" name="Column2928"/>
    <tableColumn id="2929" xr3:uid="{9CFB3EFA-B528-481D-B5AF-B5CEDC9A4A50}" name="Column2929"/>
    <tableColumn id="2930" xr3:uid="{C74E91AB-7264-4AF2-B778-4726508340EC}" name="Column2930"/>
    <tableColumn id="2931" xr3:uid="{FD3CE1EE-CED8-4FB6-8A7A-D7CDAEEB1698}" name="Column2931"/>
    <tableColumn id="2932" xr3:uid="{6A4F2FC9-9D76-49C3-9261-AE8838406418}" name="Column2932"/>
    <tableColumn id="2933" xr3:uid="{EF7364BB-9569-4FDB-8E78-D285E662CDD1}" name="Column2933"/>
    <tableColumn id="2934" xr3:uid="{1CBA04BD-2543-4613-A8A9-5A4C2156B8D6}" name="Column2934"/>
    <tableColumn id="2935" xr3:uid="{2DE15908-1C29-41EA-8C61-6D65C516D8C0}" name="Column2935"/>
    <tableColumn id="2936" xr3:uid="{5AB1971D-8FB2-409A-B4C0-E0537EAEC7DA}" name="Column2936"/>
    <tableColumn id="2937" xr3:uid="{6A96C1D2-D0AC-4A05-8A80-C4163927DD29}" name="Column2937"/>
    <tableColumn id="2938" xr3:uid="{AA8649DD-B9FF-4C2A-B902-D848FB392DA8}" name="Column2938"/>
    <tableColumn id="2939" xr3:uid="{CE4D722B-CBC4-4AA9-BE81-3EFD2B2F63D5}" name="Column2939"/>
    <tableColumn id="2940" xr3:uid="{D127CF0B-5773-4978-9564-FAD29D0672FA}" name="Column2940"/>
    <tableColumn id="2941" xr3:uid="{4BCADE8A-BC70-4DCD-B63B-86E10D58CEF5}" name="Column2941"/>
    <tableColumn id="2942" xr3:uid="{3E4985C9-932D-45E9-A0E2-D5CDD519BB00}" name="Column2942"/>
    <tableColumn id="2943" xr3:uid="{CEECCBA9-CD3B-4444-9C57-01FEF9002B41}" name="Column2943"/>
    <tableColumn id="2944" xr3:uid="{275F3CF3-C33D-45B5-9A35-020088A0237C}" name="Column2944"/>
    <tableColumn id="2945" xr3:uid="{258E3755-F432-4FB2-A5EB-6A5902AF5077}" name="Column2945"/>
    <tableColumn id="2946" xr3:uid="{4EAD440E-47B8-446F-B457-06B3BCB9F1A6}" name="Column2946"/>
    <tableColumn id="2947" xr3:uid="{9EDF14BD-0CC0-4C22-90B8-21FE597EB39B}" name="Column2947"/>
    <tableColumn id="2948" xr3:uid="{B0723791-D671-4BA8-B0FA-D11D4DF2E572}" name="Column2948"/>
    <tableColumn id="2949" xr3:uid="{14FA6941-1388-4843-B220-7A3BC2988756}" name="Column2949"/>
    <tableColumn id="2950" xr3:uid="{6AD337FC-4E06-400D-A76B-159F836962C6}" name="Column2950"/>
    <tableColumn id="2951" xr3:uid="{D91DCAC1-E300-4B35-9F4D-19FDA5F1EABD}" name="Column2951"/>
    <tableColumn id="2952" xr3:uid="{456973D4-A9FA-4BC4-851E-21F4BDDF1AFE}" name="Column2952"/>
    <tableColumn id="2953" xr3:uid="{001E2D0E-FDBB-43DB-A5BE-383998125BBD}" name="Column2953"/>
    <tableColumn id="2954" xr3:uid="{10E2CD61-C8BD-494C-9B28-2FA166E5C665}" name="Column2954"/>
    <tableColumn id="2955" xr3:uid="{FA40CEC3-8353-4AA8-AC06-F95DF3AF4CA7}" name="Column2955"/>
    <tableColumn id="2956" xr3:uid="{4B8FE822-895A-41A8-88BF-4331856A2E12}" name="Column2956"/>
    <tableColumn id="2957" xr3:uid="{D719CACC-F0F1-4E72-B7BA-3DB0206F8B15}" name="Column2957"/>
    <tableColumn id="2958" xr3:uid="{3AAFEF10-D7EF-4D96-9731-C643A26C519B}" name="Column2958"/>
    <tableColumn id="2959" xr3:uid="{B65B97AA-94BE-4BF6-8A96-D79DE81A49EF}" name="Column2959"/>
    <tableColumn id="2960" xr3:uid="{2B7A1074-4248-4003-A9A0-56C58A0AD7A3}" name="Column2960"/>
    <tableColumn id="2961" xr3:uid="{3B713B02-ADF2-4FAE-B822-651241278243}" name="Column2961"/>
    <tableColumn id="2962" xr3:uid="{8C1B0511-C113-4720-B167-B25B78FA4A7F}" name="Column2962"/>
    <tableColumn id="2963" xr3:uid="{402C7648-6C48-468D-B6BA-81A2135AF80C}" name="Column2963"/>
    <tableColumn id="2964" xr3:uid="{22D0C697-8322-40F6-BD95-FD5A524649CF}" name="Column2964"/>
    <tableColumn id="2965" xr3:uid="{D52BCBA9-3B82-4724-8FD3-852B9FDCCD08}" name="Column2965"/>
    <tableColumn id="2966" xr3:uid="{E6228710-33FC-4319-B628-188248580146}" name="Column2966"/>
    <tableColumn id="2967" xr3:uid="{F1BDBEAA-364B-429D-8B71-2E7943153EFB}" name="Column2967"/>
    <tableColumn id="2968" xr3:uid="{B6BE9BBC-276C-4F63-BD7B-CAB11A039B82}" name="Column2968"/>
    <tableColumn id="2969" xr3:uid="{A949C692-32DB-4E3D-B798-683A31BBAD3F}" name="Column2969"/>
    <tableColumn id="2970" xr3:uid="{78C82E81-8DC3-4F19-9616-3DE878B79196}" name="Column2970"/>
    <tableColumn id="2971" xr3:uid="{8750D69B-6FA5-42D7-8D3A-15FB4920B987}" name="Column2971"/>
    <tableColumn id="2972" xr3:uid="{D1F1E660-D61E-4761-836A-B9FC31B1924E}" name="Column2972"/>
    <tableColumn id="2973" xr3:uid="{7D3FE6A3-ED1A-4689-A4AC-E509F9717A58}" name="Column2973"/>
    <tableColumn id="2974" xr3:uid="{991940D7-F837-4727-AA4D-4068E7DD1258}" name="Column2974"/>
    <tableColumn id="2975" xr3:uid="{EDCBE42A-7E07-40DD-A3CF-1C7C72F3F121}" name="Column2975"/>
    <tableColumn id="2976" xr3:uid="{33AC5710-3D0A-4D8C-A0FA-F14C2B2E3BD6}" name="Column2976"/>
    <tableColumn id="2977" xr3:uid="{3E6EB3FA-876F-4255-BB29-93AD889EFB21}" name="Column2977"/>
    <tableColumn id="2978" xr3:uid="{A075BD83-C07D-4862-A99D-16742E9138CB}" name="Column2978"/>
    <tableColumn id="2979" xr3:uid="{CC20776E-B4F4-4A75-99C4-E9F8AB39897D}" name="Column2979"/>
    <tableColumn id="2980" xr3:uid="{2D356F7F-6815-4724-9EF2-54C966BA096F}" name="Column2980"/>
    <tableColumn id="2981" xr3:uid="{BF440A78-864E-4DC0-8D2E-406E2A3733D3}" name="Column2981"/>
    <tableColumn id="2982" xr3:uid="{2A515931-8D15-4651-BD1B-FD778CE5B48F}" name="Column2982"/>
    <tableColumn id="2983" xr3:uid="{1AD5CCE2-74B7-42B7-B81A-9F685826DBAD}" name="Column2983"/>
    <tableColumn id="2984" xr3:uid="{0BDAECF9-41A4-4CAA-B449-9EB8245C06E9}" name="Column2984"/>
    <tableColumn id="2985" xr3:uid="{AA6975B8-E258-4CB0-BC7C-80341198074F}" name="Column2985"/>
    <tableColumn id="2986" xr3:uid="{3EEA4761-1CA9-4B24-8A51-F29E2545D04C}" name="Column2986"/>
    <tableColumn id="2987" xr3:uid="{FAFDA8A8-72BE-405C-8352-7AFCEA7A02E7}" name="Column2987"/>
    <tableColumn id="2988" xr3:uid="{94E04262-E7A0-4577-ADC3-5F2A260AD8CB}" name="Column2988"/>
    <tableColumn id="2989" xr3:uid="{FC3E7AFF-A552-40C8-9BFA-223E99EFF787}" name="Column2989"/>
    <tableColumn id="2990" xr3:uid="{12B81872-9A5E-4415-B6B1-D417ED51B5B2}" name="Column2990"/>
    <tableColumn id="2991" xr3:uid="{CE57984C-BDF1-47CB-91D6-34987FBD90D8}" name="Column2991"/>
    <tableColumn id="2992" xr3:uid="{D81E24B8-1656-4D68-9557-44187F73B308}" name="Column2992"/>
    <tableColumn id="2993" xr3:uid="{AC25CA3A-73AF-442D-8A03-5803AB7CC232}" name="Column2993"/>
    <tableColumn id="2994" xr3:uid="{CBBFA241-C422-45C0-9BE2-D25D5E5B2E8D}" name="Column2994"/>
    <tableColumn id="2995" xr3:uid="{CC787157-1B00-4306-A257-06EE4A195B90}" name="Column2995"/>
    <tableColumn id="2996" xr3:uid="{775B1C1C-154B-4207-AB09-935CE22BC115}" name="Column2996"/>
    <tableColumn id="2997" xr3:uid="{3218A8A3-D518-4C5C-8F48-D2BDE2417CA7}" name="Column2997"/>
    <tableColumn id="2998" xr3:uid="{40341037-54EB-46E5-BF58-DDC35E3D859F}" name="Column2998"/>
    <tableColumn id="2999" xr3:uid="{E80075B1-BD7B-4E59-8136-784AB30D7025}" name="Column2999"/>
    <tableColumn id="3000" xr3:uid="{3243ADC9-3D7D-4701-BC67-D717D20E05BD}" name="Column3000"/>
    <tableColumn id="3001" xr3:uid="{7EC72FBB-7F60-4A26-B2DE-3AC1DBB2C1ED}" name="Column3001"/>
    <tableColumn id="3002" xr3:uid="{9A1E96EE-E29C-48A5-8FE0-4B5B2A5F7A6E}" name="Column3002"/>
    <tableColumn id="3003" xr3:uid="{1FEA6748-8414-45B5-B305-E463EC31CFE8}" name="Column3003"/>
    <tableColumn id="3004" xr3:uid="{6C2E7706-57E6-43F4-8348-7A4EC1D51B8E}" name="Column3004"/>
    <tableColumn id="3005" xr3:uid="{5383B53E-79B3-4EE1-BAAD-99626E4EE7E6}" name="Column3005"/>
    <tableColumn id="3006" xr3:uid="{A8E6CEA2-E72C-4FE1-A4F1-2E269C5FB005}" name="Column3006"/>
    <tableColumn id="3007" xr3:uid="{10D6EDCB-B728-42B0-8174-148723FF1E7B}" name="Column3007"/>
    <tableColumn id="3008" xr3:uid="{25051F26-ACCC-4992-B889-E0D77F906DFD}" name="Column3008"/>
    <tableColumn id="3009" xr3:uid="{DA572AA1-F189-4167-9C9A-A8AFC3DC6D57}" name="Column3009"/>
    <tableColumn id="3010" xr3:uid="{9AB337E4-A7B8-4FDE-B458-14F097BCDAC3}" name="Column3010"/>
    <tableColumn id="3011" xr3:uid="{648CD7DB-DA92-4EE1-9650-C7797FE039B0}" name="Column3011"/>
    <tableColumn id="3012" xr3:uid="{27476AC2-29FD-4AEB-B788-47051CD094D0}" name="Column3012"/>
    <tableColumn id="3013" xr3:uid="{CE65D4BF-A041-4C51-9125-9123604550D6}" name="Column3013"/>
    <tableColumn id="3014" xr3:uid="{F9E73C97-F94C-4AFC-8074-DEE26B332628}" name="Column3014"/>
    <tableColumn id="3015" xr3:uid="{53EE65E3-FE55-47C8-B5AF-1D30D04BBC45}" name="Column3015"/>
    <tableColumn id="3016" xr3:uid="{1301D447-3B90-402C-9712-85D300A97C69}" name="Column3016"/>
    <tableColumn id="3017" xr3:uid="{3097AA04-4507-48E0-8930-9A4D37D579B0}" name="Column3017"/>
    <tableColumn id="3018" xr3:uid="{7E3984E2-1F40-4505-AA30-F13133E7CC4D}" name="Column3018"/>
    <tableColumn id="3019" xr3:uid="{9093C11A-7F1F-41A6-BDF3-6DD1190488D8}" name="Column3019"/>
    <tableColumn id="3020" xr3:uid="{C26E0150-0F13-4577-A05E-72A1546B4300}" name="Column3020"/>
    <tableColumn id="3021" xr3:uid="{D2DA330E-3633-486B-86D2-87722564D300}" name="Column3021"/>
    <tableColumn id="3022" xr3:uid="{263E8755-C34C-42A6-89EC-F3557B0359A4}" name="Column3022"/>
    <tableColumn id="3023" xr3:uid="{6FEA6BFB-8C2E-4046-B0E0-8FAC679667A4}" name="Column3023"/>
    <tableColumn id="3024" xr3:uid="{F514B596-4B65-4AD0-BF5E-07E574C063ED}" name="Column3024"/>
    <tableColumn id="3025" xr3:uid="{70A4AC2A-07E5-412E-9FA7-DC63996DC98E}" name="Column3025"/>
    <tableColumn id="3026" xr3:uid="{1410FFA5-DDC0-4D12-963C-BBD1E606D632}" name="Column3026"/>
    <tableColumn id="3027" xr3:uid="{7ECC63B5-17AC-4309-B92A-5BC4AFAE4446}" name="Column3027"/>
    <tableColumn id="3028" xr3:uid="{9F7966C1-8852-409E-97D2-6322BFF7F566}" name="Column3028"/>
    <tableColumn id="3029" xr3:uid="{052E4471-8A57-41B9-B26D-ED737934438A}" name="Column3029"/>
    <tableColumn id="3030" xr3:uid="{898D41C6-CF83-4049-ADD6-907C5CED4006}" name="Column3030"/>
    <tableColumn id="3031" xr3:uid="{3599AF21-B126-4337-9CB1-F80DF0661414}" name="Column3031"/>
    <tableColumn id="3032" xr3:uid="{217F2BFF-6BBA-460F-A3DB-807C2AF5B9D3}" name="Column3032"/>
    <tableColumn id="3033" xr3:uid="{0ADD8FAF-4256-4CC1-9307-134959FE4ADF}" name="Column3033"/>
    <tableColumn id="3034" xr3:uid="{7CF84555-FE6D-457B-AD9D-7963CECC0CF8}" name="Column3034"/>
    <tableColumn id="3035" xr3:uid="{1626ACFA-B43C-4A0E-BEA3-D3626C5F85FA}" name="Column3035"/>
    <tableColumn id="3036" xr3:uid="{8BFCA7F5-F416-4C2E-980F-6760FFE3F99E}" name="Column3036"/>
    <tableColumn id="3037" xr3:uid="{AA0BD04F-C924-495F-80FF-8A2061D3D71B}" name="Column3037"/>
    <tableColumn id="3038" xr3:uid="{28FF92DD-0E3A-468D-884F-62779E219A7C}" name="Column3038"/>
    <tableColumn id="3039" xr3:uid="{8262E264-05C0-4CE2-8273-D89198E0FE15}" name="Column3039"/>
    <tableColumn id="3040" xr3:uid="{2DAAFC2A-759C-4535-A1D5-BDB7E62326DE}" name="Column3040"/>
    <tableColumn id="3041" xr3:uid="{791CA2B9-6FAE-4577-AA65-7B7CA86C4074}" name="Column3041"/>
    <tableColumn id="3042" xr3:uid="{9E31B441-3590-4FCD-8FA9-C0105F291DAD}" name="Column3042"/>
    <tableColumn id="3043" xr3:uid="{CCC12034-EC28-4214-A687-794D4BBBCC26}" name="Column3043"/>
    <tableColumn id="3044" xr3:uid="{2A0EF20D-B396-407D-9450-0220653CB7FF}" name="Column3044"/>
    <tableColumn id="3045" xr3:uid="{93F04C49-AA31-4166-A144-1B18E5EE6027}" name="Column3045"/>
    <tableColumn id="3046" xr3:uid="{3BC5AEB5-318F-4B2B-AC3D-0E9F534A5A8A}" name="Column3046"/>
    <tableColumn id="3047" xr3:uid="{53837732-C3DC-48CE-8691-4844CAE6F496}" name="Column3047"/>
    <tableColumn id="3048" xr3:uid="{3EA74D1C-2D5D-4C77-9811-42491EFF2E12}" name="Column3048"/>
    <tableColumn id="3049" xr3:uid="{F5658B3A-AED3-4E3A-8455-9BD9CF215E7E}" name="Column3049"/>
    <tableColumn id="3050" xr3:uid="{BFB64211-4A3B-4442-A119-CBBC39747D21}" name="Column3050"/>
    <tableColumn id="3051" xr3:uid="{C685AB05-6703-49C3-B8B3-1A0B72A35CF6}" name="Column3051"/>
    <tableColumn id="3052" xr3:uid="{D672C1EF-A684-4D81-AC9D-123AA5A22232}" name="Column3052"/>
    <tableColumn id="3053" xr3:uid="{E8269B35-3041-4B87-8C20-31F6A5CCB838}" name="Column3053"/>
    <tableColumn id="3054" xr3:uid="{0F2F0FAF-6412-4AD9-8DFF-1E887FCB6F9B}" name="Column3054"/>
    <tableColumn id="3055" xr3:uid="{BEF27670-E04D-4254-A428-801863749772}" name="Column3055"/>
    <tableColumn id="3056" xr3:uid="{4218BFB8-0411-4FD1-BC22-148F0A31BC7A}" name="Column3056"/>
    <tableColumn id="3057" xr3:uid="{F8AB9C3C-DEFC-4EFF-B561-D1BEC2D2791E}" name="Column3057"/>
    <tableColumn id="3058" xr3:uid="{D440A133-3DD9-4F35-9BB4-C79F9B7EAC8A}" name="Column3058"/>
    <tableColumn id="3059" xr3:uid="{D46AFD43-E4DD-4A18-B912-0382A7DCE147}" name="Column3059"/>
    <tableColumn id="3060" xr3:uid="{C73E9AA5-824D-44C0-AD7C-FD59BAEAF8A9}" name="Column3060"/>
    <tableColumn id="3061" xr3:uid="{C16F951D-2D61-4D0C-8B8E-62504AC075BA}" name="Column3061"/>
    <tableColumn id="3062" xr3:uid="{4046BA3E-E623-4727-AA2A-64104DCD3081}" name="Column3062"/>
    <tableColumn id="3063" xr3:uid="{829BA71C-DB39-43A9-B310-C27F843B7574}" name="Column3063"/>
    <tableColumn id="3064" xr3:uid="{06887593-B921-4B9F-A7A6-D5CCED93EF6D}" name="Column3064"/>
    <tableColumn id="3065" xr3:uid="{C63A0BA9-EB58-46AC-A90E-A2A4FE41862A}" name="Column3065"/>
    <tableColumn id="3066" xr3:uid="{F6C16308-0EF5-44F4-A634-728DAAF0C2D6}" name="Column3066"/>
    <tableColumn id="3067" xr3:uid="{60CD86A3-19B5-4C83-B244-08FE16CCCD61}" name="Column3067"/>
    <tableColumn id="3068" xr3:uid="{1A95CAEA-AD7B-4E84-8D79-F4108197AFC6}" name="Column3068"/>
    <tableColumn id="3069" xr3:uid="{49D9856E-AE2B-4491-AF8B-51035C2A3BE0}" name="Column3069"/>
    <tableColumn id="3070" xr3:uid="{ACCAA0FD-2875-4C53-9C2D-44C2C2B14642}" name="Column3070"/>
    <tableColumn id="3071" xr3:uid="{759231E0-020E-4748-B2B0-3A87B71B171D}" name="Column3071"/>
    <tableColumn id="3072" xr3:uid="{E8B19DF9-675A-45DA-B04C-EE3308EFE1DE}" name="Column3072"/>
    <tableColumn id="3073" xr3:uid="{E4EE20AA-FD04-4AF9-9BCD-86E76A9ED9BA}" name="Column3073"/>
    <tableColumn id="3074" xr3:uid="{35E7442B-0123-47AE-839D-5AD77FCE7E02}" name="Column3074"/>
    <tableColumn id="3075" xr3:uid="{64933704-CE4A-41A1-B542-11DDAC4904CC}" name="Column3075"/>
    <tableColumn id="3076" xr3:uid="{3EA2EEF3-9BF4-4BD0-A604-A89B43526506}" name="Column3076"/>
    <tableColumn id="3077" xr3:uid="{A6276A0C-249D-469C-93EF-7F89863CCAFA}" name="Column3077"/>
    <tableColumn id="3078" xr3:uid="{59D23971-2F12-41A5-8B35-6DE26A560667}" name="Column3078"/>
    <tableColumn id="3079" xr3:uid="{36C700F2-C544-46FE-8A99-4C13E930E352}" name="Column3079"/>
    <tableColumn id="3080" xr3:uid="{AD93ABC7-CDCD-4F69-ABDF-FC7123F2C69A}" name="Column3080"/>
    <tableColumn id="3081" xr3:uid="{E2FCA8ED-04B3-487C-A4BF-4326A6D7A372}" name="Column3081"/>
    <tableColumn id="3082" xr3:uid="{F467AA92-9CFB-40A1-9BDF-F4119E28BBE9}" name="Column3082"/>
    <tableColumn id="3083" xr3:uid="{1F521A8B-D583-4C69-977E-C424BC7FE160}" name="Column3083"/>
    <tableColumn id="3084" xr3:uid="{15092CA5-CC13-46D4-ADD2-3C748BC2532D}" name="Column3084"/>
    <tableColumn id="3085" xr3:uid="{AF8A39BB-1E0D-4A5B-9BEE-B2C2DBBC98D2}" name="Column3085"/>
    <tableColumn id="3086" xr3:uid="{5AA1662D-0626-4A6F-8778-F544EE18CBE7}" name="Column3086"/>
    <tableColumn id="3087" xr3:uid="{7B56DD9A-5FCF-4719-9851-B2E2C2DF08A1}" name="Column3087"/>
    <tableColumn id="3088" xr3:uid="{E64A5E2E-9C01-40E5-A783-16179ECAB0D5}" name="Column3088"/>
    <tableColumn id="3089" xr3:uid="{CBB5E344-BD06-4887-AEF4-CB991E3F73C2}" name="Column3089"/>
    <tableColumn id="3090" xr3:uid="{A3919F62-B8FA-4C5B-A856-EA5A02F2D65B}" name="Column3090"/>
    <tableColumn id="3091" xr3:uid="{F8E6B685-0D94-42F1-8A0C-484C8D17B283}" name="Column3091"/>
    <tableColumn id="3092" xr3:uid="{6787C194-EBDA-43B8-8C83-A679C0993CC6}" name="Column3092"/>
    <tableColumn id="3093" xr3:uid="{0202951C-183F-4033-907B-69EF49999CA8}" name="Column3093"/>
    <tableColumn id="3094" xr3:uid="{FF3C8CCE-E9E1-4D0C-B6DA-8809F4AB51FB}" name="Column3094"/>
    <tableColumn id="3095" xr3:uid="{507E0671-E6EA-4002-9CF5-7A3569D4A54B}" name="Column3095"/>
    <tableColumn id="3096" xr3:uid="{103CF90C-3D17-4610-9010-53BD116F2B26}" name="Column3096"/>
    <tableColumn id="3097" xr3:uid="{CFACE8C9-8D7C-46E3-BD1D-CD4222D240F9}" name="Column3097"/>
    <tableColumn id="3098" xr3:uid="{86734C61-0437-45AE-8A1A-1C9AECBE2A4E}" name="Column3098"/>
    <tableColumn id="3099" xr3:uid="{4C5822B8-351B-4BFB-89FD-C12B7CFFBE09}" name="Column3099"/>
    <tableColumn id="3100" xr3:uid="{6118A5DD-4B8C-4AE6-81D8-668053187D0F}" name="Column3100"/>
    <tableColumn id="3101" xr3:uid="{E714E0AA-73F8-4B08-A4E8-BCB06562987C}" name="Column3101"/>
    <tableColumn id="3102" xr3:uid="{A93EBE76-08F7-4D2C-9A6D-0B33E0921D21}" name="Column3102"/>
    <tableColumn id="3103" xr3:uid="{CA17BC7A-AC81-4ABA-86A0-13DB7134372B}" name="Column3103"/>
    <tableColumn id="3104" xr3:uid="{DC9C7EAB-379C-4E5C-81D5-E1CA18683CDD}" name="Column3104"/>
    <tableColumn id="3105" xr3:uid="{899075E1-BB66-405F-8B26-1ABD08EF524B}" name="Column3105"/>
    <tableColumn id="3106" xr3:uid="{2435941D-D326-431F-8577-84531B112D38}" name="Column3106"/>
    <tableColumn id="3107" xr3:uid="{C512964C-2D7C-4581-8CB3-DDF68E0DAD2D}" name="Column3107"/>
    <tableColumn id="3108" xr3:uid="{92200DBE-8B9F-422F-8138-C420A46E6F1E}" name="Column3108"/>
    <tableColumn id="3109" xr3:uid="{8A582EE7-8DE7-42FD-83C6-B822FAB70F17}" name="Column3109"/>
    <tableColumn id="3110" xr3:uid="{9ABB51AE-B804-4CE7-B159-B7B54B1273C2}" name="Column3110"/>
    <tableColumn id="3111" xr3:uid="{1AF0F2A8-67A5-46E9-B1AF-76FC90C5CCEC}" name="Column3111"/>
    <tableColumn id="3112" xr3:uid="{398F3C30-7B56-4560-A339-3A68F3A31F72}" name="Column3112"/>
    <tableColumn id="3113" xr3:uid="{1609A1AF-A447-448B-BDDE-F6A567333197}" name="Column3113"/>
    <tableColumn id="3114" xr3:uid="{5A644862-6C22-451D-B467-9C372F66B474}" name="Column3114"/>
    <tableColumn id="3115" xr3:uid="{21DCD41A-F8F4-4229-91D4-D5A7C6CBA1E7}" name="Column3115"/>
    <tableColumn id="3116" xr3:uid="{A22F980D-E512-40ED-A938-9C3A5685D104}" name="Column3116"/>
    <tableColumn id="3117" xr3:uid="{FCEFF8CC-AE73-4663-8BD3-C4BDA01DC9B9}" name="Column3117"/>
    <tableColumn id="3118" xr3:uid="{670AEB72-6945-436F-B36A-14C719ECA484}" name="Column3118"/>
    <tableColumn id="3119" xr3:uid="{4F745812-42DD-480A-9A9D-44549E1562D5}" name="Column3119"/>
    <tableColumn id="3120" xr3:uid="{3D1DBA78-A200-4A9B-A00E-292160ED3D6B}" name="Column3120"/>
    <tableColumn id="3121" xr3:uid="{B722D9F9-ED56-46D0-B07C-E1A22769F0FC}" name="Column3121"/>
    <tableColumn id="3122" xr3:uid="{E353750F-3941-4AB2-A165-7E68C874B6EF}" name="Column3122"/>
    <tableColumn id="3123" xr3:uid="{4F8C9643-2B24-4184-AC79-661813B98AB1}" name="Column3123"/>
    <tableColumn id="3124" xr3:uid="{493453ED-A753-4759-A259-8FA64BA4997E}" name="Column3124"/>
    <tableColumn id="3125" xr3:uid="{5B7E943D-0E54-417B-9B82-517C024F44C8}" name="Column3125"/>
    <tableColumn id="3126" xr3:uid="{5D2E2F4E-8F28-49CA-B02B-4E7ACA2B9308}" name="Column3126"/>
    <tableColumn id="3127" xr3:uid="{C3BDA582-DB36-4B57-AB27-DA7475409264}" name="Column3127"/>
    <tableColumn id="3128" xr3:uid="{FBA22DB9-B1C3-467B-A2F3-F8035DE23D4D}" name="Column3128"/>
    <tableColumn id="3129" xr3:uid="{EB090498-D094-4112-9EF6-9BE65D5A9E5E}" name="Column3129"/>
    <tableColumn id="3130" xr3:uid="{66F8D4D0-D2E3-4A20-BD46-CA3D1A21837D}" name="Column3130"/>
    <tableColumn id="3131" xr3:uid="{A22FE56A-8CA6-4D38-A366-799297005C2B}" name="Column3131"/>
    <tableColumn id="3132" xr3:uid="{6CFE885D-6B92-4217-8CE3-49F1F353DC41}" name="Column3132"/>
    <tableColumn id="3133" xr3:uid="{B7EF7E44-FC84-41B9-A7FD-971D6AA65F8C}" name="Column3133"/>
    <tableColumn id="3134" xr3:uid="{98AD3517-034A-4B10-AD7A-2C545F8DD8DB}" name="Column3134"/>
    <tableColumn id="3135" xr3:uid="{0725AE82-79BB-4D80-9071-7F6465C0452F}" name="Column3135"/>
    <tableColumn id="3136" xr3:uid="{C808D2A3-EE7A-4D94-B7EB-68BE556146DA}" name="Column3136"/>
    <tableColumn id="3137" xr3:uid="{72A0982F-5BFB-4E4F-A772-263F494722E6}" name="Column3137"/>
    <tableColumn id="3138" xr3:uid="{2223AB3B-273F-4FE5-9D16-3CD90C30C093}" name="Column3138"/>
    <tableColumn id="3139" xr3:uid="{3CF23837-4301-4E9C-9A88-C129825C8A4F}" name="Column3139"/>
    <tableColumn id="3140" xr3:uid="{CA7B9666-E36B-458F-9670-7C9D23B390CC}" name="Column3140"/>
    <tableColumn id="3141" xr3:uid="{59DD572F-7D0A-4125-AEA4-60BECEF82C46}" name="Column3141"/>
    <tableColumn id="3142" xr3:uid="{208C47DD-F96A-49DB-99AF-1C58D60F0A0A}" name="Column3142"/>
    <tableColumn id="3143" xr3:uid="{E19B5670-9A13-473C-B839-D837D7513659}" name="Column3143"/>
    <tableColumn id="3144" xr3:uid="{D3C0A847-BE59-4B16-8166-1F07656B428F}" name="Column3144"/>
    <tableColumn id="3145" xr3:uid="{178B6274-D59A-4508-9860-D0323998A44D}" name="Column3145"/>
    <tableColumn id="3146" xr3:uid="{CD9D06AE-7554-45AF-8E2F-CC2057F4C0D8}" name="Column3146"/>
    <tableColumn id="3147" xr3:uid="{07E85A05-D30A-4CCE-87A5-583E1B4E4C72}" name="Column3147"/>
    <tableColumn id="3148" xr3:uid="{A5EB2647-5761-4EA8-9E74-BBCD14C8A0D1}" name="Column3148"/>
    <tableColumn id="3149" xr3:uid="{FCEF8874-39A7-4AF4-AE29-EB2ED391790C}" name="Column3149"/>
    <tableColumn id="3150" xr3:uid="{D7B35E21-5978-4862-9624-B3695E409079}" name="Column3150"/>
    <tableColumn id="3151" xr3:uid="{A822263E-0A9B-41C7-9C72-FDB3A861D9D8}" name="Column3151"/>
    <tableColumn id="3152" xr3:uid="{E2E33BF6-A196-4D8B-A115-E3956202388A}" name="Column3152"/>
    <tableColumn id="3153" xr3:uid="{92CAF127-D7BB-466E-B9BF-A0F083DDF4AD}" name="Column3153"/>
    <tableColumn id="3154" xr3:uid="{4004E38A-814D-49C6-B148-E85517D4F9D2}" name="Column3154"/>
    <tableColumn id="3155" xr3:uid="{C6DA35A9-1227-46F9-9C5B-1F91371E3E3C}" name="Column3155"/>
    <tableColumn id="3156" xr3:uid="{4AE7CD86-3E1A-4441-B40F-03CF1E67299A}" name="Column3156"/>
    <tableColumn id="3157" xr3:uid="{50CFB602-B6BB-4B57-9B9F-44A603B33733}" name="Column3157"/>
    <tableColumn id="3158" xr3:uid="{DBAFEA20-9B84-40E2-851B-1E6F454BF0DF}" name="Column3158"/>
    <tableColumn id="3159" xr3:uid="{1CAD88BA-F53A-4CDB-BFEF-9E5B289F1A61}" name="Column3159"/>
    <tableColumn id="3160" xr3:uid="{920C0544-C0A5-437C-A79E-C6CBAE381246}" name="Column3160"/>
    <tableColumn id="3161" xr3:uid="{D7A6ED23-3DD3-445B-A711-73F0C37F74CB}" name="Column3161"/>
    <tableColumn id="3162" xr3:uid="{79249B98-047F-4843-8A32-454828CAEB71}" name="Column3162"/>
    <tableColumn id="3163" xr3:uid="{DD99BF0E-0CFB-4744-B658-A1CDF440E31A}" name="Column3163"/>
    <tableColumn id="3164" xr3:uid="{59A2C89B-E12C-46F5-B04D-8DF4C8662D7D}" name="Column3164"/>
    <tableColumn id="3165" xr3:uid="{5A346180-DC57-4ED3-BEEF-D5F0551D98E7}" name="Column3165"/>
    <tableColumn id="3166" xr3:uid="{7E41D467-1C03-46F3-9011-403EF47EA849}" name="Column3166"/>
    <tableColumn id="3167" xr3:uid="{6D358181-E563-4CD8-9744-E5997544372F}" name="Column3167"/>
    <tableColumn id="3168" xr3:uid="{5A024EC1-1487-4A99-AC43-AD5A0CC193B2}" name="Column3168"/>
    <tableColumn id="3169" xr3:uid="{DE4C565E-9D58-48BA-8292-C4DE6E284E0F}" name="Column3169"/>
    <tableColumn id="3170" xr3:uid="{28D397A7-286D-42C6-B462-21E89C28C07D}" name="Column3170"/>
    <tableColumn id="3171" xr3:uid="{6030DA8B-66FE-49CC-BBD1-007F13EB0485}" name="Column3171"/>
    <tableColumn id="3172" xr3:uid="{5999B9DF-79C8-4F2B-A754-1EAF265BC797}" name="Column3172"/>
    <tableColumn id="3173" xr3:uid="{1697D7E1-1DF6-4447-B156-C64B36DA13FD}" name="Column3173"/>
    <tableColumn id="3174" xr3:uid="{60DBFD97-01F6-47B3-90B6-533AD8058DAB}" name="Column3174"/>
    <tableColumn id="3175" xr3:uid="{88EAE394-3166-4671-9F18-1B5D69A1A4CF}" name="Column3175"/>
    <tableColumn id="3176" xr3:uid="{7F38E821-4FA7-4CDF-8EB1-96065ADE34E9}" name="Column3176"/>
    <tableColumn id="3177" xr3:uid="{184D0290-A042-4055-9803-42655EC26F78}" name="Column3177"/>
    <tableColumn id="3178" xr3:uid="{2E77C8A8-D2D1-4A9F-9166-8F068DC23620}" name="Column3178"/>
    <tableColumn id="3179" xr3:uid="{65A78437-0F92-4BE4-9AA6-7DCB8FD03B9D}" name="Column3179"/>
    <tableColumn id="3180" xr3:uid="{D6D5C226-2FDF-42F0-B9AE-2EFF85477A8B}" name="Column3180"/>
    <tableColumn id="3181" xr3:uid="{D7FE4AC2-EFC4-40B5-BD0D-324CF1987A11}" name="Column3181"/>
    <tableColumn id="3182" xr3:uid="{1CB84D8E-6CE3-409F-98D9-9D81F928638C}" name="Column3182"/>
    <tableColumn id="3183" xr3:uid="{1F087F9B-4F53-406A-83AD-D671CD34EAAD}" name="Column3183"/>
    <tableColumn id="3184" xr3:uid="{2604BC8E-D431-428D-9D89-60C19206010C}" name="Column3184"/>
    <tableColumn id="3185" xr3:uid="{A85E936B-20D0-49CD-B536-462FAD4BFAFE}" name="Column3185"/>
    <tableColumn id="3186" xr3:uid="{4A8D610E-BE85-405D-9210-4C3DDB9C07F1}" name="Column3186"/>
    <tableColumn id="3187" xr3:uid="{5137496A-CBA9-4F59-950D-7C471850D0D2}" name="Column3187"/>
    <tableColumn id="3188" xr3:uid="{AE888AD9-0579-4AD4-9C5C-8A7EFE4B1463}" name="Column3188"/>
    <tableColumn id="3189" xr3:uid="{7E4962F1-23DC-44EE-9C19-60CE0DF51DF4}" name="Column3189"/>
    <tableColumn id="3190" xr3:uid="{671B72F5-AFCB-4912-9041-6A504BDB6D16}" name="Column3190"/>
    <tableColumn id="3191" xr3:uid="{F63F332F-6983-4DB0-A3D0-6014DECAEA20}" name="Column3191"/>
    <tableColumn id="3192" xr3:uid="{09ED2DDC-362A-4D9B-9D7B-9EBC529C08FB}" name="Column3192"/>
    <tableColumn id="3193" xr3:uid="{4CFBD19A-B90A-4322-AE95-3B9BA885CA9F}" name="Column3193"/>
    <tableColumn id="3194" xr3:uid="{F0AC3E45-A083-4E12-AA29-2051442CD293}" name="Column3194"/>
    <tableColumn id="3195" xr3:uid="{47AD27BB-DE27-45CB-ADD4-701227F5162B}" name="Column3195"/>
    <tableColumn id="3196" xr3:uid="{F8C26B69-F71F-4852-862C-06F65E757DC9}" name="Column3196"/>
    <tableColumn id="3197" xr3:uid="{7BAC436B-1F6D-4BF0-9FDE-239DE75DAE81}" name="Column3197"/>
    <tableColumn id="3198" xr3:uid="{11873742-C5D4-4CA6-B158-2901AAE52B08}" name="Column3198"/>
    <tableColumn id="3199" xr3:uid="{CD333CDB-B2B5-4DE1-8196-9A13EC8DA718}" name="Column3199"/>
    <tableColumn id="3200" xr3:uid="{0C43D47C-DF8D-47D6-84F6-0E1969B197DC}" name="Column3200"/>
    <tableColumn id="3201" xr3:uid="{8B913F53-57C3-4732-8306-BDBB69AA6EDF}" name="Column3201"/>
    <tableColumn id="3202" xr3:uid="{B9429D82-E767-4CA8-9CCE-69CE848A89DB}" name="Column3202"/>
    <tableColumn id="3203" xr3:uid="{3F8F08B2-D44F-4C93-B641-53DE776696A1}" name="Column3203"/>
    <tableColumn id="3204" xr3:uid="{0BAF5F12-14AD-4B42-98DC-36DBFE88AFAA}" name="Column3204"/>
    <tableColumn id="3205" xr3:uid="{95968956-99A8-452A-B5FC-FB911D4C05FE}" name="Column3205"/>
    <tableColumn id="3206" xr3:uid="{3270F921-2B13-40CB-9CC0-C1538920232D}" name="Column3206"/>
    <tableColumn id="3207" xr3:uid="{251915AE-74F9-4443-B4C8-FDE767806276}" name="Column3207"/>
    <tableColumn id="3208" xr3:uid="{CEC442E4-1519-4DFB-B4B5-54F9611A8073}" name="Column3208"/>
    <tableColumn id="3209" xr3:uid="{BF6FD3EF-B955-4651-85D7-BCBDC1965BB0}" name="Column3209"/>
    <tableColumn id="3210" xr3:uid="{042CB1D1-9478-4999-91FA-5FF4F86DD089}" name="Column3210"/>
    <tableColumn id="3211" xr3:uid="{2FA4505E-925E-46B4-A280-F13AD83B3C1C}" name="Column3211"/>
    <tableColumn id="3212" xr3:uid="{981E1CD2-FA1E-40A7-B74C-B2D17A0B28EB}" name="Column3212"/>
    <tableColumn id="3213" xr3:uid="{7DA1F9A0-5103-4F61-9725-A5A5C377A98D}" name="Column3213"/>
    <tableColumn id="3214" xr3:uid="{C03B0676-31F3-4084-9CA5-97BF676392A9}" name="Column3214"/>
    <tableColumn id="3215" xr3:uid="{AE4BF22D-5677-4D8B-B594-46C97103E4B4}" name="Column3215"/>
    <tableColumn id="3216" xr3:uid="{37D387DE-75A0-4E33-8E76-134E934EED3D}" name="Column3216"/>
    <tableColumn id="3217" xr3:uid="{1AF844E3-9887-4CA5-A25E-0054B153BDAA}" name="Column3217"/>
    <tableColumn id="3218" xr3:uid="{A349BAE3-B60E-4DF4-A8A0-09DF26DF2307}" name="Column3218"/>
    <tableColumn id="3219" xr3:uid="{598A1D9F-6C52-417F-89E3-DEEEA4C1AA11}" name="Column3219"/>
    <tableColumn id="3220" xr3:uid="{CD40D8CF-2F44-4420-A958-0F1EDACF78F1}" name="Column3220"/>
    <tableColumn id="3221" xr3:uid="{01640C63-A174-48BF-847E-D23E4EB17CF0}" name="Column3221"/>
    <tableColumn id="3222" xr3:uid="{6DE5B073-62C6-49C2-A1E8-6F1C5802526F}" name="Column3222"/>
    <tableColumn id="3223" xr3:uid="{EEAE5478-85E5-4783-BF29-51CDC78B9230}" name="Column3223"/>
    <tableColumn id="3224" xr3:uid="{CBAF987F-91EE-43E8-BF90-951336BC6573}" name="Column3224"/>
    <tableColumn id="3225" xr3:uid="{6AD5CC8D-6AA9-4852-BA1A-3F88E8722AAE}" name="Column3225"/>
    <tableColumn id="3226" xr3:uid="{184BFB5D-C524-44DF-9BD5-B76699AEEB45}" name="Column3226"/>
    <tableColumn id="3227" xr3:uid="{D48B97B0-3B0B-4D77-9E23-14833FE77110}" name="Column3227"/>
    <tableColumn id="3228" xr3:uid="{EE15475C-177C-4A7D-9166-B24EB2BD4258}" name="Column3228"/>
    <tableColumn id="3229" xr3:uid="{8A578CAB-A554-40F4-AD32-CA25FCE75AC9}" name="Column3229"/>
    <tableColumn id="3230" xr3:uid="{2E7A1CEE-7ED5-44CB-AFD5-EC768DDE8949}" name="Column3230"/>
    <tableColumn id="3231" xr3:uid="{12B2E4E7-2EC8-40A1-BA81-AF64C4FCD2C1}" name="Column3231"/>
    <tableColumn id="3232" xr3:uid="{BF49FAC8-DF62-4FF0-B4D9-A022C8EECEB2}" name="Column3232"/>
    <tableColumn id="3233" xr3:uid="{664A89FE-E8CC-4FD1-A48B-FF8DBB17DFF5}" name="Column3233"/>
    <tableColumn id="3234" xr3:uid="{F099F7C4-1885-4882-84EA-B23BC14EACA0}" name="Column3234"/>
    <tableColumn id="3235" xr3:uid="{458A096C-DEDB-4DA8-8285-2B25F8E0F94C}" name="Column3235"/>
    <tableColumn id="3236" xr3:uid="{C8188100-C304-4026-9F41-A8C9409F0E2A}" name="Column3236"/>
    <tableColumn id="3237" xr3:uid="{6FC53918-D9F4-472C-BCF9-C14DEA099AB3}" name="Column3237"/>
    <tableColumn id="3238" xr3:uid="{77395025-BA87-4142-BCE6-6F27F91D5C1B}" name="Column3238"/>
    <tableColumn id="3239" xr3:uid="{BA98CBEA-9275-45A7-968D-B4F78A069584}" name="Column3239"/>
    <tableColumn id="3240" xr3:uid="{643B318A-828C-4C10-B786-FBECF5CC133E}" name="Column3240"/>
    <tableColumn id="3241" xr3:uid="{92C35A85-4C15-4164-8D25-C44E2498F86B}" name="Column3241"/>
    <tableColumn id="3242" xr3:uid="{18587EEA-41F9-405A-87E4-C0BB6847A8EE}" name="Column3242"/>
    <tableColumn id="3243" xr3:uid="{57758DEE-BE1C-4EBB-B217-12C48FDCAB9F}" name="Column3243"/>
    <tableColumn id="3244" xr3:uid="{CB1B669C-4E92-4EC3-9EBC-465EC20097B4}" name="Column3244"/>
    <tableColumn id="3245" xr3:uid="{16277BAE-8C5D-4311-82A0-13808F8869AB}" name="Column3245"/>
    <tableColumn id="3246" xr3:uid="{9BB7C549-616E-4DE5-8A9C-9030F6670C36}" name="Column3246"/>
    <tableColumn id="3247" xr3:uid="{62333C07-87A5-4E77-B50C-FE8D75DAEB38}" name="Column3247"/>
    <tableColumn id="3248" xr3:uid="{BB6558CF-4D5E-4006-AD51-5F40FF089B1B}" name="Column3248"/>
    <tableColumn id="3249" xr3:uid="{3D753EC6-8B2A-4522-8D03-465A02A99DB4}" name="Column3249"/>
    <tableColumn id="3250" xr3:uid="{FB1AC99B-51D3-4991-94D2-617999333468}" name="Column3250"/>
    <tableColumn id="3251" xr3:uid="{F3A8A68F-37F5-4325-A28F-05E11964D669}" name="Column3251"/>
    <tableColumn id="3252" xr3:uid="{6CA1E3A7-A7E0-417F-B07E-C7C1A12F41AA}" name="Column3252"/>
    <tableColumn id="3253" xr3:uid="{5C3906F6-3331-46A3-9E8A-6F8EE84C4C72}" name="Column3253"/>
    <tableColumn id="3254" xr3:uid="{6EEB9299-B832-4D57-B911-01EED5CCD1E9}" name="Column3254"/>
    <tableColumn id="3255" xr3:uid="{E3A82CEE-4EA4-48E8-A66A-F74873ACB5B2}" name="Column3255"/>
    <tableColumn id="3256" xr3:uid="{27832564-400F-41BD-812C-EC7CA8984EC8}" name="Column3256"/>
    <tableColumn id="3257" xr3:uid="{2B04D9D8-C2AF-4A57-AA57-A59560A462FF}" name="Column3257"/>
    <tableColumn id="3258" xr3:uid="{68B84AD7-E790-4387-BEBE-1F0A782CDF0B}" name="Column3258"/>
    <tableColumn id="3259" xr3:uid="{72A4E6F6-C890-4016-88EF-6B2C0886BD9E}" name="Column3259"/>
    <tableColumn id="3260" xr3:uid="{2EEC29D6-2860-4152-8BBC-B77DFF02750F}" name="Column3260"/>
    <tableColumn id="3261" xr3:uid="{A050E105-8D25-45D8-8345-2467F753F964}" name="Column3261"/>
    <tableColumn id="3262" xr3:uid="{D9D187AD-8B61-4D67-85BD-48C5EA080FBC}" name="Column3262"/>
    <tableColumn id="3263" xr3:uid="{D2BD69CD-ACFD-4C37-A220-DAF16045710A}" name="Column3263"/>
    <tableColumn id="3264" xr3:uid="{7F6E6105-B9C4-4AC6-8392-F4EB679DC886}" name="Column3264"/>
    <tableColumn id="3265" xr3:uid="{B8B3EDB1-2EFE-49A1-B95A-E4B77C5C7D45}" name="Column3265"/>
    <tableColumn id="3266" xr3:uid="{F4687E0E-AB32-4DEA-97D4-837ECB5A91FE}" name="Column3266"/>
    <tableColumn id="3267" xr3:uid="{994B0877-8C10-4A2D-BB94-E9C2E01EA46F}" name="Column3267"/>
    <tableColumn id="3268" xr3:uid="{DE3D1A55-AF30-4533-A7B6-632BDA50D81A}" name="Column3268"/>
    <tableColumn id="3269" xr3:uid="{563C920C-88A2-410C-B02C-6AD21AB7B77B}" name="Column3269"/>
    <tableColumn id="3270" xr3:uid="{05B6346A-9B15-4BA2-9691-08FB1BE07FC9}" name="Column3270"/>
    <tableColumn id="3271" xr3:uid="{A389C930-F108-4E12-AC72-E6A5C5C3E06E}" name="Column3271"/>
    <tableColumn id="3272" xr3:uid="{0B8A1A6A-3100-4D10-AFF8-E0B705EC6BF1}" name="Column3272"/>
    <tableColumn id="3273" xr3:uid="{6983D6C4-2986-45CC-93F3-8D592A1D5C2D}" name="Column3273"/>
    <tableColumn id="3274" xr3:uid="{F64BB051-A2F0-4794-BD74-E070E46AE2BD}" name="Column3274"/>
    <tableColumn id="3275" xr3:uid="{6B6E5B87-4A1D-4DFF-A606-89F255C3F50C}" name="Column3275"/>
    <tableColumn id="3276" xr3:uid="{87AE4CF2-DD9C-4B45-95C3-A9214ABD5655}" name="Column3276"/>
    <tableColumn id="3277" xr3:uid="{8362106B-2453-4000-81A2-1A6D0011AB24}" name="Column3277"/>
    <tableColumn id="3278" xr3:uid="{AC72FE9C-45DD-4853-8523-46CF7D094F8F}" name="Column3278"/>
    <tableColumn id="3279" xr3:uid="{7BC0932B-2A3E-4E66-BCA3-0D4335F6F677}" name="Column3279"/>
    <tableColumn id="3280" xr3:uid="{7842451C-07F8-4189-BA0B-CB93D0648CFC}" name="Column3280"/>
    <tableColumn id="3281" xr3:uid="{1F4D7E1C-676F-463A-886D-8BEA1427AF78}" name="Column3281"/>
    <tableColumn id="3282" xr3:uid="{3676064B-E06B-4C89-BAF7-608C79E91FE6}" name="Column3282"/>
    <tableColumn id="3283" xr3:uid="{AD3995D9-F7A8-411C-873C-95279A89D27D}" name="Column3283"/>
    <tableColumn id="3284" xr3:uid="{7D6EB58E-2911-4AB1-BB83-DEF1B213F006}" name="Column3284"/>
    <tableColumn id="3285" xr3:uid="{4E4A9766-CB14-4DD9-BC2B-F78A4171E83E}" name="Column3285"/>
    <tableColumn id="3286" xr3:uid="{5F8280B6-CE82-46BF-9F36-89DE214F0961}" name="Column3286"/>
    <tableColumn id="3287" xr3:uid="{A18533DE-E7FD-4352-9BEB-FCC5E605B940}" name="Column3287"/>
    <tableColumn id="3288" xr3:uid="{4797EC56-B2B5-4223-A640-F326DD32E292}" name="Column3288"/>
    <tableColumn id="3289" xr3:uid="{D702EFEF-2FDF-4443-9BAE-ECBD29C823EA}" name="Column3289"/>
    <tableColumn id="3290" xr3:uid="{A926226C-DC04-4572-A667-FBCCDAF68FFE}" name="Column3290"/>
    <tableColumn id="3291" xr3:uid="{3BD0D8E1-8939-4854-A0AC-BACC43AAF026}" name="Column3291"/>
    <tableColumn id="3292" xr3:uid="{6526A80F-B0E2-4266-BB29-C9F6DBA1CA52}" name="Column3292"/>
    <tableColumn id="3293" xr3:uid="{0D0C05C1-3B0F-40B2-AF2E-2D483BA69CFA}" name="Column3293"/>
    <tableColumn id="3294" xr3:uid="{C4B3F473-AC79-47E1-A19D-10A20763CE4B}" name="Column3294"/>
    <tableColumn id="3295" xr3:uid="{FA19E30F-B55B-474E-8102-A85B99D1F110}" name="Column3295"/>
    <tableColumn id="3296" xr3:uid="{2808ABA9-C9E9-47F7-B4F9-3CF5C52B222B}" name="Column3296"/>
    <tableColumn id="3297" xr3:uid="{6A021864-E608-4E04-992B-926C389661A9}" name="Column3297"/>
    <tableColumn id="3298" xr3:uid="{9258BBDD-D675-487C-B6B4-64CE9EDD019C}" name="Column3298"/>
    <tableColumn id="3299" xr3:uid="{82CB2B72-375D-4225-B71D-9C7968070649}" name="Column3299"/>
    <tableColumn id="3300" xr3:uid="{E5A09574-8854-4544-B787-332F1427A22C}" name="Column3300"/>
    <tableColumn id="3301" xr3:uid="{581A102C-6E80-4E4E-908F-E9F47F676D03}" name="Column3301"/>
    <tableColumn id="3302" xr3:uid="{F4327430-BD4A-439D-ACA3-81EEBF9DDC3B}" name="Column3302"/>
    <tableColumn id="3303" xr3:uid="{88249277-CE98-4D41-BB64-B4F4781CB498}" name="Column3303"/>
    <tableColumn id="3304" xr3:uid="{93398641-1EE2-4559-B6B8-DC3FFCAA48CB}" name="Column3304"/>
    <tableColumn id="3305" xr3:uid="{D4B57404-918E-45FD-A223-DC9CDAD92D19}" name="Column3305"/>
    <tableColumn id="3306" xr3:uid="{2687E245-7307-4A48-9647-CC72661462F2}" name="Column3306"/>
    <tableColumn id="3307" xr3:uid="{A426CA7F-A8E2-472A-A61D-E027CC33FFC8}" name="Column3307"/>
    <tableColumn id="3308" xr3:uid="{28374348-2CC8-4A5C-A14D-1CF572E9DF36}" name="Column3308"/>
    <tableColumn id="3309" xr3:uid="{DC598CD8-24C2-4E14-908B-9021563974E8}" name="Column3309"/>
    <tableColumn id="3310" xr3:uid="{9625E3AC-A248-43B7-990A-5813FA442CD7}" name="Column3310"/>
    <tableColumn id="3311" xr3:uid="{DFBE4264-E3C4-4A19-BD4C-A3ECACC2C99C}" name="Column3311"/>
    <tableColumn id="3312" xr3:uid="{8A76C696-610B-4140-997F-ED0F9BB5C49F}" name="Column3312"/>
    <tableColumn id="3313" xr3:uid="{22D19746-CA67-4532-AD32-4F542D791566}" name="Column3313"/>
    <tableColumn id="3314" xr3:uid="{90ACF5CB-48D3-414E-9587-45E9199BDAB4}" name="Column3314"/>
    <tableColumn id="3315" xr3:uid="{662D22B0-798A-43C5-A07C-7D2D7D28C0CA}" name="Column3315"/>
    <tableColumn id="3316" xr3:uid="{B500C13D-74E5-4786-B87B-2E4E3B2665A9}" name="Column3316"/>
    <tableColumn id="3317" xr3:uid="{B11418D1-2F2E-4BDD-8C8F-065EB1AE1C74}" name="Column3317"/>
    <tableColumn id="3318" xr3:uid="{BA02273F-DF22-451E-802F-948A50EEDE76}" name="Column3318"/>
    <tableColumn id="3319" xr3:uid="{3A132008-E537-4E25-9159-1D347BDEF800}" name="Column3319"/>
    <tableColumn id="3320" xr3:uid="{B100030F-2527-40A0-9C60-2058603E80AA}" name="Column3320"/>
    <tableColumn id="3321" xr3:uid="{4A06D84B-E188-4EF4-AD70-D131012E6906}" name="Column3321"/>
    <tableColumn id="3322" xr3:uid="{5BF41C47-F3BF-40C5-BBAF-22F0D6D31367}" name="Column3322"/>
    <tableColumn id="3323" xr3:uid="{4F5038C9-66FB-4B0C-BE87-68CBEABB453D}" name="Column3323"/>
    <tableColumn id="3324" xr3:uid="{252FF8A9-A140-4D4C-89AF-2145B5ED1B32}" name="Column3324"/>
    <tableColumn id="3325" xr3:uid="{CA557ED7-236C-40E1-9CC4-FB98E9CD77D7}" name="Column3325"/>
    <tableColumn id="3326" xr3:uid="{A5FB07C6-DC53-4CED-AD15-659B988DE329}" name="Column3326"/>
    <tableColumn id="3327" xr3:uid="{876A418C-CBAE-449D-8A76-56F4706BC99D}" name="Column3327"/>
    <tableColumn id="3328" xr3:uid="{2D91259C-D986-4DEE-A7BA-D8F596027139}" name="Column3328"/>
    <tableColumn id="3329" xr3:uid="{2CDD484B-9A53-43DC-8309-E9D508F2AC7E}" name="Column3329"/>
    <tableColumn id="3330" xr3:uid="{3D0523CD-C9C2-4D01-A044-771AB4BA5C20}" name="Column3330"/>
    <tableColumn id="3331" xr3:uid="{FBAD47F8-B605-4972-B0F5-B2C93FFA2A1D}" name="Column3331"/>
    <tableColumn id="3332" xr3:uid="{2341288E-D9DE-4D20-A81A-A2E7F107CB17}" name="Column3332"/>
    <tableColumn id="3333" xr3:uid="{9C8F2D47-DC3A-41BC-912F-A712E5897B3C}" name="Column3333"/>
    <tableColumn id="3334" xr3:uid="{46767668-8268-4E1B-B2B5-77654F7EC4F2}" name="Column3334"/>
    <tableColumn id="3335" xr3:uid="{52B1EB5F-3273-4668-B942-F8454E664A87}" name="Column3335"/>
    <tableColumn id="3336" xr3:uid="{84ED24F7-2576-47E6-AA81-2C2786971322}" name="Column3336"/>
    <tableColumn id="3337" xr3:uid="{6B272AA2-2752-49D9-9EC9-79ABB4F87461}" name="Column3337"/>
    <tableColumn id="3338" xr3:uid="{EEFFFBC4-45AC-4516-9858-20BC38AAB59F}" name="Column3338"/>
    <tableColumn id="3339" xr3:uid="{9828DA3B-6B15-4173-9F34-4CCBA360F14C}" name="Column3339"/>
    <tableColumn id="3340" xr3:uid="{8E48625D-7BC1-413B-8AC9-238E77A8674A}" name="Column3340"/>
    <tableColumn id="3341" xr3:uid="{54E72CE0-6C5D-4B2A-84CC-F32042652E65}" name="Column3341"/>
    <tableColumn id="3342" xr3:uid="{13E4F65A-CB1E-427B-B8AB-68B0307E31A9}" name="Column3342"/>
    <tableColumn id="3343" xr3:uid="{233F1826-0773-4156-92FA-6D1672F7438A}" name="Column3343"/>
    <tableColumn id="3344" xr3:uid="{DAF0759F-73C6-45B2-BF29-82073D6B8D0C}" name="Column3344"/>
    <tableColumn id="3345" xr3:uid="{7518A954-3595-432B-BB4F-9FFC15FEB9CF}" name="Column3345"/>
    <tableColumn id="3346" xr3:uid="{219AAC99-D8F3-4BF3-9FE4-AFC5975E0879}" name="Column3346"/>
    <tableColumn id="3347" xr3:uid="{51D522A4-1259-42D2-A3F6-2D81AFF38CF5}" name="Column3347"/>
    <tableColumn id="3348" xr3:uid="{1B537ACC-2894-4835-9B8B-4A4175AFA14B}" name="Column3348"/>
    <tableColumn id="3349" xr3:uid="{83CF3BBA-4469-4E4F-A7C7-1B7997F0A1E0}" name="Column3349"/>
    <tableColumn id="3350" xr3:uid="{E543A88A-2598-4CFB-897F-49C60BF7A637}" name="Column3350"/>
    <tableColumn id="3351" xr3:uid="{16699B28-B8AB-4561-9757-C45EB351F5A4}" name="Column3351"/>
    <tableColumn id="3352" xr3:uid="{9EDAAE8A-C458-4D57-94BE-08EBE10BAA70}" name="Column3352"/>
    <tableColumn id="3353" xr3:uid="{43AF733C-2074-46BB-B91C-AB02DB95547D}" name="Column3353"/>
    <tableColumn id="3354" xr3:uid="{BC0B223C-9AFA-431F-B7E5-654E7A92A6B2}" name="Column3354"/>
    <tableColumn id="3355" xr3:uid="{5DB7F422-7B74-4C70-B081-CE08BDA884CD}" name="Column3355"/>
    <tableColumn id="3356" xr3:uid="{E334DE53-4F2C-4255-ACE2-6DF9F7E8E9D7}" name="Column3356"/>
    <tableColumn id="3357" xr3:uid="{109D2580-B9B1-4BD9-B0AF-811184072996}" name="Column3357"/>
    <tableColumn id="3358" xr3:uid="{079086F3-D1B1-46D7-A462-5D04BAC4BA9C}" name="Column3358"/>
    <tableColumn id="3359" xr3:uid="{81AF263B-20EC-476B-863A-04B7D323A8B4}" name="Column3359"/>
    <tableColumn id="3360" xr3:uid="{E3ED702E-1C59-4346-98B3-1E1355604848}" name="Column3360"/>
    <tableColumn id="3361" xr3:uid="{4CEA924C-822C-4AD2-B877-FBE6664D8FC7}" name="Column3361"/>
    <tableColumn id="3362" xr3:uid="{782BD367-2CF6-4503-AE4C-4E09AFA7B1DE}" name="Column3362"/>
    <tableColumn id="3363" xr3:uid="{37F75138-37B5-45A5-A281-9C150968A7F4}" name="Column3363"/>
    <tableColumn id="3364" xr3:uid="{274FDA1B-BC33-4A17-B7E5-53CF2370A478}" name="Column3364"/>
    <tableColumn id="3365" xr3:uid="{6790917D-FF69-4F75-8D94-A4C8BE13B3CB}" name="Column3365"/>
    <tableColumn id="3366" xr3:uid="{F9B6F36C-0533-407F-B392-A0FDDFA00E88}" name="Column3366"/>
    <tableColumn id="3367" xr3:uid="{94D29B8F-137E-4F21-A237-6FDAA4BADB44}" name="Column3367"/>
    <tableColumn id="3368" xr3:uid="{03CB838A-0866-401F-BC46-EB4869A6F42E}" name="Column3368"/>
    <tableColumn id="3369" xr3:uid="{007C9BFB-BA76-4B8C-A224-045E15F4A83B}" name="Column3369"/>
    <tableColumn id="3370" xr3:uid="{50609AE4-3C72-44AF-BAD5-3562C11CC9D5}" name="Column3370"/>
    <tableColumn id="3371" xr3:uid="{CF9D29BC-E6FD-40AB-A5C1-44F5127D10C8}" name="Column3371"/>
    <tableColumn id="3372" xr3:uid="{A9CA7CAD-64AC-40B2-9C33-F708BFF91069}" name="Column3372"/>
    <tableColumn id="3373" xr3:uid="{E8CD9BD5-9060-4C81-BC82-BD7A3F575F48}" name="Column3373"/>
    <tableColumn id="3374" xr3:uid="{1D7A0AC3-38C8-4B83-B732-FFE2A76B4BAD}" name="Column3374"/>
    <tableColumn id="3375" xr3:uid="{EDBAD1A9-8862-4B1B-990A-FC159A9FAF9E}" name="Column3375"/>
    <tableColumn id="3376" xr3:uid="{4C3E8537-3F7C-48B4-BC5D-C31C1DFCFA82}" name="Column3376"/>
    <tableColumn id="3377" xr3:uid="{A304A820-4413-4327-BC98-9B6F867A8EC9}" name="Column3377"/>
    <tableColumn id="3378" xr3:uid="{501221C1-AD49-417C-BC9F-5C12510B3F84}" name="Column3378"/>
    <tableColumn id="3379" xr3:uid="{8A6BAC46-EC83-4505-896D-56CED2F5A03F}" name="Column3379"/>
    <tableColumn id="3380" xr3:uid="{BBDAE10E-A316-4C5C-992E-B1DEEE6AB545}" name="Column3380"/>
    <tableColumn id="3381" xr3:uid="{992C8E8A-8CDB-4888-A647-66BD29D2FA56}" name="Column3381"/>
    <tableColumn id="3382" xr3:uid="{4FF4E601-C344-4A0F-A00C-CD26298DF833}" name="Column3382"/>
    <tableColumn id="3383" xr3:uid="{0037408C-4080-4F51-9146-CEFF72D2C3F9}" name="Column3383"/>
    <tableColumn id="3384" xr3:uid="{FF26759F-4A3C-4521-9FE6-B2F922CA0C31}" name="Column3384"/>
    <tableColumn id="3385" xr3:uid="{AB945737-1F60-4577-BC9B-1FB9D4306857}" name="Column3385"/>
    <tableColumn id="3386" xr3:uid="{F6C55001-7599-4DF5-9ED1-7F088FDFF010}" name="Column3386"/>
    <tableColumn id="3387" xr3:uid="{108E7B86-C993-4C6A-9BD3-583D99DBE029}" name="Column3387"/>
    <tableColumn id="3388" xr3:uid="{BA3A8CED-E0F9-43AA-9D20-5279563FA3D5}" name="Column3388"/>
    <tableColumn id="3389" xr3:uid="{E4F85AED-3151-4B1B-8BB9-E533FA63CAB3}" name="Column3389"/>
    <tableColumn id="3390" xr3:uid="{1EE8DC9A-9D59-4B9B-91B2-E92C1C4D7AD7}" name="Column3390"/>
    <tableColumn id="3391" xr3:uid="{F6863B1E-C71B-4926-878B-F5B3C570A799}" name="Column3391"/>
    <tableColumn id="3392" xr3:uid="{E5F029EB-A48D-4B3E-92E8-CCBC0BA4B6D2}" name="Column3392"/>
    <tableColumn id="3393" xr3:uid="{2D358EFB-E9FE-469D-A736-563E2C3F95B9}" name="Column3393"/>
    <tableColumn id="3394" xr3:uid="{03492107-0740-40D1-AA6B-54D666CF9216}" name="Column3394"/>
    <tableColumn id="3395" xr3:uid="{5F619BAF-E1CF-4031-A465-366355D53941}" name="Column3395"/>
    <tableColumn id="3396" xr3:uid="{ADF312A1-940C-4B57-B093-0C55E5767CF4}" name="Column3396"/>
    <tableColumn id="3397" xr3:uid="{7BDF4991-3397-44BA-AA66-C32A78BAD344}" name="Column3397"/>
    <tableColumn id="3398" xr3:uid="{CF0F1408-19F2-45E2-93A3-985B2D5818B9}" name="Column3398"/>
    <tableColumn id="3399" xr3:uid="{A40DE2A7-EB30-432F-BF46-76C815553B70}" name="Column3399"/>
    <tableColumn id="3400" xr3:uid="{0A4C5B8E-5BEC-4573-B587-8A657C384886}" name="Column3400"/>
    <tableColumn id="3401" xr3:uid="{E867D848-F5C4-4989-BA76-0F7A5F325EDC}" name="Column3401"/>
    <tableColumn id="3402" xr3:uid="{59467935-440B-47F5-B5AA-C792D3A1E9CC}" name="Column3402"/>
    <tableColumn id="3403" xr3:uid="{DDBF5C25-8C75-4AEB-A0D2-7F8C6B9DF33D}" name="Column3403"/>
    <tableColumn id="3404" xr3:uid="{8ACB94E1-7CE5-4758-A3FD-347C05D3EE9E}" name="Column3404"/>
    <tableColumn id="3405" xr3:uid="{29FCF3B2-74D3-4622-81E9-18D8DFBBCF5D}" name="Column3405"/>
    <tableColumn id="3406" xr3:uid="{9CD18295-408F-4E4D-BCBC-89FDFB57050A}" name="Column3406"/>
    <tableColumn id="3407" xr3:uid="{C1C6D88D-2EF1-47DF-825F-1B11DAEAFA0C}" name="Column3407"/>
    <tableColumn id="3408" xr3:uid="{8E27764C-B0FD-4965-A7CE-8D228EC86CFC}" name="Column3408"/>
    <tableColumn id="3409" xr3:uid="{6CE5C394-F016-4686-A2A6-2E59D868F004}" name="Column3409"/>
    <tableColumn id="3410" xr3:uid="{767B2899-6FF7-4997-A726-34E05FFBF8DF}" name="Column3410"/>
    <tableColumn id="3411" xr3:uid="{54B4FA91-E5E6-471A-96FA-61854785D187}" name="Column3411"/>
    <tableColumn id="3412" xr3:uid="{EC5C6A50-E533-421C-9DE6-CD77D4FB7C94}" name="Column3412"/>
    <tableColumn id="3413" xr3:uid="{8B624DFB-46B1-47D9-9AB3-ED5B8525E543}" name="Column3413"/>
    <tableColumn id="3414" xr3:uid="{1C7CDC84-662B-4B2A-B47B-BBFDB0FBC99F}" name="Column3414"/>
    <tableColumn id="3415" xr3:uid="{998510CE-3C18-4AB1-8D65-8D3DCD84BDF7}" name="Column3415"/>
    <tableColumn id="3416" xr3:uid="{7A6E07C7-9C60-41CC-8FCA-A425F1B1AB13}" name="Column3416"/>
    <tableColumn id="3417" xr3:uid="{A8B99C9D-DB02-46A3-B770-4C78086D55D0}" name="Column3417"/>
    <tableColumn id="3418" xr3:uid="{2C1EE4D5-1758-4170-97E0-7E33877EF516}" name="Column3418"/>
    <tableColumn id="3419" xr3:uid="{5F1B6BC6-6D44-48DD-9006-45E5B3FCC634}" name="Column3419"/>
    <tableColumn id="3420" xr3:uid="{7936651A-F3A5-48C2-AB8E-2FD98D7F77C6}" name="Column3420"/>
    <tableColumn id="3421" xr3:uid="{15DE411C-61CE-410B-9951-CE23DDBA866C}" name="Column3421"/>
    <tableColumn id="3422" xr3:uid="{38DE1F56-661B-438C-B313-0FDC9FC8ED63}" name="Column3422"/>
    <tableColumn id="3423" xr3:uid="{2BA163F3-200F-43AB-8C23-4DE6C8539D6A}" name="Column3423"/>
    <tableColumn id="3424" xr3:uid="{17378C36-F651-4AD5-984F-060C6928D271}" name="Column3424"/>
    <tableColumn id="3425" xr3:uid="{52BF74CF-0BA9-4131-9A0A-30EA3302F708}" name="Column3425"/>
    <tableColumn id="3426" xr3:uid="{B2981F4B-9077-47E7-89C5-5EED2710EF99}" name="Column3426"/>
    <tableColumn id="3427" xr3:uid="{A7FBE9CC-E543-4265-95A5-0944AC89BAF5}" name="Column3427"/>
    <tableColumn id="3428" xr3:uid="{5198E2B1-8ACD-4D1A-9E20-D4459FCC4390}" name="Column3428"/>
    <tableColumn id="3429" xr3:uid="{C68502AE-A312-4A57-97CE-061B175F4FAA}" name="Column3429"/>
    <tableColumn id="3430" xr3:uid="{A7C2E19E-C506-4C35-9492-5BC9EB53CCF5}" name="Column3430"/>
    <tableColumn id="3431" xr3:uid="{8737DDCA-6E9C-45EA-B454-9AF07A4A98D5}" name="Column3431"/>
    <tableColumn id="3432" xr3:uid="{5E8EE47A-E1CF-4FAB-85D6-D84A607A64DD}" name="Column3432"/>
    <tableColumn id="3433" xr3:uid="{4203BD99-424F-4174-8995-D5804FD4D41B}" name="Column3433"/>
    <tableColumn id="3434" xr3:uid="{D9256649-7FF3-4272-AC1C-07E2967A6AF0}" name="Column3434"/>
    <tableColumn id="3435" xr3:uid="{62A608B0-2A24-49E9-B205-8F5A35B41CBD}" name="Column3435"/>
    <tableColumn id="3436" xr3:uid="{6DE1931E-4B78-4237-82AE-7A08F99C8E00}" name="Column3436"/>
    <tableColumn id="3437" xr3:uid="{A358B84A-E1D1-4F8B-ADE2-E823B1BFD65A}" name="Column3437"/>
    <tableColumn id="3438" xr3:uid="{021B682C-7AB6-4A9F-B250-2AF14C8A6776}" name="Column3438"/>
    <tableColumn id="3439" xr3:uid="{5BCEF6CB-F2F0-48FB-B067-7B49BB0DBE2C}" name="Column3439"/>
    <tableColumn id="3440" xr3:uid="{4394232E-B947-40F2-B836-B47D55AB5A14}" name="Column3440"/>
    <tableColumn id="3441" xr3:uid="{F0198763-857D-4473-BD6A-D6A949B6207A}" name="Column3441"/>
    <tableColumn id="3442" xr3:uid="{9EB8DE5F-6DFD-445E-A3EE-3F3FDE825787}" name="Column3442"/>
    <tableColumn id="3443" xr3:uid="{C9C142A2-2377-4DD7-889D-837A102093EE}" name="Column3443"/>
    <tableColumn id="3444" xr3:uid="{9C675134-B4B1-4643-81B2-3FEDF8A8231E}" name="Column3444"/>
    <tableColumn id="3445" xr3:uid="{76B94D46-CA78-4AAF-B526-807C7A0578C6}" name="Column3445"/>
    <tableColumn id="3446" xr3:uid="{2477BF0E-010D-4B98-8B19-314D4993C6D9}" name="Column3446"/>
    <tableColumn id="3447" xr3:uid="{57CA07DD-14DA-400E-ADFB-30400F549839}" name="Column3447"/>
    <tableColumn id="3448" xr3:uid="{918CC7C3-7588-4D8E-999D-E2EA44CEEC2B}" name="Column3448"/>
    <tableColumn id="3449" xr3:uid="{19D9071C-8562-4D09-9282-FE424AA3EDF2}" name="Column3449"/>
    <tableColumn id="3450" xr3:uid="{E0417960-900F-4FF2-ACAE-7DA0BF32E047}" name="Column3450"/>
    <tableColumn id="3451" xr3:uid="{A28D7ECA-9318-4EF1-ABDF-3EC55054816A}" name="Column3451"/>
    <tableColumn id="3452" xr3:uid="{8FCD0C1F-2E78-4866-A127-791B8DBCFF6D}" name="Column3452"/>
    <tableColumn id="3453" xr3:uid="{834A9C9B-64E8-4772-A372-5233565C85E5}" name="Column3453"/>
    <tableColumn id="3454" xr3:uid="{BC4D243F-63C3-44F2-922D-8CDCBB9CACA0}" name="Column3454"/>
    <tableColumn id="3455" xr3:uid="{D50E8989-98DE-4739-A3D9-4AE846DB776C}" name="Column3455"/>
    <tableColumn id="3456" xr3:uid="{09566A4A-25F7-407B-9D94-CB8739AC0D15}" name="Column3456"/>
    <tableColumn id="3457" xr3:uid="{20818937-B2B7-4AFF-92F3-43B2594352EF}" name="Column3457"/>
    <tableColumn id="3458" xr3:uid="{A36B7C70-8E06-46EA-BBFC-2FE2D0406A1E}" name="Column3458"/>
    <tableColumn id="3459" xr3:uid="{DDB8DAA8-CC13-43AC-A806-3EAC398FE9CC}" name="Column3459"/>
    <tableColumn id="3460" xr3:uid="{1017C838-90B5-4ED3-9E13-1E97D6E85B2F}" name="Column3460"/>
    <tableColumn id="3461" xr3:uid="{BDE148D8-FEF5-48F1-ABB5-4EF1BAC29DDF}" name="Column3461"/>
    <tableColumn id="3462" xr3:uid="{DE6C1213-FA21-4463-B691-A9E36293D2E5}" name="Column3462"/>
    <tableColumn id="3463" xr3:uid="{328FDF2E-4153-47FB-A51A-B0E8E2A14AB8}" name="Column3463"/>
    <tableColumn id="3464" xr3:uid="{A9EB76D3-004F-4370-829E-8BAB7E78AB4A}" name="Column3464"/>
    <tableColumn id="3465" xr3:uid="{5833F21B-BEB1-4358-981E-AD6975BA9F08}" name="Column3465"/>
    <tableColumn id="3466" xr3:uid="{274F15CE-D3DD-485E-98E6-FDB71EDD82BC}" name="Column3466"/>
    <tableColumn id="3467" xr3:uid="{29365CE3-D1F0-46FF-BCD0-571C7F802D04}" name="Column3467"/>
    <tableColumn id="3468" xr3:uid="{F55422FC-01A2-4E1B-862D-0605D95F7878}" name="Column3468"/>
    <tableColumn id="3469" xr3:uid="{F0AA98E2-712B-49F8-B33C-33EB76BB7F11}" name="Column3469"/>
    <tableColumn id="3470" xr3:uid="{7A2CBE78-ABCA-4A3B-BA5D-B479187D4E69}" name="Column3470"/>
    <tableColumn id="3471" xr3:uid="{5433B784-6367-44D1-91C6-09AC1774C37F}" name="Column3471"/>
    <tableColumn id="3472" xr3:uid="{9B4E3609-D6CC-4E2C-ADBF-41D9940E8B96}" name="Column3472"/>
    <tableColumn id="3473" xr3:uid="{1C8AAE51-C09F-4B8B-8B83-10887909CA79}" name="Column3473"/>
    <tableColumn id="3474" xr3:uid="{B0F08F48-C6CB-48D3-9C06-FB872004926C}" name="Column3474"/>
    <tableColumn id="3475" xr3:uid="{16F8F6EA-4BF3-40B5-9F5B-4F3BC940693F}" name="Column3475"/>
    <tableColumn id="3476" xr3:uid="{7C22C7B3-03D1-499D-B53F-A09CDBFEF4EE}" name="Column3476"/>
    <tableColumn id="3477" xr3:uid="{F35F6D20-68F3-44B7-8377-3D973807CC93}" name="Column3477"/>
    <tableColumn id="3478" xr3:uid="{D19053FA-70E4-4FE3-915A-A816D6944E82}" name="Column3478"/>
    <tableColumn id="3479" xr3:uid="{1A0B65E7-1E7E-4ED6-9BCD-08D9D1470084}" name="Column3479"/>
    <tableColumn id="3480" xr3:uid="{564F3643-F62F-411E-9A6D-74271F8D58C7}" name="Column3480"/>
    <tableColumn id="3481" xr3:uid="{0D9D0204-6F81-4365-9EDE-50DA4BA1B7D6}" name="Column3481"/>
    <tableColumn id="3482" xr3:uid="{8A2F4C25-19A1-4679-B4FC-0D4B97962F67}" name="Column3482"/>
    <tableColumn id="3483" xr3:uid="{C3A7594D-0405-4597-AAB3-60F135C907B2}" name="Column3483"/>
    <tableColumn id="3484" xr3:uid="{98304387-4DD0-4A44-A9CE-1D5CD31E6A5A}" name="Column3484"/>
    <tableColumn id="3485" xr3:uid="{20DCA9E0-D851-4F7F-AF58-38D4DADE371C}" name="Column3485"/>
    <tableColumn id="3486" xr3:uid="{BBE1BE14-B7C0-4AC0-9BB3-3F5B55926C25}" name="Column3486"/>
    <tableColumn id="3487" xr3:uid="{30F63CF7-AFE1-43AD-ACE5-9DC38DF77689}" name="Column3487"/>
    <tableColumn id="3488" xr3:uid="{03A3F2EC-C51B-4F27-B35A-E7252678B79D}" name="Column3488"/>
    <tableColumn id="3489" xr3:uid="{6130E6CB-6043-475F-8576-1BCB563B900E}" name="Column3489"/>
    <tableColumn id="3490" xr3:uid="{F61EF6BD-24A4-48D7-AA4A-4D1D75ECB9B8}" name="Column3490"/>
    <tableColumn id="3491" xr3:uid="{18C38DD5-E813-4C91-B599-EFF534DEB256}" name="Column3491"/>
    <tableColumn id="3492" xr3:uid="{9ED00E2B-CFFD-46F0-8CC6-26DEF2077DDF}" name="Column3492"/>
    <tableColumn id="3493" xr3:uid="{0DFFF4FC-3930-4075-B58D-904D4B150BD8}" name="Column3493"/>
    <tableColumn id="3494" xr3:uid="{FC4E3579-D9F4-4C10-BA38-2A84C8D8C0C2}" name="Column3494"/>
    <tableColumn id="3495" xr3:uid="{CA6718C3-4D38-4756-AC0F-B14492EFA004}" name="Column3495"/>
    <tableColumn id="3496" xr3:uid="{1E54814E-4D20-427C-BE42-2778D892ABEA}" name="Column3496"/>
    <tableColumn id="3497" xr3:uid="{B53688F4-6E4D-4589-9C63-43A087C3869F}" name="Column3497"/>
    <tableColumn id="3498" xr3:uid="{8F0BF60C-A16A-488F-9041-9F678376690A}" name="Column3498"/>
    <tableColumn id="3499" xr3:uid="{3714E3AA-FF6A-4A6B-BD03-D74EE74628BC}" name="Column3499"/>
    <tableColumn id="3500" xr3:uid="{54684684-F38B-43A2-A8E9-ABC5A5E51E70}" name="Column3500"/>
    <tableColumn id="3501" xr3:uid="{14ADFA26-B6DC-4992-9BE2-E751A62A73EE}" name="Column3501"/>
    <tableColumn id="3502" xr3:uid="{A04EC32E-77F4-4325-B2EC-1EFB088FE2F0}" name="Column3502"/>
    <tableColumn id="3503" xr3:uid="{6098BAB9-1D2A-4EB9-8E38-3E4D81912C6B}" name="Column3503"/>
    <tableColumn id="3504" xr3:uid="{6FD37D98-D51E-439C-977F-0B21BFF7325B}" name="Column3504"/>
    <tableColumn id="3505" xr3:uid="{3B02952F-8115-4159-A0FB-FA6D25FB55B9}" name="Column3505"/>
    <tableColumn id="3506" xr3:uid="{E79D0C25-7529-4D00-BFE7-5210BC81E712}" name="Column3506"/>
    <tableColumn id="3507" xr3:uid="{58556B4A-2271-4805-97C6-6B39038E9823}" name="Column3507"/>
    <tableColumn id="3508" xr3:uid="{FEC68298-5B75-46C1-A1AF-DB9741175357}" name="Column3508"/>
    <tableColumn id="3509" xr3:uid="{6B977EF4-E973-4F26-AA26-691B2962DD30}" name="Column3509"/>
    <tableColumn id="3510" xr3:uid="{EA50EE79-4C70-473B-82AA-4C276EBDD28F}" name="Column3510"/>
    <tableColumn id="3511" xr3:uid="{C43D77B7-32D2-4297-83F4-4DFFECE504B7}" name="Column3511"/>
    <tableColumn id="3512" xr3:uid="{3FB1D033-FE40-4EA4-8A6C-9B3268939541}" name="Column3512"/>
    <tableColumn id="3513" xr3:uid="{EDFC3FE6-86AE-45DB-AC39-B9F0A18377B9}" name="Column3513"/>
    <tableColumn id="3514" xr3:uid="{A942F036-7ECE-44D8-8225-0C4FEC6188EC}" name="Column3514"/>
    <tableColumn id="3515" xr3:uid="{A7BE6DD1-D49B-4F70-9BEC-CC219B1C3FC0}" name="Column3515"/>
    <tableColumn id="3516" xr3:uid="{CEC5CADB-BB2D-4546-953D-5EBD2B8A050B}" name="Column3516"/>
    <tableColumn id="3517" xr3:uid="{7E46A96A-CA75-40DD-ADAE-07500EF60BC1}" name="Column3517"/>
    <tableColumn id="3518" xr3:uid="{E938C2DC-F369-4A1F-A1F4-22C34A95323C}" name="Column3518"/>
    <tableColumn id="3519" xr3:uid="{DF65A0C1-CFD0-47D1-936B-63C273F3E0AE}" name="Column3519"/>
    <tableColumn id="3520" xr3:uid="{57468A96-EC06-4D6E-B2E7-84947500BCBC}" name="Column3520"/>
    <tableColumn id="3521" xr3:uid="{EAA8135D-2872-4952-814E-867D4DCA7065}" name="Column3521"/>
    <tableColumn id="3522" xr3:uid="{ED49DC48-83E5-413D-B19E-EF0D4564EFBD}" name="Column3522"/>
    <tableColumn id="3523" xr3:uid="{B5D3650B-9B6B-4B81-BBBC-16A434971A33}" name="Column3523"/>
    <tableColumn id="3524" xr3:uid="{D22ED0D4-A7DA-485B-BFC0-4A7A95C803BC}" name="Column3524"/>
    <tableColumn id="3525" xr3:uid="{81048309-DCB7-4F59-AF2A-72497344E0AE}" name="Column3525"/>
    <tableColumn id="3526" xr3:uid="{2AEE7A5E-FA96-4836-A8F1-4519064616AB}" name="Column3526"/>
    <tableColumn id="3527" xr3:uid="{7A48EB32-9025-41FE-B905-D2CF22042036}" name="Column3527"/>
    <tableColumn id="3528" xr3:uid="{C9184033-85CB-467D-9972-329149723918}" name="Column3528"/>
    <tableColumn id="3529" xr3:uid="{8BE23BE9-CFC2-452B-9D75-A0CC7B642D0B}" name="Column3529"/>
    <tableColumn id="3530" xr3:uid="{14833463-FB3F-46D3-9B0A-BF8C82673DDF}" name="Column3530"/>
    <tableColumn id="3531" xr3:uid="{1A163E23-9C84-429D-AAD4-1E8998CF933C}" name="Column3531"/>
    <tableColumn id="3532" xr3:uid="{A67A5CF1-760C-4FF1-A786-26BA1AF59778}" name="Column3532"/>
    <tableColumn id="3533" xr3:uid="{502D426D-7BB0-4AA8-8A94-72F530FD5016}" name="Column3533"/>
    <tableColumn id="3534" xr3:uid="{ADC76BA4-21A3-4433-87DF-F1450FBC1372}" name="Column3534"/>
    <tableColumn id="3535" xr3:uid="{407DF921-826C-47FB-A5B0-22C666BCA2E1}" name="Column3535"/>
    <tableColumn id="3536" xr3:uid="{1FB8A7E7-6564-457A-B6E5-09A091E0F462}" name="Column3536"/>
    <tableColumn id="3537" xr3:uid="{1D11B384-125D-4D67-B4E4-DE8377C35382}" name="Column3537"/>
    <tableColumn id="3538" xr3:uid="{C5494519-340F-4E02-802B-398970242BE4}" name="Column3538"/>
    <tableColumn id="3539" xr3:uid="{CA6371FD-94CC-4776-836C-59CAB660A13F}" name="Column3539"/>
    <tableColumn id="3540" xr3:uid="{6CDAAC3C-CF3A-433A-B7DF-6F6470CC0EE1}" name="Column3540"/>
    <tableColumn id="3541" xr3:uid="{AE11731D-3EF4-4843-A4DC-DC2DDBB418B6}" name="Column3541"/>
    <tableColumn id="3542" xr3:uid="{08ACA038-0F15-4C69-B102-173F711FDC10}" name="Column3542"/>
    <tableColumn id="3543" xr3:uid="{77965586-6577-4DCF-A8F8-9AB842AFD8C8}" name="Column3543"/>
    <tableColumn id="3544" xr3:uid="{8E17911B-FF83-41ED-9DAB-A2F81EF3365A}" name="Column3544"/>
    <tableColumn id="3545" xr3:uid="{E49E2EFD-3FF4-4A22-85A5-23C6CBF035C9}" name="Column3545"/>
    <tableColumn id="3546" xr3:uid="{0A2185AA-E2D3-47CD-BE05-A53260624165}" name="Column3546"/>
    <tableColumn id="3547" xr3:uid="{E3A397B4-8F8B-464B-B1BA-CF1FFC091AB0}" name="Column3547"/>
    <tableColumn id="3548" xr3:uid="{17E819F8-F813-45A5-BE37-140B1F093C8B}" name="Column3548"/>
    <tableColumn id="3549" xr3:uid="{38F8B9F0-685A-4F7B-8E92-4D45D8FCBBFE}" name="Column3549"/>
    <tableColumn id="3550" xr3:uid="{70D2C80D-28B6-468D-B8B6-7D7E2F9443C4}" name="Column3550"/>
    <tableColumn id="3551" xr3:uid="{3673C8A4-9EBC-45A5-8256-928CB8762F99}" name="Column3551"/>
    <tableColumn id="3552" xr3:uid="{E3EB6577-4015-4DEB-B993-25B0E5C5779D}" name="Column3552"/>
    <tableColumn id="3553" xr3:uid="{42A2E890-2DFB-4908-9BE5-6B42C9908B7A}" name="Column3553"/>
    <tableColumn id="3554" xr3:uid="{596B731B-49EC-4D0C-9986-B33B11C9D506}" name="Column3554"/>
    <tableColumn id="3555" xr3:uid="{1BA55FFF-F332-4FBC-8644-A38B4F5C3CA2}" name="Column3555"/>
    <tableColumn id="3556" xr3:uid="{450DFADD-6846-40AE-8DBC-938D0EDAE2DE}" name="Column3556"/>
    <tableColumn id="3557" xr3:uid="{B32E1E65-945B-4BF2-A64A-2D5B5B053AF6}" name="Column3557"/>
    <tableColumn id="3558" xr3:uid="{A077E07C-75BC-4844-B9ED-0C58D0462981}" name="Column3558"/>
    <tableColumn id="3559" xr3:uid="{9F5392C4-6881-4E57-9229-7AF238C13012}" name="Column3559"/>
    <tableColumn id="3560" xr3:uid="{9E20ADD2-06BE-4463-80D0-B39357411B7C}" name="Column3560"/>
    <tableColumn id="3561" xr3:uid="{AECC05ED-5CE1-4C0E-805F-0BAFEAD03C1B}" name="Column3561"/>
    <tableColumn id="3562" xr3:uid="{8AD58BE3-29BF-4EC6-A706-B42AC883F23B}" name="Column3562"/>
    <tableColumn id="3563" xr3:uid="{419ADB9E-F5D3-425D-9BED-0D66B7F179B8}" name="Column3563"/>
    <tableColumn id="3564" xr3:uid="{85254D8F-5679-4301-94D9-8FC90B20715E}" name="Column3564"/>
    <tableColumn id="3565" xr3:uid="{4EFD380C-F828-4098-AD0C-1DC8E32C8B35}" name="Column3565"/>
    <tableColumn id="3566" xr3:uid="{11476CEF-D057-41BA-9234-2FA2735B9228}" name="Column3566"/>
    <tableColumn id="3567" xr3:uid="{B2EA644B-F949-4B67-8C9F-71C1D8D8F971}" name="Column3567"/>
    <tableColumn id="3568" xr3:uid="{C0F1BC43-3939-4D9F-87C9-921101E499DE}" name="Column3568"/>
    <tableColumn id="3569" xr3:uid="{2A58A1C7-7981-4529-A608-FA71591F7EB6}" name="Column3569"/>
    <tableColumn id="3570" xr3:uid="{F3B8A2AB-9363-4795-821D-8486EB06417A}" name="Column3570"/>
    <tableColumn id="3571" xr3:uid="{5CA1B9AC-4E62-4E6D-89C0-8579F2DE9646}" name="Column3571"/>
    <tableColumn id="3572" xr3:uid="{42DED1AF-AA7C-4964-BF89-AD08FF751299}" name="Column3572"/>
    <tableColumn id="3573" xr3:uid="{3479F27F-1B6A-462D-9D42-B67FC454F2AC}" name="Column3573"/>
    <tableColumn id="3574" xr3:uid="{1A90B1F6-0D03-47EA-B1EE-737AE81B1F07}" name="Column3574"/>
    <tableColumn id="3575" xr3:uid="{9EC4079D-125B-414D-A3B2-17C2C5913291}" name="Column3575"/>
    <tableColumn id="3576" xr3:uid="{9DC16D00-68D0-4C93-913A-FD925C1D3E5C}" name="Column3576"/>
    <tableColumn id="3577" xr3:uid="{FCFACA14-E581-48E3-A21B-FBA054378D1C}" name="Column3577"/>
    <tableColumn id="3578" xr3:uid="{8FA9185E-7870-4542-9A3E-87DDE69294AE}" name="Column3578"/>
    <tableColumn id="3579" xr3:uid="{725516EE-07BD-473E-B6FA-E0564DD1D133}" name="Column3579"/>
    <tableColumn id="3580" xr3:uid="{74FBAC94-C81F-4F21-B9D9-0BA22E975FF4}" name="Column3580"/>
    <tableColumn id="3581" xr3:uid="{0F9A4FF5-F389-4BD3-8373-E329F83FA897}" name="Column3581"/>
    <tableColumn id="3582" xr3:uid="{B1FDF0DA-BB1C-4762-BACE-FB66196F4F77}" name="Column3582"/>
    <tableColumn id="3583" xr3:uid="{66E8D833-1F52-4932-A61A-13FFAF60343D}" name="Column3583"/>
    <tableColumn id="3584" xr3:uid="{9EF4DE96-3353-4266-AC4E-83EF128767FA}" name="Column3584"/>
    <tableColumn id="3585" xr3:uid="{ADA0F216-9179-470E-BCBB-04007F72C3E2}" name="Column3585"/>
    <tableColumn id="3586" xr3:uid="{DE6782AA-6C28-4360-BF8D-B09E5509E364}" name="Column3586"/>
    <tableColumn id="3587" xr3:uid="{43CC79CB-A3F3-41AD-A590-2737E2C6615E}" name="Column3587"/>
    <tableColumn id="3588" xr3:uid="{D8EB80F5-DEB3-4089-A270-36BCC8585421}" name="Column3588"/>
    <tableColumn id="3589" xr3:uid="{963F55DC-56E0-4BDB-9C49-090F015757E3}" name="Column3589"/>
    <tableColumn id="3590" xr3:uid="{870989A2-B234-4A04-8436-7721F4AB60CF}" name="Column3590"/>
    <tableColumn id="3591" xr3:uid="{46B87878-276F-477C-9910-9FF279FC569D}" name="Column3591"/>
    <tableColumn id="3592" xr3:uid="{06149C6F-6F4B-4CBA-B1D4-C08722E30E86}" name="Column3592"/>
    <tableColumn id="3593" xr3:uid="{5411AC7A-C035-43D4-B801-523DC036CAF3}" name="Column3593"/>
    <tableColumn id="3594" xr3:uid="{275A45EC-9DFA-4970-A862-C906FDF60475}" name="Column3594"/>
    <tableColumn id="3595" xr3:uid="{2721C184-8CA9-4230-B2FE-0B45703674B9}" name="Column3595"/>
    <tableColumn id="3596" xr3:uid="{C129E620-FDC2-4BBD-B118-85AA08BEC568}" name="Column3596"/>
    <tableColumn id="3597" xr3:uid="{18C9741A-D3F2-441D-BE9F-BE7AD0B3DB4A}" name="Column3597"/>
    <tableColumn id="3598" xr3:uid="{3AA0C76B-8A8E-4FFC-A078-E65D45CC3CD9}" name="Column3598"/>
    <tableColumn id="3599" xr3:uid="{95E57CA0-0AE9-49D4-8381-F93B0CF258ED}" name="Column3599"/>
    <tableColumn id="3600" xr3:uid="{97CB1FBD-0F12-4BB7-8E17-23A74C40B022}" name="Column3600"/>
    <tableColumn id="3601" xr3:uid="{CB452326-12CB-4CA4-98DE-441F68DBD366}" name="Column3601"/>
    <tableColumn id="3602" xr3:uid="{138D0024-15F2-4C9D-958A-B0706ED4072D}" name="Column3602"/>
    <tableColumn id="3603" xr3:uid="{513D4F00-AF72-4203-A16C-3CCE52F22D49}" name="Column3603"/>
    <tableColumn id="3604" xr3:uid="{673EB90E-0E10-4A3C-9194-20C02B0522A8}" name="Column3604"/>
    <tableColumn id="3605" xr3:uid="{8E0354DF-2E44-4272-8469-BB8FAA394A2F}" name="Column3605"/>
    <tableColumn id="3606" xr3:uid="{C4768154-4CA2-44A7-BD83-ED986E402C9F}" name="Column3606"/>
    <tableColumn id="3607" xr3:uid="{EBE3C2E5-E08E-4545-A295-2B8D5B38FC68}" name="Column3607"/>
    <tableColumn id="3608" xr3:uid="{D58300EA-0101-4B37-99C1-6FEBB12418E1}" name="Column3608"/>
    <tableColumn id="3609" xr3:uid="{DC972B22-A8B5-4115-BE67-9D80B7B1F8CB}" name="Column3609"/>
    <tableColumn id="3610" xr3:uid="{B0A0E5B8-FF74-4F23-BDE5-2E66BAE77FAA}" name="Column3610"/>
    <tableColumn id="3611" xr3:uid="{1D31C9B9-3B86-46CF-A759-45A849943062}" name="Column3611"/>
    <tableColumn id="3612" xr3:uid="{559A6D0E-743E-4470-A984-C154E4851C2B}" name="Column3612"/>
    <tableColumn id="3613" xr3:uid="{90515ABA-A1EF-4247-91F2-B0066B6668E1}" name="Column3613"/>
    <tableColumn id="3614" xr3:uid="{4D409F87-64FC-4F00-8E61-06EA00EB334F}" name="Column3614"/>
    <tableColumn id="3615" xr3:uid="{D5335E0B-FB61-48AE-B139-F9BB702FF49B}" name="Column3615"/>
    <tableColumn id="3616" xr3:uid="{0E83764E-C430-4CE7-BAE2-2B11F67182DD}" name="Column3616"/>
    <tableColumn id="3617" xr3:uid="{5876DA95-4F4E-44ED-B13A-5FBEEB07A0A3}" name="Column3617"/>
    <tableColumn id="3618" xr3:uid="{7144992B-F104-4C37-A6C5-5C3077DE783A}" name="Column3618"/>
    <tableColumn id="3619" xr3:uid="{2CB24A75-EFF1-4FE3-A805-AA07721C6897}" name="Column3619"/>
    <tableColumn id="3620" xr3:uid="{5034C62E-0992-4A65-BEDA-B47A443BB2F0}" name="Column3620"/>
    <tableColumn id="3621" xr3:uid="{FA73CA8E-FC30-49B2-B7CC-AE6CF74C38AE}" name="Column3621"/>
    <tableColumn id="3622" xr3:uid="{5DFA5018-D6DE-4182-AFE6-0B06ED9396D4}" name="Column3622"/>
    <tableColumn id="3623" xr3:uid="{101B8047-6244-4F55-9A67-C700F820160F}" name="Column3623"/>
    <tableColumn id="3624" xr3:uid="{E2D7C478-1179-4F45-94EF-39EE318619F3}" name="Column3624"/>
    <tableColumn id="3625" xr3:uid="{AC57EEC8-7142-4244-9FE7-10E70B2B0356}" name="Column3625"/>
    <tableColumn id="3626" xr3:uid="{885529F5-2722-4D3A-85E9-185B275BFFD3}" name="Column3626"/>
    <tableColumn id="3627" xr3:uid="{E0CF518D-7BB7-4E03-8EB9-B806C2F29678}" name="Column3627"/>
    <tableColumn id="3628" xr3:uid="{DEA5C0C8-2E53-492D-812B-B3F5FA4052A4}" name="Column3628"/>
    <tableColumn id="3629" xr3:uid="{4F019EF7-E5A3-451F-A583-B655C0E74996}" name="Column3629"/>
    <tableColumn id="3630" xr3:uid="{30E5C0D4-3E9F-4369-8A8E-F3909DC9490F}" name="Column3630"/>
    <tableColumn id="3631" xr3:uid="{139523DE-5D16-4F01-B934-1F7BF7F4EC8C}" name="Column3631"/>
    <tableColumn id="3632" xr3:uid="{F9714498-215E-44AF-9E86-9AA1358B4D30}" name="Column3632"/>
    <tableColumn id="3633" xr3:uid="{EEEE3A0A-375D-488A-B7BC-0D60506C90CE}" name="Column3633"/>
    <tableColumn id="3634" xr3:uid="{87D0583A-9FD3-4BD9-B98F-C064C9918EA7}" name="Column3634"/>
    <tableColumn id="3635" xr3:uid="{6EE6C0F3-5239-41CC-8E6F-8357C1B6A086}" name="Column3635"/>
    <tableColumn id="3636" xr3:uid="{9474A679-A895-4BC5-9E42-8EF3EE864DF9}" name="Column3636"/>
    <tableColumn id="3637" xr3:uid="{BB331F8F-CF3A-4F1D-A046-B9CFA7782A60}" name="Column3637"/>
    <tableColumn id="3638" xr3:uid="{10216F3F-98C3-48DD-8804-88A308EDC697}" name="Column3638"/>
    <tableColumn id="3639" xr3:uid="{1A25EDBC-5C3D-4F17-AADD-5D998D2FA300}" name="Column3639"/>
    <tableColumn id="3640" xr3:uid="{52EBA699-148A-426A-B36D-CD98ABEAFFD2}" name="Column3640"/>
    <tableColumn id="3641" xr3:uid="{1A78F30E-7DCC-460D-950E-6330E30A3465}" name="Column3641"/>
    <tableColumn id="3642" xr3:uid="{41FE5F92-D75C-4B2C-B5DD-BC819FFBEA63}" name="Column3642"/>
    <tableColumn id="3643" xr3:uid="{2BDCFD64-7209-43C8-85BF-394A18672B5F}" name="Column3643"/>
    <tableColumn id="3644" xr3:uid="{A630DD67-E487-462E-A50C-EF589CADAAC6}" name="Column3644"/>
    <tableColumn id="3645" xr3:uid="{E3606B9D-4A6A-4662-B4DE-35FF32102467}" name="Column3645"/>
    <tableColumn id="3646" xr3:uid="{D1DF2B70-F02B-45B0-9B26-3A70E0C9A82E}" name="Column3646"/>
    <tableColumn id="3647" xr3:uid="{71A9C67B-F80F-421C-9E16-2C8725DC80BF}" name="Column3647"/>
    <tableColumn id="3648" xr3:uid="{BA4F8D4B-CF70-4352-9E96-81C93D1BE5D6}" name="Column3648"/>
    <tableColumn id="3649" xr3:uid="{78AD6C3A-AA42-407C-BD1F-4FAB10F35110}" name="Column3649"/>
    <tableColumn id="3650" xr3:uid="{B45C45EA-98D6-41A2-AA1A-52E44263D5C0}" name="Column3650"/>
    <tableColumn id="3651" xr3:uid="{11910B71-5289-4664-A13F-CDBCE4D39EE1}" name="Column3651"/>
    <tableColumn id="3652" xr3:uid="{58E3CBD2-826F-4E94-8811-6DA94F6844D5}" name="Column3652"/>
    <tableColumn id="3653" xr3:uid="{F93CA561-4A9D-47CB-9C9E-D4A398F78E54}" name="Column3653"/>
    <tableColumn id="3654" xr3:uid="{567140F3-97D8-48F9-9407-B6416DCD6436}" name="Column3654"/>
    <tableColumn id="3655" xr3:uid="{39144D84-4D92-4C40-B0DB-A68758E73E70}" name="Column3655"/>
    <tableColumn id="3656" xr3:uid="{8B50F6E7-0287-4111-9B2F-7B5A3B38E023}" name="Column3656"/>
    <tableColumn id="3657" xr3:uid="{CE29D67B-DBAC-41AB-A8CF-5DEE76EE9A69}" name="Column3657"/>
    <tableColumn id="3658" xr3:uid="{B15DD157-0BB6-4BAB-8C1B-12B0CD134558}" name="Column3658"/>
    <tableColumn id="3659" xr3:uid="{F0CF3313-AC22-4488-9D74-068079E95212}" name="Column3659"/>
    <tableColumn id="3660" xr3:uid="{D3E95852-0B57-412A-B9E1-3D21F33C969E}" name="Column3660"/>
    <tableColumn id="3661" xr3:uid="{74E46BF5-4111-4491-978D-6C708CF85AE9}" name="Column3661"/>
    <tableColumn id="3662" xr3:uid="{A2085515-B917-407F-B886-1DA7F67EBFCE}" name="Column3662"/>
    <tableColumn id="3663" xr3:uid="{9ACDF277-DD8C-4CAB-BE1F-FC4199313278}" name="Column3663"/>
    <tableColumn id="3664" xr3:uid="{BD992052-05BD-497E-8260-CEFD4919F1FE}" name="Column3664"/>
    <tableColumn id="3665" xr3:uid="{C7EED6A9-CBAB-4C6B-9D6A-24F3604DFB12}" name="Column3665"/>
    <tableColumn id="3666" xr3:uid="{9078C390-BE59-4D04-8634-61E25AACED31}" name="Column3666"/>
    <tableColumn id="3667" xr3:uid="{1956285A-8C7A-4050-B74E-36233197C5DA}" name="Column3667"/>
    <tableColumn id="3668" xr3:uid="{58DCD6D6-6C60-45B2-AA4D-AB96BD366446}" name="Column3668"/>
    <tableColumn id="3669" xr3:uid="{065CB757-2175-453B-91F8-238CB66AB856}" name="Column3669"/>
    <tableColumn id="3670" xr3:uid="{89B66B3D-6A5A-4B01-ACF5-F8654438DFC3}" name="Column3670"/>
    <tableColumn id="3671" xr3:uid="{A1E412E7-D403-4F76-B918-E52407E59C96}" name="Column3671"/>
    <tableColumn id="3672" xr3:uid="{4AB03B86-A7E2-4953-AD96-4E91313FC65B}" name="Column3672"/>
    <tableColumn id="3673" xr3:uid="{D8D1DC9C-16E7-4DF0-9091-A41EA7B93AC0}" name="Column3673"/>
    <tableColumn id="3674" xr3:uid="{43B54722-13F1-444D-BDBF-FB26F4EA5408}" name="Column3674"/>
    <tableColumn id="3675" xr3:uid="{28628914-4A44-472E-9F7F-2A4FBAF9B1E8}" name="Column3675"/>
    <tableColumn id="3676" xr3:uid="{0ECE1CE1-2331-49AF-A7CF-43F234F5FE5A}" name="Column3676"/>
    <tableColumn id="3677" xr3:uid="{8E6EC12C-BDE6-4DB9-BDC3-37CCD937D8C5}" name="Column3677"/>
    <tableColumn id="3678" xr3:uid="{50ABEA64-FE25-40DF-B2C1-C3AFFD1B93AB}" name="Column3678"/>
    <tableColumn id="3679" xr3:uid="{DE3869C6-A6D6-4935-8FD1-6789A8CF1657}" name="Column3679"/>
    <tableColumn id="3680" xr3:uid="{D5FE9F30-1F1C-4B18-9D8F-D7520D98318C}" name="Column3680"/>
    <tableColumn id="3681" xr3:uid="{936C494E-42A8-40C9-86C2-463181A3D196}" name="Column3681"/>
    <tableColumn id="3682" xr3:uid="{C05A6420-F159-467B-8976-A701D14606F5}" name="Column3682"/>
    <tableColumn id="3683" xr3:uid="{3F25C872-2575-4F6A-B09B-5A9D334AD6F3}" name="Column3683"/>
    <tableColumn id="3684" xr3:uid="{17033BF1-2837-4CDF-936E-AA1E7605BDFE}" name="Column3684"/>
    <tableColumn id="3685" xr3:uid="{62EB4494-B38C-4742-8F1E-E2D8518D46E9}" name="Column3685"/>
    <tableColumn id="3686" xr3:uid="{D8C8B7AB-A7AE-4297-BCC7-7AF41EA2D80E}" name="Column3686"/>
    <tableColumn id="3687" xr3:uid="{AE221752-0513-4A29-A9F7-C82850B24E3C}" name="Column3687"/>
    <tableColumn id="3688" xr3:uid="{FA815284-EB64-457D-93FC-D2413D9FD5AA}" name="Column3688"/>
    <tableColumn id="3689" xr3:uid="{F4411F69-6740-4A3D-8543-BD5E5CC07823}" name="Column3689"/>
    <tableColumn id="3690" xr3:uid="{F8136534-283B-4703-9FE8-BF04164EFF51}" name="Column3690"/>
    <tableColumn id="3691" xr3:uid="{B6C76D89-6F55-4529-AC2C-6C528F3FC6DB}" name="Column3691"/>
    <tableColumn id="3692" xr3:uid="{9DDA1289-4DCA-4DF9-9A85-6016DA354ABB}" name="Column3692"/>
    <tableColumn id="3693" xr3:uid="{4D11E5FC-D033-45C2-81A4-10B3EEAAEE88}" name="Column3693"/>
    <tableColumn id="3694" xr3:uid="{02FB8F70-CBF0-4C79-A704-887C18773B77}" name="Column3694"/>
    <tableColumn id="3695" xr3:uid="{F739E5CA-E4B5-4C2D-8387-AE603D651686}" name="Column3695"/>
    <tableColumn id="3696" xr3:uid="{E7C928E6-241A-4CE1-884F-BECD5171A0A7}" name="Column3696"/>
    <tableColumn id="3697" xr3:uid="{23CDC0B4-512A-46EC-966E-EC6A9391F9C0}" name="Column3697"/>
    <tableColumn id="3698" xr3:uid="{86572690-F7D6-4489-A2ED-63ABA69909B1}" name="Column3698"/>
    <tableColumn id="3699" xr3:uid="{D6A30654-A4A7-4A9B-A7B9-31A4CA73BC85}" name="Column3699"/>
    <tableColumn id="3700" xr3:uid="{5FBACDDE-2208-43AE-9BB2-BB96C8BDC2B1}" name="Column3700"/>
    <tableColumn id="3701" xr3:uid="{23B503B6-18EE-4CCD-BE1C-6D0DC5480DBC}" name="Column3701"/>
    <tableColumn id="3702" xr3:uid="{C675E657-6D05-4B22-ACB8-64DFB0EEEFA7}" name="Column3702"/>
    <tableColumn id="3703" xr3:uid="{898F3245-E7DA-44CF-9D33-67CB39090A3A}" name="Column3703"/>
    <tableColumn id="3704" xr3:uid="{31113A99-6E6F-4E47-A583-C555DF93DDFF}" name="Column3704"/>
    <tableColumn id="3705" xr3:uid="{E0548FC3-B42D-4A2D-9050-4247A52CF6E3}" name="Column3705"/>
    <tableColumn id="3706" xr3:uid="{519A53E6-B338-4648-ADF3-55E1ABF38CB4}" name="Column3706"/>
    <tableColumn id="3707" xr3:uid="{F94CE7E2-5824-4C64-91DE-B2F7697CEAC6}" name="Column3707"/>
    <tableColumn id="3708" xr3:uid="{A87308A2-DACF-4A73-B34A-3C2613F0F183}" name="Column3708"/>
    <tableColumn id="3709" xr3:uid="{BEB40F23-A90F-4BEF-9D8C-A79CC70FB97D}" name="Column3709"/>
    <tableColumn id="3710" xr3:uid="{3A7A343F-865A-4448-AD95-41AA3E5144B4}" name="Column3710"/>
    <tableColumn id="3711" xr3:uid="{BC536121-CF33-4163-8FF2-E39D2993784D}" name="Column3711"/>
    <tableColumn id="3712" xr3:uid="{2C6CE0F9-02ED-4CE6-A3FB-2D0679023A55}" name="Column3712"/>
    <tableColumn id="3713" xr3:uid="{BF799975-44B1-4686-8059-BA6A597DB437}" name="Column3713"/>
    <tableColumn id="3714" xr3:uid="{F54BBD81-56C1-455B-91AC-E819BE1BBEA6}" name="Column3714"/>
    <tableColumn id="3715" xr3:uid="{C86A2D20-3AEA-4631-A3B5-68F0215D9E73}" name="Column3715"/>
    <tableColumn id="3716" xr3:uid="{5E057FA0-A17F-46E2-9BBE-0CC4389E30B2}" name="Column3716"/>
    <tableColumn id="3717" xr3:uid="{2B8416ED-3D67-4566-82BA-6235CE69B343}" name="Column3717"/>
    <tableColumn id="3718" xr3:uid="{B22CD0FB-9197-4D28-9FFC-F9C1CBAD4A82}" name="Column3718"/>
    <tableColumn id="3719" xr3:uid="{A2757E28-9377-4F23-8B7B-FB8F25918CE2}" name="Column3719"/>
    <tableColumn id="3720" xr3:uid="{9251D9D0-8354-4EB0-9779-3C571D209084}" name="Column3720"/>
    <tableColumn id="3721" xr3:uid="{434DD30B-FE4B-4381-8E8F-C32B9C2B2BB1}" name="Column3721"/>
    <tableColumn id="3722" xr3:uid="{23B04D02-D35D-49A1-AF2C-A76CA391C5CB}" name="Column3722"/>
    <tableColumn id="3723" xr3:uid="{377DCADA-6C4A-4614-BB9F-D96AA2CE8BEE}" name="Column3723"/>
    <tableColumn id="3724" xr3:uid="{FB70AAA2-4CBC-4C07-A0BF-519D6E385EE9}" name="Column3724"/>
    <tableColumn id="3725" xr3:uid="{140AF770-685E-4C49-859E-8ABA9EF502E9}" name="Column3725"/>
    <tableColumn id="3726" xr3:uid="{EB1BD467-81D6-487F-8C11-794C02811B34}" name="Column3726"/>
    <tableColumn id="3727" xr3:uid="{D5BEBA2A-C8A4-4C12-9DE5-679F2EC1D32D}" name="Column3727"/>
    <tableColumn id="3728" xr3:uid="{AD86AF70-4984-42C3-A6F8-F12633D86FE0}" name="Column3728"/>
    <tableColumn id="3729" xr3:uid="{566C95EA-1CEC-4F56-8811-922EE7A775FC}" name="Column3729"/>
    <tableColumn id="3730" xr3:uid="{FCCBE709-E8AC-4D42-870C-2BF798891A9B}" name="Column3730"/>
    <tableColumn id="3731" xr3:uid="{C05E35CD-AFED-49CE-8794-9EA378D14614}" name="Column3731"/>
    <tableColumn id="3732" xr3:uid="{C5C96BFE-66FE-4A92-ACE8-8B6C4C6B139E}" name="Column3732"/>
    <tableColumn id="3733" xr3:uid="{4E6C8E6D-BD1E-47E9-ABFD-36CC14F4AE5C}" name="Column3733"/>
    <tableColumn id="3734" xr3:uid="{9E027E01-F34A-44D4-B49B-BE51EA8FD52B}" name="Column3734"/>
    <tableColumn id="3735" xr3:uid="{2894F51F-96CE-4823-8868-70014200AA9F}" name="Column3735"/>
    <tableColumn id="3736" xr3:uid="{6CDD4F71-C00F-4863-8E55-BA88D5F09942}" name="Column3736"/>
    <tableColumn id="3737" xr3:uid="{A997E925-A1D5-4606-874C-5518D5D5519E}" name="Column3737"/>
    <tableColumn id="3738" xr3:uid="{AE7D1080-8335-4ECF-A1FA-12ADF114B3AB}" name="Column3738"/>
    <tableColumn id="3739" xr3:uid="{1ABB0683-FD78-4AD9-B872-0DCD79E074EA}" name="Column3739"/>
    <tableColumn id="3740" xr3:uid="{E7FA3483-7C5A-4331-B6E7-5944400356AF}" name="Column3740"/>
    <tableColumn id="3741" xr3:uid="{7A01AE6C-2374-4D13-81E4-4DC31B9CBCB0}" name="Column3741"/>
    <tableColumn id="3742" xr3:uid="{8741EC4B-1AF4-41C2-8473-B0DCBA22CA21}" name="Column3742"/>
    <tableColumn id="3743" xr3:uid="{A51884B3-9526-499D-A194-54A6F414AC0A}" name="Column3743"/>
    <tableColumn id="3744" xr3:uid="{6C2C9330-BEC4-4F08-B154-3CE8FF3476BF}" name="Column3744"/>
    <tableColumn id="3745" xr3:uid="{7A39FC15-00FC-4BD7-9E5D-79F6D1AFBA93}" name="Column3745"/>
    <tableColumn id="3746" xr3:uid="{753CCBED-A720-4781-BBED-0CC08E3DE02F}" name="Column3746"/>
    <tableColumn id="3747" xr3:uid="{A06ADCC6-3FBA-4F17-8D8D-867B85CDFD5D}" name="Column3747"/>
    <tableColumn id="3748" xr3:uid="{9B2D0570-F95B-46F3-AD86-6AC12B1BF2D7}" name="Column3748"/>
    <tableColumn id="3749" xr3:uid="{30E17AF1-40F5-4951-8326-A95DAFBC7EDA}" name="Column3749"/>
    <tableColumn id="3750" xr3:uid="{6C65028F-8E62-4ECB-8731-89F8949790D0}" name="Column3750"/>
    <tableColumn id="3751" xr3:uid="{A4005D16-5813-4C24-8092-A15FA35F02EF}" name="Column3751"/>
    <tableColumn id="3752" xr3:uid="{5D69594E-87EA-4CD6-AAB1-4BC567CFA381}" name="Column3752"/>
    <tableColumn id="3753" xr3:uid="{C13A194E-34C6-4725-B7B4-290CD5A385B6}" name="Column3753"/>
    <tableColumn id="3754" xr3:uid="{1F693B6B-0084-4A8F-80FD-8AF43C1D5700}" name="Column3754"/>
    <tableColumn id="3755" xr3:uid="{FC8C88E4-0842-4E8C-9457-DC3F89DA980A}" name="Column3755"/>
    <tableColumn id="3756" xr3:uid="{699372AB-D929-4452-A11F-C6F79E11BC89}" name="Column3756"/>
    <tableColumn id="3757" xr3:uid="{C9E7C387-665C-48C8-ACBF-C1AD14F5E409}" name="Column3757"/>
    <tableColumn id="3758" xr3:uid="{BCFB2BCB-AD5F-4243-9005-5EDAB732146C}" name="Column3758"/>
    <tableColumn id="3759" xr3:uid="{BCFBAFBE-9DDB-4C8E-9538-D88431D368D3}" name="Column3759"/>
    <tableColumn id="3760" xr3:uid="{14F27AE6-81DF-4C5D-ADC8-92FA9AC94C84}" name="Column3760"/>
    <tableColumn id="3761" xr3:uid="{E1DDC389-A046-483E-8FC5-7CFB9EF5F1A0}" name="Column3761"/>
    <tableColumn id="3762" xr3:uid="{D97B0D55-39BC-4309-B9EB-CB22185FE677}" name="Column3762"/>
    <tableColumn id="3763" xr3:uid="{CEA667B3-0EE5-4A74-B1F7-31F5CC270D19}" name="Column3763"/>
    <tableColumn id="3764" xr3:uid="{F5318E82-0C50-4311-AB63-DEA65E53691F}" name="Column3764"/>
    <tableColumn id="3765" xr3:uid="{481DE2F7-A655-4A49-92FA-7FFDD58FC93D}" name="Column3765"/>
    <tableColumn id="3766" xr3:uid="{F7C55C64-BFBB-44EE-9744-15F43DA9030E}" name="Column3766"/>
    <tableColumn id="3767" xr3:uid="{D7A647A8-B9F1-40C4-97AD-3C1ABF05A038}" name="Column3767"/>
    <tableColumn id="3768" xr3:uid="{62904E48-B898-4F55-B21D-EFE0EA0F07D0}" name="Column3768"/>
    <tableColumn id="3769" xr3:uid="{297705F2-11F0-4525-AD12-2BED37109E49}" name="Column3769"/>
    <tableColumn id="3770" xr3:uid="{8A1B9496-9D6A-4373-8DD0-7D9164CCECB9}" name="Column3770"/>
    <tableColumn id="3771" xr3:uid="{211D0297-BE61-4DF5-8FE5-65654ECA2F2A}" name="Column3771"/>
    <tableColumn id="3772" xr3:uid="{7D651290-E484-4D11-9E91-E5728D53D148}" name="Column3772"/>
    <tableColumn id="3773" xr3:uid="{171793F4-451F-46F0-93D6-752C7D00BD5D}" name="Column3773"/>
    <tableColumn id="3774" xr3:uid="{CB7DF8E6-292C-42DA-9AC3-F6E3ED64FFFF}" name="Column3774"/>
    <tableColumn id="3775" xr3:uid="{8AA82436-049B-43D9-ADF1-46D0F5592077}" name="Column3775"/>
    <tableColumn id="3776" xr3:uid="{FD79D682-F550-47FF-A6B9-02021B93BA29}" name="Column3776"/>
    <tableColumn id="3777" xr3:uid="{ADD105FB-4EE7-4A52-A7C5-7478EE010D88}" name="Column3777"/>
    <tableColumn id="3778" xr3:uid="{6D0B2E9C-AA24-46B1-9E81-172DA7D217A7}" name="Column3778"/>
    <tableColumn id="3779" xr3:uid="{9784E3ED-E63F-4142-912E-A6CF9F68FA50}" name="Column3779"/>
    <tableColumn id="3780" xr3:uid="{F5F2B8B1-6101-4012-B13F-6176880395C3}" name="Column3780"/>
    <tableColumn id="3781" xr3:uid="{B525A058-F614-4AED-A568-130B7671D484}" name="Column3781"/>
    <tableColumn id="3782" xr3:uid="{48F895FB-B7AC-4C18-A6CA-C802F006733A}" name="Column3782"/>
    <tableColumn id="3783" xr3:uid="{D4C80B7E-A788-4AC0-B74D-B1A610230DE9}" name="Column3783"/>
    <tableColumn id="3784" xr3:uid="{DF81E45C-DF6E-4447-8FB4-7F7C5B32A24A}" name="Column3784"/>
    <tableColumn id="3785" xr3:uid="{6C9E9EDB-BF2D-4DB6-8AF5-FE5DE8E7F38A}" name="Column3785"/>
    <tableColumn id="3786" xr3:uid="{88AF67D4-6D38-4102-A44D-034C8FE693EA}" name="Column3786"/>
    <tableColumn id="3787" xr3:uid="{35C1F676-5C23-49AE-BDED-DAD550065403}" name="Column3787"/>
    <tableColumn id="3788" xr3:uid="{EED25F58-FBAB-4F96-86BC-86E6452931AF}" name="Column3788"/>
    <tableColumn id="3789" xr3:uid="{8E7FDA60-3E02-430F-A842-179B9CD32676}" name="Column3789"/>
    <tableColumn id="3790" xr3:uid="{238E0DC7-37DB-4A7D-B44E-CD706569F4AA}" name="Column3790"/>
    <tableColumn id="3791" xr3:uid="{011C9A9F-F3FB-4153-88E3-959EC2ADA114}" name="Column3791"/>
    <tableColumn id="3792" xr3:uid="{B6538D01-7FCD-4B50-A5B5-24875EE86684}" name="Column3792"/>
    <tableColumn id="3793" xr3:uid="{720E0205-9B38-475D-9025-8BA3987ECFFB}" name="Column3793"/>
    <tableColumn id="3794" xr3:uid="{17E12577-01E4-4ECA-94CE-868BA87A4DB6}" name="Column3794"/>
    <tableColumn id="3795" xr3:uid="{A4F81BAC-588F-4DFC-8A15-92C56A8C6B31}" name="Column3795"/>
    <tableColumn id="3796" xr3:uid="{B3FD89B2-5A78-42EA-8198-60270CE71ECE}" name="Column3796"/>
    <tableColumn id="3797" xr3:uid="{F6295D49-869A-484A-9BC6-AE572254601C}" name="Column3797"/>
    <tableColumn id="3798" xr3:uid="{9834A8C1-957A-4074-A98C-9FAFA4CDF2FC}" name="Column3798"/>
    <tableColumn id="3799" xr3:uid="{7115AEEB-32FD-46F0-94B7-0833AE2F9089}" name="Column3799"/>
    <tableColumn id="3800" xr3:uid="{32F880F6-7F73-4D90-8BF6-1E160358A3D9}" name="Column3800"/>
    <tableColumn id="3801" xr3:uid="{5447316E-8373-41CD-A6A2-BDB3A54E9E74}" name="Column3801"/>
    <tableColumn id="3802" xr3:uid="{05C7854B-9DD7-48EE-ADCF-2594D7FA4723}" name="Column3802"/>
    <tableColumn id="3803" xr3:uid="{C767DF5A-CDD6-4F13-B877-20F762BB37AD}" name="Column3803"/>
    <tableColumn id="3804" xr3:uid="{2AC58DB2-23C5-4C24-A384-DF98408C32A7}" name="Column3804"/>
    <tableColumn id="3805" xr3:uid="{87D0B5D0-37AD-481A-875A-A7FFEABC503F}" name="Column3805"/>
    <tableColumn id="3806" xr3:uid="{D1C6A382-3220-4DED-8737-9E2410ECBD6F}" name="Column3806"/>
    <tableColumn id="3807" xr3:uid="{102333AD-4B88-43CF-BE48-31326CDBF9BD}" name="Column3807"/>
    <tableColumn id="3808" xr3:uid="{DC260094-5360-4ECB-8226-5830D715943A}" name="Column3808"/>
    <tableColumn id="3809" xr3:uid="{EB1B128C-E2E2-4B2A-9523-589886F92D94}" name="Column3809"/>
    <tableColumn id="3810" xr3:uid="{45D7CAD8-E28F-4C2A-ABCF-44E2BAD10A4F}" name="Column3810"/>
    <tableColumn id="3811" xr3:uid="{0BEAD6C0-F32E-46B5-AF1A-3D12C1E3A777}" name="Column3811"/>
    <tableColumn id="3812" xr3:uid="{A1F9CF10-52A0-417F-A1EF-5953F08A0958}" name="Column3812"/>
    <tableColumn id="3813" xr3:uid="{779F3FE9-EEB1-4BE0-8854-12A12429B4EB}" name="Column3813"/>
    <tableColumn id="3814" xr3:uid="{CB060122-0A9D-4FE9-AADE-5B8CFAB5F2D7}" name="Column3814"/>
    <tableColumn id="3815" xr3:uid="{EF6261C5-602A-40FF-BFEC-F7E1EA19C874}" name="Column3815"/>
    <tableColumn id="3816" xr3:uid="{888A0332-BA42-4A0B-ACC7-D1F19D0C295B}" name="Column3816"/>
    <tableColumn id="3817" xr3:uid="{87B12696-5B2C-4670-B04F-A9203229B9D9}" name="Column3817"/>
    <tableColumn id="3818" xr3:uid="{2654AF0A-4350-4EF7-98A0-671941B0A06F}" name="Column3818"/>
    <tableColumn id="3819" xr3:uid="{4A59F091-3BFC-45ED-9FC4-8630B82B79B9}" name="Column3819"/>
    <tableColumn id="3820" xr3:uid="{0BF0977B-48D1-4A75-889E-D318AD65B231}" name="Column3820"/>
    <tableColumn id="3821" xr3:uid="{CB162AA4-447A-44FD-93BF-C07827BAF135}" name="Column3821"/>
    <tableColumn id="3822" xr3:uid="{56AFEA0D-77FE-484F-BB82-F6D029DE197F}" name="Column3822"/>
    <tableColumn id="3823" xr3:uid="{9ED0C20A-ADCF-4255-A424-30689A87C6E5}" name="Column3823"/>
    <tableColumn id="3824" xr3:uid="{71282EDF-AA3F-4F04-A078-8E54AA6CAD05}" name="Column3824"/>
    <tableColumn id="3825" xr3:uid="{A3883AA6-7556-40D8-8A50-1EF82770FC05}" name="Column3825"/>
    <tableColumn id="3826" xr3:uid="{CF73E625-DCC1-4A9D-9E3E-12B32E572D2E}" name="Column3826"/>
    <tableColumn id="3827" xr3:uid="{7F078B27-1766-4220-8409-BD045C7DD664}" name="Column3827"/>
    <tableColumn id="3828" xr3:uid="{5FED4EF9-4EEB-4FCC-805E-244AD30EA057}" name="Column3828"/>
    <tableColumn id="3829" xr3:uid="{C9CB4C4A-0443-4DFF-B28D-C25BF3D3A9DA}" name="Column3829"/>
    <tableColumn id="3830" xr3:uid="{48B6A275-7975-47EE-AA06-BDD4EE75C5C6}" name="Column3830"/>
    <tableColumn id="3831" xr3:uid="{C18A6F62-B908-4E75-AA5D-0865C2732AF8}" name="Column3831"/>
    <tableColumn id="3832" xr3:uid="{773BE1B0-3C1B-46F1-9749-910E80D5BF83}" name="Column3832"/>
    <tableColumn id="3833" xr3:uid="{5A059354-9235-493A-A906-93D501B426F8}" name="Column3833"/>
    <tableColumn id="3834" xr3:uid="{FC0879DD-6BD9-48D1-A412-1D9980591312}" name="Column3834"/>
    <tableColumn id="3835" xr3:uid="{95D7BE7C-AC21-40FB-8852-C92A679D8E67}" name="Column3835"/>
    <tableColumn id="3836" xr3:uid="{E11362CD-EBEA-4A12-8113-DED4FD92EED8}" name="Column3836"/>
    <tableColumn id="3837" xr3:uid="{C8F3AB78-57DB-4E14-8FD1-BDFEA904AAD9}" name="Column3837"/>
    <tableColumn id="3838" xr3:uid="{1F50AB1D-92E1-45F9-AEE1-906A2677634A}" name="Column3838"/>
    <tableColumn id="3839" xr3:uid="{A5C17D91-91E9-4036-AA41-34987B60C0C5}" name="Column3839"/>
    <tableColumn id="3840" xr3:uid="{3A6F7279-B66F-422A-863D-17179173FEBE}" name="Column3840"/>
    <tableColumn id="3841" xr3:uid="{743A6D10-9C66-415B-96AA-4E169345A50B}" name="Column3841"/>
    <tableColumn id="3842" xr3:uid="{F2D49A82-7859-4E58-B54F-DDD1DC6984FC}" name="Column3842"/>
    <tableColumn id="3843" xr3:uid="{B69B5485-8612-4FCF-8588-22983AD55BD6}" name="Column3843"/>
    <tableColumn id="3844" xr3:uid="{BAFF7F21-F4CE-4A7F-B233-38B82ED695F3}" name="Column3844"/>
    <tableColumn id="3845" xr3:uid="{381EA762-FEBA-4ABD-A257-AD393B1CF531}" name="Column3845"/>
    <tableColumn id="3846" xr3:uid="{7C59F479-C4E5-47E0-9D1F-34AD96856DB5}" name="Column3846"/>
    <tableColumn id="3847" xr3:uid="{AEBB2350-1199-460F-B691-E483A6878A2F}" name="Column3847"/>
    <tableColumn id="3848" xr3:uid="{236B183B-7838-4636-80E8-310E2EBD378C}" name="Column3848"/>
    <tableColumn id="3849" xr3:uid="{035C137D-D75D-4182-BE71-BE8D0F0EF801}" name="Column3849"/>
    <tableColumn id="3850" xr3:uid="{C200369E-37F3-4318-8DBF-CDC70E0B74B9}" name="Column3850"/>
    <tableColumn id="3851" xr3:uid="{54F8155F-313A-487E-B833-B2A03494229D}" name="Column3851"/>
    <tableColumn id="3852" xr3:uid="{8BE9135B-490A-48CE-AFA6-417E9A42D696}" name="Column3852"/>
    <tableColumn id="3853" xr3:uid="{CB91D6E2-FF07-4136-9095-59837770BA0E}" name="Column3853"/>
    <tableColumn id="3854" xr3:uid="{17359687-C4E2-4B91-86A1-1C73AB00042C}" name="Column3854"/>
    <tableColumn id="3855" xr3:uid="{DC8739A6-706A-4B84-82D7-79FCAE8C49A7}" name="Column3855"/>
    <tableColumn id="3856" xr3:uid="{5C5D2AA7-6714-4495-B67A-7638111958CA}" name="Column3856"/>
    <tableColumn id="3857" xr3:uid="{71F8B7A4-F99A-4E79-BF35-F3BE74E756A9}" name="Column3857"/>
    <tableColumn id="3858" xr3:uid="{29B70FD7-EBD1-4C0B-9BD1-331FE6C84BC7}" name="Column3858"/>
    <tableColumn id="3859" xr3:uid="{2B94E20C-F094-4484-BCFC-F4C7A56AA5CE}" name="Column3859"/>
    <tableColumn id="3860" xr3:uid="{2AB219D4-1952-447C-ACBC-27B4B82706B4}" name="Column3860"/>
    <tableColumn id="3861" xr3:uid="{68067EE6-8171-4504-AEF6-6B9746AB279A}" name="Column3861"/>
    <tableColumn id="3862" xr3:uid="{DB46667B-2A0C-440A-A6A7-A9360CF1209A}" name="Column3862"/>
    <tableColumn id="3863" xr3:uid="{69182AA4-349D-4201-9AE4-B9AF8E838554}" name="Column3863"/>
    <tableColumn id="3864" xr3:uid="{054A5898-2AE0-4D2C-AFD9-56C539F3FEAA}" name="Column3864"/>
    <tableColumn id="3865" xr3:uid="{9D8C4011-B331-42EE-8897-0577FC680A19}" name="Column3865"/>
    <tableColumn id="3866" xr3:uid="{07D811BB-3169-4D6D-B9FE-A10D58410422}" name="Column3866"/>
    <tableColumn id="3867" xr3:uid="{F3BA6194-7F7F-4EDA-86B6-ED582EB36B19}" name="Column3867"/>
    <tableColumn id="3868" xr3:uid="{74828186-63C5-4EA7-A9EC-519C525BFF85}" name="Column3868"/>
    <tableColumn id="3869" xr3:uid="{603998D6-C682-42AC-97F3-16CE114ADB94}" name="Column3869"/>
    <tableColumn id="3870" xr3:uid="{709FB00B-42E6-47C7-A67F-7BC18F8A656D}" name="Column3870"/>
    <tableColumn id="3871" xr3:uid="{9E799C4D-0524-4018-A9BC-2883C31C1D6B}" name="Column3871"/>
    <tableColumn id="3872" xr3:uid="{FA52C95B-A8D1-45C9-A49D-2474251B4B04}" name="Column3872"/>
    <tableColumn id="3873" xr3:uid="{25FAD5A5-84FB-4862-B388-4EFFD976F08B}" name="Column3873"/>
    <tableColumn id="3874" xr3:uid="{44EED26C-8CC7-4775-970E-E086D02A6511}" name="Column3874"/>
    <tableColumn id="3875" xr3:uid="{270BBAE6-F93F-472F-A3F9-6B2A8D696477}" name="Column3875"/>
    <tableColumn id="3876" xr3:uid="{60707B3A-1B62-45E6-A215-F342B268F13E}" name="Column3876"/>
    <tableColumn id="3877" xr3:uid="{7D2087D4-2CA2-4716-A584-C43202F38F94}" name="Column3877"/>
    <tableColumn id="3878" xr3:uid="{2C469FBE-0091-4924-94A9-EA494E0256BF}" name="Column3878"/>
    <tableColumn id="3879" xr3:uid="{E6BCAB5C-EC2B-4FDD-8D26-EC63EAF9CD77}" name="Column3879"/>
    <tableColumn id="3880" xr3:uid="{73A7C02B-BD8F-4769-994D-B52A6F490B62}" name="Column3880"/>
    <tableColumn id="3881" xr3:uid="{174F1D26-721D-43C3-8D65-BF61F7E0D259}" name="Column3881"/>
    <tableColumn id="3882" xr3:uid="{4D09908F-5977-46C3-9B98-7417F9BB4921}" name="Column3882"/>
    <tableColumn id="3883" xr3:uid="{3A95BBB8-0270-4DC3-AA90-B40AD18A48D3}" name="Column3883"/>
    <tableColumn id="3884" xr3:uid="{06966545-D4D8-4C04-BB72-4966088C60C8}" name="Column3884"/>
    <tableColumn id="3885" xr3:uid="{E1282FAF-1396-4F7D-A923-EA74379A54A2}" name="Column3885"/>
    <tableColumn id="3886" xr3:uid="{7777680C-C560-4800-9350-2CE288BA50FE}" name="Column3886"/>
    <tableColumn id="3887" xr3:uid="{8D8E10BA-4DCB-4A01-9322-726C52455979}" name="Column3887"/>
    <tableColumn id="3888" xr3:uid="{2414DBEB-811C-4670-860A-6B5FB666B299}" name="Column3888"/>
    <tableColumn id="3889" xr3:uid="{7C4FACCD-3A84-4703-95F5-DC6979383A29}" name="Column3889"/>
    <tableColumn id="3890" xr3:uid="{2CE258BA-1B5C-4CAC-A3B6-A7CF93983A25}" name="Column3890"/>
    <tableColumn id="3891" xr3:uid="{332F91D0-67EE-42F7-A069-EBB666B5B8DB}" name="Column3891"/>
    <tableColumn id="3892" xr3:uid="{BC7420D7-037A-49BB-B41E-ECE843388A58}" name="Column3892"/>
    <tableColumn id="3893" xr3:uid="{E3D4399A-0215-489A-A5A8-4CFF084C3831}" name="Column3893"/>
    <tableColumn id="3894" xr3:uid="{4D971801-7475-460A-A0B7-FECDAFE3EBEC}" name="Column3894"/>
    <tableColumn id="3895" xr3:uid="{E757D02E-1F2C-446F-9BFD-6335DCD10432}" name="Column3895"/>
    <tableColumn id="3896" xr3:uid="{A21A943C-31BB-4C4D-B277-0B79DB7A1835}" name="Column3896"/>
    <tableColumn id="3897" xr3:uid="{193921E5-FB25-463D-9A9A-32589CD01BF0}" name="Column3897"/>
    <tableColumn id="3898" xr3:uid="{1B1FDC38-EC07-4175-A6D3-4957E7F1B8D9}" name="Column3898"/>
    <tableColumn id="3899" xr3:uid="{5D5F361D-6001-4F8A-8F9F-18A69C673882}" name="Column3899"/>
    <tableColumn id="3900" xr3:uid="{A7664B31-64AE-467A-BE82-A58FB3D4F685}" name="Column3900"/>
    <tableColumn id="3901" xr3:uid="{E4F6A7F8-4E2F-4B90-AFB9-87F7F1E6E837}" name="Column3901"/>
    <tableColumn id="3902" xr3:uid="{F429BDE4-36A3-4DE8-B228-3F024E0190AB}" name="Column3902"/>
    <tableColumn id="3903" xr3:uid="{AD79374E-ED6C-4184-BDF0-E8CF98A05759}" name="Column3903"/>
    <tableColumn id="3904" xr3:uid="{D299B749-EE81-4700-9E22-3AD3AB40523F}" name="Column3904"/>
    <tableColumn id="3905" xr3:uid="{6B331437-EC9D-48CB-97AD-9DA3F78A7034}" name="Column3905"/>
    <tableColumn id="3906" xr3:uid="{CF3C821A-C1D5-41F2-9761-57E53D0CDCD0}" name="Column3906"/>
    <tableColumn id="3907" xr3:uid="{CA0CD11E-E39D-47DF-9344-99709FFEFB53}" name="Column3907"/>
    <tableColumn id="3908" xr3:uid="{B94868B1-7E8D-4B3D-A953-0E0402FC6652}" name="Column3908"/>
    <tableColumn id="3909" xr3:uid="{DD7A299B-9267-453C-8A6E-7E62245BF1EB}" name="Column3909"/>
    <tableColumn id="3910" xr3:uid="{3C656C90-7F15-48A6-BA16-1EC8FCB9A8A7}" name="Column3910"/>
    <tableColumn id="3911" xr3:uid="{06412059-A3A3-4ADF-913C-9EDC4FF91845}" name="Column3911"/>
    <tableColumn id="3912" xr3:uid="{4120F559-D505-4EEB-8397-1FFB9C9DCC34}" name="Column3912"/>
    <tableColumn id="3913" xr3:uid="{E8FADCAD-59F8-45C7-9529-5CF20D83C76E}" name="Column3913"/>
    <tableColumn id="3914" xr3:uid="{85421F33-286D-425D-82E8-5D9B4D5467F8}" name="Column3914"/>
    <tableColumn id="3915" xr3:uid="{3CEEC71E-9D2D-4E91-A8B3-123D12DFC095}" name="Column3915"/>
    <tableColumn id="3916" xr3:uid="{0D7FD9FF-A3C4-4F3D-AC56-9EE515F20DD5}" name="Column3916"/>
    <tableColumn id="3917" xr3:uid="{96736626-89D8-425E-A08E-B24C25F68242}" name="Column3917"/>
    <tableColumn id="3918" xr3:uid="{9E4A6683-A672-408C-B454-7A3311533AAF}" name="Column3918"/>
    <tableColumn id="3919" xr3:uid="{B753990C-D12F-49DD-924A-DA4828F1F565}" name="Column3919"/>
    <tableColumn id="3920" xr3:uid="{E3FE4F91-8EB3-4B02-8AD1-116097FB105D}" name="Column3920"/>
    <tableColumn id="3921" xr3:uid="{B7A77DAB-0F13-45D5-ACA5-23F98D4C03BF}" name="Column3921"/>
    <tableColumn id="3922" xr3:uid="{B654FA65-EBF1-4CD1-A377-4A449AC7826C}" name="Column3922"/>
    <tableColumn id="3923" xr3:uid="{1E9FCBEE-1F72-4373-82B7-AAC3AE552094}" name="Column3923"/>
    <tableColumn id="3924" xr3:uid="{17A18851-2F5C-4CA9-A0DA-EC99516A78DC}" name="Column3924"/>
    <tableColumn id="3925" xr3:uid="{30325F3A-1E55-4E18-93B8-C9A3158F1E93}" name="Column3925"/>
    <tableColumn id="3926" xr3:uid="{5451D369-79AE-4E67-BD5C-79EC72367B87}" name="Column3926"/>
    <tableColumn id="3927" xr3:uid="{95FC0C90-D421-43E6-9032-7D6B3E884F7E}" name="Column3927"/>
    <tableColumn id="3928" xr3:uid="{ADD59F4C-1FE0-46DC-B338-63DC2C44D8AB}" name="Column3928"/>
    <tableColumn id="3929" xr3:uid="{191DF924-E96F-423F-9D7C-40F9C1559223}" name="Column3929"/>
    <tableColumn id="3930" xr3:uid="{1F8C0CE7-327B-4C7C-9988-E0CC984C4783}" name="Column3930"/>
    <tableColumn id="3931" xr3:uid="{7666AA4A-BB10-4AA2-BDCA-026B2772B3F2}" name="Column3931"/>
    <tableColumn id="3932" xr3:uid="{86A4300A-A19B-43CA-85BF-AB6F00E211D6}" name="Column3932"/>
    <tableColumn id="3933" xr3:uid="{A6754B1C-DB3E-496E-AED3-1B4178A9A907}" name="Column3933"/>
    <tableColumn id="3934" xr3:uid="{2AAEA9A6-4F12-4D62-B49B-7D8F9997E1B0}" name="Column3934"/>
    <tableColumn id="3935" xr3:uid="{5A5C10BB-CFCA-45B5-85D7-D6E4839D2D07}" name="Column3935"/>
    <tableColumn id="3936" xr3:uid="{D4D17295-8FFE-411C-97D2-15E14910C9A5}" name="Column3936"/>
    <tableColumn id="3937" xr3:uid="{E9D11F32-C998-4ED6-9FF2-C7C8DF25382F}" name="Column3937"/>
    <tableColumn id="3938" xr3:uid="{4EB584C3-8F2E-4C80-ACD1-8F8BEB4339C9}" name="Column3938"/>
    <tableColumn id="3939" xr3:uid="{EE5B5691-3587-49DF-A103-898E4FE260CF}" name="Column3939"/>
    <tableColumn id="3940" xr3:uid="{2451130E-CB2E-4B4F-AB41-2649BCC54AC0}" name="Column3940"/>
    <tableColumn id="3941" xr3:uid="{F2AE7D0A-548B-4556-8877-D6AD8C9ACFDA}" name="Column3941"/>
    <tableColumn id="3942" xr3:uid="{D1B1888B-0657-44AE-BBBE-65A377844132}" name="Column3942"/>
    <tableColumn id="3943" xr3:uid="{FB36C2BF-0B1C-4328-A3EB-E7F37C34F17E}" name="Column3943"/>
    <tableColumn id="3944" xr3:uid="{FEE4A793-3DD9-4161-BB45-1A502657F351}" name="Column3944"/>
    <tableColumn id="3945" xr3:uid="{6D6C12CB-4080-4C60-BCD0-8C8F387EC893}" name="Column3945"/>
    <tableColumn id="3946" xr3:uid="{AD19B8BE-807D-4AFC-9524-3823E3B366C5}" name="Column3946"/>
    <tableColumn id="3947" xr3:uid="{320AAEA3-D827-478A-B9DA-BC030A2BFED4}" name="Column3947"/>
    <tableColumn id="3948" xr3:uid="{08F981BA-9ED9-44CD-B967-6C42483BA215}" name="Column3948"/>
    <tableColumn id="3949" xr3:uid="{ABB5D877-087E-416F-923F-25053372308B}" name="Column3949"/>
    <tableColumn id="3950" xr3:uid="{724C155C-C589-4DE4-A084-420FDF45553F}" name="Column3950"/>
    <tableColumn id="3951" xr3:uid="{8A27D668-9059-45A9-A4EF-DF44DE3EA623}" name="Column3951"/>
    <tableColumn id="3952" xr3:uid="{35B1099B-50FC-4085-9FFD-1F3278DFBF97}" name="Column3952"/>
    <tableColumn id="3953" xr3:uid="{B3BB35C2-BC24-41C7-A7DD-1960BE74037F}" name="Column3953"/>
    <tableColumn id="3954" xr3:uid="{3EC98E52-195C-47EC-9E64-F1E35BEE6E7C}" name="Column3954"/>
    <tableColumn id="3955" xr3:uid="{0B905AAE-E18E-479C-8EF9-582FC3FB4911}" name="Column3955"/>
    <tableColumn id="3956" xr3:uid="{262500AF-0624-4AD5-B988-54BB1CD3BF6C}" name="Column3956"/>
    <tableColumn id="3957" xr3:uid="{F98F0D0B-1278-40D1-8F56-F9A8174638C5}" name="Column3957"/>
    <tableColumn id="3958" xr3:uid="{372560F8-8083-49D0-A309-CA999EA3A98F}" name="Column3958"/>
    <tableColumn id="3959" xr3:uid="{67E3D98D-4AD2-4BFD-A05F-A482E3695688}" name="Column3959"/>
    <tableColumn id="3960" xr3:uid="{CD340DDE-2F5C-4B64-86FE-9E1CBDF45A89}" name="Column3960"/>
    <tableColumn id="3961" xr3:uid="{7CAB07EB-687D-4C91-B9F2-D49B4B1ED85F}" name="Column3961"/>
    <tableColumn id="3962" xr3:uid="{D0539A9A-A927-4F73-AF00-5B72DBD3EF64}" name="Column3962"/>
    <tableColumn id="3963" xr3:uid="{71C9CCDD-9383-4A3E-A4A1-2428B8F7827C}" name="Column3963"/>
    <tableColumn id="3964" xr3:uid="{C0292EA8-4BC5-43CD-8452-3877764497E6}" name="Column3964"/>
    <tableColumn id="3965" xr3:uid="{0241BD17-034A-4D9C-8DCD-950921CD219D}" name="Column3965"/>
    <tableColumn id="3966" xr3:uid="{C146E806-4FF9-4DF7-AD2C-603DAAC376FB}" name="Column3966"/>
    <tableColumn id="3967" xr3:uid="{2115EC28-0094-46B3-9776-5F340B159DFA}" name="Column3967"/>
    <tableColumn id="3968" xr3:uid="{2F32F0A5-4D6D-45BF-B8CE-83799CEF7414}" name="Column3968"/>
    <tableColumn id="3969" xr3:uid="{342E5317-0EA7-4668-B251-533453816F73}" name="Column3969"/>
    <tableColumn id="3970" xr3:uid="{D3756A43-C1CD-4DBE-B918-04994AAD7D70}" name="Column3970"/>
    <tableColumn id="3971" xr3:uid="{266F3D50-0A35-4757-BA79-B8BE7AE40010}" name="Column3971"/>
    <tableColumn id="3972" xr3:uid="{C01FCA17-0CE3-46A9-BF6D-DA884AB2720A}" name="Column3972"/>
    <tableColumn id="3973" xr3:uid="{C40E39A9-CA60-44BD-B163-070268E152E0}" name="Column3973"/>
    <tableColumn id="3974" xr3:uid="{BF8C59BA-812D-4568-AB0E-EB4B456916CA}" name="Column3974"/>
    <tableColumn id="3975" xr3:uid="{7840790B-A9F7-4E86-BDD3-7198E7E2035B}" name="Column3975"/>
    <tableColumn id="3976" xr3:uid="{2506EE48-4066-4EA0-AF58-9F0681AB5BFA}" name="Column3976"/>
    <tableColumn id="3977" xr3:uid="{26C26BB8-A864-4434-BFA8-3437A542CACA}" name="Column3977"/>
    <tableColumn id="3978" xr3:uid="{E35F3431-4A8E-4B90-B736-6E24BCAB4ACF}" name="Column3978"/>
    <tableColumn id="3979" xr3:uid="{EDB1427E-853C-4F38-A43E-A87DCD1E2D64}" name="Column3979"/>
    <tableColumn id="3980" xr3:uid="{FA21F49F-633A-4BA2-86FD-F77464AA53BB}" name="Column3980"/>
    <tableColumn id="3981" xr3:uid="{8168027D-F765-42D8-B07B-E7FAFF4BBBC7}" name="Column3981"/>
    <tableColumn id="3982" xr3:uid="{BAC929F8-57C0-486D-A777-189DEDF13AAF}" name="Column3982"/>
    <tableColumn id="3983" xr3:uid="{07A1472F-9F75-4F0D-BB51-B6CC9A4D4CCC}" name="Column3983"/>
    <tableColumn id="3984" xr3:uid="{4BB709E2-7178-4736-8169-2A78AB7E94D2}" name="Column3984"/>
    <tableColumn id="3985" xr3:uid="{29DECD5E-DC6A-4991-A8BE-2CE79B6EAAA0}" name="Column3985"/>
    <tableColumn id="3986" xr3:uid="{7EDB0BD1-9553-43F4-879E-968669CDFD7B}" name="Column3986"/>
    <tableColumn id="3987" xr3:uid="{3137FC61-2931-4108-9672-E17C9C84A565}" name="Column3987"/>
    <tableColumn id="3988" xr3:uid="{C2C887E6-F987-4A21-90E3-60BB5508297C}" name="Column3988"/>
    <tableColumn id="3989" xr3:uid="{580D3442-9AB0-4D8D-BB72-AB4FDE012D3D}" name="Column3989"/>
    <tableColumn id="3990" xr3:uid="{889E1779-095F-47F3-8207-62CFAE1F43C4}" name="Column3990"/>
    <tableColumn id="3991" xr3:uid="{D33B64DF-EE18-403F-AFD2-30404380A909}" name="Column3991"/>
    <tableColumn id="3992" xr3:uid="{2B26E040-6DC2-4DDA-9EDA-E8490FA9BAAB}" name="Column3992"/>
    <tableColumn id="3993" xr3:uid="{628F8973-025F-4C82-9852-3D6988FF912D}" name="Column3993"/>
    <tableColumn id="3994" xr3:uid="{211E73B3-84D5-4E4B-B831-0DBFCCA83C7A}" name="Column3994"/>
    <tableColumn id="3995" xr3:uid="{4CBE82C2-2485-48EA-BD86-851A7F4821B9}" name="Column3995"/>
    <tableColumn id="3996" xr3:uid="{84322027-D57F-45BB-B4AF-3BCAAB204C3F}" name="Column3996"/>
    <tableColumn id="3997" xr3:uid="{40933027-7B0A-430A-906C-F4E58FDEB985}" name="Column3997"/>
    <tableColumn id="3998" xr3:uid="{10B6E44A-3C18-44CC-9CC4-97DDFCFF4BEB}" name="Column3998"/>
    <tableColumn id="3999" xr3:uid="{057E7EA1-53EC-47A6-8D2C-9B73407E0CFA}" name="Column3999"/>
    <tableColumn id="4000" xr3:uid="{E7C717B2-E833-4B6A-A7E6-5EE9A059A530}" name="Column4000"/>
    <tableColumn id="4001" xr3:uid="{70D108DC-166E-461B-A16E-314173A8D198}" name="Column4001"/>
    <tableColumn id="4002" xr3:uid="{203EABC2-83D6-4CE3-BA1B-CD6E1DDFF2C5}" name="Column4002"/>
    <tableColumn id="4003" xr3:uid="{4D78FD4E-F285-4295-88BF-9133E8C826A6}" name="Column4003"/>
    <tableColumn id="4004" xr3:uid="{5736609F-5217-4053-BBC8-96F65FFFB06C}" name="Column4004"/>
    <tableColumn id="4005" xr3:uid="{0DF307BE-2051-494F-BD41-73F762C8E78F}" name="Column4005"/>
    <tableColumn id="4006" xr3:uid="{A4A008B6-7FB4-4376-8F16-27376EA6BB01}" name="Column4006"/>
    <tableColumn id="4007" xr3:uid="{D3039705-E283-455E-9BF6-BA472CC97445}" name="Column4007"/>
    <tableColumn id="4008" xr3:uid="{ED461485-EFBD-4E9C-8197-0EAC96DF4539}" name="Column4008"/>
    <tableColumn id="4009" xr3:uid="{661C88A8-DDDD-4F66-AC05-4DE857D20E16}" name="Column4009"/>
    <tableColumn id="4010" xr3:uid="{61E8E5E7-1948-4D9B-B11A-24B7D70AB073}" name="Column4010"/>
    <tableColumn id="4011" xr3:uid="{46E5B572-72AF-47FF-947D-D2C5A1AD46C8}" name="Column4011"/>
    <tableColumn id="4012" xr3:uid="{95DDBF8D-4E5F-421F-9C14-CECD7731050D}" name="Column4012"/>
    <tableColumn id="4013" xr3:uid="{2B6310CC-FD3B-4BD0-A34F-63E8707A6315}" name="Column4013"/>
    <tableColumn id="4014" xr3:uid="{B13939E9-5C9F-40C4-B2FE-95C192CBC63C}" name="Column4014"/>
    <tableColumn id="4015" xr3:uid="{DF2023B6-3F8B-40F1-BF34-4F61E3F914D8}" name="Column4015"/>
    <tableColumn id="4016" xr3:uid="{C60CB24E-A4D6-482D-8C23-D818951FD950}" name="Column4016"/>
    <tableColumn id="4017" xr3:uid="{C4367CF5-5D8D-438C-A9A7-6AA9FAB4929C}" name="Column4017"/>
    <tableColumn id="4018" xr3:uid="{D8D470F0-711A-40CB-875D-95F5C2521A10}" name="Column4018"/>
    <tableColumn id="4019" xr3:uid="{54FBD97F-7253-4034-9B38-690B199EE6F2}" name="Column4019"/>
    <tableColumn id="4020" xr3:uid="{C36093D2-99BB-4839-9BE5-07640E1EE528}" name="Column4020"/>
    <tableColumn id="4021" xr3:uid="{33E2F895-D28B-4AEB-ACB5-D394DF8006F9}" name="Column4021"/>
    <tableColumn id="4022" xr3:uid="{C9AC68D7-C4F7-4DB1-BCD2-2C5D2A3CE4FF}" name="Column4022"/>
    <tableColumn id="4023" xr3:uid="{F670CC4F-F1DB-4414-AC55-EAFED810C5A2}" name="Column4023"/>
    <tableColumn id="4024" xr3:uid="{4B2BDBC0-64E2-46A8-8183-6708699308CA}" name="Column4024"/>
    <tableColumn id="4025" xr3:uid="{1C338DC7-FD65-4500-8454-53931AF7871A}" name="Column4025"/>
    <tableColumn id="4026" xr3:uid="{865C408D-A6C5-4EB5-9517-474F35417E80}" name="Column4026"/>
    <tableColumn id="4027" xr3:uid="{23725B20-2235-4795-AFA6-A652FE1130D3}" name="Column4027"/>
    <tableColumn id="4028" xr3:uid="{FBACE4B8-B450-415B-A261-48A798F3E32A}" name="Column4028"/>
    <tableColumn id="4029" xr3:uid="{05D38C4F-8981-4262-A192-09289A8FDC66}" name="Column4029"/>
    <tableColumn id="4030" xr3:uid="{B9D6C38A-EB17-4976-9DCA-FA6CA925AA6A}" name="Column4030"/>
    <tableColumn id="4031" xr3:uid="{0EE0ECF6-D7A6-4A22-B5D5-0497A659CA7F}" name="Column4031"/>
    <tableColumn id="4032" xr3:uid="{D048313F-EA4C-4EEC-8F86-143DEB8626AE}" name="Column4032"/>
    <tableColumn id="4033" xr3:uid="{CF635ED2-4E5B-4ED3-8C4B-6FA0B55FCDC1}" name="Column4033"/>
    <tableColumn id="4034" xr3:uid="{87013A30-05DF-4403-9319-A0DFA5453F0B}" name="Column4034"/>
    <tableColumn id="4035" xr3:uid="{B7864AAE-39BB-4B71-91D9-6E21E223713F}" name="Column4035"/>
    <tableColumn id="4036" xr3:uid="{6F526856-7B2B-4677-8E71-8DEBEEA6BD0B}" name="Column4036"/>
    <tableColumn id="4037" xr3:uid="{CB6EF20A-FE96-43F4-A802-A9B7BAA213D0}" name="Column4037"/>
    <tableColumn id="4038" xr3:uid="{97D512EC-AFED-410C-957A-05E1552D0636}" name="Column4038"/>
    <tableColumn id="4039" xr3:uid="{B6D8C54E-AEDE-43A7-8429-04D8E31809FB}" name="Column4039"/>
    <tableColumn id="4040" xr3:uid="{D01698E2-CF11-42AD-9AD0-B560042F1F78}" name="Column4040"/>
    <tableColumn id="4041" xr3:uid="{C4FD2CF3-D9DF-4C0D-9C68-75F714E3B73D}" name="Column4041"/>
    <tableColumn id="4042" xr3:uid="{201222F1-701A-4D56-954A-9253FD14A5ED}" name="Column4042"/>
    <tableColumn id="4043" xr3:uid="{429EDF3C-6570-434F-A33C-65837C138DDE}" name="Column4043"/>
    <tableColumn id="4044" xr3:uid="{DEBA9792-E262-4B6D-AA50-D67814B5AE11}" name="Column4044"/>
    <tableColumn id="4045" xr3:uid="{9E22C3C7-7240-4316-BE22-AFDCBBA1DE64}" name="Column4045"/>
    <tableColumn id="4046" xr3:uid="{6F0DD2CD-A9C5-4648-B1C6-0B32A9CC1379}" name="Column4046"/>
    <tableColumn id="4047" xr3:uid="{471203C4-1B20-4A3D-8FFE-0A0BC53C026F}" name="Column4047"/>
    <tableColumn id="4048" xr3:uid="{14A1C049-2D84-41ED-9B09-82A90E7AFE53}" name="Column4048"/>
    <tableColumn id="4049" xr3:uid="{3B87B346-ED89-49E6-9206-A0D422B60A93}" name="Column4049"/>
    <tableColumn id="4050" xr3:uid="{B3FCE92D-3F4A-4E3C-9ADF-97FE32EC3D1D}" name="Column4050"/>
    <tableColumn id="4051" xr3:uid="{4A3A9B63-A5FD-4446-97CE-303F86893645}" name="Column4051"/>
    <tableColumn id="4052" xr3:uid="{1072EC86-5164-4BB6-B3E5-F2B18C509A96}" name="Column4052"/>
    <tableColumn id="4053" xr3:uid="{454C225D-225A-4E41-80BC-4D2E55E53418}" name="Column4053"/>
    <tableColumn id="4054" xr3:uid="{CDF09300-C0E2-4F9E-8CA2-DB3E1C1A84C2}" name="Column4054"/>
    <tableColumn id="4055" xr3:uid="{125ED395-1D99-443D-980A-B393A9B5CA5E}" name="Column4055"/>
    <tableColumn id="4056" xr3:uid="{C755F532-CBA0-4159-9345-0CF17F26CBC7}" name="Column4056"/>
    <tableColumn id="4057" xr3:uid="{C092AACB-9F9D-424A-860D-48D570D18648}" name="Column4057"/>
    <tableColumn id="4058" xr3:uid="{0FEFEC0E-BAEE-41CE-A743-53A6247ED9AB}" name="Column4058"/>
    <tableColumn id="4059" xr3:uid="{9C7D698D-9F64-47FE-B1FB-40877EE4B9D9}" name="Column4059"/>
    <tableColumn id="4060" xr3:uid="{CED214AB-C6BC-4174-99A5-04CD222AFC89}" name="Column4060"/>
    <tableColumn id="4061" xr3:uid="{67CE73C0-7E5C-46B1-8F48-7145A1201749}" name="Column4061"/>
    <tableColumn id="4062" xr3:uid="{0BE7B3B6-99D3-4CF8-88A3-D285D0BFBA9C}" name="Column4062"/>
    <tableColumn id="4063" xr3:uid="{F0DC1F6A-EB73-426F-9CDC-586022883F8C}" name="Column4063"/>
    <tableColumn id="4064" xr3:uid="{0CAF8BB2-E173-4669-B702-8FE76E182E5A}" name="Column4064"/>
    <tableColumn id="4065" xr3:uid="{E35918FA-E8FD-454E-A522-BE532613C296}" name="Column4065"/>
    <tableColumn id="4066" xr3:uid="{D5439FEA-CB96-42B1-BE14-335CA9814787}" name="Column4066"/>
    <tableColumn id="4067" xr3:uid="{394F3502-EFED-4D48-880C-80C7DF49F9D1}" name="Column4067"/>
    <tableColumn id="4068" xr3:uid="{3B4B9092-8E0D-44A6-8CB5-94693F36C878}" name="Column4068"/>
    <tableColumn id="4069" xr3:uid="{7F0390F4-B23D-4FE1-B2D0-EE9384A45F93}" name="Column4069"/>
    <tableColumn id="4070" xr3:uid="{6531C5E6-C5F3-4A1C-ADF5-3C69F06964EF}" name="Column4070"/>
    <tableColumn id="4071" xr3:uid="{479415E9-A58C-46E2-9DB0-DF64C82DA679}" name="Column4071"/>
    <tableColumn id="4072" xr3:uid="{569246AC-D84C-48E0-A96E-6D51F49D458F}" name="Column4072"/>
    <tableColumn id="4073" xr3:uid="{9223DBC7-EF93-4779-B1AB-30DD183839BA}" name="Column4073"/>
    <tableColumn id="4074" xr3:uid="{B79E882C-E00A-4591-B44E-A2DEA0A038D4}" name="Column4074"/>
    <tableColumn id="4075" xr3:uid="{63D41506-F003-4A7D-A290-9DD19392B6C0}" name="Column4075"/>
    <tableColumn id="4076" xr3:uid="{B5A2240B-1BED-45C4-B82B-3D681C32AF05}" name="Column4076"/>
    <tableColumn id="4077" xr3:uid="{795F050E-246A-46AA-9F01-A7BAF09C6AC7}" name="Column4077"/>
    <tableColumn id="4078" xr3:uid="{CC8B3B28-56E0-43A7-9427-02BC777F4FCA}" name="Column4078"/>
    <tableColumn id="4079" xr3:uid="{FF6F14B4-B21E-4502-99DD-CE31BFAA5AED}" name="Column4079"/>
    <tableColumn id="4080" xr3:uid="{3B3F20AC-5DC4-47A1-B1EB-0E7EFF5352DF}" name="Column4080"/>
    <tableColumn id="4081" xr3:uid="{3FC7C94C-E75F-402A-B02A-D902A1D44C96}" name="Column4081"/>
    <tableColumn id="4082" xr3:uid="{19FDA64A-7E66-445A-994F-92160C833550}" name="Column4082"/>
    <tableColumn id="4083" xr3:uid="{5932A3F1-55FB-46F9-AAEC-47F466A54C63}" name="Column4083"/>
    <tableColumn id="4084" xr3:uid="{226C44BA-51AD-48B5-B630-FD9D9B001F4E}" name="Column4084"/>
    <tableColumn id="4085" xr3:uid="{8BD96C51-BED1-451D-AFBD-87CB096831FB}" name="Column4085"/>
    <tableColumn id="4086" xr3:uid="{A5E471A0-CE03-4C25-8DB8-A83F09CDEB93}" name="Column4086"/>
    <tableColumn id="4087" xr3:uid="{31F64B91-EB7C-4341-8471-E670E56A37D5}" name="Column4087"/>
    <tableColumn id="4088" xr3:uid="{43276050-DF10-420C-A86C-CDB6D0E31D6C}" name="Column4088"/>
    <tableColumn id="4089" xr3:uid="{E9616358-7B4B-4514-84CF-463F5616DB86}" name="Column4089"/>
    <tableColumn id="4090" xr3:uid="{68FB9C10-85CC-4C76-85DF-DA4289895693}" name="Column4090"/>
    <tableColumn id="4091" xr3:uid="{3B9E7429-4E4C-443A-B727-2E77D6B6AC10}" name="Column4091"/>
    <tableColumn id="4092" xr3:uid="{C72BB0F7-DE80-46D0-BED6-014ABA05767A}" name="Column4092"/>
    <tableColumn id="4093" xr3:uid="{5D144101-ED01-41F3-AD22-032571DAC8A5}" name="Column4093"/>
    <tableColumn id="4094" xr3:uid="{46FC8E8A-D4B9-44A1-B125-29EE2194D7E6}" name="Column4094"/>
    <tableColumn id="4095" xr3:uid="{F78FABFD-7D4C-4BFA-8973-FA93CD04A08E}" name="Column4095"/>
    <tableColumn id="4096" xr3:uid="{971B1044-99D5-42B8-827C-E59097CEACCC}" name="Column4096"/>
    <tableColumn id="4097" xr3:uid="{3EF82EF8-92D3-4CC1-BACA-856F8EF45CDF}" name="Column4097"/>
    <tableColumn id="4098" xr3:uid="{7FCEBCBF-B9B0-4951-B106-F7E4529C6AC7}" name="Column4098"/>
    <tableColumn id="4099" xr3:uid="{5511D176-0A6D-4BA0-B376-AACD9AB95F21}" name="Column4099"/>
    <tableColumn id="4100" xr3:uid="{45DAC641-2E1E-410A-AF8E-01E3FAB0D897}" name="Column4100"/>
    <tableColumn id="4101" xr3:uid="{84564B81-C749-4B68-A841-F5FD0B49DA19}" name="Column4101"/>
    <tableColumn id="4102" xr3:uid="{14786C35-7956-4BF9-B509-BC62D18F4CC2}" name="Column4102"/>
    <tableColumn id="4103" xr3:uid="{D014CF95-E1DE-40C7-BA50-3FEFD940FF04}" name="Column4103"/>
    <tableColumn id="4104" xr3:uid="{73210FA1-5ACE-4FF7-81B4-C4D2C6170EA1}" name="Column4104"/>
    <tableColumn id="4105" xr3:uid="{8E24E688-09F3-4D7A-8D14-9F633C503F6D}" name="Column4105"/>
    <tableColumn id="4106" xr3:uid="{CEB4F1AF-A000-407E-A49A-386DFFE8EA3F}" name="Column4106"/>
    <tableColumn id="4107" xr3:uid="{4E740094-D45F-4AD8-88FF-BFAF1715026D}" name="Column4107"/>
    <tableColumn id="4108" xr3:uid="{C869D7C6-8553-4113-B193-C17B3BD84418}" name="Column4108"/>
    <tableColumn id="4109" xr3:uid="{5E9613D9-F633-4F92-B830-F854D07C8178}" name="Column4109"/>
    <tableColumn id="4110" xr3:uid="{BAA6D020-5A1A-422A-B9F9-58077032B332}" name="Column4110"/>
    <tableColumn id="4111" xr3:uid="{A2D9685A-0785-415A-B780-89E69F1E909A}" name="Column4111"/>
    <tableColumn id="4112" xr3:uid="{111CACEA-E05A-4CAF-8394-578D15E78083}" name="Column4112"/>
    <tableColumn id="4113" xr3:uid="{A083DD76-7F0A-4A39-959F-DB582C620B3A}" name="Column4113"/>
    <tableColumn id="4114" xr3:uid="{850B58EA-210E-47D9-BA66-2927FA264012}" name="Column4114"/>
    <tableColumn id="4115" xr3:uid="{6B597622-1466-426C-82C3-3B59D2033D90}" name="Column4115"/>
    <tableColumn id="4116" xr3:uid="{BBD03E6E-FA80-4919-8969-BAC7CC3A7A58}" name="Column4116"/>
    <tableColumn id="4117" xr3:uid="{62590F75-BB16-42D7-B31D-D81CEC8E6411}" name="Column4117"/>
    <tableColumn id="4118" xr3:uid="{600C2E3A-06A9-4488-981D-D09BF7F0658D}" name="Column4118"/>
    <tableColumn id="4119" xr3:uid="{EBDE8F6A-7035-4DE3-8376-5D0D8B5E5846}" name="Column4119"/>
    <tableColumn id="4120" xr3:uid="{166075CD-CB9D-44FA-9A95-AAD9418260F0}" name="Column4120"/>
    <tableColumn id="4121" xr3:uid="{E1450444-433C-4787-9241-D6DC64C60941}" name="Column4121"/>
    <tableColumn id="4122" xr3:uid="{C06A9847-D98E-4408-9F69-7035746AF830}" name="Column4122"/>
    <tableColumn id="4123" xr3:uid="{6B274330-CAE3-42FB-8C7C-7103DB4DDE39}" name="Column4123"/>
    <tableColumn id="4124" xr3:uid="{E14F1889-823C-4E36-9F05-C2C2EB0327CF}" name="Column4124"/>
    <tableColumn id="4125" xr3:uid="{2C1FB53E-2280-474A-80D3-A068F546177F}" name="Column4125"/>
    <tableColumn id="4126" xr3:uid="{DC3B27A3-6C32-450C-A04F-90B042265C69}" name="Column4126"/>
    <tableColumn id="4127" xr3:uid="{1C23C783-6B1A-4111-8DCF-41949A1E93C1}" name="Column4127"/>
    <tableColumn id="4128" xr3:uid="{6AE73542-30A5-461D-9C49-1892D3EAB6FC}" name="Column4128"/>
    <tableColumn id="4129" xr3:uid="{9C4557AD-7A06-48F5-963B-5AFF082B540A}" name="Column4129"/>
    <tableColumn id="4130" xr3:uid="{86AD05AC-A582-478B-A7A7-43BC03782577}" name="Column4130"/>
    <tableColumn id="4131" xr3:uid="{E78C29EF-2891-4B6B-B410-DA0448CF288E}" name="Column4131"/>
    <tableColumn id="4132" xr3:uid="{EB914C82-B234-4647-94AD-D5C2B63CF418}" name="Column4132"/>
    <tableColumn id="4133" xr3:uid="{3A0D741A-4A8B-4A11-854A-9D2E9E018908}" name="Column4133"/>
    <tableColumn id="4134" xr3:uid="{0DFD95A3-E037-4045-8BC1-822D8CE5DF10}" name="Column4134"/>
    <tableColumn id="4135" xr3:uid="{A0512255-DDFB-4215-B637-8DC9CB4575E1}" name="Column4135"/>
    <tableColumn id="4136" xr3:uid="{2D28835F-D7F9-4676-A467-61471E868CF9}" name="Column4136"/>
    <tableColumn id="4137" xr3:uid="{0C70868B-1E38-4D51-AAE5-0E867154DD3C}" name="Column4137"/>
    <tableColumn id="4138" xr3:uid="{D3925FA0-D73E-4FAE-BE8D-E455FE3E26E6}" name="Column4138"/>
    <tableColumn id="4139" xr3:uid="{B48E366F-7006-4198-9913-FD4BD08CAAFE}" name="Column4139"/>
    <tableColumn id="4140" xr3:uid="{D57A92DD-E902-4522-8DBE-2D36FC35746C}" name="Column4140"/>
    <tableColumn id="4141" xr3:uid="{984ABC99-A682-45E6-A202-663BA2799F5E}" name="Column4141"/>
    <tableColumn id="4142" xr3:uid="{2CFD2751-D9B4-4881-9A23-ACB0697FC5C8}" name="Column4142"/>
    <tableColumn id="4143" xr3:uid="{D6FE82B3-F123-4D94-A5E8-6BE2225F96F6}" name="Column4143"/>
    <tableColumn id="4144" xr3:uid="{C96AAB1B-0B58-41BE-B29B-3C3507A043E8}" name="Column4144"/>
    <tableColumn id="4145" xr3:uid="{F884387A-EA87-4B56-B4C1-C656B543894A}" name="Column4145"/>
    <tableColumn id="4146" xr3:uid="{BAADECB3-6470-4C4F-86EE-F02773DFE136}" name="Column4146"/>
    <tableColumn id="4147" xr3:uid="{2FAA5B45-CA70-457E-95FA-A04C53E75CA6}" name="Column4147"/>
    <tableColumn id="4148" xr3:uid="{1D7A979A-9EB0-4E3C-905D-B6910BBCA455}" name="Column4148"/>
    <tableColumn id="4149" xr3:uid="{000BB297-0F5E-4D43-B9AB-AD669231460E}" name="Column4149"/>
    <tableColumn id="4150" xr3:uid="{27A0ACA8-2A46-4455-94D4-837D72AB98D6}" name="Column4150"/>
    <tableColumn id="4151" xr3:uid="{BA7D4E78-19E5-44F2-AE3F-0E3925F1ECD9}" name="Column4151"/>
    <tableColumn id="4152" xr3:uid="{30B7840C-48EB-4824-A914-D54A37567358}" name="Column4152"/>
    <tableColumn id="4153" xr3:uid="{30E8FFEB-A352-410E-A585-795FCD41791A}" name="Column4153"/>
    <tableColumn id="4154" xr3:uid="{084AB849-290F-411A-9578-3DF400CF7284}" name="Column4154"/>
    <tableColumn id="4155" xr3:uid="{28AAEDCE-5CD4-4571-8CD5-CF42C13701B5}" name="Column4155"/>
    <tableColumn id="4156" xr3:uid="{4A9D3CEA-BA59-47A2-B695-8D779CC9EDFF}" name="Column4156"/>
    <tableColumn id="4157" xr3:uid="{3D02B20E-0653-4452-8ED2-D49B8CB07B6B}" name="Column4157"/>
    <tableColumn id="4158" xr3:uid="{14E7F298-4520-471A-8208-A148B18FE401}" name="Column4158"/>
    <tableColumn id="4159" xr3:uid="{43332EB5-9492-46FE-B9A5-0820562550EF}" name="Column4159"/>
    <tableColumn id="4160" xr3:uid="{F31B1C40-80EF-4885-BE1A-EE84537C95DC}" name="Column4160"/>
    <tableColumn id="4161" xr3:uid="{A9362BA0-1C18-481D-A5A6-E40F97F1D599}" name="Column4161"/>
    <tableColumn id="4162" xr3:uid="{FBE6EC4D-7301-4A16-A395-0F6EFB88F0C9}" name="Column4162"/>
    <tableColumn id="4163" xr3:uid="{63017F24-4C67-4373-8032-B6BDEDA096DE}" name="Column4163"/>
    <tableColumn id="4164" xr3:uid="{7FBA179C-14F8-4C23-9DA1-931FF020DE7A}" name="Column4164"/>
    <tableColumn id="4165" xr3:uid="{35B870F8-2C07-4A0A-B3F1-A1A7E2D03519}" name="Column4165"/>
    <tableColumn id="4166" xr3:uid="{A5E651D3-6CA2-4FA0-A94B-04384E389059}" name="Column4166"/>
    <tableColumn id="4167" xr3:uid="{593013BC-F797-48E8-A36C-749B493224BA}" name="Column4167"/>
    <tableColumn id="4168" xr3:uid="{D3E4BEB1-F661-4DE0-ADA2-27D73E7C4CA6}" name="Column4168"/>
    <tableColumn id="4169" xr3:uid="{8439B92E-E5CB-4EC8-8EFC-7ECDC52BA09D}" name="Column4169"/>
    <tableColumn id="4170" xr3:uid="{93AAB2C5-0527-4697-A371-896BB784A4F5}" name="Column4170"/>
    <tableColumn id="4171" xr3:uid="{899E7415-F67F-4B91-A2E7-B9BC42D09328}" name="Column4171"/>
    <tableColumn id="4172" xr3:uid="{CD5AC758-C7D1-4F80-932E-0B435C6A821E}" name="Column4172"/>
    <tableColumn id="4173" xr3:uid="{56E1A7DD-DDFB-49DE-87B2-68A5F742CD58}" name="Column4173"/>
    <tableColumn id="4174" xr3:uid="{CD0B8345-6E4A-41F4-B242-DD8309040691}" name="Column4174"/>
    <tableColumn id="4175" xr3:uid="{91ABAF47-172F-453F-A2A6-829BC171DED8}" name="Column4175"/>
    <tableColumn id="4176" xr3:uid="{347FE0FC-D4FE-4EBF-BC4A-82C677E209F9}" name="Column4176"/>
    <tableColumn id="4177" xr3:uid="{A9AC352E-FFFE-4568-BDE4-E42B3F1F5BBB}" name="Column4177"/>
    <tableColumn id="4178" xr3:uid="{788C102E-D2B7-42AD-8FA9-EF0702B99AAF}" name="Column4178"/>
    <tableColumn id="4179" xr3:uid="{6AAAB2C7-0222-49AD-9694-7869B178588D}" name="Column4179"/>
    <tableColumn id="4180" xr3:uid="{2C4FB1C5-BB9A-4522-B987-FF9FD21F0890}" name="Column4180"/>
    <tableColumn id="4181" xr3:uid="{A4FBEAE7-0D25-447C-9B38-C0B3A13E32B8}" name="Column4181"/>
    <tableColumn id="4182" xr3:uid="{5132E754-BC63-49AE-BEDA-20700DACA271}" name="Column4182"/>
    <tableColumn id="4183" xr3:uid="{338510BC-260A-4B70-92BA-8F181A0353D9}" name="Column4183"/>
    <tableColumn id="4184" xr3:uid="{EA07BA21-9D38-4E1A-88D1-E3D9F1EF9262}" name="Column4184"/>
    <tableColumn id="4185" xr3:uid="{B9F275C2-5166-428C-AA80-4859308F1FD8}" name="Column4185"/>
    <tableColumn id="4186" xr3:uid="{76804911-39D9-4425-92BD-7D0E8C72EE5F}" name="Column4186"/>
    <tableColumn id="4187" xr3:uid="{64B73865-32A6-4FDF-B7F3-CE22DF3341E5}" name="Column4187"/>
    <tableColumn id="4188" xr3:uid="{AF0E3ED4-D1AD-49C3-BCB2-831FDF7C941A}" name="Column4188"/>
    <tableColumn id="4189" xr3:uid="{9BA57A31-2A13-47B6-B9EB-52D061CC023C}" name="Column4189"/>
    <tableColumn id="4190" xr3:uid="{B35CF8B4-44E7-4FF9-99BC-0935BABAB01B}" name="Column4190"/>
    <tableColumn id="4191" xr3:uid="{BA934EC7-7889-4146-8E69-BFDC047C34DE}" name="Column4191"/>
    <tableColumn id="4192" xr3:uid="{76DDCCB7-F0DF-4C8F-82CB-068B39AE1F2A}" name="Column4192"/>
    <tableColumn id="4193" xr3:uid="{9F1A743F-9F7B-478A-A03F-C4FFF3370346}" name="Column4193"/>
    <tableColumn id="4194" xr3:uid="{70A3DD2E-CCAE-4867-8E80-65D1878566A0}" name="Column4194"/>
    <tableColumn id="4195" xr3:uid="{848B1428-42E6-4299-8C46-9EBEB9E39F9A}" name="Column4195"/>
    <tableColumn id="4196" xr3:uid="{E1BEE5CB-0228-461D-9AFB-ABCFA1F9D599}" name="Column4196"/>
    <tableColumn id="4197" xr3:uid="{5C8F2781-7AF1-46DD-AC29-ABCBFF3A4316}" name="Column4197"/>
    <tableColumn id="4198" xr3:uid="{F998FB7F-66AE-4093-B20B-8863F36C0DA2}" name="Column4198"/>
    <tableColumn id="4199" xr3:uid="{E12F8800-BFC3-4E1A-97BE-37AD76B31ED4}" name="Column4199"/>
    <tableColumn id="4200" xr3:uid="{C2CC3A0A-DA76-411C-B8C8-3FB2423B6C97}" name="Column4200"/>
    <tableColumn id="4201" xr3:uid="{4441302C-C281-41F5-8AD8-4B9AD5906531}" name="Column4201"/>
    <tableColumn id="4202" xr3:uid="{CD8FC36D-6913-4AA6-A1A7-00152D37B47A}" name="Column4202"/>
    <tableColumn id="4203" xr3:uid="{7A4863A5-E4C2-457D-B241-672D74701D27}" name="Column4203"/>
    <tableColumn id="4204" xr3:uid="{17BB4A68-DC59-41A3-BC6A-C73B1EC73BB4}" name="Column4204"/>
    <tableColumn id="4205" xr3:uid="{ABA578A4-7807-4918-8990-231EE36404BC}" name="Column4205"/>
    <tableColumn id="4206" xr3:uid="{6058D39A-4176-45ED-8AD9-6D3E568C4A5B}" name="Column4206"/>
    <tableColumn id="4207" xr3:uid="{E9E93B38-6276-4722-8F78-F072A402EAEA}" name="Column4207"/>
    <tableColumn id="4208" xr3:uid="{A11051EF-4BF4-48BF-ABEF-D921FCB3B512}" name="Column4208"/>
    <tableColumn id="4209" xr3:uid="{6D3921C5-8B9F-4B47-8639-8E80E501B3C6}" name="Column4209"/>
    <tableColumn id="4210" xr3:uid="{808A15F8-6593-48AC-BD66-F077A980974F}" name="Column4210"/>
    <tableColumn id="4211" xr3:uid="{BABCBD6E-4860-4F07-92B4-156B6AE00984}" name="Column4211"/>
    <tableColumn id="4212" xr3:uid="{9193BE3D-884A-4846-B96E-26B1D52C8FEC}" name="Column4212"/>
    <tableColumn id="4213" xr3:uid="{B9D8AB6B-B0F3-4E74-815D-70B89922CDDF}" name="Column4213"/>
    <tableColumn id="4214" xr3:uid="{682EACFB-0595-49DD-8A1D-37345193B8FF}" name="Column4214"/>
    <tableColumn id="4215" xr3:uid="{50179AF9-3B20-40D0-B938-74CC92A333A8}" name="Column4215"/>
    <tableColumn id="4216" xr3:uid="{AD242842-D45A-4699-B6B8-05935DDE6504}" name="Column4216"/>
    <tableColumn id="4217" xr3:uid="{A3D340ED-2BC1-40FB-969D-A25D46687F60}" name="Column4217"/>
    <tableColumn id="4218" xr3:uid="{7B0DB78F-8882-4295-8B89-2C64371A382C}" name="Column4218"/>
    <tableColumn id="4219" xr3:uid="{431BDA40-A382-447B-AA7A-332FC45A93B8}" name="Column4219"/>
    <tableColumn id="4220" xr3:uid="{F73E86E5-A252-4DEA-A1EE-2F0117C18285}" name="Column4220"/>
    <tableColumn id="4221" xr3:uid="{F1AE8718-A1E7-4175-8CFB-F2B9407C30DB}" name="Column4221"/>
    <tableColumn id="4222" xr3:uid="{88C9899A-469F-4A38-96B0-C5E0BA9AA882}" name="Column4222"/>
    <tableColumn id="4223" xr3:uid="{CC93648A-63FD-45DF-9AAE-C1E74558EC0E}" name="Column4223"/>
    <tableColumn id="4224" xr3:uid="{2713538F-2748-4A1C-8384-1DF0605E8D57}" name="Column4224"/>
    <tableColumn id="4225" xr3:uid="{17B97BB4-EA8D-4DC7-83AC-30AF0CB36992}" name="Column4225"/>
    <tableColumn id="4226" xr3:uid="{ACD49B08-6846-48E3-8D66-F56FA2A7F779}" name="Column4226"/>
    <tableColumn id="4227" xr3:uid="{4D818CAF-6A1D-4818-BAE9-8E231B60F1CF}" name="Column4227"/>
    <tableColumn id="4228" xr3:uid="{08E249C4-26FC-4949-A174-87503C5E717C}" name="Column4228"/>
    <tableColumn id="4229" xr3:uid="{7408C7D1-B9DB-4FF5-A032-73B46CC0A8EF}" name="Column4229"/>
    <tableColumn id="4230" xr3:uid="{BEE88EED-E010-4976-8738-BCFE27BD4A60}" name="Column4230"/>
    <tableColumn id="4231" xr3:uid="{20740D8E-CBF9-4EBD-99E8-9211BAD6AB7F}" name="Column4231"/>
    <tableColumn id="4232" xr3:uid="{F3014661-251D-4BFF-BC08-3F2343027A05}" name="Column4232"/>
    <tableColumn id="4233" xr3:uid="{C6A1D193-D604-40C9-8BB8-A2FC099ECEA7}" name="Column4233"/>
    <tableColumn id="4234" xr3:uid="{4C0FE8E2-878D-42E7-BDD6-64B319E8B7DF}" name="Column4234"/>
    <tableColumn id="4235" xr3:uid="{D6A0FF8F-A1D1-46AC-868B-51BC0C3763D6}" name="Column4235"/>
    <tableColumn id="4236" xr3:uid="{20C957DF-5C1F-4A44-B3D4-26161981FC6C}" name="Column4236"/>
    <tableColumn id="4237" xr3:uid="{34BBB206-2139-48A4-8F1F-AD7905693D07}" name="Column4237"/>
    <tableColumn id="4238" xr3:uid="{61697A21-4A55-4570-90A0-83A296AE34F4}" name="Column4238"/>
    <tableColumn id="4239" xr3:uid="{6485973C-77BF-4DEC-981B-D1511F17BB6C}" name="Column4239"/>
    <tableColumn id="4240" xr3:uid="{E1280EE1-FF1B-4CFB-A8C4-DF03E9D3F514}" name="Column4240"/>
    <tableColumn id="4241" xr3:uid="{72F305ED-5025-4C33-BCC7-43F0C614AE3E}" name="Column4241"/>
    <tableColumn id="4242" xr3:uid="{3B157626-9E23-4BD8-992E-9C375E1B0923}" name="Column4242"/>
    <tableColumn id="4243" xr3:uid="{4A375CF8-7FF0-417A-890C-B15ED371E53A}" name="Column4243"/>
    <tableColumn id="4244" xr3:uid="{BCF29D64-DFBD-4190-902B-F3E9EDC3FE86}" name="Column4244"/>
    <tableColumn id="4245" xr3:uid="{C2487EB9-C22B-418F-995F-4A9A4BB2F71B}" name="Column4245"/>
    <tableColumn id="4246" xr3:uid="{48FCB8CB-07B3-4712-8A3D-E7DF3571C757}" name="Column4246"/>
    <tableColumn id="4247" xr3:uid="{EB879C9E-B066-41D3-A04C-FF3F21EBCCEA}" name="Column4247"/>
    <tableColumn id="4248" xr3:uid="{EE2B9114-73D6-474B-A314-28EFC1D73729}" name="Column4248"/>
    <tableColumn id="4249" xr3:uid="{C925CA75-1519-4972-8AD4-A28F8045A573}" name="Column4249"/>
    <tableColumn id="4250" xr3:uid="{5143A31A-3BDC-4E03-82FD-BEACC37A9344}" name="Column4250"/>
    <tableColumn id="4251" xr3:uid="{DECE93A6-08E7-4CE0-A69E-DD015CFE59B2}" name="Column4251"/>
    <tableColumn id="4252" xr3:uid="{595615F8-9215-42B4-83B0-5270BDFC31FF}" name="Column4252"/>
    <tableColumn id="4253" xr3:uid="{C13785F3-524B-4B7D-B613-901FEE13B311}" name="Column4253"/>
    <tableColumn id="4254" xr3:uid="{A149C7D7-4E95-41AF-AE5A-42CC313F3FCB}" name="Column4254"/>
    <tableColumn id="4255" xr3:uid="{B49F5EA6-4DBE-4D58-9B5F-DC39E0C4328D}" name="Column4255"/>
    <tableColumn id="4256" xr3:uid="{A097C84E-71C4-424D-A481-D915C687969E}" name="Column4256"/>
    <tableColumn id="4257" xr3:uid="{0A3F7A23-CE72-4DC4-BBA2-EFEEDE83EBEE}" name="Column4257"/>
    <tableColumn id="4258" xr3:uid="{EE1C33BE-72FB-4C21-982C-F4BC2A2C4552}" name="Column4258"/>
    <tableColumn id="4259" xr3:uid="{E529C0C5-5745-4909-985D-63005894CDE8}" name="Column4259"/>
    <tableColumn id="4260" xr3:uid="{19870813-4E7E-4264-8283-321022D7D805}" name="Column4260"/>
    <tableColumn id="4261" xr3:uid="{581C274B-A869-4AB5-B230-4B73B226747D}" name="Column4261"/>
    <tableColumn id="4262" xr3:uid="{D7288A8A-0579-4682-81D4-A8872E7E0259}" name="Column4262"/>
    <tableColumn id="4263" xr3:uid="{E4AF8615-23F2-490F-8BEA-8EBFF5C9EC6B}" name="Column4263"/>
    <tableColumn id="4264" xr3:uid="{C2D804CE-91EE-4DC7-AD9A-155D811C21A2}" name="Column4264"/>
    <tableColumn id="4265" xr3:uid="{4714641C-AEEF-4F5B-B6B5-158AF0A3DF8A}" name="Column4265"/>
    <tableColumn id="4266" xr3:uid="{7E04BC50-6047-4690-B4E5-3033E82DC88F}" name="Column4266"/>
    <tableColumn id="4267" xr3:uid="{C0297507-7EBC-48DE-ACBA-F8746781AED0}" name="Column4267"/>
    <tableColumn id="4268" xr3:uid="{FF30F41C-9255-419F-ADEC-01BBB2A29CFE}" name="Column4268"/>
    <tableColumn id="4269" xr3:uid="{6F5AFFF8-5FAC-4D7E-AF4F-FCB5D870855F}" name="Column4269"/>
    <tableColumn id="4270" xr3:uid="{E08BC7C7-478B-4F48-B74C-956E10E4A39D}" name="Column4270"/>
    <tableColumn id="4271" xr3:uid="{1C3F64E8-1E3A-4468-BB19-17C3591C4A0C}" name="Column4271"/>
    <tableColumn id="4272" xr3:uid="{F3818BEC-6A05-4F33-B658-2E03F31F993C}" name="Column4272"/>
    <tableColumn id="4273" xr3:uid="{B8260C27-02D9-4209-9C44-F5981E4DD8EB}" name="Column4273"/>
    <tableColumn id="4274" xr3:uid="{CAE42CB5-F69B-4773-B2F5-006294CD77D7}" name="Column4274"/>
    <tableColumn id="4275" xr3:uid="{390EA407-B007-4D7B-96F6-3E39D84D5BEA}" name="Column4275"/>
    <tableColumn id="4276" xr3:uid="{6B2AB4B4-2E8A-4D17-8150-4BCB707AB0E3}" name="Column4276"/>
    <tableColumn id="4277" xr3:uid="{23E5D56C-7A19-4505-95CB-BFE1B122423B}" name="Column4277"/>
    <tableColumn id="4278" xr3:uid="{C39F393E-4FC4-4B17-ADE7-93E7617CC329}" name="Column4278"/>
    <tableColumn id="4279" xr3:uid="{B286ED61-0624-45A4-B609-2E20B41E9826}" name="Column4279"/>
    <tableColumn id="4280" xr3:uid="{2D639628-FF52-42B3-A9EB-BE513AA7E371}" name="Column4280"/>
    <tableColumn id="4281" xr3:uid="{927E95E9-B895-4203-BE29-30CD639734E2}" name="Column4281"/>
    <tableColumn id="4282" xr3:uid="{B70FDE5C-87AF-4E30-9126-A012AA1C8869}" name="Column4282"/>
    <tableColumn id="4283" xr3:uid="{F7CC6462-1DB8-4CF8-9CD8-C150F2C28F8A}" name="Column4283"/>
    <tableColumn id="4284" xr3:uid="{A3C4CF46-5380-4E15-B26D-D9877B07E24F}" name="Column4284"/>
    <tableColumn id="4285" xr3:uid="{E6450ABF-FFE6-4989-968D-D3A6608284CE}" name="Column4285"/>
    <tableColumn id="4286" xr3:uid="{86691BB2-7ACD-44ED-9C60-6A94B0A9E369}" name="Column4286"/>
    <tableColumn id="4287" xr3:uid="{B083BE95-18D8-43B4-A0CA-350A5ACABE80}" name="Column4287"/>
    <tableColumn id="4288" xr3:uid="{1212E6A1-5B35-4770-904D-686D84E1F2FC}" name="Column4288"/>
    <tableColumn id="4289" xr3:uid="{D20407A2-96F2-43E5-95D3-A1C6DC17324F}" name="Column4289"/>
    <tableColumn id="4290" xr3:uid="{E7977CA3-4E80-4512-99DC-FDC6CBB823AA}" name="Column4290"/>
    <tableColumn id="4291" xr3:uid="{2BFA85AD-6458-4912-85AF-F30756D09E99}" name="Column4291"/>
    <tableColumn id="4292" xr3:uid="{A4D248F9-D6EA-4B9A-B516-4951DC5897BB}" name="Column4292"/>
    <tableColumn id="4293" xr3:uid="{BDF3C9E5-F6BF-4850-9F7C-8021128E4ECF}" name="Column4293"/>
    <tableColumn id="4294" xr3:uid="{9586B455-F0C9-42A6-A221-AF43C74AFB96}" name="Column4294"/>
    <tableColumn id="4295" xr3:uid="{40DB0AB0-D7E1-407D-8CDB-027CC6DC2B9F}" name="Column4295"/>
    <tableColumn id="4296" xr3:uid="{3E652E6D-C1F6-46FA-99E3-E251549CCDC4}" name="Column4296"/>
    <tableColumn id="4297" xr3:uid="{7259F047-EC9F-4B6F-AAB6-919387786587}" name="Column4297"/>
    <tableColumn id="4298" xr3:uid="{2B217E94-FA3F-4FD1-9B61-A9E67FC80458}" name="Column4298"/>
    <tableColumn id="4299" xr3:uid="{64A7EF50-B537-4D48-96D5-E55A0E23A7A9}" name="Column4299"/>
    <tableColumn id="4300" xr3:uid="{B33CF0B4-3325-427C-8D74-B021CE563B74}" name="Column4300"/>
    <tableColumn id="4301" xr3:uid="{46DFAAAC-2BE3-4EE8-A7F4-432C33D844E5}" name="Column4301"/>
    <tableColumn id="4302" xr3:uid="{67022E92-BF30-4CEA-8723-B0B5C8161DCE}" name="Column4302"/>
    <tableColumn id="4303" xr3:uid="{FF455258-C23B-4C30-B0FD-70520CB163D8}" name="Column4303"/>
    <tableColumn id="4304" xr3:uid="{B70DBEFA-D08D-443B-B602-E228C6A6DD80}" name="Column4304"/>
    <tableColumn id="4305" xr3:uid="{9903C4C8-D833-4A6B-B4B4-4B9069F3C171}" name="Column4305"/>
    <tableColumn id="4306" xr3:uid="{275C8C58-45AF-485A-A9AB-FC9268C3EDCE}" name="Column4306"/>
    <tableColumn id="4307" xr3:uid="{B55DF991-565F-4BDF-BABB-680C9551A347}" name="Column4307"/>
    <tableColumn id="4308" xr3:uid="{1D8DA2AC-FF66-42B2-AACE-4D3BD7DC301C}" name="Column4308"/>
    <tableColumn id="4309" xr3:uid="{0D994184-AA7E-45DE-8ADA-745A2FE0F131}" name="Column4309"/>
    <tableColumn id="4310" xr3:uid="{317601D2-C320-4A23-95B4-4B812C369F53}" name="Column4310"/>
    <tableColumn id="4311" xr3:uid="{C6D77667-228B-4BAD-9A65-FF786994C237}" name="Column4311"/>
    <tableColumn id="4312" xr3:uid="{CBF0B35E-02E7-4C96-B3AD-1EDF2CBB192E}" name="Column4312"/>
    <tableColumn id="4313" xr3:uid="{F2B7A03A-0CDF-4F35-87BA-BC7F1664D36C}" name="Column4313"/>
    <tableColumn id="4314" xr3:uid="{17AAC3D0-168C-4203-B379-5E3F47669504}" name="Column4314"/>
    <tableColumn id="4315" xr3:uid="{2FB3E1C7-8EC1-49B0-A415-D279208AF4AB}" name="Column4315"/>
    <tableColumn id="4316" xr3:uid="{318AFD86-B5CB-4E19-8FE1-D6DC07F0646F}" name="Column4316"/>
    <tableColumn id="4317" xr3:uid="{4A327B89-BF94-480D-8A74-DDA109852317}" name="Column4317"/>
    <tableColumn id="4318" xr3:uid="{31F25819-C79B-460A-B988-2FE77683FCB3}" name="Column4318"/>
    <tableColumn id="4319" xr3:uid="{0A910E13-6AAC-4BF3-B725-B894217817F1}" name="Column4319"/>
    <tableColumn id="4320" xr3:uid="{63BBCDD4-0387-4C10-9698-2719C615BC0E}" name="Column4320"/>
    <tableColumn id="4321" xr3:uid="{7C852801-6D3D-4C4F-87BC-D1CB2884DBC6}" name="Column4321"/>
    <tableColumn id="4322" xr3:uid="{192E77A9-151A-4832-8670-54D4E548BF1D}" name="Column4322"/>
    <tableColumn id="4323" xr3:uid="{8C7C26CF-5D7E-4592-B558-B189A2A7FDC3}" name="Column4323"/>
    <tableColumn id="4324" xr3:uid="{3960E09C-CEF5-4F84-B401-AF791FCDDF5A}" name="Column4324"/>
    <tableColumn id="4325" xr3:uid="{8BE0D3B5-D225-41D4-ADF2-E7E02017708C}" name="Column4325"/>
    <tableColumn id="4326" xr3:uid="{DEEC7CEA-5696-472E-A71B-85F4C553718F}" name="Column4326"/>
    <tableColumn id="4327" xr3:uid="{B26B277F-1F0B-4EB7-A9C0-1CB772CE4548}" name="Column4327"/>
    <tableColumn id="4328" xr3:uid="{9D0FC2C7-53AE-4745-90D9-011325A02F36}" name="Column4328"/>
    <tableColumn id="4329" xr3:uid="{F5025C63-DF4E-4B0C-AEB4-0B0EDF0268AA}" name="Column4329"/>
    <tableColumn id="4330" xr3:uid="{8B7C5632-EE94-475A-B008-74F2C4948D8A}" name="Column4330"/>
    <tableColumn id="4331" xr3:uid="{A824AB76-3D45-4777-BECE-4A028AAE8799}" name="Column4331"/>
    <tableColumn id="4332" xr3:uid="{D9B850F7-21A4-4BD5-B013-630919A7E074}" name="Column4332"/>
    <tableColumn id="4333" xr3:uid="{C4C05BF2-7C59-4EBA-95B5-2DDBA7FFD79B}" name="Column4333"/>
    <tableColumn id="4334" xr3:uid="{3F9490A9-4F99-40B3-B603-86353E5EFB33}" name="Column4334"/>
    <tableColumn id="4335" xr3:uid="{7FD4F1D8-95BD-4F58-A97F-BE457BD3D534}" name="Column4335"/>
    <tableColumn id="4336" xr3:uid="{628B3C61-ADEA-47BE-BA0D-00187C5B8B3F}" name="Column4336"/>
    <tableColumn id="4337" xr3:uid="{E64F8A35-2341-4FD2-9E29-BAC51E685F6A}" name="Column4337"/>
    <tableColumn id="4338" xr3:uid="{134FAF39-79E6-4F1E-B7ED-97B94AFD24FF}" name="Column4338"/>
    <tableColumn id="4339" xr3:uid="{16C9DFDF-39C4-4DA2-B68C-CF0220650F04}" name="Column4339"/>
    <tableColumn id="4340" xr3:uid="{15E40B94-D57A-4BEE-871B-E083CBF37718}" name="Column4340"/>
    <tableColumn id="4341" xr3:uid="{D4B74815-A5CF-4D5A-9F17-5C5709581AD3}" name="Column4341"/>
    <tableColumn id="4342" xr3:uid="{F277F595-0D80-4D62-B234-9B67EBF6DD3B}" name="Column4342"/>
    <tableColumn id="4343" xr3:uid="{4068791D-6854-4602-AEF1-DA0D3D657A99}" name="Column4343"/>
    <tableColumn id="4344" xr3:uid="{CB126D73-4DFE-4190-AE00-74A499761A9A}" name="Column4344"/>
    <tableColumn id="4345" xr3:uid="{3BFCD383-1F44-461F-BFF4-86E0933D8287}" name="Column4345"/>
    <tableColumn id="4346" xr3:uid="{34ED471F-DC01-43EA-9738-382ACEBBE4FE}" name="Column4346"/>
    <tableColumn id="4347" xr3:uid="{BD6DECFC-3EAC-4E06-B77E-5B162DA4F862}" name="Column4347"/>
    <tableColumn id="4348" xr3:uid="{4A1A5486-6BE9-444A-8406-6A4F887B67D2}" name="Column4348"/>
    <tableColumn id="4349" xr3:uid="{D9C17813-E300-4851-AA1C-57CD8B17D707}" name="Column4349"/>
    <tableColumn id="4350" xr3:uid="{22FE8A95-DE10-45A6-88C2-E57F1E0B1E09}" name="Column4350"/>
    <tableColumn id="4351" xr3:uid="{ED373B29-CD40-4B5B-973B-044C52EC670C}" name="Column4351"/>
    <tableColumn id="4352" xr3:uid="{4F1D8C5A-7815-4ACC-B332-A6907A0501BC}" name="Column4352"/>
    <tableColumn id="4353" xr3:uid="{AC416510-4CA5-4CE1-9DEB-175683F1B6E1}" name="Column4353"/>
    <tableColumn id="4354" xr3:uid="{276B0F64-6CCE-4258-B748-86771765A067}" name="Column4354"/>
    <tableColumn id="4355" xr3:uid="{3EB22E84-F70E-4F7A-8056-82904FA0AEC3}" name="Column4355"/>
    <tableColumn id="4356" xr3:uid="{DC7B355D-E776-4E96-990B-92793C3AB493}" name="Column4356"/>
    <tableColumn id="4357" xr3:uid="{93536E72-C52A-4A7A-A282-7F0EC63F8312}" name="Column4357"/>
    <tableColumn id="4358" xr3:uid="{A7A29502-7F5F-4E90-ADAA-A396B651F660}" name="Column4358"/>
    <tableColumn id="4359" xr3:uid="{0F9B4DC4-1ABB-4BB8-8A5B-4A6C4D6E2093}" name="Column4359"/>
    <tableColumn id="4360" xr3:uid="{CC18CEBA-A61C-4174-916D-20F8E1D7CB16}" name="Column4360"/>
    <tableColumn id="4361" xr3:uid="{07967C2E-38D9-42FC-B24E-F8238830A617}" name="Column4361"/>
    <tableColumn id="4362" xr3:uid="{93E8AED5-179F-47BC-8553-5D8AB71250CA}" name="Column4362"/>
    <tableColumn id="4363" xr3:uid="{3BB290A2-6107-4B71-A40D-D9BFC0710FD1}" name="Column4363"/>
    <tableColumn id="4364" xr3:uid="{2A4287C4-54D0-4F9A-9741-63C70F38BF09}" name="Column4364"/>
    <tableColumn id="4365" xr3:uid="{AD628D37-D08E-4B40-8381-9D8A97844784}" name="Column4365"/>
    <tableColumn id="4366" xr3:uid="{01A071F4-DA63-42CD-9B7E-B7B2D972C817}" name="Column4366"/>
    <tableColumn id="4367" xr3:uid="{30CD7FF6-CF52-4A36-9644-0825E9C6FE8F}" name="Column4367"/>
    <tableColumn id="4368" xr3:uid="{F5A801A3-B3A0-4031-9C25-A03AAA6BF426}" name="Column4368"/>
    <tableColumn id="4369" xr3:uid="{49098D89-8B90-4629-9A63-6B1B267B325C}" name="Column4369"/>
    <tableColumn id="4370" xr3:uid="{8127A825-F9C0-49FB-9340-FAA3A3DFB587}" name="Column4370"/>
    <tableColumn id="4371" xr3:uid="{3EB0CA89-4315-4F8B-998C-40657884E5FD}" name="Column4371"/>
    <tableColumn id="4372" xr3:uid="{4737425D-D439-4577-869E-6AC0087BCC30}" name="Column4372"/>
    <tableColumn id="4373" xr3:uid="{81855CFC-067C-43FA-9A4E-29E3083AA81F}" name="Column4373"/>
    <tableColumn id="4374" xr3:uid="{0BDCBF14-3C9D-440F-81F5-4F5955702E04}" name="Column4374"/>
    <tableColumn id="4375" xr3:uid="{87760683-EE0F-4FE0-87A5-1A71B5BE6433}" name="Column4375"/>
    <tableColumn id="4376" xr3:uid="{D7F73841-2D72-4A89-A489-79B98FEB19F3}" name="Column4376"/>
    <tableColumn id="4377" xr3:uid="{31190804-417C-4E90-A26C-4AF1AD2DBBEF}" name="Column4377"/>
    <tableColumn id="4378" xr3:uid="{82B61561-FEFE-4D49-A53D-D423B3FFFEAF}" name="Column4378"/>
    <tableColumn id="4379" xr3:uid="{90450ED3-E2A0-4A2D-8052-BA5AC52EB0EA}" name="Column4379"/>
    <tableColumn id="4380" xr3:uid="{0DF7B0F2-426C-4047-BA56-0A762571296A}" name="Column4380"/>
    <tableColumn id="4381" xr3:uid="{9AD06316-EFF0-4A70-AFA4-86F7BE023384}" name="Column4381"/>
    <tableColumn id="4382" xr3:uid="{B8B61CDA-C375-4CF7-8344-CDD11429DD1B}" name="Column4382"/>
    <tableColumn id="4383" xr3:uid="{CBDABA22-417D-4769-A52F-CDBCB69F104E}" name="Column4383"/>
    <tableColumn id="4384" xr3:uid="{1EB3E2C4-5BB5-48BF-9AE4-F7790CF987DA}" name="Column4384"/>
    <tableColumn id="4385" xr3:uid="{553198AB-2B7D-469D-958C-A47DF840674E}" name="Column4385"/>
    <tableColumn id="4386" xr3:uid="{F3437244-67D8-41E9-9DCF-53BA5BA7F961}" name="Column4386"/>
    <tableColumn id="4387" xr3:uid="{BA85BAD7-E2EE-437A-9CEB-8FB323D0021E}" name="Column4387"/>
    <tableColumn id="4388" xr3:uid="{5A311F65-A68F-43C4-9052-29178FB5E13C}" name="Column4388"/>
    <tableColumn id="4389" xr3:uid="{33684443-EE7B-471F-918B-8B4C3781B7AF}" name="Column4389"/>
    <tableColumn id="4390" xr3:uid="{7DDCBEBF-9D2C-47E9-A04C-F47D7D2B9054}" name="Column4390"/>
    <tableColumn id="4391" xr3:uid="{028615B5-FEB7-489B-BE6E-5BC9EB513E01}" name="Column4391"/>
    <tableColumn id="4392" xr3:uid="{AC524782-097A-485E-A9EC-22219FC50370}" name="Column4392"/>
    <tableColumn id="4393" xr3:uid="{999FCEE2-EF18-412B-96E4-2A3FF7C502A5}" name="Column4393"/>
    <tableColumn id="4394" xr3:uid="{3CE8C497-51D1-4DBD-B02F-4357BC51D649}" name="Column4394"/>
    <tableColumn id="4395" xr3:uid="{9384B314-7FAE-4059-A579-736B2D2A61C3}" name="Column4395"/>
    <tableColumn id="4396" xr3:uid="{5BC7D010-782C-4563-AEA6-CB3A65F28F9C}" name="Column4396"/>
    <tableColumn id="4397" xr3:uid="{D65E886E-38BD-4E4A-ACD5-A786AC0DAB1E}" name="Column4397"/>
    <tableColumn id="4398" xr3:uid="{972156A8-9DF0-4715-9541-3F083B2FE075}" name="Column4398"/>
    <tableColumn id="4399" xr3:uid="{1BBC5514-2CDC-43FE-82A5-52835F23E5F1}" name="Column4399"/>
    <tableColumn id="4400" xr3:uid="{3F763C9E-8515-47F9-A430-DE25967F1632}" name="Column4400"/>
    <tableColumn id="4401" xr3:uid="{1CC26CF8-1EFB-4BE3-B4E5-982F6CD5926B}" name="Column4401"/>
    <tableColumn id="4402" xr3:uid="{A5CD4BF8-59D5-4AF8-8867-E671A5897942}" name="Column4402"/>
    <tableColumn id="4403" xr3:uid="{B62AEF28-92FA-4B0C-9D7D-6303EA0CC1D7}" name="Column4403"/>
    <tableColumn id="4404" xr3:uid="{E3AAAC8C-9781-48F8-8B19-AA0DAECAABFD}" name="Column4404"/>
    <tableColumn id="4405" xr3:uid="{A7295743-2B94-4537-B1E7-329B1609E46B}" name="Column4405"/>
    <tableColumn id="4406" xr3:uid="{224B7006-CAE8-4EEF-B66C-B8CC24EED387}" name="Column4406"/>
    <tableColumn id="4407" xr3:uid="{4B9A16ED-AF11-4E75-AABA-27D1BE67E0FC}" name="Column4407"/>
    <tableColumn id="4408" xr3:uid="{BEFF9571-1ABA-4282-98C3-E8871459E447}" name="Column4408"/>
    <tableColumn id="4409" xr3:uid="{639CA1BD-9722-4D89-B007-45A1A792F0BC}" name="Column4409"/>
    <tableColumn id="4410" xr3:uid="{AC12ADFE-A03E-42A0-9816-8906147D5BFF}" name="Column4410"/>
    <tableColumn id="4411" xr3:uid="{282F6A02-C74A-47DB-B933-67DB84D41727}" name="Column4411"/>
    <tableColumn id="4412" xr3:uid="{EEB51D04-DC27-4C17-9E5E-E7D1C71111F0}" name="Column4412"/>
    <tableColumn id="4413" xr3:uid="{225D55AD-41F0-4584-BF24-FB98CC7FEFD5}" name="Column4413"/>
    <tableColumn id="4414" xr3:uid="{CB5AD497-4BCB-44F2-9DBC-B29EBA8769D2}" name="Column4414"/>
    <tableColumn id="4415" xr3:uid="{140063B1-609C-4BC1-A135-EA3F8ABE23C6}" name="Column4415"/>
    <tableColumn id="4416" xr3:uid="{1786D9A8-E5F7-4FFC-ABE2-A84C9A6C5D3C}" name="Column4416"/>
    <tableColumn id="4417" xr3:uid="{AD9204B0-E057-4C5D-9668-2AF530B1750B}" name="Column4417"/>
    <tableColumn id="4418" xr3:uid="{1B43642A-2188-4A8C-B829-9E2C6F76E353}" name="Column4418"/>
    <tableColumn id="4419" xr3:uid="{53DFBC9B-AFFE-4C63-B307-8BDEFDD258C9}" name="Column4419"/>
    <tableColumn id="4420" xr3:uid="{BEF92934-D819-4E9B-A577-D77979D3DF1F}" name="Column4420"/>
    <tableColumn id="4421" xr3:uid="{6AACB83B-E310-4B42-A048-C345F9064B2F}" name="Column4421"/>
    <tableColumn id="4422" xr3:uid="{3A68C7B2-B5A4-4999-B584-2C0B888A14B1}" name="Column4422"/>
    <tableColumn id="4423" xr3:uid="{06EBEC5E-5FA6-4013-A997-F60C5A06D4EF}" name="Column4423"/>
    <tableColumn id="4424" xr3:uid="{5F1B7F5C-EE0F-4D4A-A01A-B462237EBA51}" name="Column4424"/>
    <tableColumn id="4425" xr3:uid="{80E0D483-7486-4E8C-B446-4E5037EE03D6}" name="Column4425"/>
    <tableColumn id="4426" xr3:uid="{DC907F2C-D23F-4BED-B909-BB52430A08B0}" name="Column4426"/>
    <tableColumn id="4427" xr3:uid="{E687CBEA-A125-4F56-8115-58FE360B2B5A}" name="Column4427"/>
    <tableColumn id="4428" xr3:uid="{F56A9203-CD2C-4E88-AD9D-46A4DF24D9EC}" name="Column4428"/>
    <tableColumn id="4429" xr3:uid="{17650963-EE62-4B0D-8A09-2C24B7B41397}" name="Column4429"/>
    <tableColumn id="4430" xr3:uid="{0E39299A-09ED-4DBC-A54B-C445F2EB787E}" name="Column4430"/>
    <tableColumn id="4431" xr3:uid="{31ED7B21-AF6C-45FF-B61F-F369BA57F8A5}" name="Column4431"/>
    <tableColumn id="4432" xr3:uid="{F88C8FBD-0286-4715-849D-0F06187F07F9}" name="Column4432"/>
    <tableColumn id="4433" xr3:uid="{2B72DABF-45FA-48EC-8192-462E6155EE6B}" name="Column4433"/>
    <tableColumn id="4434" xr3:uid="{1F07C6F1-A5CA-4B46-8319-F0D7075DB4B9}" name="Column4434"/>
    <tableColumn id="4435" xr3:uid="{C26B5A4F-8778-4C9A-801F-AB1C540D63D1}" name="Column4435"/>
    <tableColumn id="4436" xr3:uid="{82F049BF-959E-4C59-ABD6-1C950930979A}" name="Column4436"/>
    <tableColumn id="4437" xr3:uid="{4C2FF240-82C4-49C7-A029-868AE9B9C11B}" name="Column4437"/>
    <tableColumn id="4438" xr3:uid="{91EE4BC5-1CDD-418F-B0FF-749372ED2922}" name="Column4438"/>
    <tableColumn id="4439" xr3:uid="{857370B7-A10B-4A27-9446-EE02A93ACDDE}" name="Column4439"/>
    <tableColumn id="4440" xr3:uid="{E2D03D10-7D7F-4A03-9AA2-DE805EF87BC2}" name="Column4440"/>
    <tableColumn id="4441" xr3:uid="{4D1E36DB-AFF3-48FB-A143-2D71B0D943A5}" name="Column4441"/>
    <tableColumn id="4442" xr3:uid="{43E1B8A7-1E4C-4A5C-9132-A8B84628B38F}" name="Column4442"/>
    <tableColumn id="4443" xr3:uid="{7A02F17E-7FBE-4A7F-AB66-D38352375FA0}" name="Column4443"/>
    <tableColumn id="4444" xr3:uid="{CDDC2033-330B-4A46-ACEC-95D317B1939C}" name="Column4444"/>
    <tableColumn id="4445" xr3:uid="{39134256-1C43-45F2-A4B5-3B7EE8E220B8}" name="Column4445"/>
    <tableColumn id="4446" xr3:uid="{CE04BF73-B526-43F9-846B-50109FDD1538}" name="Column4446"/>
    <tableColumn id="4447" xr3:uid="{06034707-0A3D-4267-B6AD-354110C29B4F}" name="Column4447"/>
    <tableColumn id="4448" xr3:uid="{2EF85111-3546-4A1E-A7E7-541BC06C9CAF}" name="Column4448"/>
    <tableColumn id="4449" xr3:uid="{08D9900D-60C5-4ECC-BF39-CFF38C5035F8}" name="Column4449"/>
    <tableColumn id="4450" xr3:uid="{561FE415-FE98-4EF1-8FFB-A002E9927CF8}" name="Column4450"/>
    <tableColumn id="4451" xr3:uid="{097759DB-1364-444F-AA11-C64E01962BB4}" name="Column4451"/>
    <tableColumn id="4452" xr3:uid="{A66BA57C-FA06-443A-80B6-33198E842170}" name="Column4452"/>
    <tableColumn id="4453" xr3:uid="{489C4A63-72AB-478D-AE1E-B05FCEDB8D1C}" name="Column4453"/>
    <tableColumn id="4454" xr3:uid="{F7895833-E397-4C08-8297-8AC02E271B01}" name="Column4454"/>
    <tableColumn id="4455" xr3:uid="{9CA21D26-C675-49BB-8206-25D23A3AEB52}" name="Column4455"/>
    <tableColumn id="4456" xr3:uid="{E79D5552-BFC8-47A0-9C7B-B6D735BFF01B}" name="Column4456"/>
    <tableColumn id="4457" xr3:uid="{1B28BDB6-2093-49A2-BC8B-6FB07032C875}" name="Column4457"/>
    <tableColumn id="4458" xr3:uid="{5426914E-AAA6-4FF7-8039-83493DF88470}" name="Column4458"/>
    <tableColumn id="4459" xr3:uid="{B86DE420-38CF-4163-954E-CFDE4DC661BE}" name="Column4459"/>
    <tableColumn id="4460" xr3:uid="{52074BD5-243A-4886-A25C-655ECA52D1A9}" name="Column4460"/>
    <tableColumn id="4461" xr3:uid="{9859EA61-89E4-44A0-9F1C-1965DE56ABCD}" name="Column4461"/>
    <tableColumn id="4462" xr3:uid="{DA8612A7-4EAE-4047-B9FD-F7155214CA60}" name="Column4462"/>
    <tableColumn id="4463" xr3:uid="{FC33A5EE-7C40-4EA4-8E08-189EBE8778BD}" name="Column4463"/>
    <tableColumn id="4464" xr3:uid="{899AD7CC-DC67-464C-A528-803592EB6F23}" name="Column4464"/>
    <tableColumn id="4465" xr3:uid="{B521CC51-A365-4EA1-8C50-782BCBF08C0B}" name="Column4465"/>
    <tableColumn id="4466" xr3:uid="{528015B2-3CCC-4DF7-982A-236C61CFA883}" name="Column4466"/>
    <tableColumn id="4467" xr3:uid="{D854BD9E-3E75-45A9-BE10-20CB1D322B02}" name="Column4467"/>
    <tableColumn id="4468" xr3:uid="{25102497-DFCF-4730-9658-36EF89C2F1B8}" name="Column4468"/>
    <tableColumn id="4469" xr3:uid="{C58FA226-0B06-4496-AFF0-D224329ECF05}" name="Column4469"/>
    <tableColumn id="4470" xr3:uid="{F9058432-0D23-450B-8048-717D7B47FF83}" name="Column4470"/>
    <tableColumn id="4471" xr3:uid="{D8A3AEB0-F2A3-4EA6-A922-64633690037D}" name="Column4471"/>
    <tableColumn id="4472" xr3:uid="{9DB57241-7FBE-47AA-95CD-4A0B252B7570}" name="Column4472"/>
    <tableColumn id="4473" xr3:uid="{F313E2F3-922A-4EEE-BD41-1D0BC49A256A}" name="Column4473"/>
    <tableColumn id="4474" xr3:uid="{31E68E46-0A05-48AF-BC40-EC50E606F499}" name="Column4474"/>
    <tableColumn id="4475" xr3:uid="{EB4B5AA3-E52D-438F-B988-AD76E396F265}" name="Column4475"/>
    <tableColumn id="4476" xr3:uid="{29F93139-B5D8-4242-AA97-1D73569A0D43}" name="Column4476"/>
    <tableColumn id="4477" xr3:uid="{6DB01606-6DA2-408C-9D39-B41CC836226D}" name="Column4477"/>
    <tableColumn id="4478" xr3:uid="{7CB6CFED-48A1-4536-95D0-3F2C84AA387E}" name="Column4478"/>
    <tableColumn id="4479" xr3:uid="{148AF321-1769-40E2-B205-140FD1A6B240}" name="Column4479"/>
    <tableColumn id="4480" xr3:uid="{0E9EDFC5-9E5A-4C15-A3A2-93C525BA7A30}" name="Column4480"/>
    <tableColumn id="4481" xr3:uid="{9D68C472-4460-4E41-9296-D3B6D55DA2C8}" name="Column4481"/>
    <tableColumn id="4482" xr3:uid="{D5F1C1BE-725B-4B9E-B167-193A027B234C}" name="Column4482"/>
    <tableColumn id="4483" xr3:uid="{8004CB9E-D880-4DBE-9BA7-8B5789FED5DE}" name="Column4483"/>
    <tableColumn id="4484" xr3:uid="{A51E3CE9-F763-45CF-8C9A-C93F61213EFA}" name="Column4484"/>
    <tableColumn id="4485" xr3:uid="{DACE979B-40D4-45CC-936B-6A55A104E6D0}" name="Column4485"/>
    <tableColumn id="4486" xr3:uid="{9D95A0F8-F069-4481-9448-70D9F9E2CDA2}" name="Column4486"/>
    <tableColumn id="4487" xr3:uid="{67AAD066-A8D8-48FF-BCFB-FE3482504CD4}" name="Column4487"/>
    <tableColumn id="4488" xr3:uid="{F3268EF6-B84E-454C-8BB8-3308E0EE4585}" name="Column4488"/>
    <tableColumn id="4489" xr3:uid="{987E522B-2AFE-4B4C-8029-D10BDFE65FDF}" name="Column4489"/>
    <tableColumn id="4490" xr3:uid="{7D115D5C-B530-4B2C-A8E0-CD7D6ABFE8F0}" name="Column4490"/>
    <tableColumn id="4491" xr3:uid="{A1B342C2-90B5-4449-83BB-A2DDE37D1DBB}" name="Column4491"/>
    <tableColumn id="4492" xr3:uid="{12AB213E-37FB-42BB-B2C8-08D4F93E3551}" name="Column4492"/>
    <tableColumn id="4493" xr3:uid="{608ACC63-FBED-467B-BB3A-1A4FC21C0544}" name="Column4493"/>
    <tableColumn id="4494" xr3:uid="{22146552-D3AA-4F45-9170-300B636BB6E9}" name="Column4494"/>
    <tableColumn id="4495" xr3:uid="{1E573043-B212-4D41-A8E0-0F6452E15E1E}" name="Column4495"/>
    <tableColumn id="4496" xr3:uid="{FD1F889C-AF4E-41FE-A1E9-685663ED9DE5}" name="Column4496"/>
    <tableColumn id="4497" xr3:uid="{38556499-60AA-4BD2-B5E2-0998FFF2DB36}" name="Column4497"/>
    <tableColumn id="4498" xr3:uid="{F6634552-D73B-49AC-8911-7179EE95DA8E}" name="Column4498"/>
    <tableColumn id="4499" xr3:uid="{5F0A3E98-BBF5-4A42-B442-097D2FCD3002}" name="Column4499"/>
    <tableColumn id="4500" xr3:uid="{F4F76121-3CE1-4ED7-B6C6-EF28F1F3894E}" name="Column4500"/>
    <tableColumn id="4501" xr3:uid="{4D7BE716-07D0-4638-B504-2F02D5FE3D35}" name="Column4501"/>
    <tableColumn id="4502" xr3:uid="{D585FABF-0B89-4061-8B9A-047ED1B5313A}" name="Column4502"/>
    <tableColumn id="4503" xr3:uid="{B998028E-CC86-4B6F-8A0A-0E59629A3359}" name="Column4503"/>
    <tableColumn id="4504" xr3:uid="{C82A493A-299A-49D6-A9DD-1855C96C8920}" name="Column4504"/>
    <tableColumn id="4505" xr3:uid="{EBC5033A-16BC-4918-B743-B81C7648855C}" name="Column4505"/>
    <tableColumn id="4506" xr3:uid="{28428A98-608D-4017-BE56-1110D09223AB}" name="Column4506"/>
    <tableColumn id="4507" xr3:uid="{C60B8B0D-1B41-4649-942F-DD00BFFCE1D2}" name="Column4507"/>
    <tableColumn id="4508" xr3:uid="{C2296987-3BB4-45F6-BD43-B96E29716783}" name="Column4508"/>
    <tableColumn id="4509" xr3:uid="{6AA3F41F-8312-4E0F-BCA7-908A6C2DF6EB}" name="Column4509"/>
    <tableColumn id="4510" xr3:uid="{3558DF70-8AD3-4701-9B73-22E88D8379E4}" name="Column4510"/>
    <tableColumn id="4511" xr3:uid="{7EC53C49-94DB-4153-BD11-2A57DCFB608D}" name="Column4511"/>
    <tableColumn id="4512" xr3:uid="{5C78D301-01C5-480C-AB7E-1DA93DD160BA}" name="Column4512"/>
    <tableColumn id="4513" xr3:uid="{1586EAAD-7E6A-4419-8D4C-6BD68D622356}" name="Column4513"/>
    <tableColumn id="4514" xr3:uid="{E594288D-A3D3-4564-9B00-943CCCD81935}" name="Column4514"/>
    <tableColumn id="4515" xr3:uid="{C0EB1C8F-9950-4CA9-A460-859DBFC40CA4}" name="Column4515"/>
    <tableColumn id="4516" xr3:uid="{1BD5ED97-2203-4E02-B45E-F0CBBDEA8FB2}" name="Column4516"/>
    <tableColumn id="4517" xr3:uid="{97FCDBD8-1603-4C71-8760-7F4FC424E0B5}" name="Column4517"/>
    <tableColumn id="4518" xr3:uid="{E621614E-FF74-4076-9ACE-D23BB9A7FC5F}" name="Column4518"/>
    <tableColumn id="4519" xr3:uid="{ECA4F118-B02C-4DEB-8168-CED531DDDC72}" name="Column4519"/>
    <tableColumn id="4520" xr3:uid="{5B98A8D0-8D8D-4972-BEE0-3F4041C93751}" name="Column4520"/>
    <tableColumn id="4521" xr3:uid="{AD4B2140-A77F-438E-AF14-2C8297B76F8F}" name="Column4521"/>
    <tableColumn id="4522" xr3:uid="{E17B4C56-E990-4D11-AB04-215EF87AEC5F}" name="Column4522"/>
    <tableColumn id="4523" xr3:uid="{7D3D8A44-0C66-4191-94C3-9500499BD394}" name="Column4523"/>
    <tableColumn id="4524" xr3:uid="{C928FF18-E690-4ABF-82E6-DD2AD0F77896}" name="Column4524"/>
    <tableColumn id="4525" xr3:uid="{C705020F-5648-460F-9C37-5D99E6E7A876}" name="Column4525"/>
    <tableColumn id="4526" xr3:uid="{CD03B2F7-1E8B-417B-9C95-4DF335067A69}" name="Column4526"/>
    <tableColumn id="4527" xr3:uid="{D14EA4BE-A3D0-42E8-AE1C-FEB398E614A0}" name="Column4527"/>
    <tableColumn id="4528" xr3:uid="{2E18ED74-4AE5-486F-A0F0-A0AE0AB836A1}" name="Column4528"/>
    <tableColumn id="4529" xr3:uid="{B8A7A50E-43A2-4EEB-995C-1F2907C26658}" name="Column4529"/>
    <tableColumn id="4530" xr3:uid="{7082E441-75FD-45DD-A3E5-D8E661C1945C}" name="Column4530"/>
    <tableColumn id="4531" xr3:uid="{23F244D4-1866-45A5-82FB-E129E1196F7E}" name="Column4531"/>
    <tableColumn id="4532" xr3:uid="{0C8D9CD5-6F28-423E-AC06-045A63A973B5}" name="Column4532"/>
    <tableColumn id="4533" xr3:uid="{BB63E7E2-5FE5-4493-B6ED-7DEB914E8DC0}" name="Column4533"/>
    <tableColumn id="4534" xr3:uid="{E8298EAD-27EB-41BE-8E02-5EF93ADBA9D0}" name="Column4534"/>
    <tableColumn id="4535" xr3:uid="{8CBE7D43-1859-4143-AC88-93FF12810446}" name="Column4535"/>
    <tableColumn id="4536" xr3:uid="{8E35A029-EAD4-43CE-AED1-7676D78C720D}" name="Column4536"/>
    <tableColumn id="4537" xr3:uid="{1DD978F7-68A0-47F2-BD80-5CF8EE407EF8}" name="Column4537"/>
    <tableColumn id="4538" xr3:uid="{0A73D581-972B-4171-AA85-A24F53C856B7}" name="Column4538"/>
    <tableColumn id="4539" xr3:uid="{27903C1C-9D64-48D0-B9EC-683CF1F453D0}" name="Column4539"/>
    <tableColumn id="4540" xr3:uid="{81C3A3C2-6224-408D-BAB2-2690C0F5280A}" name="Column4540"/>
    <tableColumn id="4541" xr3:uid="{A5D48874-E857-4645-9D0D-FA3BFF134298}" name="Column4541"/>
    <tableColumn id="4542" xr3:uid="{903D9CB0-654E-4555-9DAD-D5570A61941F}" name="Column4542"/>
    <tableColumn id="4543" xr3:uid="{665BC206-6BE6-41CB-809F-33857A8EC7E7}" name="Column4543"/>
    <tableColumn id="4544" xr3:uid="{F36A2E43-A068-4958-BABF-84D9D7111172}" name="Column4544"/>
    <tableColumn id="4545" xr3:uid="{FE59DC5C-6823-437B-84F8-0C70A2770198}" name="Column4545"/>
    <tableColumn id="4546" xr3:uid="{2E367D62-028C-490D-A87E-B50256AE1287}" name="Column4546"/>
    <tableColumn id="4547" xr3:uid="{39EDB1CA-7AA5-4FA7-B090-36DD72644760}" name="Column4547"/>
    <tableColumn id="4548" xr3:uid="{DBBF3229-5B20-488B-969C-98BFE1C0E056}" name="Column4548"/>
    <tableColumn id="4549" xr3:uid="{9AD7FAF5-6DD0-485A-8636-A4AE7C799A8F}" name="Column4549"/>
    <tableColumn id="4550" xr3:uid="{7795C7EE-696E-415B-989A-1D0A0FD57D3E}" name="Column4550"/>
    <tableColumn id="4551" xr3:uid="{851F1294-45AB-4191-AFA2-ED975597C566}" name="Column4551"/>
    <tableColumn id="4552" xr3:uid="{16ECF312-9C46-4699-A5DD-E6F8C89D539F}" name="Column4552"/>
    <tableColumn id="4553" xr3:uid="{776137EE-653F-4FB5-AC7B-8CBBF28E02AC}" name="Column4553"/>
    <tableColumn id="4554" xr3:uid="{6E518BAC-2EA5-4C47-BB23-2AE752A3D29A}" name="Column4554"/>
    <tableColumn id="4555" xr3:uid="{27FB88BB-FC92-4A7F-8813-2BFEDF44A7FA}" name="Column4555"/>
    <tableColumn id="4556" xr3:uid="{B08AEFC2-8882-4366-88BB-368B6A6775D2}" name="Column4556"/>
    <tableColumn id="4557" xr3:uid="{B46BAB81-5E1F-4358-BE9F-C7B290412374}" name="Column4557"/>
    <tableColumn id="4558" xr3:uid="{3019D224-71E6-48BE-A399-9333DB5714A6}" name="Column4558"/>
    <tableColumn id="4559" xr3:uid="{BA7FE5A1-0736-49EA-B77C-8C9D596C5A54}" name="Column4559"/>
    <tableColumn id="4560" xr3:uid="{1456271C-A934-4A13-9B36-2B7BFBE17A84}" name="Column4560"/>
    <tableColumn id="4561" xr3:uid="{8A3F4B46-43FB-4867-913E-C474912AA9AB}" name="Column4561"/>
    <tableColumn id="4562" xr3:uid="{9B95665D-D7BD-4B94-85E5-6CE3C624AD49}" name="Column4562"/>
    <tableColumn id="4563" xr3:uid="{4568E59D-1959-4A61-B56B-DCC9B5C6AED2}" name="Column4563"/>
    <tableColumn id="4564" xr3:uid="{03612280-E6E6-4478-9531-286288CE9226}" name="Column4564"/>
    <tableColumn id="4565" xr3:uid="{5DCFA23E-6CE9-4D1A-ACC6-5EA153121253}" name="Column4565"/>
    <tableColumn id="4566" xr3:uid="{FE282EEB-BE89-405D-AB84-2506C2BBDD04}" name="Column4566"/>
    <tableColumn id="4567" xr3:uid="{441E2341-4B53-41AF-A357-F34582838B80}" name="Column4567"/>
    <tableColumn id="4568" xr3:uid="{0C4E8837-4A25-416A-A0F7-E2AFD8243C28}" name="Column4568"/>
    <tableColumn id="4569" xr3:uid="{FA8A0D4C-8828-4332-B169-270B34F4473C}" name="Column4569"/>
    <tableColumn id="4570" xr3:uid="{302F103B-56A1-42A3-937C-F1A4196494CD}" name="Column4570"/>
    <tableColumn id="4571" xr3:uid="{4C7D7CCA-9647-4608-80EF-105D95D1213D}" name="Column4571"/>
    <tableColumn id="4572" xr3:uid="{4FCAF566-8BD8-456E-9F58-B29A7A886A46}" name="Column4572"/>
    <tableColumn id="4573" xr3:uid="{C7AB8235-3710-4903-ADD3-2AB69B9082BA}" name="Column4573"/>
    <tableColumn id="4574" xr3:uid="{AC7523EB-09AA-434C-A9AE-FEF466C12FE1}" name="Column4574"/>
    <tableColumn id="4575" xr3:uid="{64B0DFD3-3E22-4253-BD23-D58A4DE4FA5E}" name="Column4575"/>
    <tableColumn id="4576" xr3:uid="{DB5AB86F-797F-4847-BE07-185B85CA904B}" name="Column4576"/>
    <tableColumn id="4577" xr3:uid="{A25B878B-2A49-4F36-8288-30A839CA42B4}" name="Column4577"/>
    <tableColumn id="4578" xr3:uid="{3E306780-FE40-41B2-AD42-317B1879D3E6}" name="Column4578"/>
    <tableColumn id="4579" xr3:uid="{B363EAA8-A755-44A5-A21C-38D5F2D0A48E}" name="Column4579"/>
    <tableColumn id="4580" xr3:uid="{ED9AE99A-AC10-4B82-9C13-DC7716469435}" name="Column4580"/>
    <tableColumn id="4581" xr3:uid="{8153CD31-5697-48B6-928B-82EE77D46A3C}" name="Column4581"/>
    <tableColumn id="4582" xr3:uid="{A0B47215-7296-4444-A6EB-0BB9AF1D9B41}" name="Column4582"/>
    <tableColumn id="4583" xr3:uid="{195D1C9A-9C92-4F64-B74A-52AFFE192832}" name="Column4583"/>
    <tableColumn id="4584" xr3:uid="{8726128C-4FDC-4275-B17B-734AABF31789}" name="Column4584"/>
    <tableColumn id="4585" xr3:uid="{C3043C7B-277B-4620-8487-08B59925A396}" name="Column4585"/>
    <tableColumn id="4586" xr3:uid="{ACC76AB3-DE95-4F3A-9203-B186771FBA42}" name="Column4586"/>
    <tableColumn id="4587" xr3:uid="{450C2F9F-5B66-4D42-8FBB-95BB08A10E8E}" name="Column4587"/>
    <tableColumn id="4588" xr3:uid="{C24DA6A9-6C9A-4093-B846-F394BFC8F625}" name="Column4588"/>
    <tableColumn id="4589" xr3:uid="{5037791A-C53C-482B-8AB8-44ED0D299649}" name="Column4589"/>
    <tableColumn id="4590" xr3:uid="{51A08E93-AAC1-4038-BD7A-93957F55EDA0}" name="Column4590"/>
    <tableColumn id="4591" xr3:uid="{476358EF-B045-4011-A18F-2E6895BCF9AF}" name="Column4591"/>
    <tableColumn id="4592" xr3:uid="{7EA46AC4-0880-4705-BA3A-593C50B8CC12}" name="Column4592"/>
    <tableColumn id="4593" xr3:uid="{09021831-20F3-41A6-9E45-662D65A07FE1}" name="Column4593"/>
    <tableColumn id="4594" xr3:uid="{A3E1A08C-223A-46FA-8DF2-C13498CB6192}" name="Column4594"/>
    <tableColumn id="4595" xr3:uid="{E41D508C-14A9-499A-8A78-FC345A10AD0B}" name="Column4595"/>
    <tableColumn id="4596" xr3:uid="{EFA732DB-DCF2-4ADC-86F2-9BF9F6993B60}" name="Column4596"/>
    <tableColumn id="4597" xr3:uid="{E70877F4-BBB9-4873-B3E4-9CEDEBBA2D0D}" name="Column4597"/>
    <tableColumn id="4598" xr3:uid="{167EB1EA-DF40-4D83-9D35-5514016DB67B}" name="Column4598"/>
    <tableColumn id="4599" xr3:uid="{8A568D70-2B19-47BD-AAA0-598C62A713E1}" name="Column4599"/>
    <tableColumn id="4600" xr3:uid="{4F5F1717-8CEE-4EB9-94BC-0C2975A65565}" name="Column4600"/>
    <tableColumn id="4601" xr3:uid="{0B49033F-94E6-4843-96F0-2C754A9033A9}" name="Column4601"/>
    <tableColumn id="4602" xr3:uid="{1B22F0EF-DFC7-46F7-8D39-DD464B825B3D}" name="Column4602"/>
    <tableColumn id="4603" xr3:uid="{B9D94195-AB3A-45D7-923C-BA9311F7BF0F}" name="Column4603"/>
    <tableColumn id="4604" xr3:uid="{2212AEC3-EC56-43D8-9565-2210C385058F}" name="Column4604"/>
    <tableColumn id="4605" xr3:uid="{CF86A95E-0C66-4137-9347-C95CD13B87EF}" name="Column4605"/>
    <tableColumn id="4606" xr3:uid="{C6B9F727-D613-4D5D-8658-5EE798142F7D}" name="Column4606"/>
    <tableColumn id="4607" xr3:uid="{FDC1F761-5E9E-4A57-814E-94D5E7161792}" name="Column4607"/>
    <tableColumn id="4608" xr3:uid="{44EC906B-1089-464F-B141-82DBEDD10D18}" name="Column4608"/>
    <tableColumn id="4609" xr3:uid="{A646C5E8-6372-4C87-99EF-1E13E22ACE79}" name="Column4609"/>
    <tableColumn id="4610" xr3:uid="{FF20EAF7-E8A4-4C6C-9CC3-8784694E98C1}" name="Column4610"/>
    <tableColumn id="4611" xr3:uid="{842049FD-CC25-4D47-A414-B9B6AC9707D8}" name="Column4611"/>
    <tableColumn id="4612" xr3:uid="{CA82DFC6-D1FC-4B8F-89B6-D81FBE492612}" name="Column4612"/>
    <tableColumn id="4613" xr3:uid="{F769AC4B-465A-4CB7-84BF-6A39EB3A97D9}" name="Column4613"/>
    <tableColumn id="4614" xr3:uid="{D5081BB5-2B8C-4F05-B5B5-F5B6846FB243}" name="Column4614"/>
    <tableColumn id="4615" xr3:uid="{EF5BC8D8-02D8-44F8-9F58-EA3E1A870C31}" name="Column4615"/>
    <tableColumn id="4616" xr3:uid="{785F5F12-D4DA-4E9A-8878-C98EB462F6C9}" name="Column4616"/>
    <tableColumn id="4617" xr3:uid="{23312C39-8BE9-4D47-BA32-4F004471C479}" name="Column4617"/>
    <tableColumn id="4618" xr3:uid="{3FCFE173-78CD-490A-9D05-A362C65C1B6B}" name="Column4618"/>
    <tableColumn id="4619" xr3:uid="{8C9FFD66-F516-42E1-BDB6-388C48E33BB9}" name="Column4619"/>
    <tableColumn id="4620" xr3:uid="{0F8F3270-99EF-46FC-9116-964AF43BC230}" name="Column4620"/>
    <tableColumn id="4621" xr3:uid="{EA39D52B-AA15-4908-B85B-AE7FD37A96F1}" name="Column4621"/>
    <tableColumn id="4622" xr3:uid="{2BC7501A-2BAF-49DA-9B03-5FE1E3069FF5}" name="Column4622"/>
    <tableColumn id="4623" xr3:uid="{15128A5A-CE2D-4BFE-A6EA-DD4524204A60}" name="Column4623"/>
    <tableColumn id="4624" xr3:uid="{C5C8C4AF-8D2B-466B-B811-779ECA5A26C9}" name="Column4624"/>
    <tableColumn id="4625" xr3:uid="{AB8CD3CD-D0E5-46DC-BCF7-152CA7834127}" name="Column4625"/>
    <tableColumn id="4626" xr3:uid="{549D7D5B-3EF5-408F-AEE3-ED277C0C3A9C}" name="Column4626"/>
    <tableColumn id="4627" xr3:uid="{0EF6EDD1-3428-4D2A-9B51-4BFF2E27F7B5}" name="Column4627"/>
    <tableColumn id="4628" xr3:uid="{8FF7D47D-2B76-4904-AD21-1FEDB4A0E995}" name="Column4628"/>
    <tableColumn id="4629" xr3:uid="{BC7E2A11-091F-49A1-B300-5C4ED15A184F}" name="Column4629"/>
    <tableColumn id="4630" xr3:uid="{85E2EED1-593C-49AE-A253-B933724E14D2}" name="Column4630"/>
    <tableColumn id="4631" xr3:uid="{B03D1C09-C4C5-4F9E-8C97-A6B94CB8469A}" name="Column4631"/>
    <tableColumn id="4632" xr3:uid="{7709F4AA-340A-4084-B5CE-CFC1F9A48589}" name="Column4632"/>
    <tableColumn id="4633" xr3:uid="{CCD3EFC9-377C-4EAF-B958-21BE887F140D}" name="Column4633"/>
    <tableColumn id="4634" xr3:uid="{45AE7582-9B30-45E8-84EC-CEFFC8DEA88C}" name="Column4634"/>
    <tableColumn id="4635" xr3:uid="{69FD8841-0DB0-4408-ADD3-7E98BBB6DB1D}" name="Column4635"/>
    <tableColumn id="4636" xr3:uid="{EDBCF397-FF4E-4D82-ACB6-0B1CEACD57B5}" name="Column4636"/>
    <tableColumn id="4637" xr3:uid="{1777A6C9-A947-489F-BE50-92DB7E3D957A}" name="Column4637"/>
    <tableColumn id="4638" xr3:uid="{0E913D0F-30F7-4FAE-9C38-7DD29D32C5D2}" name="Column4638"/>
    <tableColumn id="4639" xr3:uid="{033F02DD-11CF-4864-A2EF-345D28B78A32}" name="Column4639"/>
    <tableColumn id="4640" xr3:uid="{ADF38C9D-C2E0-44A0-8258-7983E61A37E3}" name="Column4640"/>
    <tableColumn id="4641" xr3:uid="{FC0E2CAC-E482-41F2-847D-91FE7898804A}" name="Column4641"/>
    <tableColumn id="4642" xr3:uid="{7C8FAB20-9FE1-43CD-920A-569E418F9801}" name="Column4642"/>
    <tableColumn id="4643" xr3:uid="{BAEE4358-01F8-4C34-AE01-4A6AFC92D517}" name="Column4643"/>
    <tableColumn id="4644" xr3:uid="{F36F4EF1-74A2-47C2-A5E3-571A5EF15C18}" name="Column4644"/>
    <tableColumn id="4645" xr3:uid="{B5D1AD27-CB06-4269-8CBE-347A9A45182C}" name="Column4645"/>
    <tableColumn id="4646" xr3:uid="{942BB841-EEB6-4EC0-8CAE-D6ED032A4D87}" name="Column4646"/>
    <tableColumn id="4647" xr3:uid="{44582F4B-2B47-4CDE-BF83-5797B926CBCD}" name="Column4647"/>
    <tableColumn id="4648" xr3:uid="{A508BD70-1670-456C-A002-C247E210681A}" name="Column4648"/>
    <tableColumn id="4649" xr3:uid="{21B0E16B-1DBF-4652-88C3-9A86C9443527}" name="Column4649"/>
    <tableColumn id="4650" xr3:uid="{37BC6886-9959-4075-B6C1-0F47C12EB471}" name="Column4650"/>
    <tableColumn id="4651" xr3:uid="{479BF6F3-A258-4DD1-9FA0-B3E5E5E50044}" name="Column4651"/>
    <tableColumn id="4652" xr3:uid="{95A17EAE-D5A9-45FE-A0F8-EF7D98B2C39F}" name="Column4652"/>
    <tableColumn id="4653" xr3:uid="{BB9F5D8D-BBD5-4D10-8E7F-35E71DAFB4FD}" name="Column4653"/>
    <tableColumn id="4654" xr3:uid="{D7E21AB1-7587-4EDE-A49B-5FA5B6710DE5}" name="Column4654"/>
    <tableColumn id="4655" xr3:uid="{06ADDEF5-1C48-4818-9C18-4802B074F2F5}" name="Column4655"/>
    <tableColumn id="4656" xr3:uid="{2A6DF37B-E42B-411F-9529-66A1A8A3E8B5}" name="Column4656"/>
    <tableColumn id="4657" xr3:uid="{1F28021D-01D5-4093-B449-C32A33EFE82D}" name="Column4657"/>
    <tableColumn id="4658" xr3:uid="{E71E144B-78D1-4CFB-9992-0853D0FE7FF9}" name="Column4658"/>
    <tableColumn id="4659" xr3:uid="{972A169C-140C-4354-93C2-B51E3CDB4D29}" name="Column4659"/>
    <tableColumn id="4660" xr3:uid="{8C8B91E5-BCAE-4EC2-8AA8-4430B35BD5FC}" name="Column4660"/>
    <tableColumn id="4661" xr3:uid="{6F8054A4-ACD4-45B1-AD17-11E829D9CFB8}" name="Column4661"/>
    <tableColumn id="4662" xr3:uid="{4BDADAD4-CE63-4E6F-967D-6852B090031D}" name="Column4662"/>
    <tableColumn id="4663" xr3:uid="{586BDF16-E15E-45AA-9FC1-F85BEAA0668A}" name="Column4663"/>
    <tableColumn id="4664" xr3:uid="{0C8E4F69-8A43-41FC-8219-B64C3135A6E2}" name="Column4664"/>
    <tableColumn id="4665" xr3:uid="{706732BA-6819-44D9-8697-0506728882E3}" name="Column4665"/>
    <tableColumn id="4666" xr3:uid="{8C17FAD2-2753-467D-82F9-AA1510B760D0}" name="Column4666"/>
    <tableColumn id="4667" xr3:uid="{2B2037FE-75E2-4C47-B5CE-EE8A631C0709}" name="Column4667"/>
    <tableColumn id="4668" xr3:uid="{DF6B42C1-843A-40CC-A49D-A6EF27F9B321}" name="Column4668"/>
    <tableColumn id="4669" xr3:uid="{93C81500-0741-4FE7-8EBA-EF4BBE5E8B76}" name="Column4669"/>
    <tableColumn id="4670" xr3:uid="{CB5B02B2-6019-44A3-8472-1A73DD365A74}" name="Column4670"/>
    <tableColumn id="4671" xr3:uid="{7508CE3B-7F9D-4F31-9B93-A34B28387115}" name="Column4671"/>
    <tableColumn id="4672" xr3:uid="{9DB187EA-C780-4736-BF9A-CDF5D3F7355D}" name="Column4672"/>
    <tableColumn id="4673" xr3:uid="{703EFEF2-54C2-43EA-92C7-FE9D46C41EBF}" name="Column4673"/>
    <tableColumn id="4674" xr3:uid="{BE18E995-ECB1-4C74-A0CE-4604E43CE64E}" name="Column4674"/>
    <tableColumn id="4675" xr3:uid="{B46A5C6A-5494-4072-B65D-474DDD787CA9}" name="Column4675"/>
    <tableColumn id="4676" xr3:uid="{27299783-3FB2-4B12-9322-36FD662C6F3B}" name="Column4676"/>
    <tableColumn id="4677" xr3:uid="{CDC2A43A-C6B7-47AF-ADAB-3537B5F9B564}" name="Column4677"/>
    <tableColumn id="4678" xr3:uid="{EBF544E8-4928-4E08-A6E9-47F7F3F61D87}" name="Column4678"/>
    <tableColumn id="4679" xr3:uid="{18FF4F09-CCFB-4EE0-85AB-7FFDB191134D}" name="Column4679"/>
    <tableColumn id="4680" xr3:uid="{D22A83FF-A053-4E4C-BE77-9595B7F10ECF}" name="Column4680"/>
    <tableColumn id="4681" xr3:uid="{28719063-C9CF-41F4-8817-C5BCA8EBBFD5}" name="Column4681"/>
    <tableColumn id="4682" xr3:uid="{B5103F6F-6392-4AAF-9B9E-113ED3A04145}" name="Column4682"/>
    <tableColumn id="4683" xr3:uid="{E36A75A6-9970-4A82-8E7A-7E67D373B237}" name="Column4683"/>
    <tableColumn id="4684" xr3:uid="{320F1780-6964-4B14-AB83-2BAD29FB7F56}" name="Column4684"/>
    <tableColumn id="4685" xr3:uid="{CD60332B-211A-460D-BF9D-8B881DAF6170}" name="Column4685"/>
    <tableColumn id="4686" xr3:uid="{DF9CF723-B7DA-4A59-BC80-298538DC4754}" name="Column4686"/>
    <tableColumn id="4687" xr3:uid="{54A18382-1B0A-4DCD-981F-ED3F7191473D}" name="Column4687"/>
    <tableColumn id="4688" xr3:uid="{B7EAC9B5-AE24-4A5F-99E1-957478C4C1C6}" name="Column4688"/>
    <tableColumn id="4689" xr3:uid="{916CFCDB-606D-4567-8D63-2D23137E2AFB}" name="Column4689"/>
    <tableColumn id="4690" xr3:uid="{BFC051A2-2115-4B40-A660-E600B72792EB}" name="Column4690"/>
    <tableColumn id="4691" xr3:uid="{CE0A6E22-02CD-41F7-B4AE-3383AFD9F6C5}" name="Column4691"/>
    <tableColumn id="4692" xr3:uid="{9EE4A461-1861-458B-88DB-A516FE2466AD}" name="Column4692"/>
    <tableColumn id="4693" xr3:uid="{13313891-3D14-419C-B2D4-88F0515AE50E}" name="Column4693"/>
    <tableColumn id="4694" xr3:uid="{2A342EB6-5188-4855-82AA-EC6819B5C2DF}" name="Column4694"/>
    <tableColumn id="4695" xr3:uid="{58D8B29E-6F46-411A-9AA2-BDB33F5D8969}" name="Column4695"/>
    <tableColumn id="4696" xr3:uid="{3B8A064E-FB49-48DF-8B54-FD4FFEF94EA6}" name="Column4696"/>
    <tableColumn id="4697" xr3:uid="{881A2A5C-4F93-4496-8F2B-C7EC201CF69A}" name="Column4697"/>
    <tableColumn id="4698" xr3:uid="{8DF77E19-032B-4D1B-BF68-A4C8939BD2E8}" name="Column4698"/>
    <tableColumn id="4699" xr3:uid="{88DC6DA8-9669-4722-BF11-9929F490F979}" name="Column4699"/>
    <tableColumn id="4700" xr3:uid="{7170B84B-8A1A-4FCE-BDE1-17A65A636259}" name="Column4700"/>
    <tableColumn id="4701" xr3:uid="{5E3AE096-3018-4F27-9BA3-E177CEF2288F}" name="Column4701"/>
    <tableColumn id="4702" xr3:uid="{5EDAB461-1F40-4CDB-84FE-F917FA2060A7}" name="Column4702"/>
    <tableColumn id="4703" xr3:uid="{AB9F3DBF-1ABD-45CC-A12D-0F7647CD2113}" name="Column4703"/>
    <tableColumn id="4704" xr3:uid="{01CE7465-DD6F-4FC3-96A8-DBA21FE64F13}" name="Column4704"/>
    <tableColumn id="4705" xr3:uid="{D69931A2-A341-4147-9B1A-58CEE38DCDC9}" name="Column4705"/>
    <tableColumn id="4706" xr3:uid="{B715DD24-2F5C-4826-8C9D-DE4D892C8AFA}" name="Column4706"/>
    <tableColumn id="4707" xr3:uid="{A9D6625A-49FA-4ADF-983E-2ACCB00DE92B}" name="Column4707"/>
    <tableColumn id="4708" xr3:uid="{568AE8A1-C6A7-4778-A6B9-E254AFF9D493}" name="Column4708"/>
    <tableColumn id="4709" xr3:uid="{6707DA6F-C57F-4F45-8FCC-3D0AC57D7E8C}" name="Column4709"/>
    <tableColumn id="4710" xr3:uid="{7510C263-595D-4C71-AC98-0700DCD8D829}" name="Column4710"/>
    <tableColumn id="4711" xr3:uid="{9C75223A-F28F-4C2F-BF87-8A1C5FD1BF95}" name="Column4711"/>
    <tableColumn id="4712" xr3:uid="{572FDFDF-57B2-4CDA-9A0F-732F5A066901}" name="Column4712"/>
    <tableColumn id="4713" xr3:uid="{0EBC6E90-F742-4097-8217-C5DBF0E6A78B}" name="Column4713"/>
    <tableColumn id="4714" xr3:uid="{330749B9-63F1-40C1-AF25-474D724556CF}" name="Column4714"/>
    <tableColumn id="4715" xr3:uid="{33A9149C-E0AC-498C-8D08-0024B76C590F}" name="Column4715"/>
    <tableColumn id="4716" xr3:uid="{93937AAB-2B82-4BDF-ACBB-992338C7670A}" name="Column4716"/>
    <tableColumn id="4717" xr3:uid="{C3757F39-0592-4D36-852A-CD3A484C482E}" name="Column4717"/>
    <tableColumn id="4718" xr3:uid="{02882CA1-853A-4420-B7CA-8B69A8D7EE1C}" name="Column4718"/>
    <tableColumn id="4719" xr3:uid="{4334C061-4CCB-4228-888C-C1320CF877F6}" name="Column4719"/>
    <tableColumn id="4720" xr3:uid="{56E5BC48-27FB-42CC-B506-BD9DA97F6D5B}" name="Column4720"/>
    <tableColumn id="4721" xr3:uid="{FB14C8A9-26D0-4E5E-9E71-CEBC04C0330E}" name="Column4721"/>
    <tableColumn id="4722" xr3:uid="{2859B8F1-6D5E-4EA8-8850-57B2DB72252B}" name="Column4722"/>
    <tableColumn id="4723" xr3:uid="{2538D518-101A-44E9-9B34-742D02392476}" name="Column4723"/>
    <tableColumn id="4724" xr3:uid="{114B449E-D473-4375-864B-4D386F7CAB36}" name="Column4724"/>
    <tableColumn id="4725" xr3:uid="{577CEA13-6EFE-4CED-9330-2599AFEEE82B}" name="Column4725"/>
    <tableColumn id="4726" xr3:uid="{1B9EEF45-EA77-49D8-8277-5B64A50903E4}" name="Column4726"/>
    <tableColumn id="4727" xr3:uid="{8C6AC87A-96D3-4753-AFFD-65DB584ECDD0}" name="Column4727"/>
    <tableColumn id="4728" xr3:uid="{7DA7F4F8-8A7B-4C14-B013-3FD55A628529}" name="Column4728"/>
    <tableColumn id="4729" xr3:uid="{D3301C17-EC30-47B0-9025-D0CF3605A1F6}" name="Column4729"/>
    <tableColumn id="4730" xr3:uid="{9843AA49-0085-4822-98E2-739BC04A7B00}" name="Column4730"/>
    <tableColumn id="4731" xr3:uid="{0636BA84-4737-4923-9448-1A7ABF3E4F52}" name="Column4731"/>
    <tableColumn id="4732" xr3:uid="{63AA8CA8-F3ED-41E2-A3BC-42D6A16D1B1F}" name="Column4732"/>
    <tableColumn id="4733" xr3:uid="{882D12CB-B3EA-43C3-8C96-5094CDBF9B60}" name="Column4733"/>
    <tableColumn id="4734" xr3:uid="{B48CBF49-A161-483A-AF31-57D44BA256A3}" name="Column4734"/>
    <tableColumn id="4735" xr3:uid="{91D96FC8-1A3A-4798-A455-F41C418F9FB6}" name="Column4735"/>
    <tableColumn id="4736" xr3:uid="{7A3DFBBF-3336-4676-B686-A3F7C722F7A6}" name="Column4736"/>
    <tableColumn id="4737" xr3:uid="{91F503F2-C2F8-47EB-9F27-006470E03661}" name="Column4737"/>
    <tableColumn id="4738" xr3:uid="{815FC082-DA23-45A6-8881-610AC6E45BAE}" name="Column4738"/>
    <tableColumn id="4739" xr3:uid="{EE20D405-5A46-4438-BDCA-6882E0EA3F80}" name="Column4739"/>
    <tableColumn id="4740" xr3:uid="{BBA020A4-670A-46D7-BC64-423C8DE849F6}" name="Column4740"/>
    <tableColumn id="4741" xr3:uid="{B6B896E9-71F4-4808-BF36-350C79D25B07}" name="Column4741"/>
    <tableColumn id="4742" xr3:uid="{FD34A8DD-88D1-4DD9-9DAD-E320C47CBC9F}" name="Column4742"/>
    <tableColumn id="4743" xr3:uid="{1E758484-C9BE-4EFA-8217-7042924DC30A}" name="Column4743"/>
    <tableColumn id="4744" xr3:uid="{C7DD5636-9732-4273-BF92-92DC1DC79433}" name="Column4744"/>
    <tableColumn id="4745" xr3:uid="{369A72A2-F47A-4719-B172-FB5383C07E9B}" name="Column4745"/>
    <tableColumn id="4746" xr3:uid="{1A82C27B-66EE-47BE-91EC-94F8F89F152A}" name="Column4746"/>
    <tableColumn id="4747" xr3:uid="{3068A539-4737-4827-B833-AABD6D36BAF5}" name="Column4747"/>
    <tableColumn id="4748" xr3:uid="{A37BA9F8-423D-4F54-BACE-1407C264F462}" name="Column4748"/>
    <tableColumn id="4749" xr3:uid="{667CF5B1-C93E-45A9-99FF-EC290E927F96}" name="Column4749"/>
    <tableColumn id="4750" xr3:uid="{014779FA-84D8-4726-9675-C0CC06B15105}" name="Column4750"/>
    <tableColumn id="4751" xr3:uid="{4C78B616-264F-43B9-96AD-BDB5AD8155A4}" name="Column4751"/>
    <tableColumn id="4752" xr3:uid="{25E310EF-6EDE-447C-A73D-ED170CF313AE}" name="Column4752"/>
    <tableColumn id="4753" xr3:uid="{5B3A5060-C7DC-4B33-86AE-FE02B3487A44}" name="Column4753"/>
    <tableColumn id="4754" xr3:uid="{E0401BA3-A25E-48EE-9186-073B2C36804D}" name="Column4754"/>
    <tableColumn id="4755" xr3:uid="{D7681640-AB5B-4059-BFD2-563AA750FD27}" name="Column4755"/>
    <tableColumn id="4756" xr3:uid="{A7A85C0A-5B3F-4E6C-9A17-6DF595E6FE75}" name="Column4756"/>
    <tableColumn id="4757" xr3:uid="{580FD554-344C-4C1C-B408-81739C82BE48}" name="Column4757"/>
    <tableColumn id="4758" xr3:uid="{4DBC5190-81C3-44A9-B03D-AEC21A9A5180}" name="Column4758"/>
    <tableColumn id="4759" xr3:uid="{A172A33F-8279-4337-8E59-63D4FF122A44}" name="Column4759"/>
    <tableColumn id="4760" xr3:uid="{1DFFC569-EF6F-4B6F-9E42-28736D60E956}" name="Column4760"/>
    <tableColumn id="4761" xr3:uid="{29C118F3-97C0-4547-B91C-5AC99EC11A0A}" name="Column4761"/>
    <tableColumn id="4762" xr3:uid="{D92B2DD6-85AF-4F1A-B6A7-91BA25611290}" name="Column4762"/>
    <tableColumn id="4763" xr3:uid="{1B3B2D01-09D8-41F0-AF87-F1A00C7036FB}" name="Column4763"/>
    <tableColumn id="4764" xr3:uid="{96E44667-CC6E-4F5D-9F9B-E4449710985E}" name="Column4764"/>
    <tableColumn id="4765" xr3:uid="{0130E4B0-51BE-4F35-9239-253AFF925A6B}" name="Column4765"/>
    <tableColumn id="4766" xr3:uid="{1566D987-11ED-4A7B-9C2E-B32118571B3D}" name="Column4766"/>
    <tableColumn id="4767" xr3:uid="{1DC6DDE3-7B80-46BC-B74B-672DA97206E8}" name="Column4767"/>
    <tableColumn id="4768" xr3:uid="{BDA98EC5-773B-41C9-94AB-186466D1DDA6}" name="Column4768"/>
    <tableColumn id="4769" xr3:uid="{AB463ACD-ACFC-4DD8-9565-4387BCB8E902}" name="Column4769"/>
    <tableColumn id="4770" xr3:uid="{D4B0392E-C657-426D-A81E-876C82259C27}" name="Column4770"/>
    <tableColumn id="4771" xr3:uid="{3EEE673B-582F-455C-AACD-0371A057EDF3}" name="Column4771"/>
    <tableColumn id="4772" xr3:uid="{E0DA50FF-9E52-420D-9F85-A7B62742574A}" name="Column4772"/>
    <tableColumn id="4773" xr3:uid="{BBD12C12-0889-4837-A4E6-E03B9CF2FDB9}" name="Column4773"/>
    <tableColumn id="4774" xr3:uid="{DCC9A759-7ADB-4DC4-99F5-8869DFF51120}" name="Column4774"/>
    <tableColumn id="4775" xr3:uid="{3C37004C-03D6-4929-92B6-B7C1F5BEB405}" name="Column4775"/>
    <tableColumn id="4776" xr3:uid="{F13062F4-B53B-4584-BB19-72EDFF52BAA3}" name="Column4776"/>
    <tableColumn id="4777" xr3:uid="{28D6BF12-B511-4B37-A2C5-2D6F1FC0B69C}" name="Column4777"/>
    <tableColumn id="4778" xr3:uid="{4A0F2ECA-657E-4A02-9048-8B7A7AD08B2C}" name="Column4778"/>
    <tableColumn id="4779" xr3:uid="{7F23481B-E3F9-41B3-941C-012C40F2233B}" name="Column4779"/>
    <tableColumn id="4780" xr3:uid="{B2E13254-C688-40D2-9F9C-CA4AC906BA8A}" name="Column4780"/>
    <tableColumn id="4781" xr3:uid="{801327E4-9310-4B08-B0E5-E9F2F2A61981}" name="Column4781"/>
    <tableColumn id="4782" xr3:uid="{1B2E6E01-4890-4D74-B71A-9AA5CF1F8A1F}" name="Column4782"/>
    <tableColumn id="4783" xr3:uid="{BF037237-6414-4C0A-B42A-E13DF3781092}" name="Column4783"/>
    <tableColumn id="4784" xr3:uid="{1A98DFCE-BA43-486B-8435-1704639F8354}" name="Column4784"/>
    <tableColumn id="4785" xr3:uid="{652B7EB5-7156-42F9-830D-35E2073EB232}" name="Column4785"/>
    <tableColumn id="4786" xr3:uid="{7E575B43-7105-4E46-A737-4A80C306F5D6}" name="Column4786"/>
    <tableColumn id="4787" xr3:uid="{D36E68EB-8203-4563-85E7-9CD7E32B8332}" name="Column4787"/>
    <tableColumn id="4788" xr3:uid="{BCA5309D-2C66-4895-8AA6-7197D86A186A}" name="Column4788"/>
    <tableColumn id="4789" xr3:uid="{A9A592A8-E887-4F05-8E50-260C6CD4C635}" name="Column4789"/>
    <tableColumn id="4790" xr3:uid="{8DE48ABD-28A8-4D7A-A013-AC7C0BB09116}" name="Column4790"/>
    <tableColumn id="4791" xr3:uid="{F6CFF1A5-1504-401F-BCA4-5153D05FCDC8}" name="Column4791"/>
    <tableColumn id="4792" xr3:uid="{709B2E65-63E9-4D6F-B44F-CA543359A6DF}" name="Column4792"/>
    <tableColumn id="4793" xr3:uid="{08316B90-2DE0-49D4-9253-2BA8926B6D33}" name="Column4793"/>
    <tableColumn id="4794" xr3:uid="{A207D295-A36B-49FE-8981-9A5386FD41EF}" name="Column4794"/>
    <tableColumn id="4795" xr3:uid="{E8CE3754-912E-4018-A773-F22BC891F3BF}" name="Column4795"/>
    <tableColumn id="4796" xr3:uid="{566247A5-F45C-4904-9746-70BC32DBC8FC}" name="Column4796"/>
    <tableColumn id="4797" xr3:uid="{5DB82E60-A1E7-43E8-9BE7-C7947B5D6319}" name="Column4797"/>
    <tableColumn id="4798" xr3:uid="{F216768C-5EB4-45B7-896C-18FDE8ADA09C}" name="Column4798"/>
    <tableColumn id="4799" xr3:uid="{BD5CF823-3F24-4E26-AF07-247D51E10CB4}" name="Column4799"/>
    <tableColumn id="4800" xr3:uid="{3B2F5F42-282B-40D6-B217-A2B6A00150BC}" name="Column4800"/>
    <tableColumn id="4801" xr3:uid="{1807BC6B-1CDA-4EAA-BAD7-F797FACCB946}" name="Column4801"/>
    <tableColumn id="4802" xr3:uid="{81D9A25C-2FEE-4876-8D8B-B737CC05F004}" name="Column4802"/>
    <tableColumn id="4803" xr3:uid="{8650B371-CF83-488A-BDCA-3F24D64EA705}" name="Column4803"/>
    <tableColumn id="4804" xr3:uid="{F0D941BD-5368-4D4C-86DB-FB9DDB603574}" name="Column4804"/>
    <tableColumn id="4805" xr3:uid="{D62D485D-C881-4112-82B6-5CFCB3D94E49}" name="Column4805"/>
    <tableColumn id="4806" xr3:uid="{5EF54C65-8ECD-4DD7-80DE-B5652E258A9C}" name="Column4806"/>
    <tableColumn id="4807" xr3:uid="{01B27E1E-ADCC-4C88-8DA3-B5F97792ADEA}" name="Column4807"/>
    <tableColumn id="4808" xr3:uid="{E8CD19EA-69CF-4EF0-A49D-13699DEF5326}" name="Column4808"/>
    <tableColumn id="4809" xr3:uid="{CC914A4D-5556-48E7-AF18-95556A5F4126}" name="Column4809"/>
    <tableColumn id="4810" xr3:uid="{D6E23C9C-ACAC-41DB-A952-37E21849B31D}" name="Column4810"/>
    <tableColumn id="4811" xr3:uid="{3413DA2A-1A45-4910-A9B2-99D967F3DBB1}" name="Column4811"/>
    <tableColumn id="4812" xr3:uid="{4BF71082-8B34-48F2-ADC8-47A8998E3EB6}" name="Column4812"/>
    <tableColumn id="4813" xr3:uid="{120992FD-E355-4913-B735-704D02C44872}" name="Column4813"/>
    <tableColumn id="4814" xr3:uid="{ED712947-495A-4F9D-8A49-51C8E5137D86}" name="Column4814"/>
    <tableColumn id="4815" xr3:uid="{0F0DA2B0-EF08-469A-9A47-A2D4E5AAE797}" name="Column4815"/>
    <tableColumn id="4816" xr3:uid="{6A47B826-4E55-49E8-A524-D9968B74596A}" name="Column4816"/>
    <tableColumn id="4817" xr3:uid="{1982E212-423B-42EB-8D85-6C0241438C94}" name="Column4817"/>
    <tableColumn id="4818" xr3:uid="{D72BC726-6C56-435E-AEF1-20E6CC828CBE}" name="Column4818"/>
    <tableColumn id="4819" xr3:uid="{A8CCB1AB-605E-4A6F-963F-7086ADAB3960}" name="Column4819"/>
    <tableColumn id="4820" xr3:uid="{B1AA23AE-8C17-4D07-86AA-DBC017A22717}" name="Column4820"/>
    <tableColumn id="4821" xr3:uid="{265AE8F2-DB2D-4BFC-9300-2AA7C308E0E1}" name="Column4821"/>
    <tableColumn id="4822" xr3:uid="{6890BEBC-38D0-476D-99E8-61E4CAE12FCA}" name="Column4822"/>
    <tableColumn id="4823" xr3:uid="{CE327904-C976-4E08-AA45-9A97D51DCEA1}" name="Column4823"/>
    <tableColumn id="4824" xr3:uid="{C0718294-5CF8-46CD-966F-AC93BDFF7ACA}" name="Column4824"/>
    <tableColumn id="4825" xr3:uid="{D65011DE-F964-40EB-8994-1A76F42C80F3}" name="Column4825"/>
    <tableColumn id="4826" xr3:uid="{85A61E03-3F0A-4A35-8F08-CFEF29F10838}" name="Column4826"/>
    <tableColumn id="4827" xr3:uid="{8C85C17E-DEA4-417C-990B-26B171BB7746}" name="Column4827"/>
    <tableColumn id="4828" xr3:uid="{453CAA59-8151-40D0-ADCF-9AE1D9EA4C86}" name="Column4828"/>
    <tableColumn id="4829" xr3:uid="{741F5829-70F9-454D-8787-4EAC0B9BBD54}" name="Column4829"/>
    <tableColumn id="4830" xr3:uid="{B3C3FF94-507F-4C1F-A3C9-D390D53A3419}" name="Column4830"/>
    <tableColumn id="4831" xr3:uid="{D532665B-3E76-4461-8209-5ACB59DFF64D}" name="Column4831"/>
    <tableColumn id="4832" xr3:uid="{B6E8AF9C-5B6B-4F2A-B111-73AC6B79AB53}" name="Column4832"/>
    <tableColumn id="4833" xr3:uid="{15DF0BAD-E630-4C29-86E6-D411E4406BD5}" name="Column4833"/>
    <tableColumn id="4834" xr3:uid="{81145473-A54E-4FD9-8565-67B2ACCA5FD4}" name="Column4834"/>
    <tableColumn id="4835" xr3:uid="{F1DEBDFD-1284-47E3-AF8A-FA0FF457012D}" name="Column4835"/>
    <tableColumn id="4836" xr3:uid="{C435F24D-BA57-4C0F-90A6-0DEA066EF851}" name="Column4836"/>
    <tableColumn id="4837" xr3:uid="{88C09DC2-4BC4-4CAF-8A83-D349442DE97B}" name="Column4837"/>
    <tableColumn id="4838" xr3:uid="{8874249E-6B19-4EB5-B8BF-2B741AD6FA3A}" name="Column4838"/>
    <tableColumn id="4839" xr3:uid="{03EEE325-3670-4280-B2F3-1BF7ABB02B0E}" name="Column4839"/>
    <tableColumn id="4840" xr3:uid="{2CB1E48C-7951-4C26-9885-ABE9B6279BFC}" name="Column4840"/>
    <tableColumn id="4841" xr3:uid="{492C839E-476C-4036-96D1-CC75BB5C26C3}" name="Column4841"/>
    <tableColumn id="4842" xr3:uid="{317FF4ED-1F90-45A4-A892-F95C2D54BACD}" name="Column4842"/>
    <tableColumn id="4843" xr3:uid="{EC1EDF18-9EB2-4B5D-A4C9-587AD620F77B}" name="Column4843"/>
    <tableColumn id="4844" xr3:uid="{FA04B035-88C2-4387-B4CE-867658DB2135}" name="Column4844"/>
    <tableColumn id="4845" xr3:uid="{BDF6B4D6-379C-4775-A3D1-6D03EEF765DA}" name="Column4845"/>
    <tableColumn id="4846" xr3:uid="{32D73499-0374-4359-84B8-01AF901E6C61}" name="Column4846"/>
    <tableColumn id="4847" xr3:uid="{A79DF556-76A3-4A7F-9705-6D2F447171CE}" name="Column4847"/>
    <tableColumn id="4848" xr3:uid="{90BFB62C-F95F-4618-9439-BB09B3FA38A1}" name="Column4848"/>
    <tableColumn id="4849" xr3:uid="{2EFB6B77-D334-48BE-BF89-5CB929D1CECF}" name="Column4849"/>
    <tableColumn id="4850" xr3:uid="{1BA37B03-B2C0-402E-974B-B73B9C244800}" name="Column4850"/>
    <tableColumn id="4851" xr3:uid="{0C88F121-E40B-4308-B382-2CEA0E1F709B}" name="Column4851"/>
    <tableColumn id="4852" xr3:uid="{E659032C-3791-42BF-AAC8-56FA45B128A3}" name="Column4852"/>
    <tableColumn id="4853" xr3:uid="{20397724-A1BE-45A7-8E92-0AC0EDAE9585}" name="Column4853"/>
    <tableColumn id="4854" xr3:uid="{4FDE44E5-906D-41DA-B9AC-F3B7A7B7B82D}" name="Column4854"/>
    <tableColumn id="4855" xr3:uid="{A5BCA24A-376F-400F-A9EA-3E7640DD72D7}" name="Column4855"/>
    <tableColumn id="4856" xr3:uid="{7AC594CC-9EA2-475C-8C51-102302220DCB}" name="Column4856"/>
    <tableColumn id="4857" xr3:uid="{C1DD9AB8-FC3E-4FCF-9E65-4F8174FC6E10}" name="Column4857"/>
    <tableColumn id="4858" xr3:uid="{C4AB4932-CBAB-47D4-8FC5-1A3EE6E5B20D}" name="Column4858"/>
    <tableColumn id="4859" xr3:uid="{B9E85A08-ED0C-4693-AF5A-963655287782}" name="Column4859"/>
    <tableColumn id="4860" xr3:uid="{63053FEE-9365-450B-ADDF-1A59FCFDEF5F}" name="Column4860"/>
    <tableColumn id="4861" xr3:uid="{43C85AA2-1874-409F-9B75-712F3085C79F}" name="Column4861"/>
    <tableColumn id="4862" xr3:uid="{F31912A0-6A1B-454A-A37B-FA1A923EE508}" name="Column4862"/>
    <tableColumn id="4863" xr3:uid="{0A478051-8285-4BA7-8A17-010101EEAA1E}" name="Column4863"/>
    <tableColumn id="4864" xr3:uid="{B6C7E8BA-9E45-42AA-BCD7-280B98EE203F}" name="Column4864"/>
    <tableColumn id="4865" xr3:uid="{D9ED1F7F-AC28-4CCD-BB72-D6B4A37CE2B7}" name="Column4865"/>
    <tableColumn id="4866" xr3:uid="{B508F7B9-64B7-42C6-A0F6-D364C515EB94}" name="Column4866"/>
    <tableColumn id="4867" xr3:uid="{5FEAA2B3-C6A7-4C1E-9A17-A440B9DF0241}" name="Column4867"/>
    <tableColumn id="4868" xr3:uid="{69349977-6ABF-4283-BB27-5A75576371C8}" name="Column4868"/>
    <tableColumn id="4869" xr3:uid="{C777445A-DB47-44DA-8B00-94122E0E1486}" name="Column4869"/>
    <tableColumn id="4870" xr3:uid="{6345B7AB-248C-462D-A67F-9DF7CFE1715B}" name="Column4870"/>
    <tableColumn id="4871" xr3:uid="{86509E10-6DD3-445E-AE5F-CB4C5E9458E2}" name="Column4871"/>
    <tableColumn id="4872" xr3:uid="{DCFCA284-8A99-470F-8972-D4EDE4E9A514}" name="Column4872"/>
    <tableColumn id="4873" xr3:uid="{A7641530-2192-4496-9720-1A37397FF84B}" name="Column4873"/>
    <tableColumn id="4874" xr3:uid="{5FB2082D-B101-4E2E-8C19-3753B3FEB005}" name="Column4874"/>
    <tableColumn id="4875" xr3:uid="{CC7397DF-D483-46EE-97F1-760A2007C454}" name="Column4875"/>
    <tableColumn id="4876" xr3:uid="{75E3CAA5-E6C0-446C-AC07-26E9164DFB78}" name="Column4876"/>
    <tableColumn id="4877" xr3:uid="{25287DAD-394E-467A-9283-A92B96D538C7}" name="Column4877"/>
    <tableColumn id="4878" xr3:uid="{1698E19D-E8D2-4677-8F03-AD6FEF9C7484}" name="Column4878"/>
    <tableColumn id="4879" xr3:uid="{5670897B-BD32-4691-AD76-FB85A104E292}" name="Column4879"/>
    <tableColumn id="4880" xr3:uid="{D5202FEA-1997-4519-86D1-BDADDF284480}" name="Column4880"/>
    <tableColumn id="4881" xr3:uid="{12B0A514-57D9-4401-9BBF-40B30E7173EF}" name="Column4881"/>
    <tableColumn id="4882" xr3:uid="{BFA559E1-0C82-4E8A-AE18-6C849CDA8EB4}" name="Column4882"/>
    <tableColumn id="4883" xr3:uid="{7A739FD1-5FE0-4E9A-8DA2-745BDA112579}" name="Column4883"/>
    <tableColumn id="4884" xr3:uid="{7BD395C9-4F95-4CB3-B448-042599C0D5A1}" name="Column4884"/>
    <tableColumn id="4885" xr3:uid="{8B958281-7A39-4D56-8F69-B9C16B645881}" name="Column4885"/>
    <tableColumn id="4886" xr3:uid="{4E821EC0-95F8-497B-BC6C-51EF2DF21240}" name="Column4886"/>
    <tableColumn id="4887" xr3:uid="{F1A43D59-0955-499F-8DFC-F0B9BE99D71A}" name="Column4887"/>
    <tableColumn id="4888" xr3:uid="{90F26DFC-BD00-4CFF-9954-3B5C15A16F4F}" name="Column4888"/>
    <tableColumn id="4889" xr3:uid="{A8C4FDEA-3734-4D69-93D5-A3B76E255218}" name="Column4889"/>
    <tableColumn id="4890" xr3:uid="{6EC8AF68-B2E8-4B97-BEDD-661436ED2A5C}" name="Column4890"/>
    <tableColumn id="4891" xr3:uid="{74188C80-27A1-4196-ACA7-351EC132AEC1}" name="Column4891"/>
    <tableColumn id="4892" xr3:uid="{7052A39A-A143-4983-BDBA-0BD869F9124F}" name="Column4892"/>
    <tableColumn id="4893" xr3:uid="{50863BD9-78D7-4337-9DD8-757F1B12B1C1}" name="Column4893"/>
    <tableColumn id="4894" xr3:uid="{F29E7540-6018-4D7F-9F0D-E165EA5823FA}" name="Column4894"/>
    <tableColumn id="4895" xr3:uid="{AA66F0C8-8593-4FDF-A0CA-B9062324ECDD}" name="Column4895"/>
    <tableColumn id="4896" xr3:uid="{250BBB64-0557-4D86-A926-E85A49AAEF9D}" name="Column4896"/>
    <tableColumn id="4897" xr3:uid="{71C388F7-4220-4471-8AD2-DA4999CFF879}" name="Column4897"/>
    <tableColumn id="4898" xr3:uid="{B8303561-B64B-4A33-B666-29CB2BB72D93}" name="Column4898"/>
    <tableColumn id="4899" xr3:uid="{168971D9-4F54-4FDD-B9C6-12C8691ADFA6}" name="Column4899"/>
    <tableColumn id="4900" xr3:uid="{55ECEE81-8B43-428A-864B-09060DBA4454}" name="Column4900"/>
    <tableColumn id="4901" xr3:uid="{3D11C53C-A4C8-4008-A222-BBA790A33D74}" name="Column4901"/>
    <tableColumn id="4902" xr3:uid="{4A90BAE1-6EB3-4CBF-944D-D7BD439DE511}" name="Column4902"/>
    <tableColumn id="4903" xr3:uid="{7ACCEEFB-CADA-4ED4-852C-B08BEC13A673}" name="Column4903"/>
    <tableColumn id="4904" xr3:uid="{8EB7D001-F6BE-477F-B463-47A5461ADA43}" name="Column4904"/>
    <tableColumn id="4905" xr3:uid="{5FCC89A5-4145-4324-BBDF-57E5CE1B5A19}" name="Column4905"/>
    <tableColumn id="4906" xr3:uid="{A93E215D-6E00-4167-8FAB-090E70EF0AC5}" name="Column4906"/>
    <tableColumn id="4907" xr3:uid="{F7460E0B-26C3-488D-AD82-1C21B5966C8D}" name="Column4907"/>
    <tableColumn id="4908" xr3:uid="{BD16000A-C05C-4528-AE02-F95BE95D77F9}" name="Column4908"/>
    <tableColumn id="4909" xr3:uid="{783C7EBB-CFC9-493A-AAA6-856CA1D2E37B}" name="Column4909"/>
    <tableColumn id="4910" xr3:uid="{32075999-9CD8-4296-BBDB-38AE8C60BE7B}" name="Column4910"/>
    <tableColumn id="4911" xr3:uid="{B0BFEEBB-A8CC-41E1-9822-3A40647955AC}" name="Column4911"/>
    <tableColumn id="4912" xr3:uid="{7C57BF7D-CA27-4195-91C7-96F231D452B4}" name="Column4912"/>
    <tableColumn id="4913" xr3:uid="{A5CF7F65-4794-4C5D-87E1-B35EB891E638}" name="Column4913"/>
    <tableColumn id="4914" xr3:uid="{59C5B461-19B9-4896-9075-2755C02F36DB}" name="Column4914"/>
    <tableColumn id="4915" xr3:uid="{ABE0A042-180C-4781-A95F-D3D4322732E4}" name="Column4915"/>
    <tableColumn id="4916" xr3:uid="{C37AE98E-AECD-43A0-ADC3-7C174DF5BE37}" name="Column4916"/>
    <tableColumn id="4917" xr3:uid="{109A33B5-29B6-456A-A450-4BDA54A02060}" name="Column4917"/>
    <tableColumn id="4918" xr3:uid="{6E1523E2-5B97-42F3-B8E8-978926DF1B02}" name="Column4918"/>
    <tableColumn id="4919" xr3:uid="{E06F4632-4FCD-43D1-BEC9-FDADB02491FA}" name="Column4919"/>
    <tableColumn id="4920" xr3:uid="{A459D6CB-E9DF-4A2B-B8A8-60C870356B86}" name="Column4920"/>
    <tableColumn id="4921" xr3:uid="{03436909-FC69-495C-9F3F-A681D658B7C6}" name="Column4921"/>
    <tableColumn id="4922" xr3:uid="{B9E09AA6-4B3F-4C23-A8B2-8414A27FD62C}" name="Column4922"/>
    <tableColumn id="4923" xr3:uid="{1603F81A-591C-48D7-8A9A-CF11C9E8018D}" name="Column4923"/>
    <tableColumn id="4924" xr3:uid="{AA5C59E6-2E7A-4D6B-BD8B-16EA5AB5197D}" name="Column4924"/>
    <tableColumn id="4925" xr3:uid="{FC88A1A1-8E27-4B2A-8AC9-BAECCD9319CB}" name="Column4925"/>
    <tableColumn id="4926" xr3:uid="{BD34CFD7-2602-47B2-92AC-2E2FF6752AF4}" name="Column4926"/>
    <tableColumn id="4927" xr3:uid="{6D5B00FB-E2A7-4A01-96C8-E07BEB7A34D0}" name="Column4927"/>
    <tableColumn id="4928" xr3:uid="{A3781614-B804-4D80-A3A2-76D9CE5C0A4A}" name="Column4928"/>
    <tableColumn id="4929" xr3:uid="{84CC3E69-00E3-458F-9E2E-EDB6CEDC5352}" name="Column4929"/>
    <tableColumn id="4930" xr3:uid="{2A488F7B-F829-4258-A265-0B1533B954F3}" name="Column4930"/>
    <tableColumn id="4931" xr3:uid="{7B915AFD-DF8D-49DD-99AE-FDB5E964A17D}" name="Column4931"/>
    <tableColumn id="4932" xr3:uid="{74359C68-433E-408C-9001-68F5F04EFFE3}" name="Column4932"/>
    <tableColumn id="4933" xr3:uid="{CF37CE53-DE41-43F9-B48F-6E604D48A38E}" name="Column4933"/>
    <tableColumn id="4934" xr3:uid="{455A39BE-6D1E-44F1-92ED-752CB4389169}" name="Column4934"/>
    <tableColumn id="4935" xr3:uid="{C1042516-25E0-4C97-88C0-A1082839C0BE}" name="Column4935"/>
    <tableColumn id="4936" xr3:uid="{B5DC184B-0866-4BDE-8C95-12678865E832}" name="Column4936"/>
    <tableColumn id="4937" xr3:uid="{55D9BE30-1486-40F8-AE33-27A7935B92F3}" name="Column4937"/>
    <tableColumn id="4938" xr3:uid="{EFF8DEB5-CC02-43B3-84CB-7C5A29790688}" name="Column4938"/>
    <tableColumn id="4939" xr3:uid="{E8790C3D-EB15-4017-A5FE-91470C8E31EE}" name="Column4939"/>
    <tableColumn id="4940" xr3:uid="{C155F5FA-0AC0-4DA6-8B07-E97223991014}" name="Column4940"/>
    <tableColumn id="4941" xr3:uid="{650D0CBE-7323-47A5-9954-010517A44413}" name="Column4941"/>
    <tableColumn id="4942" xr3:uid="{46BDEF3D-F31B-4ADC-AA83-D8249CC2CE0D}" name="Column4942"/>
    <tableColumn id="4943" xr3:uid="{DFBED721-2804-43F8-9AD1-C633B6B1EB5F}" name="Column4943"/>
    <tableColumn id="4944" xr3:uid="{D03A0112-2C98-4CBA-8F4E-43E406C80F38}" name="Column4944"/>
    <tableColumn id="4945" xr3:uid="{B8686127-6C32-49E2-9DE8-A6AC0936C8B7}" name="Column4945"/>
    <tableColumn id="4946" xr3:uid="{C3D551E2-4AB9-41C6-B945-BDEE250C6956}" name="Column4946"/>
    <tableColumn id="4947" xr3:uid="{BC4DFDEC-B6F9-4440-83CC-3F4660ACC607}" name="Column4947"/>
    <tableColumn id="4948" xr3:uid="{03298D77-FA32-4ECA-B797-1DAD6F15490B}" name="Column4948"/>
    <tableColumn id="4949" xr3:uid="{E8CF8C8C-358B-4DD5-B62F-C474EEC2F03F}" name="Column4949"/>
    <tableColumn id="4950" xr3:uid="{1F8B955A-C124-468D-B760-9871912F88BB}" name="Column4950"/>
    <tableColumn id="4951" xr3:uid="{4871D5E2-DF71-4781-93DE-7B9E10751401}" name="Column4951"/>
    <tableColumn id="4952" xr3:uid="{CD9D722A-413B-4B4C-9259-EB8C7A63CD2D}" name="Column4952"/>
    <tableColumn id="4953" xr3:uid="{38370FC8-4259-4D62-B97F-A9AA6F65EA2C}" name="Column4953"/>
    <tableColumn id="4954" xr3:uid="{C7A47B0A-45E4-46B6-9919-18FBACC770F1}" name="Column4954"/>
    <tableColumn id="4955" xr3:uid="{0FACE24A-87A8-4C37-A98E-03AD8104C505}" name="Column4955"/>
    <tableColumn id="4956" xr3:uid="{49CFBBB3-10BB-45B0-BAD4-20EBD6491FA9}" name="Column4956"/>
    <tableColumn id="4957" xr3:uid="{2F0F196E-A3C4-42BA-AB0D-F4E1522CF6A4}" name="Column4957"/>
    <tableColumn id="4958" xr3:uid="{2341F7FC-24A8-4B83-AB23-585F05DD6272}" name="Column4958"/>
    <tableColumn id="4959" xr3:uid="{B6832739-45DA-416D-ACEA-86E8265B3A32}" name="Column4959"/>
    <tableColumn id="4960" xr3:uid="{F962D1FF-E1BA-462B-9CA0-B07CE55DC847}" name="Column4960"/>
    <tableColumn id="4961" xr3:uid="{551F856A-2B25-4B5A-9F2C-68A3CF226159}" name="Column4961"/>
    <tableColumn id="4962" xr3:uid="{5A8F1A41-1927-4DFF-9F17-02C0C3355308}" name="Column4962"/>
    <tableColumn id="4963" xr3:uid="{D2357CEF-034F-46EA-8705-6CEE44CCA320}" name="Column4963"/>
    <tableColumn id="4964" xr3:uid="{D1F66CA3-BDD0-45E0-A84B-A54D88397A86}" name="Column4964"/>
    <tableColumn id="4965" xr3:uid="{6960829B-0F13-4F2E-892B-C5CD38127C59}" name="Column4965"/>
    <tableColumn id="4966" xr3:uid="{54D527C4-3D40-4046-B317-824D50844C37}" name="Column4966"/>
    <tableColumn id="4967" xr3:uid="{BBF39F94-29AC-4198-A330-E809C522C116}" name="Column4967"/>
    <tableColumn id="4968" xr3:uid="{E1479F0A-7622-4043-8A38-B3CE2A83E10B}" name="Column4968"/>
    <tableColumn id="4969" xr3:uid="{1F8F420E-73B4-42F3-BCA6-2948E8260A07}" name="Column4969"/>
    <tableColumn id="4970" xr3:uid="{58C331BC-398F-4C73-B344-E4C3DBB4CF91}" name="Column4970"/>
    <tableColumn id="4971" xr3:uid="{A5925774-57FA-463F-909F-7FE1F0C066A3}" name="Column4971"/>
    <tableColumn id="4972" xr3:uid="{95BD0E63-48FD-4523-A089-E4C4B69096BA}" name="Column4972"/>
    <tableColumn id="4973" xr3:uid="{9D7203A1-1F6B-4F0F-80A5-64F3F489234D}" name="Column4973"/>
    <tableColumn id="4974" xr3:uid="{6E170719-7D15-451C-BD3B-E90BD29350E5}" name="Column4974"/>
    <tableColumn id="4975" xr3:uid="{0CCB09F2-BE85-4660-A6A1-ED4CBDC08728}" name="Column4975"/>
    <tableColumn id="4976" xr3:uid="{D97DA8F3-7738-413C-8526-662BD8C6BADD}" name="Column4976"/>
    <tableColumn id="4977" xr3:uid="{7BC94FAB-D21F-4C38-8D0D-69D4EA502292}" name="Column4977"/>
    <tableColumn id="4978" xr3:uid="{6A962BCC-E4B1-4031-BDB0-99D34A89E880}" name="Column4978"/>
    <tableColumn id="4979" xr3:uid="{2264E37C-DB05-46E6-95A6-A5A5DF1CC7E1}" name="Column4979"/>
    <tableColumn id="4980" xr3:uid="{2969817A-9DB5-4ECD-8C9A-9D7D235532AC}" name="Column4980"/>
    <tableColumn id="4981" xr3:uid="{43F1B516-41E1-4C1D-82E1-1375F9DF1DC7}" name="Column4981"/>
    <tableColumn id="4982" xr3:uid="{FC403D8A-050A-422F-A73C-75EB165B1DFA}" name="Column4982"/>
    <tableColumn id="4983" xr3:uid="{DBABA107-82D8-4563-BACD-DDC72D1572B8}" name="Column4983"/>
    <tableColumn id="4984" xr3:uid="{431FEF27-5C09-4E10-B246-8D974DF7EDFF}" name="Column4984"/>
    <tableColumn id="4985" xr3:uid="{6B3F5417-F9FA-4033-BD9B-DAFE295C0A6F}" name="Column4985"/>
    <tableColumn id="4986" xr3:uid="{2CEC5E27-B1B4-44D1-B7F4-ED5708FC4D95}" name="Column4986"/>
    <tableColumn id="4987" xr3:uid="{DF37856A-6F24-42D8-8DF7-80D3C62CFEBF}" name="Column4987"/>
    <tableColumn id="4988" xr3:uid="{F7A7740D-BB7B-4941-B876-1DBE82C23FE7}" name="Column4988"/>
    <tableColumn id="4989" xr3:uid="{A3E2802B-522F-4AF8-96A4-1F355FE2DBF5}" name="Column4989"/>
    <tableColumn id="4990" xr3:uid="{462FFEE9-D176-426A-89B9-F0085360BDF0}" name="Column4990"/>
    <tableColumn id="4991" xr3:uid="{EC92C7C3-4F52-44AC-A68C-D7E49990F841}" name="Column4991"/>
    <tableColumn id="4992" xr3:uid="{16286A84-1AC1-4C17-B974-0224031DA819}" name="Column4992"/>
    <tableColumn id="4993" xr3:uid="{076A6031-2AF8-42E9-96B2-17EA1CEFC16D}" name="Column4993"/>
    <tableColumn id="4994" xr3:uid="{A6F0087F-86F5-4FA3-B41E-619E2A7F25EF}" name="Column4994"/>
    <tableColumn id="4995" xr3:uid="{7412D64C-F619-48B6-BB43-A874D1496C11}" name="Column4995"/>
    <tableColumn id="4996" xr3:uid="{574EE6B8-D178-4DAB-AD4B-C5F1DB569B14}" name="Column4996"/>
    <tableColumn id="4997" xr3:uid="{BFE70D7C-E80A-4894-8C87-14F8943EED5A}" name="Column4997"/>
    <tableColumn id="4998" xr3:uid="{8B5BB15F-C62A-42E6-8B70-8E177AE827B9}" name="Column4998"/>
    <tableColumn id="4999" xr3:uid="{C804A7FA-7EA8-4191-8B78-9402F4BC9506}" name="Column4999"/>
    <tableColumn id="5000" xr3:uid="{40C6854D-5FF7-4077-8166-CD61F8F2CC13}" name="Column5000"/>
    <tableColumn id="5001" xr3:uid="{34CDC3B7-0002-4396-A2BA-B24F8A655C8B}" name="Column5001"/>
    <tableColumn id="5002" xr3:uid="{83E5F111-6562-4161-8309-12EFD7F0601A}" name="Column5002"/>
    <tableColumn id="5003" xr3:uid="{A8D55CA4-8FCA-4664-A17B-97712FD47967}" name="Column5003"/>
    <tableColumn id="5004" xr3:uid="{B9A78DE6-E5BD-405A-9B5D-78542EACC643}" name="Column5004"/>
    <tableColumn id="5005" xr3:uid="{1DBB5E02-780A-4B66-A83C-1146433938C2}" name="Column5005"/>
    <tableColumn id="5006" xr3:uid="{CC976A5F-6928-4A3B-A9FB-695E06D39601}" name="Column5006"/>
    <tableColumn id="5007" xr3:uid="{0DBEF745-7F25-484F-A94C-15EA96F50E2F}" name="Column5007"/>
    <tableColumn id="5008" xr3:uid="{8A13679C-1E74-48B7-95CF-9751CAC36960}" name="Column5008"/>
    <tableColumn id="5009" xr3:uid="{BAA9E7BE-72C8-4D34-AFBD-6A91E675FBE0}" name="Column5009"/>
    <tableColumn id="5010" xr3:uid="{E06DF470-71D2-424A-9B3F-B5248F0F6CCE}" name="Column5010"/>
    <tableColumn id="5011" xr3:uid="{661E49B5-7EA7-4ED5-816E-C03D1669919E}" name="Column5011"/>
    <tableColumn id="5012" xr3:uid="{E64DC551-01F4-4E49-85BB-939C07B0DB0C}" name="Column5012"/>
    <tableColumn id="5013" xr3:uid="{F09C7B1E-3C81-4E08-A7ED-345D15FC5852}" name="Column5013"/>
    <tableColumn id="5014" xr3:uid="{CBD97CB2-90E1-4B22-9A62-4D7ACD449EE6}" name="Column5014"/>
    <tableColumn id="5015" xr3:uid="{421E9FD3-9EA0-4EBC-835F-8CE3C9DF3C25}" name="Column5015"/>
    <tableColumn id="5016" xr3:uid="{C3E6E236-841B-472E-91AD-8902591643F5}" name="Column5016"/>
    <tableColumn id="5017" xr3:uid="{D121A12B-E2E4-414E-9C57-696C20AB8537}" name="Column5017"/>
    <tableColumn id="5018" xr3:uid="{FBBF4D4F-8300-4067-9A53-D4EB4758A266}" name="Column5018"/>
    <tableColumn id="5019" xr3:uid="{A41BDFA4-41B8-4ADC-A11A-7086F90DB929}" name="Column5019"/>
    <tableColumn id="5020" xr3:uid="{448811FE-070F-431A-9A24-2828947BF2B7}" name="Column5020"/>
    <tableColumn id="5021" xr3:uid="{CF1752F7-A0AA-4ABF-9F50-C9124F923387}" name="Column5021"/>
    <tableColumn id="5022" xr3:uid="{5DA80DE5-1F14-45EA-B67C-EABBA1CEFE5D}" name="Column5022"/>
    <tableColumn id="5023" xr3:uid="{D0F5A5BB-AD7C-4D32-B585-9B4EF6C60149}" name="Column5023"/>
    <tableColumn id="5024" xr3:uid="{7ADA74AB-4B95-43E2-AA95-CDF247291C51}" name="Column5024"/>
    <tableColumn id="5025" xr3:uid="{E9D71A05-4159-4D72-9C27-E18CF22DC26C}" name="Column5025"/>
    <tableColumn id="5026" xr3:uid="{B0F06895-25CD-4868-8DC9-5781AC483A85}" name="Column5026"/>
    <tableColumn id="5027" xr3:uid="{2956B13C-06C1-411A-8196-84182F988D1B}" name="Column5027"/>
    <tableColumn id="5028" xr3:uid="{2E423B90-EE3B-4BA3-8041-FDA94EB8E373}" name="Column5028"/>
    <tableColumn id="5029" xr3:uid="{143AA61C-0B6F-4047-986D-A6342887CD89}" name="Column5029"/>
    <tableColumn id="5030" xr3:uid="{3AA47002-913B-4C29-8807-CFD2B0B8B104}" name="Column5030"/>
    <tableColumn id="5031" xr3:uid="{911C0E15-A1AF-4F39-89AD-A7F28C10E286}" name="Column5031"/>
    <tableColumn id="5032" xr3:uid="{1624D110-FA5D-4AAF-B575-FCC8B7F3A4BB}" name="Column5032"/>
    <tableColumn id="5033" xr3:uid="{A7B832E0-4A66-4486-898B-262280436A69}" name="Column5033"/>
    <tableColumn id="5034" xr3:uid="{4E7559E5-144C-4C4A-BB81-6821BBDF6ACC}" name="Column5034"/>
    <tableColumn id="5035" xr3:uid="{ACA740A5-0978-4B79-BB7E-BE2EB4B5DA7F}" name="Column5035"/>
    <tableColumn id="5036" xr3:uid="{F55914F5-FB3E-4F35-80C1-66F85D0ED13A}" name="Column5036"/>
    <tableColumn id="5037" xr3:uid="{4DA72BB6-8D25-4A78-B731-FF87A32CDB01}" name="Column5037"/>
    <tableColumn id="5038" xr3:uid="{737DA728-2E9D-486C-9AB6-31F33296B331}" name="Column5038"/>
    <tableColumn id="5039" xr3:uid="{0F5D320E-8C21-43E7-B366-22F870EE143E}" name="Column5039"/>
    <tableColumn id="5040" xr3:uid="{167E1496-456C-4F5E-A757-E2500E916EB0}" name="Column5040"/>
    <tableColumn id="5041" xr3:uid="{F546FADB-FD9B-443D-B8EC-05B1B43423C2}" name="Column5041"/>
    <tableColumn id="5042" xr3:uid="{7FD8FC2D-2E06-4FCC-902A-750C29DE84C5}" name="Column5042"/>
    <tableColumn id="5043" xr3:uid="{68956584-D4A5-489E-8375-45154D1728FC}" name="Column5043"/>
    <tableColumn id="5044" xr3:uid="{85235E15-1C07-4017-9BBF-2B381498160C}" name="Column5044"/>
    <tableColumn id="5045" xr3:uid="{B112670E-590E-488E-896E-186544A2C222}" name="Column5045"/>
    <tableColumn id="5046" xr3:uid="{7C100FB0-F630-4391-BAF1-2B44636146A4}" name="Column5046"/>
    <tableColumn id="5047" xr3:uid="{C27AEA15-F86B-44A5-BF7C-95B7E0DCAB08}" name="Column5047"/>
    <tableColumn id="5048" xr3:uid="{D5BE6B80-D601-4C16-B623-69009D51EC6E}" name="Column5048"/>
    <tableColumn id="5049" xr3:uid="{7438F929-D981-4E96-AFD9-36BCC480DD14}" name="Column5049"/>
    <tableColumn id="5050" xr3:uid="{59E76960-E87C-45FC-8A19-EB41FCD4F428}" name="Column5050"/>
    <tableColumn id="5051" xr3:uid="{3F80FA3C-F28F-40C8-9DEE-7F17A25245D7}" name="Column5051"/>
    <tableColumn id="5052" xr3:uid="{934051B5-9D97-4E1C-AA8E-84D16A3991A4}" name="Column5052"/>
    <tableColumn id="5053" xr3:uid="{FA692819-9C45-4B91-8D96-8F172F99B1D0}" name="Column5053"/>
    <tableColumn id="5054" xr3:uid="{2F2EC3FF-1D0A-4341-B09D-4D0F3CFA8666}" name="Column5054"/>
    <tableColumn id="5055" xr3:uid="{9DD33D84-1551-400D-BD93-1BA9AB651082}" name="Column5055"/>
    <tableColumn id="5056" xr3:uid="{2B2903B6-6CDF-4DAE-A44E-2E32EAA6336B}" name="Column5056"/>
    <tableColumn id="5057" xr3:uid="{816E1258-110F-4BDA-A4F3-D097CD97A510}" name="Column5057"/>
    <tableColumn id="5058" xr3:uid="{66757469-DB3B-44AA-B6F8-C3169C7D3C4D}" name="Column5058"/>
    <tableColumn id="5059" xr3:uid="{1D1B21AF-D279-4963-B054-7098F9684A31}" name="Column5059"/>
    <tableColumn id="5060" xr3:uid="{59CDCE56-B3D1-4B02-9411-9EBB495BB816}" name="Column5060"/>
    <tableColumn id="5061" xr3:uid="{7E8B1044-69EB-4027-9148-386C3B644F8B}" name="Column5061"/>
    <tableColumn id="5062" xr3:uid="{B1A2C295-A9B9-4225-BF34-FE4E1B466F86}" name="Column5062"/>
    <tableColumn id="5063" xr3:uid="{18C6D6C9-7FBA-4D2E-86E3-2C5984C2300E}" name="Column5063"/>
    <tableColumn id="5064" xr3:uid="{0C509193-6E85-4F50-8E12-475E4CDF5FA5}" name="Column5064"/>
    <tableColumn id="5065" xr3:uid="{0067D9F9-5087-4379-889D-F810CC7FAF65}" name="Column5065"/>
    <tableColumn id="5066" xr3:uid="{9A160C00-D392-4534-8A4B-337982DF4EF1}" name="Column5066"/>
    <tableColumn id="5067" xr3:uid="{615D3D45-A98A-4952-A34A-DB0E9D7B8C1F}" name="Column5067"/>
    <tableColumn id="5068" xr3:uid="{1103F3F4-38C6-4C07-AF0F-F650AEC4B3B0}" name="Column5068"/>
    <tableColumn id="5069" xr3:uid="{128D1EC0-5980-49A6-A2AC-BA13D3845657}" name="Column5069"/>
    <tableColumn id="5070" xr3:uid="{447F3A5D-33D6-48FC-90A9-D9D861310DF3}" name="Column5070"/>
    <tableColumn id="5071" xr3:uid="{325297C9-152B-4801-8743-69679951DEB6}" name="Column5071"/>
    <tableColumn id="5072" xr3:uid="{43BBD370-BCE2-45E9-8EEF-EDAA8BE49B64}" name="Column5072"/>
    <tableColumn id="5073" xr3:uid="{AE0AF997-E83F-4F51-BD06-F8740A0FF7A0}" name="Column5073"/>
    <tableColumn id="5074" xr3:uid="{DFCAFEE7-9DE7-405C-BCE0-4686765D16DE}" name="Column5074"/>
    <tableColumn id="5075" xr3:uid="{EAF3FD8E-5A4C-4F4D-9316-AF0B056E5DDF}" name="Column5075"/>
    <tableColumn id="5076" xr3:uid="{F341255F-83B2-490A-BE1A-A23AC5989421}" name="Column5076"/>
    <tableColumn id="5077" xr3:uid="{5723F308-2BA7-4AEF-84E1-98719616F9B4}" name="Column5077"/>
    <tableColumn id="5078" xr3:uid="{14AA94C8-E018-47E7-9C02-BB126E8C928B}" name="Column5078"/>
    <tableColumn id="5079" xr3:uid="{C1D6C891-86FB-4B50-9B4A-6A2EF3595E41}" name="Column5079"/>
    <tableColumn id="5080" xr3:uid="{CD3E5CFF-D794-4D9C-A954-0D024B8B5F24}" name="Column5080"/>
    <tableColumn id="5081" xr3:uid="{51726A0A-FA07-4129-B3B0-80829CDD9F28}" name="Column5081"/>
    <tableColumn id="5082" xr3:uid="{85252DD6-BC16-42F3-AE12-C87D92D0E5C4}" name="Column5082"/>
    <tableColumn id="5083" xr3:uid="{CA50C535-BB17-41F0-9D57-C4235FA3634D}" name="Column5083"/>
    <tableColumn id="5084" xr3:uid="{16084EC7-04C5-488B-BC3B-9218B8159CD9}" name="Column5084"/>
    <tableColumn id="5085" xr3:uid="{0F926EEA-743C-4899-8CF5-1B2831FD4919}" name="Column5085"/>
    <tableColumn id="5086" xr3:uid="{BF01968A-E472-4F8A-9348-6D54FA408286}" name="Column5086"/>
    <tableColumn id="5087" xr3:uid="{99F16132-DF8D-4C2E-B315-2D86194E1AE7}" name="Column5087"/>
    <tableColumn id="5088" xr3:uid="{2CFE2DA9-89A3-4676-B3DA-E97E20B27C19}" name="Column5088"/>
    <tableColumn id="5089" xr3:uid="{3D27B8DB-31C5-4B4F-9D91-50269197BA45}" name="Column5089"/>
    <tableColumn id="5090" xr3:uid="{64C56977-0563-4602-8341-2DC9A2FCD541}" name="Column5090"/>
    <tableColumn id="5091" xr3:uid="{0DD866E7-B782-4257-9F4A-148DD175C0E8}" name="Column5091"/>
    <tableColumn id="5092" xr3:uid="{5F99A209-C2B6-44CB-95FE-9E4AD5F09377}" name="Column5092"/>
    <tableColumn id="5093" xr3:uid="{D3F1224D-31C6-4046-937F-B537110C7967}" name="Column5093"/>
    <tableColumn id="5094" xr3:uid="{38422672-B6BF-4018-8DF7-57863DFE5532}" name="Column5094"/>
    <tableColumn id="5095" xr3:uid="{0B585270-F827-4E29-A6A3-3515648E4C62}" name="Column5095"/>
    <tableColumn id="5096" xr3:uid="{960831EC-7F01-474A-AE15-CD78DCADB7FD}" name="Column5096"/>
    <tableColumn id="5097" xr3:uid="{C1FDC9C6-2648-4793-9E66-C0BB44374BFD}" name="Column5097"/>
    <tableColumn id="5098" xr3:uid="{C0FB8969-4531-4353-BB58-1DBCD7F50214}" name="Column5098"/>
    <tableColumn id="5099" xr3:uid="{019BC834-8AE1-47C0-AF27-DC38CEE93B0B}" name="Column5099"/>
    <tableColumn id="5100" xr3:uid="{F641042D-DDFD-46F9-B0EB-60B03A3DBFD4}" name="Column5100"/>
    <tableColumn id="5101" xr3:uid="{438B26F9-C232-4C37-A481-BDD16E8BB3C8}" name="Column5101"/>
    <tableColumn id="5102" xr3:uid="{B55AE404-38C0-4DC1-A15C-07E9DCD4EB20}" name="Column5102"/>
    <tableColumn id="5103" xr3:uid="{7B190F43-FBFE-4382-B10A-E9A70F35010B}" name="Column5103"/>
    <tableColumn id="5104" xr3:uid="{F5AC12B7-6C06-4B46-B486-543556CBB605}" name="Column5104"/>
    <tableColumn id="5105" xr3:uid="{14511ABC-CFA1-4636-8CCE-4C183DB14C80}" name="Column5105"/>
    <tableColumn id="5106" xr3:uid="{BDE0CBD0-14EC-4870-A408-B558BE7DB45E}" name="Column5106"/>
    <tableColumn id="5107" xr3:uid="{72AEEECC-7A2E-440A-BDA0-1148B4BF85DA}" name="Column5107"/>
    <tableColumn id="5108" xr3:uid="{B89D4636-25ED-412C-ABBB-C83E8C765994}" name="Column5108"/>
    <tableColumn id="5109" xr3:uid="{263D2AC4-F4E8-452E-BB58-EA8CF04FB966}" name="Column5109"/>
    <tableColumn id="5110" xr3:uid="{A951BD01-21CE-468C-BAC9-ED0FADF40BF6}" name="Column5110"/>
    <tableColumn id="5111" xr3:uid="{51DC3014-6DEB-4A61-BF64-98C4953C567B}" name="Column5111"/>
    <tableColumn id="5112" xr3:uid="{AF0512C4-05D1-4501-A722-D1E1ED642137}" name="Column5112"/>
    <tableColumn id="5113" xr3:uid="{510B425B-2ADA-4457-B04E-FE083FDC5E46}" name="Column5113"/>
    <tableColumn id="5114" xr3:uid="{8B528708-96CD-40F8-866E-CC1B50577360}" name="Column5114"/>
    <tableColumn id="5115" xr3:uid="{D379ADD4-C7CD-45C4-B3FB-0ABE36BEABBE}" name="Column5115"/>
    <tableColumn id="5116" xr3:uid="{7FA28A59-1215-43BE-91DA-50B53515CA92}" name="Column5116"/>
    <tableColumn id="5117" xr3:uid="{1A2E5D3D-3052-4F04-BDB1-46C91B43AD66}" name="Column5117"/>
    <tableColumn id="5118" xr3:uid="{7B9779F2-9A01-4452-A164-7AEF78C49611}" name="Column5118"/>
    <tableColumn id="5119" xr3:uid="{BBAD87E5-BFB2-4800-9B9C-89DDEF1BD848}" name="Column5119"/>
    <tableColumn id="5120" xr3:uid="{FE61CEA1-D57D-4D4B-B77F-FAD9D7A6A0F5}" name="Column5120"/>
    <tableColumn id="5121" xr3:uid="{5BBD438E-51A7-434C-8DB5-00DCB6613976}" name="Column5121"/>
    <tableColumn id="5122" xr3:uid="{FF211FE8-0A62-435F-83ED-5A1C565FBBD9}" name="Column5122"/>
    <tableColumn id="5123" xr3:uid="{F0E603DD-A671-4E07-A82C-E66370ADE435}" name="Column5123"/>
    <tableColumn id="5124" xr3:uid="{20323978-34FA-4221-BA97-D05CBE5B8966}" name="Column5124"/>
    <tableColumn id="5125" xr3:uid="{653EC604-374B-4F3A-90E9-6D6AFADD0C57}" name="Column5125"/>
    <tableColumn id="5126" xr3:uid="{E8F593BD-628B-41F9-84EC-95D5793679A5}" name="Column5126"/>
    <tableColumn id="5127" xr3:uid="{DBF925AB-ED33-44EA-9568-30B3D613D994}" name="Column5127"/>
    <tableColumn id="5128" xr3:uid="{2D9B5E6A-9413-4238-B64A-BD7CEE9AB435}" name="Column5128"/>
    <tableColumn id="5129" xr3:uid="{BA0F28C8-9D63-4C10-B823-B89215454176}" name="Column5129"/>
    <tableColumn id="5130" xr3:uid="{66EE0208-D74F-4430-B99D-EE1B01DD0AE8}" name="Column5130"/>
    <tableColumn id="5131" xr3:uid="{E23B6BA3-50F5-41AC-B7A1-B62195684CBC}" name="Column5131"/>
    <tableColumn id="5132" xr3:uid="{FFCC084E-94AC-414C-800A-966260CF35E6}" name="Column5132"/>
    <tableColumn id="5133" xr3:uid="{EACE443D-C56A-4C35-BCAF-9D751E35D080}" name="Column5133"/>
    <tableColumn id="5134" xr3:uid="{349C7A87-DF15-490F-8F85-ABB45B9BD378}" name="Column5134"/>
    <tableColumn id="5135" xr3:uid="{5079F415-7EBD-4B8D-AD64-66E8DFA7DD4D}" name="Column5135"/>
    <tableColumn id="5136" xr3:uid="{5F765984-945A-42E5-A58E-5432B37AF5B4}" name="Column5136"/>
    <tableColumn id="5137" xr3:uid="{C53A5324-FC88-4411-B57D-9FA04C4B15F5}" name="Column5137"/>
    <tableColumn id="5138" xr3:uid="{5F1E9406-E2D0-41E3-A66A-852515567EAD}" name="Column5138"/>
    <tableColumn id="5139" xr3:uid="{0FBE4E09-9D90-473D-AACC-3F05CE74335F}" name="Column5139"/>
    <tableColumn id="5140" xr3:uid="{CEF530D1-F6CF-4F0A-B291-340A0243252E}" name="Column5140"/>
    <tableColumn id="5141" xr3:uid="{BF4C304E-FA6C-4365-9B01-CFD33EF6E632}" name="Column5141"/>
    <tableColumn id="5142" xr3:uid="{DD878364-C5A4-4555-B665-468C75FFA6A9}" name="Column5142"/>
    <tableColumn id="5143" xr3:uid="{9A6EC958-CF18-47B0-982A-3224FF7DBB53}" name="Column5143"/>
    <tableColumn id="5144" xr3:uid="{15C75289-37D8-45F9-8B3F-9DAEE5D9EA87}" name="Column5144"/>
    <tableColumn id="5145" xr3:uid="{54A73CBC-2F78-4667-AF97-E003E7E9CC9C}" name="Column5145"/>
    <tableColumn id="5146" xr3:uid="{4BAB384D-7D88-4362-8F4C-D0C46CD7B111}" name="Column5146"/>
    <tableColumn id="5147" xr3:uid="{4F15EFED-EB49-49C1-AF50-79B4AB625DF0}" name="Column5147"/>
    <tableColumn id="5148" xr3:uid="{7F7C3E15-9D5A-4A9B-9C4D-A90BE6AE051B}" name="Column5148"/>
    <tableColumn id="5149" xr3:uid="{3A8B25E2-03E5-4172-863F-BBB6CB5A4A63}" name="Column5149"/>
    <tableColumn id="5150" xr3:uid="{B0F31EDD-00BA-47DF-9832-EC725581368D}" name="Column5150"/>
    <tableColumn id="5151" xr3:uid="{FA5F9060-19AF-4D04-87EC-6B8E0B302E8A}" name="Column5151"/>
    <tableColumn id="5152" xr3:uid="{C5B4CF65-E889-4FC4-9BF5-4589E5629D25}" name="Column5152"/>
    <tableColumn id="5153" xr3:uid="{E5FB181F-1196-48A1-BCFD-D94E211AD572}" name="Column5153"/>
    <tableColumn id="5154" xr3:uid="{B9F68875-5A43-488B-B63C-96DBDD15B552}" name="Column5154"/>
    <tableColumn id="5155" xr3:uid="{8F8C5FC6-462F-43D5-A868-199AF5D3ED70}" name="Column5155"/>
    <tableColumn id="5156" xr3:uid="{A0477C2E-5CA2-4186-A7E8-61C82F194D41}" name="Column5156"/>
    <tableColumn id="5157" xr3:uid="{F577BE86-D510-47A3-A654-4A0A87B6735E}" name="Column5157"/>
    <tableColumn id="5158" xr3:uid="{CAE734F6-E07B-4AA4-AC09-4C64CB9BF7A8}" name="Column5158"/>
    <tableColumn id="5159" xr3:uid="{DD0201D1-7B17-44E9-B0D5-5EE628850A7A}" name="Column5159"/>
    <tableColumn id="5160" xr3:uid="{C251819F-3708-4D9D-ADD9-B26576265C03}" name="Column5160"/>
    <tableColumn id="5161" xr3:uid="{EFB4721A-FC8A-4F01-AC25-FF720141B252}" name="Column5161"/>
    <tableColumn id="5162" xr3:uid="{F0E94DBC-1B17-421F-AB8E-94AEE0C4F214}" name="Column5162"/>
    <tableColumn id="5163" xr3:uid="{A5560D4E-DA99-45D5-9E6D-13E7CAAE1B62}" name="Column5163"/>
    <tableColumn id="5164" xr3:uid="{E47AF74A-5C41-4F2C-8C13-24E4B20113C4}" name="Column5164"/>
    <tableColumn id="5165" xr3:uid="{30416E4E-D156-44B1-AA88-E41AC0A32EF4}" name="Column5165"/>
    <tableColumn id="5166" xr3:uid="{FE0A968A-0760-4CEB-95D9-ED522A3C8B07}" name="Column5166"/>
    <tableColumn id="5167" xr3:uid="{AE728FF8-171E-452D-89E7-BEC5062B01CB}" name="Column5167"/>
    <tableColumn id="5168" xr3:uid="{D0775F5F-4704-4680-BC05-947FB09DC1D5}" name="Column5168"/>
    <tableColumn id="5169" xr3:uid="{82C8A184-0206-49AE-9E32-6A431AE30BC1}" name="Column5169"/>
    <tableColumn id="5170" xr3:uid="{51BE77E1-1B81-4F31-AF5A-0137DBD07C27}" name="Column5170"/>
    <tableColumn id="5171" xr3:uid="{36BFD338-7CE5-40AB-9DBC-C3B6CF91BE89}" name="Column5171"/>
    <tableColumn id="5172" xr3:uid="{F767ADF2-B744-41EF-8131-B8E4694BE94D}" name="Column5172"/>
    <tableColumn id="5173" xr3:uid="{F1C9B011-58C0-4F6D-8A38-7BF46C09519A}" name="Column5173"/>
    <tableColumn id="5174" xr3:uid="{E98496E0-BE8E-4B05-A3FD-3EDD1471E538}" name="Column5174"/>
    <tableColumn id="5175" xr3:uid="{D7B4C565-9F06-4D32-B143-2CE76F8FE07A}" name="Column5175"/>
    <tableColumn id="5176" xr3:uid="{7260F826-DC9C-4965-B3D3-1D6EEC6DDEC9}" name="Column5176"/>
    <tableColumn id="5177" xr3:uid="{DB1F807C-A683-4D11-A33F-DE76A69A81B8}" name="Column5177"/>
    <tableColumn id="5178" xr3:uid="{4AB83909-89CF-439C-849A-9C25DA3E8472}" name="Column5178"/>
    <tableColumn id="5179" xr3:uid="{D1CDE7F9-7B14-483C-B982-53036679F6B4}" name="Column5179"/>
    <tableColumn id="5180" xr3:uid="{0F461944-51F3-46DD-ACF0-32F0294655E4}" name="Column5180"/>
    <tableColumn id="5181" xr3:uid="{E3B0BAD6-CFE5-4D1B-A728-283D9016B8DB}" name="Column5181"/>
    <tableColumn id="5182" xr3:uid="{ACF55EC2-C276-4178-B3CC-548174EC14F4}" name="Column5182"/>
    <tableColumn id="5183" xr3:uid="{F1CB5F14-B01C-47FA-907C-22BD5AD9DE7E}" name="Column5183"/>
    <tableColumn id="5184" xr3:uid="{6EA9847D-745F-479A-A8E5-CEEA2A86C680}" name="Column5184"/>
    <tableColumn id="5185" xr3:uid="{92D5ED86-FA44-427D-89FC-E782A9FC77D9}" name="Column5185"/>
    <tableColumn id="5186" xr3:uid="{5819AF2D-EBC8-4030-A7DA-12C0FF94BC94}" name="Column5186"/>
    <tableColumn id="5187" xr3:uid="{E8072054-3203-48D1-A4D8-CFE746EE6F85}" name="Column5187"/>
    <tableColumn id="5188" xr3:uid="{95C0DDD4-8A94-4F7E-A062-5C1E05561079}" name="Column5188"/>
    <tableColumn id="5189" xr3:uid="{08EBD072-2E45-49D4-8AE0-C01E2D4C62D8}" name="Column5189"/>
    <tableColumn id="5190" xr3:uid="{019CA0BA-9360-4B86-ADC7-79C640B92450}" name="Column5190"/>
    <tableColumn id="5191" xr3:uid="{56F98ABA-3B71-41F2-A3AC-BCF0FA27EA23}" name="Column5191"/>
    <tableColumn id="5192" xr3:uid="{FB5E5EF9-E058-4957-9530-39CE10E45395}" name="Column5192"/>
    <tableColumn id="5193" xr3:uid="{2087F3F0-3682-4B76-B548-D7D9491CF9C0}" name="Column5193"/>
    <tableColumn id="5194" xr3:uid="{A65B0AEA-F259-4B32-A1FC-A208A8D0D4E6}" name="Column5194"/>
    <tableColumn id="5195" xr3:uid="{6EAD0080-B9F7-4EB3-A18A-D5FCCDAEBF61}" name="Column5195"/>
    <tableColumn id="5196" xr3:uid="{103E5B4F-6E14-4797-9E75-E3183237D8F4}" name="Column5196"/>
    <tableColumn id="5197" xr3:uid="{63120548-9768-4743-9A37-B1C40E853528}" name="Column5197"/>
    <tableColumn id="5198" xr3:uid="{EDDCBD1D-EE84-4337-B206-49142F8C4B51}" name="Column5198"/>
    <tableColumn id="5199" xr3:uid="{B3570DE1-3A73-4B33-B607-187F0E7513A5}" name="Column5199"/>
    <tableColumn id="5200" xr3:uid="{7AFACF52-ECA2-400B-B04D-6D60D0904C4A}" name="Column5200"/>
    <tableColumn id="5201" xr3:uid="{7F0C7A45-EDE9-4398-AA45-E4492DA6303E}" name="Column5201"/>
    <tableColumn id="5202" xr3:uid="{6D255B2E-E342-4FC5-A6F2-9F05CB980BA0}" name="Column5202"/>
    <tableColumn id="5203" xr3:uid="{B878548A-D7C7-4D77-8BE1-7BB65B67ADA7}" name="Column5203"/>
    <tableColumn id="5204" xr3:uid="{160A2631-93FE-4387-B724-732E5C24C3FA}" name="Column5204"/>
    <tableColumn id="5205" xr3:uid="{D4BF6B36-BFA9-458C-ABB5-09F986CE4C83}" name="Column5205"/>
    <tableColumn id="5206" xr3:uid="{8A403E05-6037-461D-9A5B-5F199DB9F940}" name="Column5206"/>
    <tableColumn id="5207" xr3:uid="{CF7EE4F5-0C37-465C-8497-D75B26593EA0}" name="Column5207"/>
    <tableColumn id="5208" xr3:uid="{B4D66A53-CDD0-4C4C-8382-6278380A79A7}" name="Column5208"/>
    <tableColumn id="5209" xr3:uid="{6991C8D6-4E65-49A6-98E7-665739712E5A}" name="Column5209"/>
    <tableColumn id="5210" xr3:uid="{31F05AE8-1F03-46A4-AABF-DF6ABCB2450A}" name="Column5210"/>
    <tableColumn id="5211" xr3:uid="{A44BF159-D4DB-41D4-A65F-699AAB2E6752}" name="Column5211"/>
    <tableColumn id="5212" xr3:uid="{48DFB3EF-136A-4ABD-AE3F-F9C154BE6186}" name="Column5212"/>
    <tableColumn id="5213" xr3:uid="{DDE41E6A-517D-40DB-AED6-91EB811D1BC1}" name="Column5213"/>
    <tableColumn id="5214" xr3:uid="{1430AB28-12DA-4AEF-AD1A-315A793B6BF4}" name="Column5214"/>
    <tableColumn id="5215" xr3:uid="{4B2AEB6F-93AF-406F-9E84-693BCBC69372}" name="Column5215"/>
    <tableColumn id="5216" xr3:uid="{6193A653-E9A2-4B5B-9F85-2F239F4EAFC7}" name="Column5216"/>
    <tableColumn id="5217" xr3:uid="{77A217EA-FED3-4B7C-8088-9BB3218EADB8}" name="Column5217"/>
    <tableColumn id="5218" xr3:uid="{BB8302DF-D831-4AC2-92E2-132E6812E1E6}" name="Column5218"/>
    <tableColumn id="5219" xr3:uid="{5E890564-C199-4C12-9E92-5CDAC44F91AC}" name="Column5219"/>
    <tableColumn id="5220" xr3:uid="{869C61B9-E6DF-498F-ADE1-25B0CFDFBD0E}" name="Column5220"/>
    <tableColumn id="5221" xr3:uid="{AB52650F-F20C-4491-BF51-FD5C9A11632D}" name="Column5221"/>
    <tableColumn id="5222" xr3:uid="{18AFFC09-E915-4DAE-B489-85D77DD1ACFF}" name="Column5222"/>
    <tableColumn id="5223" xr3:uid="{7C416BA1-C705-4484-8F6F-56285F6A0E52}" name="Column5223"/>
    <tableColumn id="5224" xr3:uid="{B929C6AF-2E27-422B-98D7-4B075817114F}" name="Column5224"/>
    <tableColumn id="5225" xr3:uid="{6FA20631-8997-42B4-AE7F-C704FDBD6AEF}" name="Column5225"/>
    <tableColumn id="5226" xr3:uid="{BCD98E2F-BAE4-4E93-BE58-3EA5D746B2D3}" name="Column5226"/>
    <tableColumn id="5227" xr3:uid="{75ECC28C-9059-4CE7-B1D7-A06B8E29FF70}" name="Column5227"/>
    <tableColumn id="5228" xr3:uid="{9E37D273-8A22-4BBA-9584-A58595E1A2CC}" name="Column5228"/>
    <tableColumn id="5229" xr3:uid="{EF718ED1-407D-4438-9E96-A5C5045C2885}" name="Column5229"/>
    <tableColumn id="5230" xr3:uid="{17B1CC00-BF79-4163-8260-8250B4D2BF72}" name="Column5230"/>
    <tableColumn id="5231" xr3:uid="{B5273181-AAA8-4C84-A4B8-D6BE685BEB41}" name="Column5231"/>
    <tableColumn id="5232" xr3:uid="{E389606B-7524-489E-8B8F-B51E4974B4BD}" name="Column5232"/>
    <tableColumn id="5233" xr3:uid="{AA0FB920-F1F6-4C27-9AB9-2AC5659F4939}" name="Column5233"/>
    <tableColumn id="5234" xr3:uid="{8D6F9F8A-9237-4AD1-8450-E05713CB2289}" name="Column5234"/>
    <tableColumn id="5235" xr3:uid="{4B91687A-D584-46E1-AF9E-463C7B78A4B9}" name="Column5235"/>
    <tableColumn id="5236" xr3:uid="{73950BFF-9C70-4E76-A141-988D7CC20A5B}" name="Column5236"/>
    <tableColumn id="5237" xr3:uid="{56B7B375-ABCB-4FE9-B3AD-BEC2AFF9C1C1}" name="Column5237"/>
    <tableColumn id="5238" xr3:uid="{13745010-43DB-454B-9165-423F09384C15}" name="Column5238"/>
    <tableColumn id="5239" xr3:uid="{CA7DFB08-16E2-4BCD-9692-B3DE60E26E71}" name="Column5239"/>
    <tableColumn id="5240" xr3:uid="{7C6A526E-6C30-477E-A8FC-7B313481F4A2}" name="Column5240"/>
    <tableColumn id="5241" xr3:uid="{E1B0903D-4D59-4B71-9642-679592A968F6}" name="Column5241"/>
    <tableColumn id="5242" xr3:uid="{72BC7C90-AEF0-44AB-A254-61316553E5B1}" name="Column5242"/>
    <tableColumn id="5243" xr3:uid="{12F154E8-89F8-4576-B8C0-16B6B52164C8}" name="Column5243"/>
    <tableColumn id="5244" xr3:uid="{0C408279-0254-4A87-8067-33AA6A87D2A2}" name="Column5244"/>
    <tableColumn id="5245" xr3:uid="{919434CE-5398-4AC7-B57C-74300462DCC4}" name="Column5245"/>
    <tableColumn id="5246" xr3:uid="{3BB7F968-8235-4E78-AC73-C85AB9DE4DA9}" name="Column5246"/>
    <tableColumn id="5247" xr3:uid="{9AA076EA-D0B7-45C7-9D3B-53136C4CE7E9}" name="Column5247"/>
    <tableColumn id="5248" xr3:uid="{840223A8-B689-4A69-90F5-46DD7C5A9BC5}" name="Column5248"/>
    <tableColumn id="5249" xr3:uid="{12C22229-55FC-4703-856B-2DBF6A5AA8DE}" name="Column5249"/>
    <tableColumn id="5250" xr3:uid="{2C532042-1734-4272-92C9-FB8C401B29C2}" name="Column5250"/>
    <tableColumn id="5251" xr3:uid="{4CD42CA5-077C-4667-9D65-2FA8DFE9A678}" name="Column5251"/>
    <tableColumn id="5252" xr3:uid="{A586E178-9128-45C6-9C6C-8AF70B04AE64}" name="Column5252"/>
    <tableColumn id="5253" xr3:uid="{5B749005-F92E-4B74-A292-F6A6CE2A77D1}" name="Column5253"/>
    <tableColumn id="5254" xr3:uid="{B8DAE055-6347-4AEA-9D4A-0FB5B00EE89F}" name="Column5254"/>
    <tableColumn id="5255" xr3:uid="{FB2FA6BA-C8C4-4C72-8777-BB0CAA761381}" name="Column5255"/>
    <tableColumn id="5256" xr3:uid="{6E1A79C3-5831-42E0-9369-5F1040286F18}" name="Column5256"/>
    <tableColumn id="5257" xr3:uid="{96CAEE3E-4BFE-4D44-B6A2-CAAB61BA7982}" name="Column5257"/>
    <tableColumn id="5258" xr3:uid="{7C41EEB2-26FD-4C7A-AB24-85D944FE0387}" name="Column5258"/>
    <tableColumn id="5259" xr3:uid="{FD3E95D4-3D35-4EF1-B344-5DA57034E07C}" name="Column5259"/>
    <tableColumn id="5260" xr3:uid="{87019BFC-251A-4690-9D81-5F6ACBFEDB1D}" name="Column5260"/>
    <tableColumn id="5261" xr3:uid="{B3E24E53-8044-492D-BB71-7B35BE6AD4B3}" name="Column5261"/>
    <tableColumn id="5262" xr3:uid="{879FD7C6-9575-472B-A98D-3013F78F3431}" name="Column5262"/>
    <tableColumn id="5263" xr3:uid="{6BA35B10-7039-47DF-BE30-BD9F3415A32D}" name="Column5263"/>
    <tableColumn id="5264" xr3:uid="{CA0C776E-D28E-472B-A5DE-75FB4202F5DD}" name="Column5264"/>
    <tableColumn id="5265" xr3:uid="{CC5A93F7-A941-439C-91DC-BA339204ED71}" name="Column5265"/>
    <tableColumn id="5266" xr3:uid="{3D6B67A0-4CDE-49D1-8F0A-BB87362C85EF}" name="Column5266"/>
    <tableColumn id="5267" xr3:uid="{F573F6E2-832E-4A2B-B957-D8160658D753}" name="Column5267"/>
    <tableColumn id="5268" xr3:uid="{7F9A860F-53F0-445A-B2DB-F17985937226}" name="Column5268"/>
    <tableColumn id="5269" xr3:uid="{41E17076-9EDF-4E7A-A8F6-AB4DFCBC3433}" name="Column5269"/>
    <tableColumn id="5270" xr3:uid="{87C98FBF-8333-4BB3-9042-857DF6CC0AD4}" name="Column5270"/>
    <tableColumn id="5271" xr3:uid="{7A8B94B8-62A6-40C7-8450-F176D5222D2A}" name="Column5271"/>
    <tableColumn id="5272" xr3:uid="{903D0A6C-A192-48E0-B4FE-1DAD343C6112}" name="Column5272"/>
    <tableColumn id="5273" xr3:uid="{7E4CFC6F-A0CB-4ED8-A17C-CC791650F8F8}" name="Column5273"/>
    <tableColumn id="5274" xr3:uid="{551798C6-CF68-4374-8BDC-DB8869C6E922}" name="Column5274"/>
    <tableColumn id="5275" xr3:uid="{9B3C787C-81D7-4662-95A0-FF6CAF8D19FF}" name="Column5275"/>
    <tableColumn id="5276" xr3:uid="{62B97D8E-DA84-4D15-B557-63BDC9DDA6EE}" name="Column5276"/>
    <tableColumn id="5277" xr3:uid="{07C58FD7-F780-4A7F-BE8A-8F2814A2634A}" name="Column5277"/>
    <tableColumn id="5278" xr3:uid="{80B65B7C-3B42-4425-B526-43004E504796}" name="Column5278"/>
    <tableColumn id="5279" xr3:uid="{2718484A-5A8F-4C1F-A672-A35F5B57D1EA}" name="Column5279"/>
    <tableColumn id="5280" xr3:uid="{18AF4406-3842-4F9C-B3BD-7C50DB04C1F2}" name="Column5280"/>
    <tableColumn id="5281" xr3:uid="{2DEFB6C3-3A0D-42C8-8101-B801453385C9}" name="Column5281"/>
    <tableColumn id="5282" xr3:uid="{BCA34A6C-18F0-4DF3-942A-2BB355A38543}" name="Column5282"/>
    <tableColumn id="5283" xr3:uid="{89F6CE5C-6B4C-4895-BC10-4D9420636565}" name="Column5283"/>
    <tableColumn id="5284" xr3:uid="{16A54669-B549-43D4-A627-DC208DE89A5E}" name="Column5284"/>
    <tableColumn id="5285" xr3:uid="{D204D38B-4A23-42CD-8482-8B64D078F570}" name="Column5285"/>
    <tableColumn id="5286" xr3:uid="{C6AA6345-9A27-41C9-9F2D-D1B07EC25E15}" name="Column5286"/>
    <tableColumn id="5287" xr3:uid="{48B93F22-C723-4D9C-ACAF-572E836A2F2D}" name="Column5287"/>
    <tableColumn id="5288" xr3:uid="{0E0BA691-F5BC-46B2-8FD6-DCB5E96F82A0}" name="Column5288"/>
    <tableColumn id="5289" xr3:uid="{223D16E2-AC15-4A0D-8BF8-676F24CB5CC3}" name="Column5289"/>
    <tableColumn id="5290" xr3:uid="{7D668D94-7E1E-45B1-BBCB-E28C3E42BF0F}" name="Column5290"/>
    <tableColumn id="5291" xr3:uid="{A11CA058-46DE-4D84-895C-BBC8ECDD5F48}" name="Column5291"/>
    <tableColumn id="5292" xr3:uid="{8D6AA6E4-7AFA-4AE5-AA2A-3DF772AE7177}" name="Column5292"/>
    <tableColumn id="5293" xr3:uid="{F2A4C0A8-7A7A-4F3E-89A3-7C714AF806F9}" name="Column5293"/>
    <tableColumn id="5294" xr3:uid="{7745CB49-358D-47FB-B08B-EE133D38B358}" name="Column5294"/>
    <tableColumn id="5295" xr3:uid="{BD853F51-73A3-4062-AB47-FE51422F63C1}" name="Column5295"/>
    <tableColumn id="5296" xr3:uid="{5734F284-9050-4D60-8A3F-5579B24EBC6F}" name="Column5296"/>
    <tableColumn id="5297" xr3:uid="{1A745904-D5C9-4A4C-A4FA-F8F36D01FEFA}" name="Column5297"/>
    <tableColumn id="5298" xr3:uid="{D05533D9-9A1F-4D43-A8B3-DF1B39D29040}" name="Column5298"/>
    <tableColumn id="5299" xr3:uid="{CDDE3589-BFB6-4F55-9B4B-146D5ED064DF}" name="Column5299"/>
    <tableColumn id="5300" xr3:uid="{902FDAC1-DD06-45E7-AD29-9BEA428A55AA}" name="Column5300"/>
    <tableColumn id="5301" xr3:uid="{B16024A4-2DDE-43F3-86BF-0B21146FCE57}" name="Column5301"/>
    <tableColumn id="5302" xr3:uid="{8CBA723D-7677-4533-A8BE-B7223C63D3EE}" name="Column5302"/>
    <tableColumn id="5303" xr3:uid="{9BCFDB6F-9D58-4661-8F8F-CE83CFA1FEB9}" name="Column5303"/>
    <tableColumn id="5304" xr3:uid="{A4828E1B-F927-49C6-A7AC-30664C7F083A}" name="Column5304"/>
    <tableColumn id="5305" xr3:uid="{954EE02E-F93A-4C84-A1DF-85250FC326FD}" name="Column5305"/>
    <tableColumn id="5306" xr3:uid="{00B39DAF-D7D5-492D-A18D-3C9F70181F52}" name="Column5306"/>
    <tableColumn id="5307" xr3:uid="{4D262185-331E-42CA-AC40-9603826A0EFB}" name="Column5307"/>
    <tableColumn id="5308" xr3:uid="{06B02C29-30B9-4830-AE4E-3BBA9B34DDFF}" name="Column5308"/>
    <tableColumn id="5309" xr3:uid="{11092880-6724-4796-8036-0D725830A6C2}" name="Column5309"/>
    <tableColumn id="5310" xr3:uid="{3180CF0F-D5A1-472D-B655-DF7A6F57DEA3}" name="Column5310"/>
    <tableColumn id="5311" xr3:uid="{1B253676-B2FD-426E-B05C-9BF91E735399}" name="Column5311"/>
    <tableColumn id="5312" xr3:uid="{3E4C5AA6-D1C0-4FF9-913C-B6B02F4215A0}" name="Column5312"/>
    <tableColumn id="5313" xr3:uid="{9D6B7B96-A762-40EA-BD3A-9D9F97F61DA6}" name="Column5313"/>
    <tableColumn id="5314" xr3:uid="{4498D3CC-C70F-4E95-B974-BD279448CB00}" name="Column5314"/>
    <tableColumn id="5315" xr3:uid="{6AEE9439-E5A9-41E4-B18F-9435C35EC8DD}" name="Column5315"/>
    <tableColumn id="5316" xr3:uid="{1EDD5A9B-CBC4-44D8-891B-3EDE00952AB2}" name="Column5316"/>
    <tableColumn id="5317" xr3:uid="{C87E3587-3D19-460D-B68D-D1AC7449AEBF}" name="Column5317"/>
    <tableColumn id="5318" xr3:uid="{756230CC-7B51-4C7A-984C-AA87E41BDCA1}" name="Column5318"/>
    <tableColumn id="5319" xr3:uid="{809566BF-470F-482A-8C62-0DC3D578BEBF}" name="Column5319"/>
    <tableColumn id="5320" xr3:uid="{A77A1E43-613D-4D22-8C4F-4202A49B6376}" name="Column5320"/>
    <tableColumn id="5321" xr3:uid="{6DCDC149-12EA-4B9F-B353-E23F3AA414C6}" name="Column5321"/>
    <tableColumn id="5322" xr3:uid="{FB1C0785-9C3C-450F-B18D-2F81D1A8400D}" name="Column5322"/>
    <tableColumn id="5323" xr3:uid="{0A1AA1B4-DAA8-49E8-BB92-BD393DB97CCB}" name="Column5323"/>
    <tableColumn id="5324" xr3:uid="{9DBDCAD0-76AD-405C-B967-A32C2954D3C0}" name="Column5324"/>
    <tableColumn id="5325" xr3:uid="{3EBC30A3-D27E-4340-9B0B-E7070FFA090D}" name="Column5325"/>
    <tableColumn id="5326" xr3:uid="{317F1620-522E-47AF-A169-A011A15ECFD2}" name="Column5326"/>
    <tableColumn id="5327" xr3:uid="{4CE778A0-A886-4959-98BB-39E83D99452A}" name="Column5327"/>
    <tableColumn id="5328" xr3:uid="{6F3CC8E8-E5A1-43C8-B88D-5A8A83222735}" name="Column5328"/>
    <tableColumn id="5329" xr3:uid="{13F0BE91-E982-4D84-94B6-4999E3370F75}" name="Column5329"/>
    <tableColumn id="5330" xr3:uid="{FBE08BCE-F837-4319-B8B4-C8B6F93F1162}" name="Column5330"/>
    <tableColumn id="5331" xr3:uid="{41907D82-B091-4D2E-9DC4-0F9588AEDB61}" name="Column5331"/>
    <tableColumn id="5332" xr3:uid="{CBBB5829-35B2-45D7-ABA7-6DCA1486A606}" name="Column5332"/>
    <tableColumn id="5333" xr3:uid="{1548837D-B150-4F9F-B93E-B3267AA1C91F}" name="Column5333"/>
    <tableColumn id="5334" xr3:uid="{E64D0552-50AA-4169-8350-3A941F0F5B89}" name="Column5334"/>
    <tableColumn id="5335" xr3:uid="{094F48C4-C8C0-494B-B9AA-A9034A267BD5}" name="Column5335"/>
    <tableColumn id="5336" xr3:uid="{A80503B7-36C4-4088-A43C-AC0C9B79B5D6}" name="Column5336"/>
    <tableColumn id="5337" xr3:uid="{49FAC7C7-0BDE-4813-BD8D-056F0DD69B90}" name="Column5337"/>
    <tableColumn id="5338" xr3:uid="{1BE33E74-4A00-4EA7-8A95-0B82A95E6516}" name="Column5338"/>
    <tableColumn id="5339" xr3:uid="{C1A09031-9292-4FC8-9A9C-F84C3D864003}" name="Column5339"/>
    <tableColumn id="5340" xr3:uid="{1802238C-BD01-4BAA-BB0B-AEAFAD0174A5}" name="Column5340"/>
    <tableColumn id="5341" xr3:uid="{369AB0DE-1AF4-48B4-B233-1DE2ACD883E6}" name="Column5341"/>
    <tableColumn id="5342" xr3:uid="{D6B4520D-027B-4158-A2FC-B36AC46BECD7}" name="Column5342"/>
    <tableColumn id="5343" xr3:uid="{34FAA597-C842-4CD2-B13C-799317FF2A36}" name="Column5343"/>
    <tableColumn id="5344" xr3:uid="{6016EFA6-C9C7-4FEF-BFB2-E72EB4E40600}" name="Column5344"/>
    <tableColumn id="5345" xr3:uid="{0347819A-6CFA-49A7-B5D8-8130E8801EBA}" name="Column5345"/>
    <tableColumn id="5346" xr3:uid="{FFC0C327-FF3A-4C05-8C5C-B3D6D55FEA09}" name="Column5346"/>
    <tableColumn id="5347" xr3:uid="{585347D9-F5F5-46FB-ADA5-551057C02D75}" name="Column5347"/>
    <tableColumn id="5348" xr3:uid="{2A7B5214-2EA3-4114-BF5B-CD0B6C7BDAB9}" name="Column5348"/>
    <tableColumn id="5349" xr3:uid="{2CBBA4A0-5045-41D5-9D13-833E5EA75720}" name="Column5349"/>
    <tableColumn id="5350" xr3:uid="{4B591BF2-25B5-4C8E-ACF0-D969CFA8A7DE}" name="Column5350"/>
    <tableColumn id="5351" xr3:uid="{DF81A44A-5329-43FB-B57E-233DF7CB5DBB}" name="Column5351"/>
    <tableColumn id="5352" xr3:uid="{A5DCC02F-1154-4A5D-97EB-DD0BCE4D2EA8}" name="Column5352"/>
    <tableColumn id="5353" xr3:uid="{453C518D-2301-40AA-AD80-0CBD74D6685D}" name="Column5353"/>
    <tableColumn id="5354" xr3:uid="{23A6500B-37FA-47AE-899E-D33B24BD8117}" name="Column5354"/>
    <tableColumn id="5355" xr3:uid="{A52B1F6A-CC08-486A-B71D-864624557F49}" name="Column5355"/>
    <tableColumn id="5356" xr3:uid="{3E16DE79-F704-4459-9F1C-1DF1E3B1C7CD}" name="Column5356"/>
    <tableColumn id="5357" xr3:uid="{43384A3E-070E-4586-9006-DCB29C3E6384}" name="Column5357"/>
    <tableColumn id="5358" xr3:uid="{474027CA-ED08-4746-97B4-5A05AC08232D}" name="Column5358"/>
    <tableColumn id="5359" xr3:uid="{B5B6CC95-9B23-4075-8284-9862CC8AB5E7}" name="Column5359"/>
    <tableColumn id="5360" xr3:uid="{5C09EA71-0E57-4F37-8666-470559471A4C}" name="Column5360"/>
    <tableColumn id="5361" xr3:uid="{41C37295-1B3C-41F9-BF28-ABC9D841EF00}" name="Column5361"/>
    <tableColumn id="5362" xr3:uid="{A7BFADBD-5828-468F-9BC8-3E54B0FA8F18}" name="Column5362"/>
    <tableColumn id="5363" xr3:uid="{C6E741F1-453F-42BC-897B-6CD9DE62DF33}" name="Column5363"/>
    <tableColumn id="5364" xr3:uid="{0D32DA5F-BDAE-4317-B8F8-566FA6B0525B}" name="Column5364"/>
    <tableColumn id="5365" xr3:uid="{197D2ABD-8E3F-48FA-8CA6-0C99BBD2FF6E}" name="Column5365"/>
    <tableColumn id="5366" xr3:uid="{A69A8ADB-665A-4850-8806-C5263FF9DFE4}" name="Column5366"/>
    <tableColumn id="5367" xr3:uid="{99A5D171-CC2A-4DEE-90BD-9682578456C9}" name="Column5367"/>
    <tableColumn id="5368" xr3:uid="{D820C76F-1CA0-4255-98E9-74218D9243E0}" name="Column5368"/>
    <tableColumn id="5369" xr3:uid="{4FE0D5E3-A667-462C-A428-D578EE560C0C}" name="Column5369"/>
    <tableColumn id="5370" xr3:uid="{98CFB885-5E78-468E-A5D3-43F5B927F892}" name="Column5370"/>
    <tableColumn id="5371" xr3:uid="{E7709B8B-0A2A-423A-B5B1-A0D6FD82B12A}" name="Column5371"/>
    <tableColumn id="5372" xr3:uid="{6EAEB117-18B8-451A-9919-62716B949B77}" name="Column5372"/>
    <tableColumn id="5373" xr3:uid="{B8C0D679-A1C1-41C7-8F96-2C788DCEBFA7}" name="Column5373"/>
    <tableColumn id="5374" xr3:uid="{6DE5C599-B552-4ACD-BD4B-795DB728B351}" name="Column5374"/>
    <tableColumn id="5375" xr3:uid="{38C29808-BC28-4DD5-B954-A415BF675058}" name="Column5375"/>
    <tableColumn id="5376" xr3:uid="{403F7D14-955F-4963-8C1F-0FA47340F323}" name="Column5376"/>
    <tableColumn id="5377" xr3:uid="{B17A6E6A-930A-4A18-8A0F-C6DFB69D7F96}" name="Column5377"/>
    <tableColumn id="5378" xr3:uid="{D567A1C9-3499-4D98-8B38-713CE8127937}" name="Column5378"/>
    <tableColumn id="5379" xr3:uid="{5EAD5D15-54D5-4B57-A7F3-42AC89E0FB69}" name="Column5379"/>
    <tableColumn id="5380" xr3:uid="{86CDF538-E0AA-43C2-AC96-D2793C95787B}" name="Column5380"/>
    <tableColumn id="5381" xr3:uid="{80970EC0-5C54-4392-AA84-2BC4AAC36104}" name="Column5381"/>
    <tableColumn id="5382" xr3:uid="{DFA9741F-C9AE-4CDA-92F3-1B14AB075F98}" name="Column5382"/>
    <tableColumn id="5383" xr3:uid="{2DC264E8-DD73-4B62-8323-32B8ED2B35B9}" name="Column5383"/>
    <tableColumn id="5384" xr3:uid="{B3EFD744-8154-43DE-AA82-4DA74CD46DCB}" name="Column5384"/>
    <tableColumn id="5385" xr3:uid="{839F6D10-A512-43EE-819C-812BA11CA7F7}" name="Column5385"/>
    <tableColumn id="5386" xr3:uid="{39EE83A1-19A2-417C-ABCC-C1195DD66D78}" name="Column5386"/>
    <tableColumn id="5387" xr3:uid="{10813E8C-2EE9-4DE8-9E2D-5308C565AF4C}" name="Column5387"/>
    <tableColumn id="5388" xr3:uid="{914742EA-FF63-4F49-B42F-D3CAFE593F65}" name="Column5388"/>
    <tableColumn id="5389" xr3:uid="{AF48BC69-5304-490A-B982-649283195E59}" name="Column5389"/>
    <tableColumn id="5390" xr3:uid="{4B6F87D3-ADEF-4E9B-BF6C-C9092B639910}" name="Column5390"/>
    <tableColumn id="5391" xr3:uid="{BF27BF51-379A-4E0F-BCD6-BE6C1CCC5701}" name="Column5391"/>
    <tableColumn id="5392" xr3:uid="{32120A13-F08A-42BA-9AB8-0EFCAA1DDA07}" name="Column5392"/>
    <tableColumn id="5393" xr3:uid="{5FEF29FD-BCF8-4A63-A78B-41902AF07532}" name="Column5393"/>
    <tableColumn id="5394" xr3:uid="{ED53554B-71B5-497C-9CEF-00B6DACE49D5}" name="Column5394"/>
    <tableColumn id="5395" xr3:uid="{047D3E6E-CC8B-48E3-91D8-AA110A96DA75}" name="Column5395"/>
    <tableColumn id="5396" xr3:uid="{55F72806-D60F-4581-A963-7911DBE677E9}" name="Column5396"/>
    <tableColumn id="5397" xr3:uid="{0B2EC8C6-C97C-4A66-90F8-0B4C9CA64309}" name="Column5397"/>
    <tableColumn id="5398" xr3:uid="{CDFCCF1B-BA4E-41A2-B164-4FC594EBDD56}" name="Column5398"/>
    <tableColumn id="5399" xr3:uid="{0F5A56F2-CB67-46D6-B282-7FE8F91E54EE}" name="Column5399"/>
    <tableColumn id="5400" xr3:uid="{775D065F-BC3C-4E83-ADE0-E71D88429B32}" name="Column5400"/>
    <tableColumn id="5401" xr3:uid="{ADEF6459-D49A-463B-8BCD-C42A8008C067}" name="Column5401"/>
    <tableColumn id="5402" xr3:uid="{67E98D39-3618-4BCE-90C2-34B197167B53}" name="Column5402"/>
    <tableColumn id="5403" xr3:uid="{3E51F06E-965C-46EE-A9D3-1771153ABBDB}" name="Column5403"/>
    <tableColumn id="5404" xr3:uid="{C6C9BB0C-E8E4-4DB7-B068-DB167E8E6AB2}" name="Column5404"/>
    <tableColumn id="5405" xr3:uid="{CD4379B2-E38B-438C-B1EF-76514E8710A1}" name="Column5405"/>
    <tableColumn id="5406" xr3:uid="{19AF1628-2CFF-4E32-BB4E-179261DC860E}" name="Column5406"/>
    <tableColumn id="5407" xr3:uid="{DEF6C28B-FB9E-43A6-8A6D-41574016F281}" name="Column5407"/>
    <tableColumn id="5408" xr3:uid="{2C214150-5857-4A6D-A5DC-B1EB4C8442DC}" name="Column5408"/>
    <tableColumn id="5409" xr3:uid="{7F956AC0-0F41-4E7D-AA8A-717FA4322262}" name="Column5409"/>
    <tableColumn id="5410" xr3:uid="{32BC0904-52F2-4D12-A272-4761D14E8E7B}" name="Column5410"/>
    <tableColumn id="5411" xr3:uid="{7D746CE4-5BB7-4448-866B-E2B13AB590ED}" name="Column5411"/>
    <tableColumn id="5412" xr3:uid="{2A96B8E9-6BFA-45E6-AA5E-118FDFF71BAF}" name="Column5412"/>
    <tableColumn id="5413" xr3:uid="{B04BA0FD-7692-4537-BA57-06E2711CA02B}" name="Column5413"/>
    <tableColumn id="5414" xr3:uid="{A99384D0-5B08-4251-B856-B4FDEE95C5B3}" name="Column5414"/>
    <tableColumn id="5415" xr3:uid="{E7EBDD7B-0C69-44A3-8C6A-A4DE41EBE870}" name="Column5415"/>
    <tableColumn id="5416" xr3:uid="{E3F09C23-2EF9-4DDE-9C5D-B40F3ECFA9E9}" name="Column5416"/>
    <tableColumn id="5417" xr3:uid="{6C7257D5-144E-4FB9-80C5-568BAEC5F599}" name="Column5417"/>
    <tableColumn id="5418" xr3:uid="{678506BC-C07F-4230-9590-C857A04DC083}" name="Column5418"/>
    <tableColumn id="5419" xr3:uid="{DE6BF47A-DF93-4CA9-8FD1-D23570349C40}" name="Column5419"/>
    <tableColumn id="5420" xr3:uid="{4D0E7AE1-9A69-4CEC-9CDF-0E92AB942503}" name="Column5420"/>
    <tableColumn id="5421" xr3:uid="{1A048E43-C364-4340-AEF5-9B6F35E18450}" name="Column5421"/>
    <tableColumn id="5422" xr3:uid="{3682486D-5A49-4D0C-8074-21D038578D61}" name="Column5422"/>
    <tableColumn id="5423" xr3:uid="{DF9681C8-BA93-4081-806E-4A6B215B002C}" name="Column5423"/>
    <tableColumn id="5424" xr3:uid="{D4A5572E-4CEE-4D2D-9F70-DF4C919984AF}" name="Column5424"/>
    <tableColumn id="5425" xr3:uid="{1261FA81-7DD2-4EDD-B91C-B8DC76481242}" name="Column5425"/>
    <tableColumn id="5426" xr3:uid="{4F60B056-808D-431B-A4E7-6A34B517ABB2}" name="Column5426"/>
    <tableColumn id="5427" xr3:uid="{BFE2B7A0-3E97-44BC-9F91-D25A71CE690D}" name="Column5427"/>
    <tableColumn id="5428" xr3:uid="{307A0C9D-F099-49E1-B845-1029057A00DB}" name="Column5428"/>
    <tableColumn id="5429" xr3:uid="{E7411683-3888-449E-AAAB-BED2D5EC57B4}" name="Column5429"/>
    <tableColumn id="5430" xr3:uid="{97B0EAB7-2710-4051-8494-33024FDD3335}" name="Column5430"/>
    <tableColumn id="5431" xr3:uid="{E0E4BE2C-A957-4052-AA24-9E613EB996BA}" name="Column5431"/>
    <tableColumn id="5432" xr3:uid="{3D8ED210-7AC3-4380-B385-56BD7636463E}" name="Column5432"/>
    <tableColumn id="5433" xr3:uid="{B1008DBF-9F29-43A7-BA3B-B944D491F07F}" name="Column5433"/>
    <tableColumn id="5434" xr3:uid="{D9539ADA-682D-4260-8592-88C34ECD5D20}" name="Column5434"/>
    <tableColumn id="5435" xr3:uid="{5040625C-B405-4745-9B0B-31D36AA5FDCB}" name="Column5435"/>
    <tableColumn id="5436" xr3:uid="{5EA2D130-7FF3-4C6C-9227-38F9AFFFDB33}" name="Column5436"/>
    <tableColumn id="5437" xr3:uid="{F67F6AC3-6602-4EC6-AF3A-48E7E8BF9E52}" name="Column5437"/>
    <tableColumn id="5438" xr3:uid="{5B303C5B-8AB5-438B-9892-5DA5BE51A5D3}" name="Column5438"/>
    <tableColumn id="5439" xr3:uid="{DAFC9AD4-1830-4C0F-A372-915CBA7B5679}" name="Column5439"/>
    <tableColumn id="5440" xr3:uid="{FA90BB55-FBFB-4B81-92CB-D16CF6F49D3C}" name="Column5440"/>
    <tableColumn id="5441" xr3:uid="{FAD0741B-3D71-4FC2-AD47-C208D3F7B7F9}" name="Column5441"/>
    <tableColumn id="5442" xr3:uid="{B813308F-31AF-44DB-B345-E5BDC65A9571}" name="Column5442"/>
    <tableColumn id="5443" xr3:uid="{E5A81222-B18E-4088-A545-AE9B354528A8}" name="Column5443"/>
    <tableColumn id="5444" xr3:uid="{F1495F31-10F0-4791-B0F8-AF5A90F55966}" name="Column5444"/>
    <tableColumn id="5445" xr3:uid="{89938014-B7E0-43A6-9F66-04DCF42AA50B}" name="Column5445"/>
    <tableColumn id="5446" xr3:uid="{037C7450-979A-4522-B02B-BAEDC06DF8DF}" name="Column5446"/>
    <tableColumn id="5447" xr3:uid="{8C24E297-75FD-4A25-A854-95A1E7B21A23}" name="Column5447"/>
    <tableColumn id="5448" xr3:uid="{42A9F400-307A-41AF-839B-AF927B7FF759}" name="Column5448"/>
    <tableColumn id="5449" xr3:uid="{683D5DDD-BD87-40A8-A795-FA0DC572B16D}" name="Column5449"/>
    <tableColumn id="5450" xr3:uid="{A015F4A4-BFD0-448A-A44A-3A847E34AE18}" name="Column5450"/>
    <tableColumn id="5451" xr3:uid="{A9141F81-07B6-42B0-91C0-DFC0DB48F199}" name="Column5451"/>
    <tableColumn id="5452" xr3:uid="{4B2BA3BC-AD1C-4A85-ADC1-0275CE207C20}" name="Column5452"/>
    <tableColumn id="5453" xr3:uid="{E2349CFD-54A2-47E5-B25C-59F715AC7B7C}" name="Column5453"/>
    <tableColumn id="5454" xr3:uid="{54596339-E693-4180-9CD3-B632459696EE}" name="Column5454"/>
    <tableColumn id="5455" xr3:uid="{80C34AD3-9965-4BBD-9067-02AAE3184845}" name="Column5455"/>
    <tableColumn id="5456" xr3:uid="{BC731390-42DA-4C4D-90B5-3F70AA4AD193}" name="Column5456"/>
    <tableColumn id="5457" xr3:uid="{DFA88F5F-31E0-4415-A986-8BF7062DAB7A}" name="Column5457"/>
    <tableColumn id="5458" xr3:uid="{63F283FC-4879-4ADD-B1F0-7CBB6059095C}" name="Column5458"/>
    <tableColumn id="5459" xr3:uid="{3E247057-8E07-4BA5-9CA7-A4159CE1C051}" name="Column5459"/>
    <tableColumn id="5460" xr3:uid="{D1FC9CD1-A0B6-4CF4-AD22-E16A96F50168}" name="Column5460"/>
    <tableColumn id="5461" xr3:uid="{204F2531-2D61-4FC0-A35B-E1B90437D9FD}" name="Column5461"/>
    <tableColumn id="5462" xr3:uid="{ABBFF9E2-64FC-420D-8312-233B3D6DEFFA}" name="Column5462"/>
    <tableColumn id="5463" xr3:uid="{F200DED2-205A-4994-86E8-6FC28B67E4FA}" name="Column5463"/>
    <tableColumn id="5464" xr3:uid="{487B5CE4-0F52-4BA2-B049-BD665057BC21}" name="Column5464"/>
    <tableColumn id="5465" xr3:uid="{968356E6-D1B7-4155-84C5-7C78D7AFD550}" name="Column5465"/>
    <tableColumn id="5466" xr3:uid="{EFF543D9-BAC1-4895-9C07-13E09CFC7B42}" name="Column5466"/>
    <tableColumn id="5467" xr3:uid="{F0B16AD2-7495-40DF-A137-973BFD60F6CA}" name="Column5467"/>
    <tableColumn id="5468" xr3:uid="{6939161C-C983-428E-AF8B-C23EA54364B3}" name="Column5468"/>
    <tableColumn id="5469" xr3:uid="{CA11BCEE-28F5-4793-B35A-808582EB5E92}" name="Column5469"/>
    <tableColumn id="5470" xr3:uid="{EEBF021B-A32E-43C0-AC1D-60E2597A3407}" name="Column5470"/>
    <tableColumn id="5471" xr3:uid="{22738B7C-48D2-4075-AAB9-ECBBD1744103}" name="Column5471"/>
    <tableColumn id="5472" xr3:uid="{8957A32B-C38E-4EBA-BB6F-D1C070EC2083}" name="Column5472"/>
    <tableColumn id="5473" xr3:uid="{8BDEC2E8-73CA-469F-ABD3-E32354C72791}" name="Column5473"/>
    <tableColumn id="5474" xr3:uid="{7788416A-B53E-4DEE-82D3-1A3BA9380C17}" name="Column5474"/>
    <tableColumn id="5475" xr3:uid="{92309DC9-8311-4049-80A9-7585623D6D10}" name="Column5475"/>
    <tableColumn id="5476" xr3:uid="{6FEA4BE6-A69F-44AD-A8DE-A5C74D25F52E}" name="Column5476"/>
    <tableColumn id="5477" xr3:uid="{AE709DA1-C6E1-4942-872D-F8B302A8DFF6}" name="Column5477"/>
    <tableColumn id="5478" xr3:uid="{DB889935-811F-4C99-89E8-192F315D48C2}" name="Column5478"/>
    <tableColumn id="5479" xr3:uid="{137AEFE4-B8C3-40B4-B97C-70860809F5BA}" name="Column5479"/>
    <tableColumn id="5480" xr3:uid="{11F49200-5270-4263-BAA8-6646E3DF4F65}" name="Column5480"/>
    <tableColumn id="5481" xr3:uid="{6702E401-2AB1-4CFA-8D05-D5FFC9A5CCE2}" name="Column5481"/>
    <tableColumn id="5482" xr3:uid="{863D3809-0313-4EE4-8C98-B73F09413FE1}" name="Column5482"/>
    <tableColumn id="5483" xr3:uid="{455BD3CC-ADC8-43A6-BF76-EB029EFA4F87}" name="Column5483"/>
    <tableColumn id="5484" xr3:uid="{94747AA4-D70B-4A7F-9D11-15E0F16EDC9D}" name="Column5484"/>
    <tableColumn id="5485" xr3:uid="{C4364B52-8152-46EE-A4C2-0B4B46B64D41}" name="Column5485"/>
    <tableColumn id="5486" xr3:uid="{CC8558D9-D0B4-43FF-98FC-06D2DBFFC9A3}" name="Column5486"/>
    <tableColumn id="5487" xr3:uid="{43CE9E91-4A80-4A83-936E-F5B6404F875B}" name="Column5487"/>
    <tableColumn id="5488" xr3:uid="{2C32F191-20EC-4A47-B0D7-61B919768905}" name="Column5488"/>
    <tableColumn id="5489" xr3:uid="{C5F007D8-9ED9-4FD4-BF53-145BABC4CAB3}" name="Column5489"/>
    <tableColumn id="5490" xr3:uid="{7FC2E01E-BC36-4228-850D-4709F9A128F9}" name="Column5490"/>
    <tableColumn id="5491" xr3:uid="{7E1E3360-0501-4129-9F32-2AEE59856CA4}" name="Column5491"/>
    <tableColumn id="5492" xr3:uid="{B8B816A1-865C-46E6-85B4-204A41A9E261}" name="Column5492"/>
    <tableColumn id="5493" xr3:uid="{16EDC864-CD42-4CE4-9575-38B706B37668}" name="Column5493"/>
    <tableColumn id="5494" xr3:uid="{2CE34D89-B955-429F-B006-26785B1FD031}" name="Column5494"/>
    <tableColumn id="5495" xr3:uid="{940796E0-8F21-473E-A7DB-A1ACE4F100D8}" name="Column5495"/>
    <tableColumn id="5496" xr3:uid="{AB76265F-7589-444A-AA64-7890F9DE1965}" name="Column5496"/>
    <tableColumn id="5497" xr3:uid="{56764446-8F4B-403D-A424-7AE77C5B004E}" name="Column5497"/>
    <tableColumn id="5498" xr3:uid="{C01089AC-EDD9-4516-B18E-8A1BFD4BC890}" name="Column5498"/>
    <tableColumn id="5499" xr3:uid="{40EF8D5A-67E6-46E8-8AAD-0DEFA09EE1F0}" name="Column5499"/>
    <tableColumn id="5500" xr3:uid="{E9BD96C4-4B67-48A4-A2FF-4C22D85EDC12}" name="Column5500"/>
    <tableColumn id="5501" xr3:uid="{690C7145-A771-4B42-94F8-3F510319B4C2}" name="Column5501"/>
    <tableColumn id="5502" xr3:uid="{95E06E81-1C1F-407F-AB76-542306D7034F}" name="Column5502"/>
    <tableColumn id="5503" xr3:uid="{96112345-9CB8-4B53-9F81-E759D766D949}" name="Column5503"/>
    <tableColumn id="5504" xr3:uid="{AB34B019-863E-412D-9D92-9F3DCD848BCE}" name="Column5504"/>
    <tableColumn id="5505" xr3:uid="{23D5E229-9B30-4CEB-877B-C936EF63BC6B}" name="Column5505"/>
    <tableColumn id="5506" xr3:uid="{290E4594-7B4C-4621-A3D2-0CD3BD64DF80}" name="Column5506"/>
    <tableColumn id="5507" xr3:uid="{CEF27694-29DF-4D00-8FE1-4B9721894E81}" name="Column5507"/>
    <tableColumn id="5508" xr3:uid="{CA48CCCF-681D-4FBD-937E-B6F32444F93E}" name="Column5508"/>
    <tableColumn id="5509" xr3:uid="{57E1DA75-2FD3-410E-A325-54ADBD212CF2}" name="Column5509"/>
    <tableColumn id="5510" xr3:uid="{84DA3EA0-0D79-4F2A-9C04-0EBD66CDED03}" name="Column5510"/>
    <tableColumn id="5511" xr3:uid="{54AA18E9-A915-41DC-952A-5D28381E94DE}" name="Column5511"/>
    <tableColumn id="5512" xr3:uid="{7929E42E-CD6F-4740-B2E8-F88D0AACF186}" name="Column5512"/>
    <tableColumn id="5513" xr3:uid="{8A89F11A-F872-468D-86D2-769C880C68F5}" name="Column5513"/>
    <tableColumn id="5514" xr3:uid="{1BC61730-6CFE-4874-AB02-B3BDC0BDA958}" name="Column5514"/>
    <tableColumn id="5515" xr3:uid="{F5F49694-DD14-46DF-BB68-4961ECBB8D70}" name="Column5515"/>
    <tableColumn id="5516" xr3:uid="{A48D266F-2C03-4B78-8C4D-8A94D893B7B2}" name="Column5516"/>
    <tableColumn id="5517" xr3:uid="{2C569015-9F26-47D9-9E4E-8ABBEFC4B1C6}" name="Column5517"/>
    <tableColumn id="5518" xr3:uid="{33E5F9C2-8CFA-4B3F-99FD-824EF8C18387}" name="Column5518"/>
    <tableColumn id="5519" xr3:uid="{14203C38-193F-4CBD-832B-3AD4DB6A9257}" name="Column5519"/>
    <tableColumn id="5520" xr3:uid="{46E7D93A-4802-460C-ACED-33F2EE46C09A}" name="Column5520"/>
    <tableColumn id="5521" xr3:uid="{35DA1292-5B1B-4D1A-862E-3B305FF85AB2}" name="Column5521"/>
    <tableColumn id="5522" xr3:uid="{D652B282-0DE6-4AF0-9442-EAA084539B06}" name="Column5522"/>
    <tableColumn id="5523" xr3:uid="{6E738126-808A-4CAD-BCF4-C134F292B0B7}" name="Column5523"/>
    <tableColumn id="5524" xr3:uid="{77D295C5-4925-4194-9EDF-AEA974DD0685}" name="Column5524"/>
    <tableColumn id="5525" xr3:uid="{66392E76-EADB-4EF5-9A92-2EE2166FA764}" name="Column5525"/>
    <tableColumn id="5526" xr3:uid="{A9687D9A-AFF5-4569-AB0D-BC91D62965FF}" name="Column5526"/>
    <tableColumn id="5527" xr3:uid="{988720E3-628A-4082-AD97-B44DB701C403}" name="Column5527"/>
    <tableColumn id="5528" xr3:uid="{6310D7A4-F747-4D9A-B51F-BDAE35D630F1}" name="Column5528"/>
    <tableColumn id="5529" xr3:uid="{49DFED28-AF41-4D82-8E84-8822780E58AA}" name="Column5529"/>
    <tableColumn id="5530" xr3:uid="{828C137C-5979-4E79-8A7C-458BA4899885}" name="Column5530"/>
    <tableColumn id="5531" xr3:uid="{F5212F94-71D5-47D4-8FB6-80F0C569BDA3}" name="Column5531"/>
    <tableColumn id="5532" xr3:uid="{58EEB281-9D2A-4C8A-B5AE-F115EAF46549}" name="Column5532"/>
    <tableColumn id="5533" xr3:uid="{4FA26E7C-A33F-45B2-9202-595072637D75}" name="Column5533"/>
    <tableColumn id="5534" xr3:uid="{CD058749-9E29-4E17-A693-686330469738}" name="Column5534"/>
    <tableColumn id="5535" xr3:uid="{FF0F8E7F-0922-47A6-A15B-37D77F9C2D62}" name="Column5535"/>
    <tableColumn id="5536" xr3:uid="{4167E5BA-876A-4F36-AE1E-60056D9399B7}" name="Column5536"/>
    <tableColumn id="5537" xr3:uid="{EF28DEB5-A8BE-4E53-A721-94E1F490CBA1}" name="Column5537"/>
    <tableColumn id="5538" xr3:uid="{55C0E1B0-4F3E-41CE-8B9E-B1B294CD4164}" name="Column5538"/>
    <tableColumn id="5539" xr3:uid="{71162BB2-FF2C-4560-B5B3-1E471776E729}" name="Column5539"/>
    <tableColumn id="5540" xr3:uid="{633A106C-5E30-4F59-8C83-047AE17F4FEC}" name="Column5540"/>
    <tableColumn id="5541" xr3:uid="{9651831B-3428-4624-BC8F-B505B761CDEE}" name="Column5541"/>
    <tableColumn id="5542" xr3:uid="{360005EB-6BE5-4B30-8977-72CE4DA1BCD2}" name="Column5542"/>
    <tableColumn id="5543" xr3:uid="{394F99DC-DA57-41B9-B34B-DB4CC4466150}" name="Column5543"/>
    <tableColumn id="5544" xr3:uid="{9A6D1F21-3089-4A98-91F2-9FAB17D28F13}" name="Column5544"/>
    <tableColumn id="5545" xr3:uid="{684B9F12-5749-4648-BF7C-40A70A596E78}" name="Column5545"/>
    <tableColumn id="5546" xr3:uid="{9C6DBB98-6152-4F77-9690-585BDE2F74CF}" name="Column5546"/>
    <tableColumn id="5547" xr3:uid="{255501DA-732F-4183-A974-AECB61060B2F}" name="Column5547"/>
    <tableColumn id="5548" xr3:uid="{050333A1-1FA3-4C68-A5CE-3D55B29B0211}" name="Column5548"/>
    <tableColumn id="5549" xr3:uid="{DB3B0451-829B-4647-AE23-6C9B7AA6D7C6}" name="Column5549"/>
    <tableColumn id="5550" xr3:uid="{EC749B0E-FBBB-43DF-9EC4-761D67F79D82}" name="Column5550"/>
    <tableColumn id="5551" xr3:uid="{2C0D2307-8306-4B25-A573-397EBE705831}" name="Column5551"/>
    <tableColumn id="5552" xr3:uid="{52D4B405-34CF-4472-9244-A4BE9028CFF4}" name="Column5552"/>
    <tableColumn id="5553" xr3:uid="{A4670173-A8B3-4EE0-9894-85E9C74E97D9}" name="Column5553"/>
    <tableColumn id="5554" xr3:uid="{CEC37722-2B0F-4596-9FA5-FF7CC1A4A03E}" name="Column5554"/>
    <tableColumn id="5555" xr3:uid="{4BC74A39-D190-4DB2-AD9B-8A9462A2502B}" name="Column5555"/>
    <tableColumn id="5556" xr3:uid="{2FA01C9F-5F23-40DF-A433-130BC64E887B}" name="Column5556"/>
    <tableColumn id="5557" xr3:uid="{DFCD1C14-E8CD-42E5-99DB-D2F2CDBEB856}" name="Column5557"/>
    <tableColumn id="5558" xr3:uid="{A7B7E762-9CA5-44AC-9807-5BFF075254B1}" name="Column5558"/>
    <tableColumn id="5559" xr3:uid="{21A0B01A-BA0F-49E9-BCAD-A0D7B1F863E6}" name="Column5559"/>
    <tableColumn id="5560" xr3:uid="{3F6D9302-7F05-4C8F-8A03-58FFCDAAF75A}" name="Column5560"/>
    <tableColumn id="5561" xr3:uid="{434C40B5-854E-46AE-B676-1C6FCB20D766}" name="Column5561"/>
    <tableColumn id="5562" xr3:uid="{5FCFD066-130C-48ED-9A3E-D40A00E892EC}" name="Column5562"/>
    <tableColumn id="5563" xr3:uid="{C2CDACAC-D7E1-4D77-AD62-228D548E703A}" name="Column5563"/>
    <tableColumn id="5564" xr3:uid="{ED728456-42AB-4B70-90A6-04ED62F0445D}" name="Column5564"/>
    <tableColumn id="5565" xr3:uid="{BC0F21F9-AB26-4849-82E0-6EABCB0E790B}" name="Column5565"/>
    <tableColumn id="5566" xr3:uid="{A833FACD-438F-445B-B4C2-6C39E6126DD6}" name="Column5566"/>
    <tableColumn id="5567" xr3:uid="{1ADE7D06-FF14-4006-BB82-C382E2EA4252}" name="Column5567"/>
    <tableColumn id="5568" xr3:uid="{4E9B221C-BE08-46DD-A4BA-F230B8FDC1A2}" name="Column5568"/>
    <tableColumn id="5569" xr3:uid="{23388A2C-AA78-4DDE-BFF6-2B70ED703EFA}" name="Column5569"/>
    <tableColumn id="5570" xr3:uid="{1A930438-CD59-4ABA-BA07-BD435D64B687}" name="Column5570"/>
    <tableColumn id="5571" xr3:uid="{3E13CE05-B198-4461-AC9D-C60759FC1B1B}" name="Column5571"/>
    <tableColumn id="5572" xr3:uid="{5A691E26-D144-423F-A1F1-4E5EC511898A}" name="Column5572"/>
    <tableColumn id="5573" xr3:uid="{237CAA5E-2692-40F9-88F1-A13102592929}" name="Column5573"/>
    <tableColumn id="5574" xr3:uid="{E5EACC70-025A-4053-96DE-86CD6B5A88B9}" name="Column5574"/>
    <tableColumn id="5575" xr3:uid="{4A581163-D150-4E3F-BE8F-8833CFA8593B}" name="Column5575"/>
    <tableColumn id="5576" xr3:uid="{6344F5FF-12C2-44D8-8A6B-11BE28900D30}" name="Column5576"/>
    <tableColumn id="5577" xr3:uid="{43739BAB-5473-445C-9F3F-0647AF847C7B}" name="Column5577"/>
    <tableColumn id="5578" xr3:uid="{06AD2AC1-A265-4B11-9A40-56C759D4B1B8}" name="Column5578"/>
    <tableColumn id="5579" xr3:uid="{38378BF8-6A0D-4C08-8990-1234E0C281ED}" name="Column5579"/>
    <tableColumn id="5580" xr3:uid="{1A97B3E8-6742-47C8-8A55-B9C2309702F5}" name="Column5580"/>
    <tableColumn id="5581" xr3:uid="{C1C2736F-7C95-4F66-B1D6-864DA5B6BFE6}" name="Column5581"/>
    <tableColumn id="5582" xr3:uid="{FBB76C2C-0EF9-4CF8-B4D2-1140307DB1C0}" name="Column5582"/>
    <tableColumn id="5583" xr3:uid="{69BB8F9B-B608-4310-84EE-D2AE9DF4CA0B}" name="Column5583"/>
    <tableColumn id="5584" xr3:uid="{2D67747B-EE87-458F-A658-293B5EA88075}" name="Column5584"/>
    <tableColumn id="5585" xr3:uid="{C25F15CC-15F6-4C74-BBCA-0958C3D7FB5C}" name="Column5585"/>
    <tableColumn id="5586" xr3:uid="{81570168-4776-4737-9E6D-1E544CADB8C5}" name="Column5586"/>
    <tableColumn id="5587" xr3:uid="{3D381981-61BF-437D-9BAD-0E7A58326E5C}" name="Column5587"/>
    <tableColumn id="5588" xr3:uid="{FBFF3D65-AEA2-41CE-87EB-54CCF347746E}" name="Column5588"/>
    <tableColumn id="5589" xr3:uid="{261ADD48-B2D9-432E-9185-5544DDD98063}" name="Column5589"/>
    <tableColumn id="5590" xr3:uid="{B8467F50-8D0A-4A56-A84B-04988A831C2D}" name="Column5590"/>
    <tableColumn id="5591" xr3:uid="{A3CBB0C9-D9AD-4DCB-B8F2-F3F85AC14C73}" name="Column5591"/>
    <tableColumn id="5592" xr3:uid="{00CFDBC7-4639-4EF8-87EF-0F958DC2E563}" name="Column5592"/>
    <tableColumn id="5593" xr3:uid="{3E935F6D-C1A2-4D61-8DF7-DD42C7AA87CE}" name="Column5593"/>
    <tableColumn id="5594" xr3:uid="{A42DB0B8-6533-4AE9-B143-1FD40A0D286F}" name="Column5594"/>
    <tableColumn id="5595" xr3:uid="{98FA59EA-89E6-4C5C-B8E7-F6B94D3E44FD}" name="Column5595"/>
    <tableColumn id="5596" xr3:uid="{9CCC7540-4142-49DA-AACC-BD3E8F36508A}" name="Column5596"/>
    <tableColumn id="5597" xr3:uid="{B0511EAF-A388-4911-A1C8-FEFE0EF2D3C7}" name="Column5597"/>
    <tableColumn id="5598" xr3:uid="{F0D56BFF-1820-4A8E-B1BD-BD6BAA900A37}" name="Column5598"/>
    <tableColumn id="5599" xr3:uid="{D229EE89-701A-4FF6-ADC2-6D0BE85BBAFF}" name="Column5599"/>
    <tableColumn id="5600" xr3:uid="{40BE584A-A0BC-4D20-A299-AF81F0B26A82}" name="Column5600"/>
    <tableColumn id="5601" xr3:uid="{3E0B935A-E7CD-465E-B86A-15BF8D12E925}" name="Column5601"/>
    <tableColumn id="5602" xr3:uid="{23380184-172F-48ED-8140-2BED49B6EB15}" name="Column5602"/>
    <tableColumn id="5603" xr3:uid="{CDCF6B21-6822-462A-AA31-2649BD6F7100}" name="Column5603"/>
    <tableColumn id="5604" xr3:uid="{1E588EC1-17A7-4C9E-A0CB-797744A3FF87}" name="Column5604"/>
    <tableColumn id="5605" xr3:uid="{8A21709C-579B-4503-AECC-BFBFC7A649CF}" name="Column5605"/>
    <tableColumn id="5606" xr3:uid="{96119A77-F14D-4477-90D2-449FC504F3BD}" name="Column5606"/>
    <tableColumn id="5607" xr3:uid="{455F46C4-7AEC-4733-8ED3-90700DF69E3F}" name="Column5607"/>
    <tableColumn id="5608" xr3:uid="{9A6AC065-016E-4B32-9789-C9BF40B99867}" name="Column5608"/>
    <tableColumn id="5609" xr3:uid="{135E2FA5-ECCB-47BF-A335-7629047D706D}" name="Column5609"/>
    <tableColumn id="5610" xr3:uid="{978EA8DB-4471-41C3-812C-D494C8E412BB}" name="Column5610"/>
    <tableColumn id="5611" xr3:uid="{26BF700D-2593-4B72-AB0C-956EC471F086}" name="Column5611"/>
    <tableColumn id="5612" xr3:uid="{B4EFD3CE-D478-47C4-A6F4-241115C5784A}" name="Column5612"/>
    <tableColumn id="5613" xr3:uid="{7664027F-B24C-469B-BD4E-25358C1C373B}" name="Column5613"/>
    <tableColumn id="5614" xr3:uid="{6914F312-6CB9-49A7-8347-4A9D6B2B7067}" name="Column5614"/>
    <tableColumn id="5615" xr3:uid="{B99ACD05-B0A8-4B4A-8801-F9BFAD939507}" name="Column5615"/>
    <tableColumn id="5616" xr3:uid="{4BBA8E74-006F-4859-845B-3CAD823A2A4F}" name="Column5616"/>
    <tableColumn id="5617" xr3:uid="{DF24ADA1-2A1B-450E-8469-2FF502FC1199}" name="Column5617"/>
    <tableColumn id="5618" xr3:uid="{FEA31F7C-C509-4731-87B7-7DCF5E5FCEBE}" name="Column5618"/>
    <tableColumn id="5619" xr3:uid="{D96AEFA3-D89C-4B59-8483-A57B6327DAD0}" name="Column5619"/>
    <tableColumn id="5620" xr3:uid="{285840A4-3455-4687-B05C-0A0B62DB9BA9}" name="Column5620"/>
    <tableColumn id="5621" xr3:uid="{F7B69258-4E4E-46ED-A981-33C0659F0787}" name="Column5621"/>
    <tableColumn id="5622" xr3:uid="{BAFC91C8-6AA8-42F3-9720-735D7FB1ACA0}" name="Column5622"/>
    <tableColumn id="5623" xr3:uid="{BDADF67E-69D2-40F4-95AC-8FB980CB9FF8}" name="Column5623"/>
    <tableColumn id="5624" xr3:uid="{9A64E393-23AF-4128-862F-CB3A43A0A750}" name="Column5624"/>
    <tableColumn id="5625" xr3:uid="{F0BD5536-8088-443C-825D-22BC84BCEAD7}" name="Column5625"/>
    <tableColumn id="5626" xr3:uid="{D3DD75FF-7BA7-4C75-A8AC-A4937C244F23}" name="Column5626"/>
    <tableColumn id="5627" xr3:uid="{B019AF81-8AF5-4AF8-9A07-2F4FE16A51A7}" name="Column5627"/>
    <tableColumn id="5628" xr3:uid="{3D1B7DA5-08F7-492E-AC67-24D4D2A4D9F2}" name="Column5628"/>
    <tableColumn id="5629" xr3:uid="{CAFCF7DD-14BC-4292-811C-8FD46C486E3E}" name="Column5629"/>
    <tableColumn id="5630" xr3:uid="{0415B6E2-8FB9-44EC-8FEC-97235EC2D403}" name="Column5630"/>
    <tableColumn id="5631" xr3:uid="{8FCB50E0-D402-40F2-AA44-95F41ECFB710}" name="Column5631"/>
    <tableColumn id="5632" xr3:uid="{497808F4-93B3-456E-9EE4-5552DADD3B96}" name="Column5632"/>
    <tableColumn id="5633" xr3:uid="{AA8633E0-27FF-4FFA-9B47-1F221699AB86}" name="Column5633"/>
    <tableColumn id="5634" xr3:uid="{FA99B7AC-7D1E-42B3-A485-B9F0D906204B}" name="Column5634"/>
    <tableColumn id="5635" xr3:uid="{EF094736-4500-4EF9-A32A-996EEF51FC6D}" name="Column5635"/>
    <tableColumn id="5636" xr3:uid="{6F92379A-E78A-4048-A342-53F0423CE669}" name="Column5636"/>
    <tableColumn id="5637" xr3:uid="{9A582D02-E594-45B0-9C4C-2BCA5276025C}" name="Column5637"/>
    <tableColumn id="5638" xr3:uid="{1461C474-9DAB-423A-916B-89D7B82F5A73}" name="Column5638"/>
    <tableColumn id="5639" xr3:uid="{E8817162-0921-47B2-9810-DA2854C75BF8}" name="Column5639"/>
    <tableColumn id="5640" xr3:uid="{6A89826B-F85B-4578-AD34-89B7FBCEAB37}" name="Column5640"/>
    <tableColumn id="5641" xr3:uid="{FDB9574B-5D7E-46D6-B237-2ED58A39DEC3}" name="Column5641"/>
    <tableColumn id="5642" xr3:uid="{DB5DA0AC-9C4B-4C03-9820-A48A27DBFDA9}" name="Column5642"/>
    <tableColumn id="5643" xr3:uid="{F64F61EE-CD3F-48D9-8B1C-B677DC8C9031}" name="Column5643"/>
    <tableColumn id="5644" xr3:uid="{FF765558-4C4B-4784-90EC-9C07C4B50D21}" name="Column5644"/>
    <tableColumn id="5645" xr3:uid="{D16B9221-B31F-4D9E-BC3A-43A961943FEB}" name="Column5645"/>
    <tableColumn id="5646" xr3:uid="{01BC1083-1360-410D-B098-EB10667F7808}" name="Column5646"/>
    <tableColumn id="5647" xr3:uid="{46C3C235-7F97-45E0-A8BA-A6597243D5A3}" name="Column5647"/>
    <tableColumn id="5648" xr3:uid="{4E38C2C2-F5B0-4D1A-9B06-E2985FCF24A5}" name="Column5648"/>
    <tableColumn id="5649" xr3:uid="{BA0A4C0C-8FD0-4161-99CE-A08703FA7A7F}" name="Column5649"/>
    <tableColumn id="5650" xr3:uid="{A314E0F7-E638-4AF2-93E6-AAD6AE21F949}" name="Column5650"/>
    <tableColumn id="5651" xr3:uid="{5C2B7CDF-3EB5-477D-825C-CB88FF50C48C}" name="Column5651"/>
    <tableColumn id="5652" xr3:uid="{CC001940-F706-4460-B835-13032B48497A}" name="Column5652"/>
    <tableColumn id="5653" xr3:uid="{E8F4FD9F-55D5-44DA-9813-9327B14D1749}" name="Column5653"/>
    <tableColumn id="5654" xr3:uid="{3BC3BA5D-E5FF-440B-9130-859B610B74A3}" name="Column5654"/>
    <tableColumn id="5655" xr3:uid="{BF371DA1-846D-43E5-8728-35F7D94E74EE}" name="Column5655"/>
    <tableColumn id="5656" xr3:uid="{E2CDBFBE-8761-4456-AB25-044EE6CD56F4}" name="Column5656"/>
    <tableColumn id="5657" xr3:uid="{74DD12B8-D4B5-4ED8-9588-9F528273F51D}" name="Column5657"/>
    <tableColumn id="5658" xr3:uid="{C6413478-1D98-46B4-9AD0-EE1055F613D7}" name="Column5658"/>
    <tableColumn id="5659" xr3:uid="{106E4A0B-1AB9-48E5-BF3D-B5ABD55A0BDC}" name="Column5659"/>
    <tableColumn id="5660" xr3:uid="{F9B61357-54C1-4239-A480-4FC2BEC3C8D6}" name="Column5660"/>
    <tableColumn id="5661" xr3:uid="{FBE00D17-FA4B-4FDB-A28F-F52F99F916E8}" name="Column5661"/>
    <tableColumn id="5662" xr3:uid="{72281438-F66D-46A9-BE51-6AB3BD1A2BDE}" name="Column5662"/>
    <tableColumn id="5663" xr3:uid="{2F911618-4C57-4C2B-B2BD-F43F0D7A8D2A}" name="Column5663"/>
    <tableColumn id="5664" xr3:uid="{EC3A3E3B-34D1-4BD0-BF52-47893312DA2D}" name="Column5664"/>
    <tableColumn id="5665" xr3:uid="{80CAF2DC-F452-4919-965F-ACEE04A4B2FD}" name="Column5665"/>
    <tableColumn id="5666" xr3:uid="{990D7C35-8590-4422-AB2E-42ED8AD3814A}" name="Column5666"/>
    <tableColumn id="5667" xr3:uid="{1CD73AE5-C871-4785-B719-848AC9381699}" name="Column5667"/>
    <tableColumn id="5668" xr3:uid="{67ED7F0A-2973-44A6-A372-E8BB1235F2A5}" name="Column5668"/>
    <tableColumn id="5669" xr3:uid="{35A4F062-792D-4BF7-9C5B-609A0ADDC479}" name="Column5669"/>
    <tableColumn id="5670" xr3:uid="{3E9D5A09-CC89-438E-84B1-8C60CB103F45}" name="Column5670"/>
    <tableColumn id="5671" xr3:uid="{F3FB38C9-9F24-4695-8D17-42AD951BCE63}" name="Column5671"/>
    <tableColumn id="5672" xr3:uid="{151C5975-ED11-4208-9EEC-78BC130D33D9}" name="Column5672"/>
    <tableColumn id="5673" xr3:uid="{B58EADC5-C9AD-4385-B269-53DC72FDBCEA}" name="Column5673"/>
    <tableColumn id="5674" xr3:uid="{48AB5A74-8570-4B5F-A978-306B2583A347}" name="Column5674"/>
    <tableColumn id="5675" xr3:uid="{9FB4CC89-224D-4511-8AB9-772B016B5E2A}" name="Column5675"/>
    <tableColumn id="5676" xr3:uid="{F7A622D5-C054-4447-9C33-6D25B823FE3D}" name="Column5676"/>
    <tableColumn id="5677" xr3:uid="{8844AF9C-01D9-495B-936C-C81001D0C873}" name="Column5677"/>
    <tableColumn id="5678" xr3:uid="{F635678F-4175-424F-B747-622F6A78A810}" name="Column5678"/>
    <tableColumn id="5679" xr3:uid="{DBB9198D-74F0-4D5A-B36F-AE9E67406D78}" name="Column5679"/>
    <tableColumn id="5680" xr3:uid="{49A3091A-A7D8-4193-A110-7B46932A2221}" name="Column5680"/>
    <tableColumn id="5681" xr3:uid="{AEA3ADD3-6E02-4CCA-A6C1-D81BB3FAD508}" name="Column5681"/>
    <tableColumn id="5682" xr3:uid="{3D0A0293-A67F-4C05-AC0E-8BCE943304C7}" name="Column5682"/>
    <tableColumn id="5683" xr3:uid="{3EA22765-EA85-472F-8E9E-025B2D45BB5B}" name="Column5683"/>
    <tableColumn id="5684" xr3:uid="{91A320FD-82B5-498F-B955-49FD2FA801EE}" name="Column5684"/>
    <tableColumn id="5685" xr3:uid="{B061EB12-D551-44E7-9D5C-48920BEA894B}" name="Column5685"/>
    <tableColumn id="5686" xr3:uid="{EFA16E8A-AAAF-4300-9E5F-A4554B6BB559}" name="Column5686"/>
    <tableColumn id="5687" xr3:uid="{B43EBB64-E54A-43D0-92AF-B82F9E8B0029}" name="Column5687"/>
    <tableColumn id="5688" xr3:uid="{9639DF2A-F7D8-4AFC-8E10-882A95A1FB1C}" name="Column5688"/>
    <tableColumn id="5689" xr3:uid="{E9C75276-560A-4082-BF27-05CE363F32CA}" name="Column5689"/>
    <tableColumn id="5690" xr3:uid="{7B493452-0E10-47CF-B146-D43CD0579541}" name="Column5690"/>
    <tableColumn id="5691" xr3:uid="{8D9F695E-47CB-4E89-AE79-15D91D912197}" name="Column5691"/>
    <tableColumn id="5692" xr3:uid="{1AC812E4-4981-4362-894D-B8C7A8D8E4E7}" name="Column5692"/>
    <tableColumn id="5693" xr3:uid="{C21F895C-1A64-4B3C-AF47-1C6A5E15A934}" name="Column5693"/>
    <tableColumn id="5694" xr3:uid="{B3306A38-9A79-4542-9FA2-2765D2F56D2D}" name="Column5694"/>
    <tableColumn id="5695" xr3:uid="{75D40DCC-D9B5-48A2-9CED-3E15A1B9FB38}" name="Column5695"/>
    <tableColumn id="5696" xr3:uid="{2168978B-5690-4BB0-9B42-194F7CC12729}" name="Column5696"/>
    <tableColumn id="5697" xr3:uid="{9EFA793E-117B-4566-AF0C-EA81C88647A8}" name="Column5697"/>
    <tableColumn id="5698" xr3:uid="{9F4C71ED-9697-4E4D-8BAD-6AB328D20C28}" name="Column5698"/>
    <tableColumn id="5699" xr3:uid="{58202309-74F9-46EC-9B87-BD3110FE9C76}" name="Column5699"/>
    <tableColumn id="5700" xr3:uid="{1F523B1A-A1EA-477E-8133-AE0694ED4BD5}" name="Column5700"/>
    <tableColumn id="5701" xr3:uid="{B5AF289C-CC73-47B2-B0DA-F95C2FF3CA9A}" name="Column5701"/>
    <tableColumn id="5702" xr3:uid="{A93545F1-6D67-4F41-88B4-6822EABA7B8B}" name="Column5702"/>
    <tableColumn id="5703" xr3:uid="{8BBED7AE-7094-417A-8BFB-8F0112B9D5E6}" name="Column5703"/>
    <tableColumn id="5704" xr3:uid="{DBF6FC0D-52F1-47C9-A648-D2C829B21142}" name="Column5704"/>
    <tableColumn id="5705" xr3:uid="{4F3403E0-3BD8-4358-947A-4C73645FA67D}" name="Column5705"/>
    <tableColumn id="5706" xr3:uid="{43AD34E8-02C4-4393-AE05-EA77253BE6C2}" name="Column5706"/>
    <tableColumn id="5707" xr3:uid="{C773569E-F735-4887-AD8F-206C7E54BF2D}" name="Column5707"/>
    <tableColumn id="5708" xr3:uid="{CA3020E7-A48B-4505-B353-0E00465C42E0}" name="Column5708"/>
    <tableColumn id="5709" xr3:uid="{7DCC5E16-35EA-44B9-AFC9-765F819E08D6}" name="Column5709"/>
    <tableColumn id="5710" xr3:uid="{8A214A23-BC88-4371-9D35-0936BD13B6B0}" name="Column5710"/>
    <tableColumn id="5711" xr3:uid="{6FBBC3D3-317C-44BE-B559-006D31A5C47F}" name="Column5711"/>
    <tableColumn id="5712" xr3:uid="{59634BB7-BC5E-4A4A-B2DF-CF4F35AAFC81}" name="Column5712"/>
    <tableColumn id="5713" xr3:uid="{310687C8-FE34-4D2F-8829-CE13EBBA2BC5}" name="Column5713"/>
    <tableColumn id="5714" xr3:uid="{59DF7069-13CC-436F-8ABA-158A410A849B}" name="Column5714"/>
    <tableColumn id="5715" xr3:uid="{C87B5900-7B06-454F-8050-28BA021E4362}" name="Column5715"/>
    <tableColumn id="5716" xr3:uid="{F8C28D42-9D34-408C-93E7-50B0899A6862}" name="Column5716"/>
    <tableColumn id="5717" xr3:uid="{FACBB92C-E56C-4A7D-8656-3DCBC9F936D2}" name="Column5717"/>
    <tableColumn id="5718" xr3:uid="{86633A50-FC6E-4F7C-A1D9-93F5E86D858C}" name="Column5718"/>
    <tableColumn id="5719" xr3:uid="{689BD5B7-3246-4FF9-8754-B34CD23FD066}" name="Column5719"/>
    <tableColumn id="5720" xr3:uid="{2FF01618-A1CE-41EE-AFB2-20234C1BF443}" name="Column5720"/>
    <tableColumn id="5721" xr3:uid="{00387B55-DDB5-4D2F-B3CD-D8559AC58DAD}" name="Column5721"/>
    <tableColumn id="5722" xr3:uid="{F9430810-6C6F-4893-B7D4-823BF88E393D}" name="Column5722"/>
    <tableColumn id="5723" xr3:uid="{254E93AF-10FD-492B-9BE6-62200FAACEC1}" name="Column5723"/>
    <tableColumn id="5724" xr3:uid="{A0D42BDC-B34C-4432-8F22-3796EEEF53B3}" name="Column5724"/>
    <tableColumn id="5725" xr3:uid="{10DA476B-1080-4C8B-BC82-A250DFE5EF6F}" name="Column5725"/>
    <tableColumn id="5726" xr3:uid="{7E86B5B6-DCF6-48F9-90BD-92FEB8D4D2BF}" name="Column5726"/>
    <tableColumn id="5727" xr3:uid="{2F119241-952F-406A-B50A-ADF04ACCF223}" name="Column5727"/>
    <tableColumn id="5728" xr3:uid="{17F209C5-B15A-4CC9-96DA-4D7FB2F8EF8D}" name="Column5728"/>
    <tableColumn id="5729" xr3:uid="{9CB137B2-055B-40DD-9083-9D5F4FF59B82}" name="Column5729"/>
    <tableColumn id="5730" xr3:uid="{D7488970-3778-494A-BFF9-572E3512BCAF}" name="Column5730"/>
    <tableColumn id="5731" xr3:uid="{CDA5724E-16D2-4A9D-8443-8FDDB7ED41A1}" name="Column5731"/>
    <tableColumn id="5732" xr3:uid="{91BF0AD7-DEF5-4235-B10E-CCFA4D98E952}" name="Column5732"/>
    <tableColumn id="5733" xr3:uid="{B8E1CF27-C8B2-4274-8DAE-FD8BD5FFC8D7}" name="Column5733"/>
    <tableColumn id="5734" xr3:uid="{0D59DC89-76C0-457F-8803-FFFB7B6C8FBB}" name="Column5734"/>
    <tableColumn id="5735" xr3:uid="{C51887F3-7771-4E71-85DA-ECCCEC03224E}" name="Column5735"/>
    <tableColumn id="5736" xr3:uid="{D86E8581-2CD4-4531-B4F6-0A402C5D1931}" name="Column5736"/>
    <tableColumn id="5737" xr3:uid="{97623E3B-56A0-4BE9-89E3-1BC2A5DA3A6C}" name="Column5737"/>
    <tableColumn id="5738" xr3:uid="{C9AD44BD-CCDF-4768-BCCD-820ECF5B6562}" name="Column5738"/>
    <tableColumn id="5739" xr3:uid="{C7496203-9FA0-4A5D-85CC-05CB18E4DD7E}" name="Column5739"/>
    <tableColumn id="5740" xr3:uid="{F1B3B9C0-CBE3-4959-AB46-D3A1BE57CE24}" name="Column5740"/>
    <tableColumn id="5741" xr3:uid="{EADF4E76-073C-4892-A43C-DA4559D4FF16}" name="Column5741"/>
    <tableColumn id="5742" xr3:uid="{0291B015-79AE-4355-94C1-237294565745}" name="Column5742"/>
    <tableColumn id="5743" xr3:uid="{7583EB15-4BC9-4198-A20C-0DA9A9C8DED8}" name="Column5743"/>
    <tableColumn id="5744" xr3:uid="{62DA2872-BD39-4A77-A3DF-10A78F73EB5A}" name="Column5744"/>
    <tableColumn id="5745" xr3:uid="{E1FE7D82-1F65-47EE-99F1-80C22A871D53}" name="Column5745"/>
    <tableColumn id="5746" xr3:uid="{7F4E1350-3D93-413D-BE7B-3F25AAC8BC5A}" name="Column5746"/>
    <tableColumn id="5747" xr3:uid="{25E1BABB-A99F-4CD2-A790-F654F8947F18}" name="Column5747"/>
    <tableColumn id="5748" xr3:uid="{E945CA3E-67C6-48CE-BAD1-7D4CBE00184F}" name="Column5748"/>
    <tableColumn id="5749" xr3:uid="{C7D1DEE1-FAAD-4153-98B7-FEB152985081}" name="Column5749"/>
    <tableColumn id="5750" xr3:uid="{4A69841A-AC71-4967-B74A-8671A4E72F8D}" name="Column5750"/>
    <tableColumn id="5751" xr3:uid="{36B86325-09E0-40F5-BD7F-DFBEFCECC258}" name="Column5751"/>
    <tableColumn id="5752" xr3:uid="{ADF9C950-8EC5-4449-A029-4FB99D67F4C0}" name="Column5752"/>
    <tableColumn id="5753" xr3:uid="{005EBD53-0D16-4FAC-A0A9-B3AB0BA2BC9C}" name="Column5753"/>
    <tableColumn id="5754" xr3:uid="{1500E2E9-D8F4-4713-A62F-7CD526049BDC}" name="Column5754"/>
    <tableColumn id="5755" xr3:uid="{50557082-7B39-4F7E-8791-898017C79F51}" name="Column5755"/>
    <tableColumn id="5756" xr3:uid="{E1D4D379-E9CE-45BC-9C8E-3B50EF2D9564}" name="Column5756"/>
    <tableColumn id="5757" xr3:uid="{9841725E-BA21-4757-8B2F-38A46082EAC6}" name="Column5757"/>
    <tableColumn id="5758" xr3:uid="{C0B5AD1F-C43A-45CF-AC54-832C73348A07}" name="Column5758"/>
    <tableColumn id="5759" xr3:uid="{B2A13C2F-6E06-4382-AA71-AC1AAB5066F5}" name="Column5759"/>
    <tableColumn id="5760" xr3:uid="{71954392-125E-47F0-BECC-958F66DE760B}" name="Column5760"/>
    <tableColumn id="5761" xr3:uid="{22262419-9D6F-4BDE-9124-EC2184F2B5FF}" name="Column5761"/>
    <tableColumn id="5762" xr3:uid="{046D5B3C-4752-462E-AD19-21EE40D139A2}" name="Column5762"/>
    <tableColumn id="5763" xr3:uid="{E630EDE0-CF0B-4252-9C56-84708E6D7EE3}" name="Column5763"/>
    <tableColumn id="5764" xr3:uid="{2049340C-1F52-4A10-8DEE-9DEF9BA8DB6B}" name="Column5764"/>
    <tableColumn id="5765" xr3:uid="{D5F5C83B-17A0-45DD-9E2E-BAF45EE9745E}" name="Column5765"/>
    <tableColumn id="5766" xr3:uid="{ACFDBD4F-376F-4572-8B70-D94314F03F17}" name="Column5766"/>
    <tableColumn id="5767" xr3:uid="{30D89350-C7F8-4741-92E8-032A13AF1CAE}" name="Column5767"/>
    <tableColumn id="5768" xr3:uid="{6F74045C-E98A-4483-BFD7-38D0F5B6072A}" name="Column5768"/>
    <tableColumn id="5769" xr3:uid="{276E5F65-7CE7-48F8-AC94-E2BC62D98BB2}" name="Column5769"/>
    <tableColumn id="5770" xr3:uid="{33A40102-8A1F-4E8D-9064-39049CF20161}" name="Column5770"/>
    <tableColumn id="5771" xr3:uid="{9C728584-6706-4BA3-9528-0B20483FC1AF}" name="Column5771"/>
    <tableColumn id="5772" xr3:uid="{69F20EEE-ADA4-4CE0-AC4F-5CCD50AE5833}" name="Column5772"/>
    <tableColumn id="5773" xr3:uid="{9018ABF2-9859-43AF-ADFA-55486C12786E}" name="Column5773"/>
    <tableColumn id="5774" xr3:uid="{4237A80A-A209-496A-8161-DD3918984B45}" name="Column5774"/>
    <tableColumn id="5775" xr3:uid="{EC54FD71-5A53-4E3A-A3A6-59C77F1AC18B}" name="Column5775"/>
    <tableColumn id="5776" xr3:uid="{5F21EEB1-46FE-46D0-9658-E34C6F80ADEC}" name="Column5776"/>
    <tableColumn id="5777" xr3:uid="{6C8E7FEA-E782-40F7-A27C-8C51CB608D48}" name="Column5777"/>
    <tableColumn id="5778" xr3:uid="{03797EE5-BBD0-4AF4-A3D2-1D4C61CBABDE}" name="Column5778"/>
    <tableColumn id="5779" xr3:uid="{8D5DA6C4-E743-411D-ACFA-E4A6E7B6D528}" name="Column5779"/>
    <tableColumn id="5780" xr3:uid="{8E4DBAAB-52D0-46A5-85FF-C03EF06A7E69}" name="Column5780"/>
    <tableColumn id="5781" xr3:uid="{53EDFBE6-12B2-479B-9F01-101340B90B69}" name="Column5781"/>
    <tableColumn id="5782" xr3:uid="{8B778A5B-467A-49D0-BC4C-983F783F34BD}" name="Column5782"/>
    <tableColumn id="5783" xr3:uid="{EB2194C0-FB12-4BC3-A953-ADD182800CB0}" name="Column5783"/>
    <tableColumn id="5784" xr3:uid="{B5107C18-917C-4CCA-81A8-527F5B0E0E0A}" name="Column5784"/>
    <tableColumn id="5785" xr3:uid="{CD39AD52-C444-40B4-9837-B21322231BF9}" name="Column5785"/>
    <tableColumn id="5786" xr3:uid="{AD014965-0572-4ECE-B7C2-D7FA3FBD486A}" name="Column5786"/>
    <tableColumn id="5787" xr3:uid="{3AA8E2B8-03E6-41B7-B79E-25336819306A}" name="Column5787"/>
    <tableColumn id="5788" xr3:uid="{BE1A3741-BC93-4B39-9310-0F2C2BAC686F}" name="Column5788"/>
    <tableColumn id="5789" xr3:uid="{EA6DF551-BBF1-43AD-B4D5-6295869EEEB6}" name="Column5789"/>
    <tableColumn id="5790" xr3:uid="{D7229CA5-F8E9-4EA1-95C2-C12826991D05}" name="Column5790"/>
    <tableColumn id="5791" xr3:uid="{3C13EAFA-C4C7-4F44-9BB7-34422F699FA3}" name="Column5791"/>
    <tableColumn id="5792" xr3:uid="{6BB7094A-E2E1-4666-840C-B7FA0F66A418}" name="Column5792"/>
    <tableColumn id="5793" xr3:uid="{5E805F6E-4646-4C2E-AB27-F9A3C6532F88}" name="Column5793"/>
    <tableColumn id="5794" xr3:uid="{C96606F0-B69C-455F-9ED5-50CD1E2EA55B}" name="Column5794"/>
    <tableColumn id="5795" xr3:uid="{BE9245F6-CD96-4A44-9856-B6E24BA3B6DA}" name="Column5795"/>
    <tableColumn id="5796" xr3:uid="{E693441B-D614-4934-A0E4-5148B6F9415D}" name="Column5796"/>
    <tableColumn id="5797" xr3:uid="{B744034C-2D72-4965-9046-605044FE6F3F}" name="Column5797"/>
    <tableColumn id="5798" xr3:uid="{FB7D4CE8-ACE0-4091-A0F2-D470EA892E5D}" name="Column5798"/>
    <tableColumn id="5799" xr3:uid="{5AE2A579-4867-4034-BF1B-D14D134AFB1A}" name="Column5799"/>
    <tableColumn id="5800" xr3:uid="{4D57BFF7-E634-46C7-A685-8735409BC14D}" name="Column5800"/>
    <tableColumn id="5801" xr3:uid="{76400B43-D9C7-48BA-BECB-F81131E86EA4}" name="Column5801"/>
    <tableColumn id="5802" xr3:uid="{46067471-EE68-4607-9AB1-D95037B32165}" name="Column5802"/>
    <tableColumn id="5803" xr3:uid="{3B4ACFD3-CAED-40DE-9A89-43CCCFFA73E1}" name="Column5803"/>
    <tableColumn id="5804" xr3:uid="{FE054ED4-1998-4B40-8254-2205D187464F}" name="Column5804"/>
    <tableColumn id="5805" xr3:uid="{93D2BA34-E473-484F-B8A9-798C41EF519A}" name="Column5805"/>
    <tableColumn id="5806" xr3:uid="{F3EF8C43-1D05-4A6F-B1E1-C580C46B69CE}" name="Column5806"/>
    <tableColumn id="5807" xr3:uid="{065CDB75-12DB-4EDD-937A-91729BA0D24F}" name="Column5807"/>
    <tableColumn id="5808" xr3:uid="{45030DDB-7433-49EC-8331-D27A41C17B9D}" name="Column5808"/>
    <tableColumn id="5809" xr3:uid="{2FE8F195-81CE-4972-88C6-AB3C65332AAF}" name="Column5809"/>
    <tableColumn id="5810" xr3:uid="{E25F4452-72DF-4D5B-8FDC-E8AEF2791E5E}" name="Column5810"/>
    <tableColumn id="5811" xr3:uid="{F6ECD22F-09AC-4735-B4C8-627662E67E18}" name="Column5811"/>
    <tableColumn id="5812" xr3:uid="{EE769927-57F5-4080-BBB1-0AD06C1B9992}" name="Column5812"/>
    <tableColumn id="5813" xr3:uid="{7CC7212D-157E-4140-B5B6-8C604F325055}" name="Column5813"/>
    <tableColumn id="5814" xr3:uid="{B7B33D08-BEAD-4871-A8A8-10DA9FC870E9}" name="Column5814"/>
    <tableColumn id="5815" xr3:uid="{C675CE8B-414F-4FB3-AD9E-7802EEF5A3D8}" name="Column5815"/>
    <tableColumn id="5816" xr3:uid="{0900BDBE-A1EB-4303-99B3-375CF59D9A52}" name="Column5816"/>
    <tableColumn id="5817" xr3:uid="{02583733-91B8-4DA2-9A8E-54A8F19D3BC7}" name="Column5817"/>
    <tableColumn id="5818" xr3:uid="{AE6735B2-95D9-4BD6-A227-FC5D3954AEDF}" name="Column5818"/>
    <tableColumn id="5819" xr3:uid="{1B8F4A1E-BCB2-4E88-B9DB-21202343E51A}" name="Column5819"/>
    <tableColumn id="5820" xr3:uid="{D7287728-3BD0-4FCE-91DC-B207803FE3A5}" name="Column5820"/>
    <tableColumn id="5821" xr3:uid="{3BA23697-EA23-44F7-B4F7-8031B9157FF9}" name="Column5821"/>
    <tableColumn id="5822" xr3:uid="{FF5B34BD-048C-4A16-9AA9-B05A90340882}" name="Column5822"/>
    <tableColumn id="5823" xr3:uid="{2BA04BFA-4920-4557-924B-305B360B83ED}" name="Column5823"/>
    <tableColumn id="5824" xr3:uid="{5517CDFA-1300-4AEA-8D01-6BDA01DFE529}" name="Column5824"/>
    <tableColumn id="5825" xr3:uid="{F60A13DB-975C-4939-A3B2-F82A44F3C978}" name="Column5825"/>
    <tableColumn id="5826" xr3:uid="{44906E40-E5DE-4012-9381-CDC9194B75BA}" name="Column5826"/>
    <tableColumn id="5827" xr3:uid="{1063C24D-05B2-436F-B3AB-54DBC62C93EA}" name="Column5827"/>
    <tableColumn id="5828" xr3:uid="{4D24EE22-DA32-4BDA-92ED-114CC2AB28FD}" name="Column5828"/>
    <tableColumn id="5829" xr3:uid="{58B571E9-2612-4C83-AB43-82CF0AAF6FBE}" name="Column5829"/>
    <tableColumn id="5830" xr3:uid="{6836097A-27C5-44C3-8764-A58139DD7334}" name="Column5830"/>
    <tableColumn id="5831" xr3:uid="{A34C8728-031C-45B0-B501-3EF42FDF8A6D}" name="Column5831"/>
    <tableColumn id="5832" xr3:uid="{EFA54EB2-2E03-44AA-B1F8-831126DC5A97}" name="Column5832"/>
    <tableColumn id="5833" xr3:uid="{11E1568D-FE97-45FB-AF65-80C804C9A494}" name="Column5833"/>
    <tableColumn id="5834" xr3:uid="{30F65759-A253-4B14-A88E-1ACA00531179}" name="Column5834"/>
    <tableColumn id="5835" xr3:uid="{AA72617A-3F94-41C8-829A-D608CB4EF4A4}" name="Column5835"/>
    <tableColumn id="5836" xr3:uid="{1197E26D-F143-4C49-8A76-383A8811940C}" name="Column5836"/>
    <tableColumn id="5837" xr3:uid="{0DB424E8-0A31-4AB7-BD0D-22663807930D}" name="Column5837"/>
    <tableColumn id="5838" xr3:uid="{26D7DD40-6344-417B-B1F6-823A9B903AD9}" name="Column5838"/>
    <tableColumn id="5839" xr3:uid="{AB3A90B7-45A0-4654-9DBB-59AB8A5D12D2}" name="Column5839"/>
    <tableColumn id="5840" xr3:uid="{CBE7A4ED-51DB-4172-9FF1-DE254F74FF9F}" name="Column5840"/>
    <tableColumn id="5841" xr3:uid="{3472504D-50E3-4689-9CC3-5E7B2A67BFBB}" name="Column5841"/>
    <tableColumn id="5842" xr3:uid="{99E09DB4-E649-44DA-9125-8F4CDF8117AA}" name="Column5842"/>
    <tableColumn id="5843" xr3:uid="{CBDBEE63-0FCC-4D41-BEF2-2485135AB0BA}" name="Column5843"/>
    <tableColumn id="5844" xr3:uid="{5DD94A7F-C5DB-45FB-8BBF-DC26CDFB5350}" name="Column5844"/>
    <tableColumn id="5845" xr3:uid="{F02E46BB-E6AA-40E3-8F30-60B1B46A98CB}" name="Column5845"/>
    <tableColumn id="5846" xr3:uid="{1A6CA9D0-605E-4830-AA2D-9F6FE61AC5C2}" name="Column5846"/>
    <tableColumn id="5847" xr3:uid="{5ECFCA3C-90DC-4535-9E12-85D1234C03DA}" name="Column5847"/>
    <tableColumn id="5848" xr3:uid="{1A93D70E-3430-4C03-813D-A9A70AF85133}" name="Column5848"/>
    <tableColumn id="5849" xr3:uid="{3C0AF1E5-ACB7-4023-A051-4EEC88EBEC98}" name="Column5849"/>
    <tableColumn id="5850" xr3:uid="{E0E3D9CB-E1D7-4408-BE05-940A2827E01E}" name="Column5850"/>
    <tableColumn id="5851" xr3:uid="{298C434E-E78F-49F4-BBB2-3312F6616E4D}" name="Column5851"/>
    <tableColumn id="5852" xr3:uid="{61668B2A-E3EA-459F-8D72-F51BA9A30D43}" name="Column5852"/>
    <tableColumn id="5853" xr3:uid="{5815FFC5-D950-40E1-AA42-4C1819FD1AF8}" name="Column5853"/>
    <tableColumn id="5854" xr3:uid="{CC39E121-CB12-45B4-9DF3-3D7DC57E3D50}" name="Column5854"/>
    <tableColumn id="5855" xr3:uid="{54F2CDEE-353B-4398-9EDB-83BF19FAFEFB}" name="Column5855"/>
    <tableColumn id="5856" xr3:uid="{EF25E905-BC72-4066-BFE0-3EFF68C23350}" name="Column5856"/>
    <tableColumn id="5857" xr3:uid="{3BB235C1-76FC-487A-98F4-ECC77C8FE3E3}" name="Column5857"/>
    <tableColumn id="5858" xr3:uid="{9E7B9ECF-7778-4408-9319-95E1C6991FEE}" name="Column5858"/>
    <tableColumn id="5859" xr3:uid="{621952B9-43B6-43DE-94FD-934623EC2798}" name="Column5859"/>
    <tableColumn id="5860" xr3:uid="{90CCF50E-F7A2-48D7-A650-BB3C50563338}" name="Column5860"/>
    <tableColumn id="5861" xr3:uid="{A2AD8D0C-1C11-48B6-9AF8-4D0691A3113F}" name="Column5861"/>
    <tableColumn id="5862" xr3:uid="{2A345835-ED2D-430B-9BE7-3D2674BA7CC6}" name="Column5862"/>
    <tableColumn id="5863" xr3:uid="{2B5086E4-A5BB-42DF-BB3B-DF54307B8C51}" name="Column5863"/>
    <tableColumn id="5864" xr3:uid="{FD6D6D33-F7F4-486F-89B2-31C4A60558A6}" name="Column5864"/>
    <tableColumn id="5865" xr3:uid="{FCA39522-27AF-4FB2-AFF9-3C1077F8FB8F}" name="Column5865"/>
    <tableColumn id="5866" xr3:uid="{1A2A8C8F-5CDE-4331-9E4F-E612AA339076}" name="Column5866"/>
    <tableColumn id="5867" xr3:uid="{B826A8B8-D430-445A-BBAB-644E08BD1959}" name="Column5867"/>
    <tableColumn id="5868" xr3:uid="{11A8B381-3326-4C98-82AA-32234C8533C4}" name="Column5868"/>
    <tableColumn id="5869" xr3:uid="{4E2FCAC8-9B56-499B-9A91-FADC70BF85F5}" name="Column5869"/>
    <tableColumn id="5870" xr3:uid="{46CE9BA7-3F29-4598-80EB-A90876188487}" name="Column5870"/>
    <tableColumn id="5871" xr3:uid="{3EE7441F-0916-4D5A-BAA2-A203176C4936}" name="Column5871"/>
    <tableColumn id="5872" xr3:uid="{5B24B027-7B9B-445F-A877-0F5904D982C8}" name="Column5872"/>
    <tableColumn id="5873" xr3:uid="{2CA0C1FC-CE68-4B07-A092-10A818938E43}" name="Column5873"/>
    <tableColumn id="5874" xr3:uid="{038C57DA-9115-4D10-BC49-5E6DD8A2807E}" name="Column5874"/>
    <tableColumn id="5875" xr3:uid="{83107422-4066-4DFC-A1BC-2C9484247A8D}" name="Column5875"/>
    <tableColumn id="5876" xr3:uid="{FD871AFF-E3E8-4F6E-A846-B4664F1DC286}" name="Column5876"/>
    <tableColumn id="5877" xr3:uid="{303E43F7-8C6D-4A7D-9011-D211EEB7B14D}" name="Column5877"/>
    <tableColumn id="5878" xr3:uid="{F652BFCC-ADB5-475E-8B9C-15BD187DD81F}" name="Column5878"/>
    <tableColumn id="5879" xr3:uid="{0BDF40E3-E722-420C-B689-78D4B6F8C034}" name="Column5879"/>
    <tableColumn id="5880" xr3:uid="{5602DECC-C3E9-415D-8EE6-BE95B53A17D6}" name="Column5880"/>
    <tableColumn id="5881" xr3:uid="{89445EEA-8211-4019-A648-6B2849675B42}" name="Column5881"/>
    <tableColumn id="5882" xr3:uid="{FD69FF78-3370-49E3-86E0-15972098150B}" name="Column5882"/>
    <tableColumn id="5883" xr3:uid="{7F05E9AD-B2DE-4604-A1C9-E996A32066EC}" name="Column5883"/>
    <tableColumn id="5884" xr3:uid="{ED8D7921-7CDA-476A-BA0A-7A4DE4CE076E}" name="Column5884"/>
    <tableColumn id="5885" xr3:uid="{93AF2049-DDC3-4211-ABBE-67C329C14E6B}" name="Column5885"/>
    <tableColumn id="5886" xr3:uid="{2A4D9230-4679-405F-AA4C-9496C36B0877}" name="Column5886"/>
    <tableColumn id="5887" xr3:uid="{7C0FA13D-C065-4CBE-AF98-C93BDE78B512}" name="Column5887"/>
    <tableColumn id="5888" xr3:uid="{14A6339E-E157-4FCC-B90D-E220B63A8BAE}" name="Column5888"/>
    <tableColumn id="5889" xr3:uid="{970B6276-6E30-49FF-ADC1-931F8A08903C}" name="Column5889"/>
    <tableColumn id="5890" xr3:uid="{19A59C13-7959-49A3-994C-2C34FA1CEC86}" name="Column5890"/>
    <tableColumn id="5891" xr3:uid="{D0835D5F-C75F-4833-AEA1-2A9F1F354396}" name="Column5891"/>
    <tableColumn id="5892" xr3:uid="{FF4502D2-CEA6-4A8D-83EA-0884B9FCB564}" name="Column5892"/>
    <tableColumn id="5893" xr3:uid="{0C6A3DA5-0B00-4128-9271-D2DCCE744CD6}" name="Column5893"/>
    <tableColumn id="5894" xr3:uid="{B83C7E7B-EB6F-4901-980E-C71336E4C9ED}" name="Column5894"/>
    <tableColumn id="5895" xr3:uid="{BB83BD96-E69F-4306-BFDF-4170A249040A}" name="Column5895"/>
    <tableColumn id="5896" xr3:uid="{332EF781-57BA-4DD8-983E-935FB2D6B0BF}" name="Column5896"/>
    <tableColumn id="5897" xr3:uid="{6A9C8DD8-D04B-4CDA-BA3A-F42CFAC3833D}" name="Column5897"/>
    <tableColumn id="5898" xr3:uid="{2D23C3F1-84E9-4E91-8B88-1E2D2B9FAD19}" name="Column5898"/>
    <tableColumn id="5899" xr3:uid="{C3B65094-63C2-49D4-BC5B-2027FA96B9DF}" name="Column5899"/>
    <tableColumn id="5900" xr3:uid="{3DE44B4B-4073-4DCC-9A69-DEB694FCD356}" name="Column5900"/>
    <tableColumn id="5901" xr3:uid="{73BE9FE3-2013-4B2A-B3E2-B3D222F9C567}" name="Column5901"/>
    <tableColumn id="5902" xr3:uid="{C09BE4C2-1A5E-4F1E-9B08-9212A0F5BE4C}" name="Column5902"/>
    <tableColumn id="5903" xr3:uid="{C2EE5784-7354-4A76-918D-796D17C95D42}" name="Column5903"/>
    <tableColumn id="5904" xr3:uid="{C70EA2FA-87FD-46FD-8652-0404855F1751}" name="Column5904"/>
    <tableColumn id="5905" xr3:uid="{9556B62F-10FD-433F-83D5-F107C7F93866}" name="Column5905"/>
    <tableColumn id="5906" xr3:uid="{47BD7A7B-CFE7-4AD8-84D7-947BF477BF0E}" name="Column5906"/>
    <tableColumn id="5907" xr3:uid="{DB389043-4F14-4BD2-A170-B88D31E86EE0}" name="Column5907"/>
    <tableColumn id="5908" xr3:uid="{214686E5-318A-4E77-B3D9-051BEBC189EF}" name="Column5908"/>
    <tableColumn id="5909" xr3:uid="{2B808CFB-AA04-483B-A108-3F40BDA8EDA0}" name="Column5909"/>
    <tableColumn id="5910" xr3:uid="{11052941-49AD-481B-A3C2-B127B3E70F79}" name="Column5910"/>
    <tableColumn id="5911" xr3:uid="{0A52BF15-B7E6-4B00-AB67-B7593E13F4EB}" name="Column5911"/>
    <tableColumn id="5912" xr3:uid="{FD47D199-ED10-4C57-A7D0-210F395D8C8C}" name="Column5912"/>
    <tableColumn id="5913" xr3:uid="{01C08A71-96E4-46E9-9936-6E4310665579}" name="Column5913"/>
    <tableColumn id="5914" xr3:uid="{D45EA080-38B6-4186-9A24-882265558A4D}" name="Column5914"/>
    <tableColumn id="5915" xr3:uid="{0BD2824B-2DDB-4091-8595-8B87F5092E86}" name="Column5915"/>
    <tableColumn id="5916" xr3:uid="{63EBF030-BB85-4693-955A-BDEE835D5F87}" name="Column5916"/>
    <tableColumn id="5917" xr3:uid="{85009091-693A-4BD1-9DF2-C0885882666A}" name="Column5917"/>
    <tableColumn id="5918" xr3:uid="{6005CE4F-7301-450A-AE64-F2778D3DAD3C}" name="Column5918"/>
    <tableColumn id="5919" xr3:uid="{3C9E0C72-DF6D-4D09-A3A3-F3F3633293AB}" name="Column5919"/>
    <tableColumn id="5920" xr3:uid="{B6BB1513-C2AD-482C-B17A-2BCA0A96B6F4}" name="Column5920"/>
    <tableColumn id="5921" xr3:uid="{B4A61BA0-2410-40E0-B60B-5F97D7AD6A86}" name="Column5921"/>
    <tableColumn id="5922" xr3:uid="{535B963E-4AA2-4FA0-AF0B-A1E8D2C72151}" name="Column5922"/>
    <tableColumn id="5923" xr3:uid="{74FDF7A7-6A8F-4361-911D-5D4D23625895}" name="Column5923"/>
    <tableColumn id="5924" xr3:uid="{F8A3BC2D-E4DB-4E1D-904B-86DE35FCFBCC}" name="Column5924"/>
    <tableColumn id="5925" xr3:uid="{5BBF2F3C-E4FB-452B-A895-CA7F2DB051E1}" name="Column5925"/>
    <tableColumn id="5926" xr3:uid="{E6C33E4D-4BD7-4421-824E-6FCA40DF27B5}" name="Column5926"/>
    <tableColumn id="5927" xr3:uid="{71A331CE-1D43-4A3B-A2DE-91D705F565AC}" name="Column5927"/>
    <tableColumn id="5928" xr3:uid="{B3313D02-52C3-487D-A01D-6FB93C202F68}" name="Column5928"/>
    <tableColumn id="5929" xr3:uid="{90DE7B97-4A66-49A6-8597-0F39EAA3E18A}" name="Column5929"/>
    <tableColumn id="5930" xr3:uid="{A3027185-CC42-4E59-8095-390281C50555}" name="Column5930"/>
    <tableColumn id="5931" xr3:uid="{4D92E1CA-A874-49E4-8337-8240C39143E6}" name="Column5931"/>
    <tableColumn id="5932" xr3:uid="{D0A797C3-0133-4B27-8CAA-814CF52745AD}" name="Column5932"/>
    <tableColumn id="5933" xr3:uid="{B89312C2-4243-4D8E-BAD0-C5BDD49700C0}" name="Column5933"/>
    <tableColumn id="5934" xr3:uid="{EE687F5F-0A92-47D4-A73E-D420620D2038}" name="Column5934"/>
    <tableColumn id="5935" xr3:uid="{8C518E59-66EC-4C19-ADB2-BF0A849B720A}" name="Column5935"/>
    <tableColumn id="5936" xr3:uid="{843F90A3-405B-44A0-B309-FE287F85E53A}" name="Column5936"/>
    <tableColumn id="5937" xr3:uid="{F3F0BF6D-E66F-44E6-989E-1ECBE4001344}" name="Column5937"/>
    <tableColumn id="5938" xr3:uid="{3C050A81-D7FF-47FA-9B88-7064E20F66FA}" name="Column5938"/>
    <tableColumn id="5939" xr3:uid="{428E9775-FA28-40AF-8D8C-0E177C1AF6F0}" name="Column5939"/>
    <tableColumn id="5940" xr3:uid="{03B766F1-7B12-4CDA-A3BB-D4F777B6C5F5}" name="Column5940"/>
    <tableColumn id="5941" xr3:uid="{4ED988F0-2884-446C-BCB5-2F0C2DB9DC97}" name="Column5941"/>
    <tableColumn id="5942" xr3:uid="{4EA1A9CA-59AA-4C51-B38D-401FC071F895}" name="Column5942"/>
    <tableColumn id="5943" xr3:uid="{85890D62-62C6-47C2-880F-97470F7C0BE1}" name="Column5943"/>
    <tableColumn id="5944" xr3:uid="{217E342F-C8F6-4515-A3B0-743E1720E4B8}" name="Column5944"/>
    <tableColumn id="5945" xr3:uid="{223E2781-0496-48DC-81D2-351ED2DB8883}" name="Column5945"/>
    <tableColumn id="5946" xr3:uid="{6BE98EEC-6B47-45B6-B0ED-2E9F1A09EFE1}" name="Column5946"/>
    <tableColumn id="5947" xr3:uid="{DB8A33C3-90AD-4EFD-BD92-14B8F697F921}" name="Column5947"/>
    <tableColumn id="5948" xr3:uid="{3BD9DDE6-9AA3-4F11-8EDA-DDF2150A0C34}" name="Column5948"/>
    <tableColumn id="5949" xr3:uid="{65AD889E-CBBC-42E2-AE9D-EB2D80AC64EE}" name="Column5949"/>
    <tableColumn id="5950" xr3:uid="{77F2023A-461E-4C36-9BFF-8696E9DAD937}" name="Column5950"/>
    <tableColumn id="5951" xr3:uid="{95F44E1D-B639-4EA0-8D0E-7F65887B2810}" name="Column5951"/>
    <tableColumn id="5952" xr3:uid="{6D2BA8B0-51C2-4D9A-A028-FB88947C593A}" name="Column5952"/>
    <tableColumn id="5953" xr3:uid="{92907039-704E-41C4-A95B-8A7B11262E05}" name="Column5953"/>
    <tableColumn id="5954" xr3:uid="{CF5944D8-5CE1-40FA-9105-E5526D5398AD}" name="Column5954"/>
    <tableColumn id="5955" xr3:uid="{EE562C1B-1236-46E9-A3FE-A265890C78D8}" name="Column5955"/>
    <tableColumn id="5956" xr3:uid="{96A0A9EE-AB99-4FC7-89EC-1AB262C4AFC8}" name="Column5956"/>
    <tableColumn id="5957" xr3:uid="{7A859255-830B-4AC7-BFED-E6322A61FF00}" name="Column5957"/>
    <tableColumn id="5958" xr3:uid="{E118C347-679E-4C8E-86F4-D4D1F9F42B64}" name="Column5958"/>
    <tableColumn id="5959" xr3:uid="{02721860-8729-4302-B60D-EEB8559B83FB}" name="Column5959"/>
    <tableColumn id="5960" xr3:uid="{285E2CEA-8EEF-413F-A7B2-1B7AB1002D3F}" name="Column5960"/>
    <tableColumn id="5961" xr3:uid="{A374B367-FA1A-4137-92DD-B520FEA923BE}" name="Column5961"/>
    <tableColumn id="5962" xr3:uid="{6FC6B088-1642-4AB8-A122-670A21E72F66}" name="Column5962"/>
    <tableColumn id="5963" xr3:uid="{D5156F0A-955A-4E4A-8665-7191B56AFA67}" name="Column5963"/>
    <tableColumn id="5964" xr3:uid="{84E80031-3214-4E06-A569-58B5B6EC198A}" name="Column5964"/>
    <tableColumn id="5965" xr3:uid="{91FCC999-38E3-4356-8D25-C5036A5A14A8}" name="Column5965"/>
    <tableColumn id="5966" xr3:uid="{3E1418CA-110D-43F1-BD4B-9C8B245B9C4A}" name="Column5966"/>
    <tableColumn id="5967" xr3:uid="{798E2634-1F80-4FFD-8D33-D9E333E4D6DF}" name="Column5967"/>
    <tableColumn id="5968" xr3:uid="{8E0D70B6-8107-41D5-B64B-9BEE1D1E26AB}" name="Column5968"/>
    <tableColumn id="5969" xr3:uid="{20EA4336-557D-4C92-9A16-9EC771E564BD}" name="Column5969"/>
    <tableColumn id="5970" xr3:uid="{8EE16915-9E20-4972-B956-86AF84430629}" name="Column5970"/>
    <tableColumn id="5971" xr3:uid="{5EF50836-5FE5-4176-ADA6-0532F11E56C0}" name="Column5971"/>
    <tableColumn id="5972" xr3:uid="{A71CDB3F-A9AB-44AB-BEE0-949FC97C77F4}" name="Column5972"/>
    <tableColumn id="5973" xr3:uid="{DD60FD70-0DF8-498C-AA46-53741837D7FA}" name="Column5973"/>
    <tableColumn id="5974" xr3:uid="{EE2ADC7C-112C-456B-8900-88E8F3B3ACAE}" name="Column5974"/>
    <tableColumn id="5975" xr3:uid="{2FECF597-C588-443D-A6EF-3145EFACEBDD}" name="Column5975"/>
    <tableColumn id="5976" xr3:uid="{81E1DDE8-47A9-4C02-BFA1-41B3EC4C0D3E}" name="Column5976"/>
    <tableColumn id="5977" xr3:uid="{56551B0F-BAF4-491C-98AF-932CC899AE44}" name="Column5977"/>
    <tableColumn id="5978" xr3:uid="{844B6CE0-DEA7-47F5-90F3-DE033C3DC809}" name="Column5978"/>
    <tableColumn id="5979" xr3:uid="{730BE30B-DAF9-4648-A803-1EFC096D8205}" name="Column5979"/>
    <tableColumn id="5980" xr3:uid="{5A5ABDC6-0C1E-40CE-BE53-0EADD2C4FC27}" name="Column5980"/>
    <tableColumn id="5981" xr3:uid="{66AA68C1-B7A6-4B68-BD2D-03946956CD6F}" name="Column5981"/>
    <tableColumn id="5982" xr3:uid="{5528C48F-20F1-49E5-8D4E-28C44C6B02B2}" name="Column5982"/>
    <tableColumn id="5983" xr3:uid="{11D9C931-E2BD-4D0B-ACF0-49661E280639}" name="Column5983"/>
    <tableColumn id="5984" xr3:uid="{0F0CC70C-9E17-44B5-ABF0-62693BCAEDA3}" name="Column5984"/>
    <tableColumn id="5985" xr3:uid="{4265F016-6BA0-43B6-B844-64912C978258}" name="Column5985"/>
    <tableColumn id="5986" xr3:uid="{FE0CC7B7-472F-4D92-92F9-429628E6A4D8}" name="Column5986"/>
    <tableColumn id="5987" xr3:uid="{18597169-6DED-4C46-AA74-83E1B95962BF}" name="Column5987"/>
    <tableColumn id="5988" xr3:uid="{1C0923AD-5222-48BB-B69D-0E2A2A4D0DA9}" name="Column5988"/>
    <tableColumn id="5989" xr3:uid="{FBD070FF-B96C-4F12-A420-97882CA22F86}" name="Column5989"/>
    <tableColumn id="5990" xr3:uid="{68EC5B8A-D6C3-41CE-ABDE-CFF36BCF7122}" name="Column5990"/>
    <tableColumn id="5991" xr3:uid="{D74CC052-AB27-4D80-AC98-A8B5FA7F2056}" name="Column5991"/>
    <tableColumn id="5992" xr3:uid="{66524EB7-4396-4E2B-89F1-EFCC63199B79}" name="Column5992"/>
    <tableColumn id="5993" xr3:uid="{95F4440A-42EE-4596-ABC6-705897D77F55}" name="Column5993"/>
    <tableColumn id="5994" xr3:uid="{CC40596D-EB03-4917-997D-A937C6A1374B}" name="Column5994"/>
    <tableColumn id="5995" xr3:uid="{75C03E1D-61CE-4032-B0ED-609222882AE1}" name="Column5995"/>
    <tableColumn id="5996" xr3:uid="{6E17CF39-03C9-42E7-AEBE-F2C5DFDDEBA4}" name="Column5996"/>
    <tableColumn id="5997" xr3:uid="{8D5B619D-07B5-4EB8-B8B3-C4C9C229D002}" name="Column5997"/>
    <tableColumn id="5998" xr3:uid="{1EDA6AB9-5880-42B0-969F-EB806C72534A}" name="Column5998"/>
    <tableColumn id="5999" xr3:uid="{834C0AE0-86D4-4292-80B0-CCB2756B4971}" name="Column5999"/>
    <tableColumn id="6000" xr3:uid="{8DCDCF72-F382-4B93-AC72-EB8292067764}" name="Column6000"/>
    <tableColumn id="6001" xr3:uid="{3AF8BC02-2148-4BBE-A865-9B59FBDCD2D3}" name="Column6001"/>
    <tableColumn id="6002" xr3:uid="{342C4F04-F572-4F6E-ABE3-B204F9ABE23D}" name="Column6002"/>
    <tableColumn id="6003" xr3:uid="{09F925A8-CA60-417B-9830-A3A52E18C025}" name="Column6003"/>
    <tableColumn id="6004" xr3:uid="{0B1F5FA5-9ACE-49D5-80AE-48599B7191A4}" name="Column6004"/>
    <tableColumn id="6005" xr3:uid="{DA33BDD9-9752-493E-BC5A-12600AF558CF}" name="Column6005"/>
    <tableColumn id="6006" xr3:uid="{A826C968-8955-4F6D-8D99-5FAD7252541F}" name="Column6006"/>
    <tableColumn id="6007" xr3:uid="{A1D8CC17-855A-4051-A657-BD03EECEBAAB}" name="Column6007"/>
    <tableColumn id="6008" xr3:uid="{96716AAF-7A43-45A2-95B3-60936BC6CD09}" name="Column6008"/>
    <tableColumn id="6009" xr3:uid="{E72E24ED-5B73-4163-841B-80A3F572E06B}" name="Column6009"/>
    <tableColumn id="6010" xr3:uid="{98345DF5-51E5-4C54-9ACC-362EDF74BBF7}" name="Column6010"/>
    <tableColumn id="6011" xr3:uid="{7D50B5E5-FD7A-4048-999F-FD86EE431DFB}" name="Column6011"/>
    <tableColumn id="6012" xr3:uid="{080E9DA6-3575-496B-B31D-8D3F1A31CB9E}" name="Column6012"/>
    <tableColumn id="6013" xr3:uid="{D7B855CA-7366-4CA9-A898-D33F25EE8358}" name="Column6013"/>
    <tableColumn id="6014" xr3:uid="{5713C788-2496-4F22-8F24-2C0D57BAE4D3}" name="Column6014"/>
    <tableColumn id="6015" xr3:uid="{A0D2FD6B-FE1B-46B0-B00D-7C90867F14AA}" name="Column6015"/>
    <tableColumn id="6016" xr3:uid="{B0E09B7B-29BB-4577-9A8B-D2028A8FB7E5}" name="Column6016"/>
    <tableColumn id="6017" xr3:uid="{17C1576D-FFE7-4E7B-B9B7-AA78BEA0633C}" name="Column6017"/>
    <tableColumn id="6018" xr3:uid="{4A631BFF-909F-4FF0-8E49-A244A36491FC}" name="Column6018"/>
    <tableColumn id="6019" xr3:uid="{2FEEDC96-085E-43AE-822F-4B02AC84A1DD}" name="Column6019"/>
    <tableColumn id="6020" xr3:uid="{6E7989DA-6760-485F-90C3-2CB4D1BCF8BB}" name="Column6020"/>
    <tableColumn id="6021" xr3:uid="{7DF67924-9A62-42D4-8BEA-60E47A509692}" name="Column6021"/>
    <tableColumn id="6022" xr3:uid="{5FF9ED96-0E1C-4547-99CE-0ACEDF8AE873}" name="Column6022"/>
    <tableColumn id="6023" xr3:uid="{BCBA563A-A5BD-4759-84C7-E5ED2A5EF4D8}" name="Column6023"/>
    <tableColumn id="6024" xr3:uid="{3450E3AD-8901-4685-B3D7-1CA7F589E76D}" name="Column6024"/>
    <tableColumn id="6025" xr3:uid="{99937EC7-840F-4738-8C6E-352BEFC7CE09}" name="Column6025"/>
    <tableColumn id="6026" xr3:uid="{3994C4FC-31C4-498F-91D9-B615FE1DB397}" name="Column6026"/>
    <tableColumn id="6027" xr3:uid="{C71B6769-AF7D-4C5F-AE44-E219EC175499}" name="Column6027"/>
    <tableColumn id="6028" xr3:uid="{855E33E5-5CCC-4CFA-8C04-66F808099E33}" name="Column6028"/>
    <tableColumn id="6029" xr3:uid="{473BD6B8-77FC-498B-967E-A8E32A0E4F24}" name="Column6029"/>
    <tableColumn id="6030" xr3:uid="{61F0B124-5E9A-4EEF-B1A3-6CB703143E12}" name="Column6030"/>
    <tableColumn id="6031" xr3:uid="{DD6C04EE-600D-4D8B-8ED6-6F5E40C8A9CF}" name="Column6031"/>
    <tableColumn id="6032" xr3:uid="{2B42E489-1ABF-4ADD-8417-0DDF9D984C2B}" name="Column6032"/>
    <tableColumn id="6033" xr3:uid="{75C0D1B5-E5AC-42CF-A83C-F911B1719495}" name="Column6033"/>
    <tableColumn id="6034" xr3:uid="{B243375B-59EF-4875-9332-C3EB2ADA5B4F}" name="Column6034"/>
    <tableColumn id="6035" xr3:uid="{B065D75B-302F-4BF5-B74D-698912000106}" name="Column6035"/>
    <tableColumn id="6036" xr3:uid="{EACF3B02-DC13-4113-A5F0-F0003E2D110A}" name="Column6036"/>
    <tableColumn id="6037" xr3:uid="{98219470-98B8-41C1-B736-A9F1B39A4F50}" name="Column6037"/>
    <tableColumn id="6038" xr3:uid="{F5DAC5EB-CCF4-45C5-B3B0-8DACB454FF44}" name="Column6038"/>
    <tableColumn id="6039" xr3:uid="{ED4AFE96-5596-4B7F-A0EA-790F1F3C9940}" name="Column6039"/>
    <tableColumn id="6040" xr3:uid="{ABE278E6-BF04-4565-AB7B-0E066C632F8D}" name="Column6040"/>
    <tableColumn id="6041" xr3:uid="{24ED7D39-D9E1-41E3-BDE8-0FD636F9F519}" name="Column6041"/>
    <tableColumn id="6042" xr3:uid="{A5ABD8A3-0D33-45A2-A537-2081267C2CE3}" name="Column6042"/>
    <tableColumn id="6043" xr3:uid="{1EE96642-36C6-4CFE-8690-AF939522DCF3}" name="Column6043"/>
    <tableColumn id="6044" xr3:uid="{7DCC9F08-9A6E-4A47-BAC9-06F31786831A}" name="Column6044"/>
    <tableColumn id="6045" xr3:uid="{DA5F55B2-9EB0-434C-B501-DA052716B48A}" name="Column6045"/>
    <tableColumn id="6046" xr3:uid="{C6607289-87C1-41E2-9B0D-FAE11EC8B0E8}" name="Column6046"/>
    <tableColumn id="6047" xr3:uid="{57103EFE-8B06-46A2-9995-7221462FE2EC}" name="Column6047"/>
    <tableColumn id="6048" xr3:uid="{96A4AFC1-DD7B-450C-BDA7-8AE34F26D736}" name="Column6048"/>
    <tableColumn id="6049" xr3:uid="{08232518-AABF-407B-9F67-5457C0038F7C}" name="Column6049"/>
    <tableColumn id="6050" xr3:uid="{17471AEC-D76C-4046-B5DF-4971B2E5A15A}" name="Column6050"/>
    <tableColumn id="6051" xr3:uid="{DE2E5CF9-9BBA-4CEB-8E95-827B6CE74400}" name="Column6051"/>
    <tableColumn id="6052" xr3:uid="{D771E289-BB98-4C95-8A64-A509341752AB}" name="Column6052"/>
    <tableColumn id="6053" xr3:uid="{8E03E65B-79BB-41B1-A4F7-DF92F2F099BE}" name="Column6053"/>
    <tableColumn id="6054" xr3:uid="{1E661C11-D1A9-4CAC-94C7-D50C38E5C2AB}" name="Column6054"/>
    <tableColumn id="6055" xr3:uid="{21CD3CC3-65AA-4873-82DF-9C737B698222}" name="Column6055"/>
    <tableColumn id="6056" xr3:uid="{571D5272-C0FF-40BA-8523-E920A01B0385}" name="Column6056"/>
    <tableColumn id="6057" xr3:uid="{11C4506A-C461-472E-9871-B84090B3BC65}" name="Column6057"/>
    <tableColumn id="6058" xr3:uid="{15B87995-45EC-4663-B802-420BB8C7AA64}" name="Column6058"/>
    <tableColumn id="6059" xr3:uid="{1CD9A94E-6996-411C-8847-520E2933BD17}" name="Column6059"/>
    <tableColumn id="6060" xr3:uid="{CBE6EFAD-F3B0-4BF0-8914-F22E4BC113AA}" name="Column6060"/>
    <tableColumn id="6061" xr3:uid="{25DD9FE4-43A2-4B2F-86C8-D740825D8EA0}" name="Column6061"/>
    <tableColumn id="6062" xr3:uid="{2C81A85B-85DF-42EE-A762-C29665F6D452}" name="Column6062"/>
    <tableColumn id="6063" xr3:uid="{0178D4D7-7B41-4430-8BE5-C851FAE67090}" name="Column6063"/>
    <tableColumn id="6064" xr3:uid="{60136A7A-A7C6-4E22-9FB2-80BD1848E351}" name="Column6064"/>
    <tableColumn id="6065" xr3:uid="{6523D8D9-1D83-4649-AD0C-49BFA19578D1}" name="Column6065"/>
    <tableColumn id="6066" xr3:uid="{BB31CA2F-0959-4514-ADE7-022B08FBC1EB}" name="Column6066"/>
    <tableColumn id="6067" xr3:uid="{E1F7F39F-F019-4AA2-9CCF-E81826E63DD4}" name="Column6067"/>
    <tableColumn id="6068" xr3:uid="{C7F25C1F-37EB-4BE0-BE82-E9A53064757F}" name="Column6068"/>
    <tableColumn id="6069" xr3:uid="{08CE16D8-D2EB-40BC-9F4D-6DFFD250DABE}" name="Column6069"/>
    <tableColumn id="6070" xr3:uid="{4AABED6D-FEDF-4E7E-97AF-E84F818257C8}" name="Column6070"/>
    <tableColumn id="6071" xr3:uid="{42EC5E7E-D34D-4357-84A7-6C85252A6EEF}" name="Column6071"/>
    <tableColumn id="6072" xr3:uid="{AB38A2EA-C38B-4C85-B242-175E21943743}" name="Column6072"/>
    <tableColumn id="6073" xr3:uid="{F00B7BFD-9712-48FE-A728-C367660ED6E2}" name="Column6073"/>
    <tableColumn id="6074" xr3:uid="{76A78EFB-3042-4A3F-A79B-3C24EE71CB5E}" name="Column6074"/>
    <tableColumn id="6075" xr3:uid="{12C1EE78-B6AE-4167-A189-8A4118A43F97}" name="Column6075"/>
    <tableColumn id="6076" xr3:uid="{92F4B9EC-03C2-4490-A3BD-6E7B50FDE0AA}" name="Column6076"/>
    <tableColumn id="6077" xr3:uid="{56DCD5F9-A551-4F02-AA16-6298F34591DC}" name="Column6077"/>
    <tableColumn id="6078" xr3:uid="{0EF95465-1ECF-444E-8FC8-2C9494673204}" name="Column6078"/>
    <tableColumn id="6079" xr3:uid="{B605060B-CF0E-44A5-9842-A21D8E462592}" name="Column6079"/>
    <tableColumn id="6080" xr3:uid="{26D6680B-DF4B-46FB-A608-C07982DE50FB}" name="Column6080"/>
    <tableColumn id="6081" xr3:uid="{511C3EFF-1E45-4E92-9260-10176ACC9993}" name="Column6081"/>
    <tableColumn id="6082" xr3:uid="{7E487D21-B1CF-4865-8FF8-6A20D4EEFD3B}" name="Column6082"/>
    <tableColumn id="6083" xr3:uid="{68B63866-7A2D-41AD-830F-A7B3E0F5CD53}" name="Column6083"/>
    <tableColumn id="6084" xr3:uid="{AFC37E85-7AA7-49C4-9F70-62D35E5C4CFB}" name="Column6084"/>
    <tableColumn id="6085" xr3:uid="{6AB45247-AD3B-42EA-89C8-9D184B0C38F6}" name="Column6085"/>
    <tableColumn id="6086" xr3:uid="{B58A6536-6A5F-49CE-B901-81F0090D7D53}" name="Column6086"/>
    <tableColumn id="6087" xr3:uid="{5415891E-8B6D-41DC-B6D9-EC9F644333B9}" name="Column6087"/>
    <tableColumn id="6088" xr3:uid="{CBDB11BB-8196-47F1-9126-00885567EFF8}" name="Column6088"/>
    <tableColumn id="6089" xr3:uid="{A60A7251-5C63-4267-A3C1-1D5C8DB8823D}" name="Column6089"/>
    <tableColumn id="6090" xr3:uid="{231C3B7D-EF13-46FA-B6C5-223B5798A5AD}" name="Column6090"/>
    <tableColumn id="6091" xr3:uid="{1530F07E-4053-4636-8EE4-7C281AA1DE3B}" name="Column6091"/>
    <tableColumn id="6092" xr3:uid="{D43BF132-8D60-4640-8FA1-7293289E2C1E}" name="Column6092"/>
    <tableColumn id="6093" xr3:uid="{047DAA57-03F5-444A-8310-A1EAE36C5365}" name="Column6093"/>
    <tableColumn id="6094" xr3:uid="{BF9C5B4D-0C77-496E-BBAC-C53FF209A640}" name="Column6094"/>
    <tableColumn id="6095" xr3:uid="{397AC51D-DE69-47F6-9294-7C891E23C88B}" name="Column6095"/>
    <tableColumn id="6096" xr3:uid="{83662A66-EAD3-4118-A596-C6E69BAFEA5C}" name="Column6096"/>
    <tableColumn id="6097" xr3:uid="{A12CE7FC-0180-4116-879A-1D59BD95DB9E}" name="Column6097"/>
    <tableColumn id="6098" xr3:uid="{374EFA08-0875-4D44-986D-7BE0661720CB}" name="Column6098"/>
    <tableColumn id="6099" xr3:uid="{D54C4F46-3E3D-4208-88EF-95E646D991AB}" name="Column6099"/>
    <tableColumn id="6100" xr3:uid="{FCF54F85-4D76-426D-A3DE-6AF41A36995E}" name="Column6100"/>
    <tableColumn id="6101" xr3:uid="{64EE9022-3CE7-49B3-BA11-667BB7F976B8}" name="Column6101"/>
    <tableColumn id="6102" xr3:uid="{342FDF5B-037F-40EB-8837-688B647BCF8F}" name="Column6102"/>
    <tableColumn id="6103" xr3:uid="{B8F527FB-EDB5-4CDA-9516-4F04493D353B}" name="Column6103"/>
    <tableColumn id="6104" xr3:uid="{6821E248-E4A0-42F9-BEBA-41F4F5AD90CC}" name="Column6104"/>
    <tableColumn id="6105" xr3:uid="{5A636916-C740-4C78-8C03-0C9F0BD44C39}" name="Column6105"/>
    <tableColumn id="6106" xr3:uid="{8BF47A5C-96EE-4D0D-87E0-0FABA0D757CC}" name="Column6106"/>
    <tableColumn id="6107" xr3:uid="{91019050-B2F5-48C4-BC6D-AF8CD1DF8A05}" name="Column6107"/>
    <tableColumn id="6108" xr3:uid="{6EACBE54-081C-4ED4-B02C-E807D11A0376}" name="Column6108"/>
    <tableColumn id="6109" xr3:uid="{18C52D33-BECC-48E9-9CFC-9C6EF9A10065}" name="Column6109"/>
    <tableColumn id="6110" xr3:uid="{404DC0A6-EC33-4141-902A-D2CA963CA283}" name="Column6110"/>
    <tableColumn id="6111" xr3:uid="{AE7A19FA-7019-4BA3-96F2-08E83B4F1D95}" name="Column6111"/>
    <tableColumn id="6112" xr3:uid="{4C9B9BDB-9C34-4E06-9F0C-798C3E698E9C}" name="Column6112"/>
    <tableColumn id="6113" xr3:uid="{EB0BE200-0C30-4F54-8DF4-3420732E0556}" name="Column6113"/>
    <tableColumn id="6114" xr3:uid="{338E3BBF-44FF-4E8C-84AA-FEADC6DB068A}" name="Column6114"/>
    <tableColumn id="6115" xr3:uid="{522DBEC4-3C32-49BB-B30C-43C533193AF0}" name="Column6115"/>
    <tableColumn id="6116" xr3:uid="{49F25526-37EE-4A80-9603-7288C5EC6D03}" name="Column6116"/>
    <tableColumn id="6117" xr3:uid="{3BF69B8E-63C1-4850-BA67-83AFDB4E1C72}" name="Column6117"/>
    <tableColumn id="6118" xr3:uid="{B1CD2D44-23C6-48C5-8930-3EF09F619D94}" name="Column6118"/>
    <tableColumn id="6119" xr3:uid="{43BB98C0-3D32-4F9E-8F93-FC34756AA5EB}" name="Column6119"/>
    <tableColumn id="6120" xr3:uid="{31DFB1C9-95F4-4241-9FDD-F7BE1BC32973}" name="Column6120"/>
    <tableColumn id="6121" xr3:uid="{ECF6D14A-4399-486D-97C9-1BF18B1F2EA4}" name="Column6121"/>
    <tableColumn id="6122" xr3:uid="{71F72980-87A3-4187-9508-4F9272FD8DD1}" name="Column6122"/>
    <tableColumn id="6123" xr3:uid="{9025FC1E-AC85-43A8-853A-928A366A6290}" name="Column6123"/>
    <tableColumn id="6124" xr3:uid="{3C6F0E5B-E2B2-4DE3-8169-6ED6871F254C}" name="Column6124"/>
    <tableColumn id="6125" xr3:uid="{AEF4A6B6-962F-464B-8971-D7219688A55B}" name="Column6125"/>
    <tableColumn id="6126" xr3:uid="{15C19679-EDAC-4AE5-A77F-DC5B1E30970F}" name="Column6126"/>
    <tableColumn id="6127" xr3:uid="{E7A49332-44F1-46B8-B494-C0575DBA3686}" name="Column6127"/>
    <tableColumn id="6128" xr3:uid="{52ABA43D-42C1-4028-9EF0-C6BB13EC19AA}" name="Column6128"/>
    <tableColumn id="6129" xr3:uid="{4F5E9040-095A-4573-ACE1-DCA697D0C5EF}" name="Column6129"/>
    <tableColumn id="6130" xr3:uid="{54BC7935-7923-4CA3-B8D5-DCE3EF45A3A0}" name="Column6130"/>
    <tableColumn id="6131" xr3:uid="{5B6C49AC-960E-45EC-AFED-AC2B752353A4}" name="Column6131"/>
    <tableColumn id="6132" xr3:uid="{3C887212-FF17-440E-BA00-EC8CA21AA45A}" name="Column6132"/>
    <tableColumn id="6133" xr3:uid="{700C3DD9-E77E-407B-80F2-A4AB477B7C97}" name="Column6133"/>
    <tableColumn id="6134" xr3:uid="{A4C01EA6-C2BF-49B2-A4D6-257E15C2D7E6}" name="Column6134"/>
    <tableColumn id="6135" xr3:uid="{98B2EBF1-5F56-42ED-9AD1-A4E018DBF7B5}" name="Column6135"/>
    <tableColumn id="6136" xr3:uid="{4DA37317-CF37-4935-A344-060D6C1BAF65}" name="Column6136"/>
    <tableColumn id="6137" xr3:uid="{6F75D626-05D6-4601-AB20-1219AE246AF5}" name="Column6137"/>
    <tableColumn id="6138" xr3:uid="{F21111F5-C360-4289-B600-BD683869CA4C}" name="Column6138"/>
    <tableColumn id="6139" xr3:uid="{FC8CBC1A-33BE-437A-8631-9D3A9EE88FAC}" name="Column6139"/>
    <tableColumn id="6140" xr3:uid="{B2437748-E402-4560-BD0E-FD8ED19F922C}" name="Column6140"/>
    <tableColumn id="6141" xr3:uid="{A868503D-DA1B-4ADD-859F-EAC6C10B4801}" name="Column6141"/>
    <tableColumn id="6142" xr3:uid="{71489FD3-C0E9-428D-864D-84576F18282F}" name="Column6142"/>
    <tableColumn id="6143" xr3:uid="{174AC213-5C6E-4004-BEFD-70427F616D17}" name="Column6143"/>
    <tableColumn id="6144" xr3:uid="{CFBC8D2E-9400-46C6-8DD8-29AF40F97060}" name="Column6144"/>
    <tableColumn id="6145" xr3:uid="{BED1076D-E8FE-4DB9-B222-A389557DDDFD}" name="Column6145"/>
    <tableColumn id="6146" xr3:uid="{56C16ACB-FD0E-4A46-BD5C-0B91C87C2EDA}" name="Column6146"/>
    <tableColumn id="6147" xr3:uid="{DA970F60-F2A5-44EC-A8D0-330D416333BC}" name="Column6147"/>
    <tableColumn id="6148" xr3:uid="{D4717BBE-0328-4725-99A0-48BA2C3CF868}" name="Column6148"/>
    <tableColumn id="6149" xr3:uid="{590F1F7E-8588-4355-8F09-37C7003FF350}" name="Column6149"/>
    <tableColumn id="6150" xr3:uid="{7EA1BBAB-7034-4A9B-8B2D-2B616713A6E1}" name="Column6150"/>
    <tableColumn id="6151" xr3:uid="{AFE5CBBF-5ED0-4D67-B138-8C9FAB60F00E}" name="Column6151"/>
    <tableColumn id="6152" xr3:uid="{EB562E50-C4BE-4F1D-86DB-7B8961EC6966}" name="Column6152"/>
    <tableColumn id="6153" xr3:uid="{35F4067C-D4F7-455B-8CA6-0398D50D0491}" name="Column6153"/>
    <tableColumn id="6154" xr3:uid="{9E0EAAED-5D3B-49ED-99DE-5C5A5895D584}" name="Column6154"/>
    <tableColumn id="6155" xr3:uid="{9AD77D87-811F-49D4-8AC2-182024891171}" name="Column6155"/>
    <tableColumn id="6156" xr3:uid="{C249ED75-F797-4A6D-87E3-5BFE9C2D4FCE}" name="Column6156"/>
    <tableColumn id="6157" xr3:uid="{AA87096D-8C92-4C1B-8338-76A07D6F8CD2}" name="Column6157"/>
    <tableColumn id="6158" xr3:uid="{8E7C2603-6587-4D7C-9628-0AB0508C1143}" name="Column6158"/>
    <tableColumn id="6159" xr3:uid="{43F22E6E-D64C-4149-92F1-638EAC696399}" name="Column6159"/>
    <tableColumn id="6160" xr3:uid="{3D25B1ED-1B92-476E-A2AB-7C84EA4BB996}" name="Column6160"/>
    <tableColumn id="6161" xr3:uid="{B8FA725C-DABB-4637-988D-A0F38B466BE9}" name="Column6161"/>
    <tableColumn id="6162" xr3:uid="{E195094B-47B2-41A1-9AF9-9C592D72AC94}" name="Column6162"/>
    <tableColumn id="6163" xr3:uid="{DDB15659-4A3A-44D9-B301-F3C79D9157B2}" name="Column6163"/>
    <tableColumn id="6164" xr3:uid="{A6027176-7A74-448D-9DDE-7D37EAA2E14B}" name="Column6164"/>
    <tableColumn id="6165" xr3:uid="{4EA938B5-2802-45C8-BB58-2D028689205E}" name="Column6165"/>
    <tableColumn id="6166" xr3:uid="{E736CC9F-DAC9-4FD7-82BF-1DB6089596D4}" name="Column6166"/>
    <tableColumn id="6167" xr3:uid="{56521499-5065-462D-902C-F5F12A2BE518}" name="Column6167"/>
    <tableColumn id="6168" xr3:uid="{DC1F1972-8899-4B52-9BCD-D66E17B2EDDB}" name="Column6168"/>
    <tableColumn id="6169" xr3:uid="{D0A6D371-D3BD-4444-8C07-1DE0368822A4}" name="Column6169"/>
    <tableColumn id="6170" xr3:uid="{5D0AD787-5B38-4398-9856-5E4F14D25B99}" name="Column6170"/>
    <tableColumn id="6171" xr3:uid="{D6F4236D-3EF5-4A3A-86BF-030A720C615C}" name="Column6171"/>
    <tableColumn id="6172" xr3:uid="{A347C762-33C2-4A17-80A5-56C10DC63C51}" name="Column6172"/>
    <tableColumn id="6173" xr3:uid="{AC49EB62-6B15-4FD2-811A-55BCB070F057}" name="Column6173"/>
    <tableColumn id="6174" xr3:uid="{A94EF88F-899E-47AE-B35F-931DCCB74C5B}" name="Column6174"/>
    <tableColumn id="6175" xr3:uid="{74E31BA2-6A55-4C15-9BEC-D00EB928E731}" name="Column6175"/>
    <tableColumn id="6176" xr3:uid="{CE7E06B7-2F20-4136-A0FF-7BA691345CBA}" name="Column6176"/>
    <tableColumn id="6177" xr3:uid="{DED67035-BDA7-4406-A18B-148C3738D931}" name="Column6177"/>
    <tableColumn id="6178" xr3:uid="{C5C9BD6B-2544-4CC6-831D-50E4A19F96F6}" name="Column6178"/>
    <tableColumn id="6179" xr3:uid="{325087A1-ADAF-41CF-9736-487D59C6234D}" name="Column6179"/>
    <tableColumn id="6180" xr3:uid="{89E31A67-D801-4DCC-8799-7ED5E0D157B4}" name="Column6180"/>
    <tableColumn id="6181" xr3:uid="{AE2D342B-72AB-4AE9-BE93-11ABA3F6E82E}" name="Column6181"/>
    <tableColumn id="6182" xr3:uid="{8A0D2621-1C07-4367-9450-335B90A4E65F}" name="Column6182"/>
    <tableColumn id="6183" xr3:uid="{6301B8FB-83F6-4FF5-AB03-0C692402B8B8}" name="Column6183"/>
    <tableColumn id="6184" xr3:uid="{C7C67290-BE52-4255-8947-7301F96C3489}" name="Column6184"/>
    <tableColumn id="6185" xr3:uid="{0CA6A31D-655F-42C9-914B-43CA38A9B2C6}" name="Column6185"/>
    <tableColumn id="6186" xr3:uid="{74C7922B-E3DE-41AE-A97B-9CB1711BE728}" name="Column6186"/>
    <tableColumn id="6187" xr3:uid="{F87698F5-3D12-4CC0-B2AE-7EF7F23FB3F8}" name="Column6187"/>
    <tableColumn id="6188" xr3:uid="{490CC9D1-5AFA-4489-88A8-7690899A89CD}" name="Column6188"/>
    <tableColumn id="6189" xr3:uid="{E8B8AB06-62C5-4AB2-881B-3018F34F666A}" name="Column6189"/>
    <tableColumn id="6190" xr3:uid="{CA109B61-1913-46E5-A8E7-7328F9C4B00B}" name="Column6190"/>
    <tableColumn id="6191" xr3:uid="{BF8BD29B-2AFE-4407-A557-6B1A06393B90}" name="Column6191"/>
    <tableColumn id="6192" xr3:uid="{84A86F71-AA27-4415-A244-CAC9D167FB79}" name="Column6192"/>
    <tableColumn id="6193" xr3:uid="{80CD2B19-BD27-462B-8E94-F84BD4C32FCA}" name="Column6193"/>
    <tableColumn id="6194" xr3:uid="{8F90FDAD-D378-468E-A6C1-8C9111D51890}" name="Column6194"/>
    <tableColumn id="6195" xr3:uid="{C3D2496F-60A4-44F8-8D9D-238FB5C6197E}" name="Column6195"/>
    <tableColumn id="6196" xr3:uid="{09AFD91D-F0AB-4D61-B2BE-D6AE8EEB5DF0}" name="Column6196"/>
    <tableColumn id="6197" xr3:uid="{8272BE2B-38FA-4D60-B032-9CD1F48DB5A0}" name="Column6197"/>
    <tableColumn id="6198" xr3:uid="{C78ACA8E-5C59-4AD5-85E9-1334CC775C19}" name="Column6198"/>
    <tableColumn id="6199" xr3:uid="{D96CFD50-8D94-4D33-81A3-45A74F8E2E1A}" name="Column6199"/>
    <tableColumn id="6200" xr3:uid="{7C4765EF-6E57-4B22-BAFD-8D77B2024A49}" name="Column6200"/>
    <tableColumn id="6201" xr3:uid="{B43F0130-D774-44BA-8CDA-0F1850F3D979}" name="Column6201"/>
    <tableColumn id="6202" xr3:uid="{8A39888A-D16E-4273-B795-72D35DC1DE88}" name="Column6202"/>
    <tableColumn id="6203" xr3:uid="{E6AE9175-C1E9-4B10-A972-E8E3F30F1F7D}" name="Column6203"/>
    <tableColumn id="6204" xr3:uid="{D3B8EB19-2F1A-4189-B8E0-DFF3D90B6ED8}" name="Column6204"/>
    <tableColumn id="6205" xr3:uid="{9D8CEE26-6172-4BBC-ACF0-E371DDA7A5CF}" name="Column6205"/>
    <tableColumn id="6206" xr3:uid="{E930F130-056F-4ECF-A9B5-B5289A4BA6BB}" name="Column6206"/>
    <tableColumn id="6207" xr3:uid="{7F4C7930-EEAA-4B19-8B8A-DC28CEBBAAAA}" name="Column6207"/>
    <tableColumn id="6208" xr3:uid="{6E18CBEA-721B-4925-A2C5-C60402E7B0C9}" name="Column6208"/>
    <tableColumn id="6209" xr3:uid="{AE32AD59-BEA7-43BE-AA51-1EC20DE9345C}" name="Column6209"/>
    <tableColumn id="6210" xr3:uid="{CD02E31E-8F7F-4D4F-B547-50F883402AF4}" name="Column6210"/>
    <tableColumn id="6211" xr3:uid="{D313581F-0D27-4B05-BF93-D72975F68DB7}" name="Column6211"/>
    <tableColumn id="6212" xr3:uid="{FD0F143D-1C67-4F41-9FD4-212BE9FA5DBC}" name="Column6212"/>
    <tableColumn id="6213" xr3:uid="{F25C80CE-4781-4178-8650-7A5E9836868A}" name="Column6213"/>
    <tableColumn id="6214" xr3:uid="{D68AAACF-2D30-4810-94A4-1C515EBEE842}" name="Column6214"/>
    <tableColumn id="6215" xr3:uid="{FE8C6AB1-08DE-4D72-A421-FB3FDD72DB11}" name="Column6215"/>
    <tableColumn id="6216" xr3:uid="{539A17FD-25ED-46EA-A197-2BCD5CBD8761}" name="Column6216"/>
    <tableColumn id="6217" xr3:uid="{A5757E24-52F9-432E-AC31-95BE54673BEA}" name="Column6217"/>
    <tableColumn id="6218" xr3:uid="{A233A7E1-2464-4CB5-BD52-D0713B15C473}" name="Column6218"/>
    <tableColumn id="6219" xr3:uid="{B96F70E9-3EB1-4EA6-AACC-946568526B82}" name="Column6219"/>
    <tableColumn id="6220" xr3:uid="{A2C4D7B9-8D4E-474E-AA86-9E96E13209B2}" name="Column6220"/>
    <tableColumn id="6221" xr3:uid="{64DCE561-30C0-4DAC-9CCE-7C45A432B532}" name="Column6221"/>
    <tableColumn id="6222" xr3:uid="{BA479636-AA1F-488F-BEBC-19CBD0431AC5}" name="Column6222"/>
    <tableColumn id="6223" xr3:uid="{07F40C68-C8F3-4371-B256-044BF1AB9329}" name="Column6223"/>
    <tableColumn id="6224" xr3:uid="{0C0B385F-AD45-4134-B6A3-2A59DC546D4F}" name="Column6224"/>
    <tableColumn id="6225" xr3:uid="{0CC05961-6E94-48FC-8052-18AA8A384892}" name="Column6225"/>
    <tableColumn id="6226" xr3:uid="{F5FAB8E9-120D-4098-89ED-A73FECAD6147}" name="Column6226"/>
    <tableColumn id="6227" xr3:uid="{E256D9C6-09B3-4291-BEFB-3CC0C69703D5}" name="Column6227"/>
    <tableColumn id="6228" xr3:uid="{390F3113-72D4-4B7F-A6C9-98023310980C}" name="Column6228"/>
    <tableColumn id="6229" xr3:uid="{E00045EC-8106-4BAE-84EE-3550613C974A}" name="Column6229"/>
    <tableColumn id="6230" xr3:uid="{B8354E1D-66F0-44DF-BB3A-B9752D79702E}" name="Column6230"/>
    <tableColumn id="6231" xr3:uid="{91BE6088-6394-46C4-BA85-DF3D2F375A37}" name="Column6231"/>
    <tableColumn id="6232" xr3:uid="{DA030A64-1A29-4988-AD4E-CB76A09EF1E2}" name="Column6232"/>
    <tableColumn id="6233" xr3:uid="{E7DDEA64-3C6D-46D9-B29A-906C6EB212EC}" name="Column6233"/>
    <tableColumn id="6234" xr3:uid="{D4D87662-C926-45C2-940B-54BE9CB9BB32}" name="Column6234"/>
    <tableColumn id="6235" xr3:uid="{6D61BC2E-F6FF-41DA-B3AA-A2CC530DF09D}" name="Column6235"/>
    <tableColumn id="6236" xr3:uid="{E6D509FD-69CB-4AAF-A987-971E60F33691}" name="Column6236"/>
    <tableColumn id="6237" xr3:uid="{6993C92F-7969-4259-9639-D891A741FF98}" name="Column6237"/>
    <tableColumn id="6238" xr3:uid="{2B3D3C11-1642-4003-A97B-AA8F2050FF5E}" name="Column6238"/>
    <tableColumn id="6239" xr3:uid="{B8ED6EF9-AA51-495A-9F41-57356464A8EA}" name="Column6239"/>
    <tableColumn id="6240" xr3:uid="{6EA567C3-195C-4AF0-9182-88E6E7C0E1D9}" name="Column6240"/>
    <tableColumn id="6241" xr3:uid="{8915D8C1-593A-4CE0-9F2C-BC14F6FD9A50}" name="Column6241"/>
    <tableColumn id="6242" xr3:uid="{76F3FCB3-9584-4F4D-BE82-155BDF2395C5}" name="Column6242"/>
    <tableColumn id="6243" xr3:uid="{B30EF840-9855-41B4-A313-0206F5617A25}" name="Column6243"/>
    <tableColumn id="6244" xr3:uid="{3F234EFF-EC71-4C10-86F7-C8E250E9EFDC}" name="Column6244"/>
    <tableColumn id="6245" xr3:uid="{38B85861-58FA-4AC6-A545-19ED93BEE3B0}" name="Column6245"/>
    <tableColumn id="6246" xr3:uid="{C8B33E5C-C861-46D2-85D5-CDCBBC30E56D}" name="Column6246"/>
    <tableColumn id="6247" xr3:uid="{DFF7BC62-206F-455F-8E0D-67F3BECD43E8}" name="Column6247"/>
    <tableColumn id="6248" xr3:uid="{2ED408B9-0CD2-4968-B358-E130AFE2D5A0}" name="Column6248"/>
    <tableColumn id="6249" xr3:uid="{F39D8561-EF9F-4291-BBBA-3ABAD89CC325}" name="Column6249"/>
    <tableColumn id="6250" xr3:uid="{CC86AE61-C2FE-4FF1-A497-54E19C1F6FF1}" name="Column6250"/>
    <tableColumn id="6251" xr3:uid="{B75FD73D-05D5-4D37-A364-91F7DC6B5D01}" name="Column6251"/>
    <tableColumn id="6252" xr3:uid="{0B2A2145-20DC-4B59-86C4-BCA59492EB01}" name="Column6252"/>
    <tableColumn id="6253" xr3:uid="{69097AA8-C1FC-4D85-964C-48178498AE55}" name="Column6253"/>
    <tableColumn id="6254" xr3:uid="{FB16BF27-A3F5-43EA-A0D2-B6835A5F95AE}" name="Column6254"/>
    <tableColumn id="6255" xr3:uid="{56ACAF90-E8DC-417A-9DFB-AD058CA3FE6B}" name="Column6255"/>
    <tableColumn id="6256" xr3:uid="{03874FF9-4C30-4922-9724-C6F23DE25619}" name="Column6256"/>
    <tableColumn id="6257" xr3:uid="{692DA15D-8142-45EC-9740-0037DA6001CC}" name="Column6257"/>
    <tableColumn id="6258" xr3:uid="{0905ED4D-2997-42F2-B520-B8975140F55E}" name="Column6258"/>
    <tableColumn id="6259" xr3:uid="{78778EFA-8823-4132-A3B9-27C0CA06C18F}" name="Column6259"/>
    <tableColumn id="6260" xr3:uid="{0B2F891D-837F-40AB-BDCC-F913A4929F8B}" name="Column6260"/>
    <tableColumn id="6261" xr3:uid="{AA408214-35ED-4CAF-837C-79C8B797CC40}" name="Column6261"/>
    <tableColumn id="6262" xr3:uid="{40DAC9D1-C627-46CE-8CE1-6FCDC787F5EE}" name="Column6262"/>
    <tableColumn id="6263" xr3:uid="{CDB4E2C8-963E-4689-9634-0ECB3AEF36E1}" name="Column6263"/>
    <tableColumn id="6264" xr3:uid="{7BF85B1F-57B5-480A-99F7-DD789854A879}" name="Column6264"/>
    <tableColumn id="6265" xr3:uid="{FE2CAB13-C57D-49A1-9CE6-697128FDA08C}" name="Column6265"/>
    <tableColumn id="6266" xr3:uid="{787471D7-9082-4EB4-8EBB-284714D30ED9}" name="Column6266"/>
    <tableColumn id="6267" xr3:uid="{AD3F5093-CB53-4871-B98F-D73DA75F625A}" name="Column6267"/>
    <tableColumn id="6268" xr3:uid="{B0FE965B-4A4A-492F-95DE-76968F7AA834}" name="Column6268"/>
    <tableColumn id="6269" xr3:uid="{5BD67946-2D42-475D-80DF-C6D5D46E1001}" name="Column6269"/>
    <tableColumn id="6270" xr3:uid="{0C08EE1C-C507-49D3-81A9-6D1C85E1C1DD}" name="Column6270"/>
    <tableColumn id="6271" xr3:uid="{55FCF87E-9330-4417-9284-55C67A56827A}" name="Column6271"/>
    <tableColumn id="6272" xr3:uid="{CAF0C366-863A-4B3B-B3F7-57194BDCFB7A}" name="Column6272"/>
    <tableColumn id="6273" xr3:uid="{F9A9F41A-EE39-41A0-95E7-883747CF95F3}" name="Column6273"/>
    <tableColumn id="6274" xr3:uid="{8C51271B-5A21-4A3C-A4B8-E2C6FA67448E}" name="Column6274"/>
    <tableColumn id="6275" xr3:uid="{0009109F-9E7B-495C-96AB-5D67C2529626}" name="Column6275"/>
    <tableColumn id="6276" xr3:uid="{243DC053-F77E-4B42-A3C2-D2A885219F59}" name="Column6276"/>
    <tableColumn id="6277" xr3:uid="{F9AC8415-AB41-41F1-9A4A-12A3FB04252F}" name="Column6277"/>
    <tableColumn id="6278" xr3:uid="{8E662671-74A6-4F41-9D4A-2AEB854564A9}" name="Column6278"/>
    <tableColumn id="6279" xr3:uid="{B3C67668-0701-479B-9FE5-DD2E05F3497B}" name="Column6279"/>
    <tableColumn id="6280" xr3:uid="{6A347132-42BB-42BA-A858-91F58A02FF94}" name="Column6280"/>
    <tableColumn id="6281" xr3:uid="{D28FAD47-50A6-4742-8D3D-4774790C0829}" name="Column6281"/>
    <tableColumn id="6282" xr3:uid="{AE6511A1-AA62-48AD-9781-93EA826F9325}" name="Column6282"/>
    <tableColumn id="6283" xr3:uid="{06D6DC9F-C375-4F81-ACBA-48B45E02B9EE}" name="Column6283"/>
    <tableColumn id="6284" xr3:uid="{193F0FF8-94A1-4E04-911A-4A2572A9A2E6}" name="Column6284"/>
    <tableColumn id="6285" xr3:uid="{D9477237-E661-4EE5-A507-CDBBCA6A66E2}" name="Column6285"/>
    <tableColumn id="6286" xr3:uid="{FA274F90-0DC3-4632-8F4B-430B0F37805B}" name="Column6286"/>
    <tableColumn id="6287" xr3:uid="{E39E31E3-2556-477E-9695-533FBC8A9EB3}" name="Column6287"/>
    <tableColumn id="6288" xr3:uid="{327AA0D6-4F58-47AE-BF1D-95AE1D363079}" name="Column6288"/>
    <tableColumn id="6289" xr3:uid="{20EFDC81-6631-4802-9FE4-CEA2DDBDA6CB}" name="Column6289"/>
    <tableColumn id="6290" xr3:uid="{486F1486-FB8F-4DF9-9AC6-3BA399D95A2E}" name="Column6290"/>
    <tableColumn id="6291" xr3:uid="{43E1231A-FB17-4FA2-9837-3AD9ECF1043F}" name="Column6291"/>
    <tableColumn id="6292" xr3:uid="{52F00DBB-61FD-428C-B4C8-CF9ED050A55E}" name="Column6292"/>
    <tableColumn id="6293" xr3:uid="{008A88EF-5B52-4086-B340-3B7A27CD00F2}" name="Column6293"/>
    <tableColumn id="6294" xr3:uid="{FBFE1082-2D79-40C3-9C62-C3FF9FA26EA0}" name="Column6294"/>
    <tableColumn id="6295" xr3:uid="{A18EBE34-FDC9-4CE7-A8C6-5CA7F12E112F}" name="Column6295"/>
    <tableColumn id="6296" xr3:uid="{15A30BE2-D795-4607-82DD-3C789CF26CAB}" name="Column6296"/>
    <tableColumn id="6297" xr3:uid="{34B64498-0783-42F5-B4A8-AAFE165E717E}" name="Column6297"/>
    <tableColumn id="6298" xr3:uid="{15DF0A12-DDD3-47AC-BD41-2F9915A1E6A8}" name="Column6298"/>
    <tableColumn id="6299" xr3:uid="{7343662A-EAB3-4FBE-9D77-4272BAB475F7}" name="Column6299"/>
    <tableColumn id="6300" xr3:uid="{33A08088-7AF5-4550-9023-83D42BFCABD8}" name="Column6300"/>
    <tableColumn id="6301" xr3:uid="{32A6076D-C2F8-4CC8-9FB9-F00FB547FA45}" name="Column6301"/>
    <tableColumn id="6302" xr3:uid="{6BB79D6B-F2D1-4590-925A-DDA5525AB123}" name="Column6302"/>
    <tableColumn id="6303" xr3:uid="{125BE61E-913B-4A64-A5A6-3CBADF56BD76}" name="Column6303"/>
    <tableColumn id="6304" xr3:uid="{734383CA-1EF4-4C9F-B78D-93F043D7DB0E}" name="Column6304"/>
    <tableColumn id="6305" xr3:uid="{2148FA59-EAA0-4B12-B110-72AC9980CF72}" name="Column6305"/>
    <tableColumn id="6306" xr3:uid="{8EB70129-7D5C-4617-A400-A889A5386BC6}" name="Column6306"/>
    <tableColumn id="6307" xr3:uid="{FFC16D06-45DE-4A85-8F73-61CE462109C1}" name="Column6307"/>
    <tableColumn id="6308" xr3:uid="{B65EE313-30AA-48C2-828C-B0E3FE2D63CE}" name="Column6308"/>
    <tableColumn id="6309" xr3:uid="{FDD3711D-038C-44AA-B11F-71C962BD0D6D}" name="Column6309"/>
    <tableColumn id="6310" xr3:uid="{22AFF707-4F97-4642-AC10-1CED2524A996}" name="Column6310"/>
    <tableColumn id="6311" xr3:uid="{8E7CE6BD-3AEC-40AB-9749-44CD1CA9CBC9}" name="Column6311"/>
    <tableColumn id="6312" xr3:uid="{5A46C45D-96DF-41C8-B668-D9E8E3F36825}" name="Column6312"/>
    <tableColumn id="6313" xr3:uid="{216F9EAF-A5C9-4869-A3F3-65444CED4EA3}" name="Column6313"/>
    <tableColumn id="6314" xr3:uid="{FEC0C488-0DF1-4549-81E8-1E758531883F}" name="Column6314"/>
    <tableColumn id="6315" xr3:uid="{8CA4DEC1-1419-47EB-AAE8-4CB427273C33}" name="Column6315"/>
    <tableColumn id="6316" xr3:uid="{04B47D84-E776-4056-ADDB-0AC3E3AC887A}" name="Column6316"/>
    <tableColumn id="6317" xr3:uid="{A9E552F4-997E-45E3-882B-9E7E6DDD79DF}" name="Column6317"/>
    <tableColumn id="6318" xr3:uid="{0E03E8DD-B7E6-423D-AE7A-4BB8BC3A83AE}" name="Column6318"/>
    <tableColumn id="6319" xr3:uid="{031F6C91-65AF-4473-A943-E5A001ECDE17}" name="Column6319"/>
    <tableColumn id="6320" xr3:uid="{F9A4E152-B8C6-473B-B538-52B0425B3FB0}" name="Column6320"/>
    <tableColumn id="6321" xr3:uid="{C8EE1229-EFDB-4751-9B5C-2F03A2B42831}" name="Column6321"/>
    <tableColumn id="6322" xr3:uid="{EC620109-CC20-4716-9031-CFD017F345A4}" name="Column6322"/>
    <tableColumn id="6323" xr3:uid="{F61191D3-3BDF-45E5-9A09-808303A7C9CD}" name="Column6323"/>
    <tableColumn id="6324" xr3:uid="{F6B2163D-EC6C-4323-B316-010296C26780}" name="Column6324"/>
    <tableColumn id="6325" xr3:uid="{9FD2070A-BB66-4F65-B90C-1D67FE6FEA03}" name="Column6325"/>
    <tableColumn id="6326" xr3:uid="{B1775BE8-1E47-4CE2-9591-684D57EB7119}" name="Column6326"/>
    <tableColumn id="6327" xr3:uid="{B7967951-0548-4500-84B4-F0A27629A1AE}" name="Column6327"/>
    <tableColumn id="6328" xr3:uid="{75673A27-76C5-4526-A05A-E26B56B0D6FF}" name="Column6328"/>
    <tableColumn id="6329" xr3:uid="{E84E861A-5A6D-45F5-A29A-0ABE0EED08E3}" name="Column6329"/>
    <tableColumn id="6330" xr3:uid="{2996E849-7030-4C0E-897A-1C5116DC9692}" name="Column6330"/>
    <tableColumn id="6331" xr3:uid="{BD169F7B-306D-4D5E-8A59-6BDDE9A19CEE}" name="Column6331"/>
    <tableColumn id="6332" xr3:uid="{CD27AF40-E050-44E1-A7FF-CDF3B2FC8CFF}" name="Column6332"/>
    <tableColumn id="6333" xr3:uid="{4A4EB4A1-63D2-4EFB-8C38-BDDD10E94445}" name="Column6333"/>
    <tableColumn id="6334" xr3:uid="{9ED3FB39-4F87-473C-9289-519C8F226F38}" name="Column6334"/>
    <tableColumn id="6335" xr3:uid="{AC005CD4-278A-4449-A0B2-27630CAB8073}" name="Column6335"/>
    <tableColumn id="6336" xr3:uid="{C05AC1CB-2B1E-4F6E-AD0E-D643E11D814B}" name="Column6336"/>
    <tableColumn id="6337" xr3:uid="{EA9C3C6E-ED06-455F-B794-5C0EF3C79015}" name="Column6337"/>
    <tableColumn id="6338" xr3:uid="{6EF69469-F201-4DF4-B13A-FA35C9711E8A}" name="Column6338"/>
    <tableColumn id="6339" xr3:uid="{7F2B6ADD-2FC1-45DD-BF6C-831ED500A88E}" name="Column6339"/>
    <tableColumn id="6340" xr3:uid="{C4116690-5088-4B4F-B454-4FA34EA8B032}" name="Column6340"/>
    <tableColumn id="6341" xr3:uid="{A4F28637-1603-47F0-8D97-620E444BBA55}" name="Column6341"/>
    <tableColumn id="6342" xr3:uid="{6C42540A-E761-4B25-BE1D-7C0AE5EAA08A}" name="Column6342"/>
    <tableColumn id="6343" xr3:uid="{B3117777-85DB-47DF-8A57-5797A9DA165E}" name="Column6343"/>
    <tableColumn id="6344" xr3:uid="{5E998BCF-2A57-402B-80C4-670A8CC87AF9}" name="Column6344"/>
    <tableColumn id="6345" xr3:uid="{189F542C-3E2E-413A-B33A-9DADE4385F61}" name="Column6345"/>
    <tableColumn id="6346" xr3:uid="{BCEF08E8-2AB5-4B1F-9FEB-E382E1AD63EF}" name="Column6346"/>
    <tableColumn id="6347" xr3:uid="{708B7E91-FA60-4E7F-BBAB-6106C9D68AF1}" name="Column6347"/>
    <tableColumn id="6348" xr3:uid="{41DE55A6-9626-4243-A7A6-8D2B82BE0497}" name="Column6348"/>
    <tableColumn id="6349" xr3:uid="{FC59CE52-F599-4AE7-B20E-6C4FCDF34039}" name="Column6349"/>
    <tableColumn id="6350" xr3:uid="{1D3C5E0F-ABFD-4592-A2E6-D339DF16B86D}" name="Column6350"/>
    <tableColumn id="6351" xr3:uid="{4134DDCB-A19D-4F67-9361-03634E0822ED}" name="Column6351"/>
    <tableColumn id="6352" xr3:uid="{71095F31-CE02-4956-969D-826DD4223843}" name="Column6352"/>
    <tableColumn id="6353" xr3:uid="{5C2BACF5-B9E8-4A46-B7AF-2DFB633E06B8}" name="Column6353"/>
    <tableColumn id="6354" xr3:uid="{B4338481-C412-4C8E-B5A4-24D906042C17}" name="Column6354"/>
    <tableColumn id="6355" xr3:uid="{927B605B-9D87-46FE-B1DA-F1268BB6B50D}" name="Column6355"/>
    <tableColumn id="6356" xr3:uid="{B5C834C5-6A6E-4C2A-8003-98CB4DE83DB9}" name="Column6356"/>
    <tableColumn id="6357" xr3:uid="{F52C80FC-DA53-48E8-9F51-D77799B17CD9}" name="Column6357"/>
    <tableColumn id="6358" xr3:uid="{58907788-3D47-478F-862F-CC47610C4D23}" name="Column6358"/>
    <tableColumn id="6359" xr3:uid="{559E85AD-3BAC-4F62-8244-A0FC78BC152E}" name="Column6359"/>
    <tableColumn id="6360" xr3:uid="{D27F4901-7F93-4E6A-AB15-93832523D1DB}" name="Column6360"/>
    <tableColumn id="6361" xr3:uid="{1EE51F81-9978-4EEC-BEC1-0F3631C9A12C}" name="Column6361"/>
    <tableColumn id="6362" xr3:uid="{2209A87E-6FE1-431E-A2C8-53234F00B438}" name="Column6362"/>
    <tableColumn id="6363" xr3:uid="{E6443E38-8FA4-4B81-B451-13B054B463B1}" name="Column6363"/>
    <tableColumn id="6364" xr3:uid="{D2A36CAE-E9D1-428D-A4ED-E59456540A70}" name="Column6364"/>
    <tableColumn id="6365" xr3:uid="{C1383B80-57F3-4C0D-9FB4-BED2A79F6E03}" name="Column6365"/>
    <tableColumn id="6366" xr3:uid="{E55108DA-BF83-44DA-9C43-2E88BA712F19}" name="Column6366"/>
    <tableColumn id="6367" xr3:uid="{61A4E3B2-F03A-4139-9B07-5E47020D1F66}" name="Column6367"/>
    <tableColumn id="6368" xr3:uid="{A55AE1A3-196E-4C2A-A560-9B223367646B}" name="Column6368"/>
    <tableColumn id="6369" xr3:uid="{739D0E59-1B50-4193-86DC-957F8DE89E2B}" name="Column6369"/>
    <tableColumn id="6370" xr3:uid="{369FBBA3-D79A-4A7F-8864-8770E0EC8B4C}" name="Column6370"/>
    <tableColumn id="6371" xr3:uid="{40AADE74-FCAD-48D9-BFE2-9B6E1B36D54F}" name="Column6371"/>
    <tableColumn id="6372" xr3:uid="{F4C27DAB-54FA-4815-B9DD-2B212253E0F0}" name="Column6372"/>
    <tableColumn id="6373" xr3:uid="{787DEF05-5A8F-4C4A-AA18-E41F5C311984}" name="Column6373"/>
    <tableColumn id="6374" xr3:uid="{69FA4F57-8B5B-4E5C-86E4-45D5BEB23F29}" name="Column6374"/>
    <tableColumn id="6375" xr3:uid="{0D73694A-830E-4001-98D6-D627D488B421}" name="Column6375"/>
    <tableColumn id="6376" xr3:uid="{12B2F55B-B50B-40BB-8174-16D8D0111BEC}" name="Column6376"/>
    <tableColumn id="6377" xr3:uid="{643AF71B-1001-4367-BAF7-A93509C75C0F}" name="Column6377"/>
    <tableColumn id="6378" xr3:uid="{2C34560B-9B4D-475A-891B-C9B2665DEBEE}" name="Column6378"/>
    <tableColumn id="6379" xr3:uid="{7AB2D338-85FC-49F9-89CC-4313FED9BA5C}" name="Column6379"/>
    <tableColumn id="6380" xr3:uid="{A3023973-5CA1-473B-A2B3-BAB24CA185B1}" name="Column6380"/>
    <tableColumn id="6381" xr3:uid="{BC5CEDEB-CC9F-4222-A060-ADDEB8091DB6}" name="Column6381"/>
    <tableColumn id="6382" xr3:uid="{20FE449D-2C75-45D7-B7A8-F4ECF57C9AAA}" name="Column6382"/>
    <tableColumn id="6383" xr3:uid="{36DFC6BB-8F19-4640-A495-BA88ADB916E9}" name="Column6383"/>
    <tableColumn id="6384" xr3:uid="{A4B0AB22-9DC4-4693-A792-5208475023F0}" name="Column6384"/>
    <tableColumn id="6385" xr3:uid="{CA73B2EC-2D6D-49E2-9F38-CD88991610AF}" name="Column6385"/>
    <tableColumn id="6386" xr3:uid="{B684A1A6-FB54-4792-835B-DC837EDE8160}" name="Column6386"/>
    <tableColumn id="6387" xr3:uid="{06A2CC8E-BBF3-4B29-AB19-A6B308A452D2}" name="Column6387"/>
    <tableColumn id="6388" xr3:uid="{4CC27E80-E806-41BC-BF30-B93DE37C8638}" name="Column6388"/>
    <tableColumn id="6389" xr3:uid="{61FE115A-5B3A-4809-B95A-7447DDC4FA0A}" name="Column6389"/>
    <tableColumn id="6390" xr3:uid="{5DAAAF9E-51CD-482E-A113-E5EE31BEE9D0}" name="Column6390"/>
    <tableColumn id="6391" xr3:uid="{15F5F1A9-15F8-4D9C-A7D5-FB4A10A25FB9}" name="Column6391"/>
    <tableColumn id="6392" xr3:uid="{4126FAD0-FCD6-4F8B-8D45-9252B1FF2E58}" name="Column6392"/>
    <tableColumn id="6393" xr3:uid="{98340E5B-D5DC-4B2C-A97B-8045272A350C}" name="Column6393"/>
    <tableColumn id="6394" xr3:uid="{6ABBEAAD-52B2-49AA-A656-5CAAA125FF58}" name="Column6394"/>
    <tableColumn id="6395" xr3:uid="{422ED329-22BB-4587-860E-2E35A872E1FD}" name="Column6395"/>
    <tableColumn id="6396" xr3:uid="{099225D9-2BF2-49E7-847B-4C81ABFDE73C}" name="Column6396"/>
    <tableColumn id="6397" xr3:uid="{5133D25D-3684-42C2-BE4A-FE45673D3DF0}" name="Column6397"/>
    <tableColumn id="6398" xr3:uid="{C5808AFA-3468-4BA4-9E65-4FE3E1D23101}" name="Column6398"/>
    <tableColumn id="6399" xr3:uid="{EA328976-E017-4E88-8CFF-53C735811A6D}" name="Column6399"/>
    <tableColumn id="6400" xr3:uid="{948251F1-9B71-444F-8CD8-31D79783854D}" name="Column6400"/>
    <tableColumn id="6401" xr3:uid="{5D98B92E-C135-4E1B-B749-1230B2865C28}" name="Column6401"/>
    <tableColumn id="6402" xr3:uid="{70C5FCDD-4DA5-427C-B32E-3CE362C6D88A}" name="Column6402"/>
    <tableColumn id="6403" xr3:uid="{033CE591-5397-4B64-8B23-D971F8B1F224}" name="Column6403"/>
    <tableColumn id="6404" xr3:uid="{E839EECF-8C58-4485-9241-7071016497C3}" name="Column6404"/>
    <tableColumn id="6405" xr3:uid="{272E456C-0693-4A60-BB4A-72D9A6D89D30}" name="Column6405"/>
    <tableColumn id="6406" xr3:uid="{F8A32794-78E9-423E-8514-2D9F23057516}" name="Column6406"/>
    <tableColumn id="6407" xr3:uid="{7FF4F5F7-F2CB-4CBF-8F71-83C7801480C8}" name="Column6407"/>
    <tableColumn id="6408" xr3:uid="{984139E3-5A48-4190-B1BC-FB6E9A53FBD9}" name="Column6408"/>
    <tableColumn id="6409" xr3:uid="{B352EF8A-07EB-47E9-B014-2DB676C9428B}" name="Column6409"/>
    <tableColumn id="6410" xr3:uid="{5E0A36DC-6FC3-4AA8-875F-4F91876CA57C}" name="Column6410"/>
    <tableColumn id="6411" xr3:uid="{D96731F2-9393-41CA-8FB1-E471F7B39263}" name="Column6411"/>
    <tableColumn id="6412" xr3:uid="{B5A8BC32-48B6-4FB5-8C6D-88BE9008FBD6}" name="Column6412"/>
    <tableColumn id="6413" xr3:uid="{1CF493EE-7EAB-4547-8CB3-6EFDBCB53A8F}" name="Column6413"/>
    <tableColumn id="6414" xr3:uid="{45982702-D416-4306-B2C5-44A33D6A9EEB}" name="Column6414"/>
    <tableColumn id="6415" xr3:uid="{B4E268F8-ED9B-4BAE-A7D4-7CAF72696F55}" name="Column6415"/>
    <tableColumn id="6416" xr3:uid="{2B26FBF9-4354-45E5-9C9D-3E692C4F463C}" name="Column6416"/>
    <tableColumn id="6417" xr3:uid="{F7A328D8-B910-463D-A99F-B92592280774}" name="Column6417"/>
    <tableColumn id="6418" xr3:uid="{E335F529-8779-499B-BDA1-0409EEB346A8}" name="Column6418"/>
    <tableColumn id="6419" xr3:uid="{E721FA4E-B630-4EEF-9CE9-8C456DA7A20C}" name="Column6419"/>
    <tableColumn id="6420" xr3:uid="{639135D7-E8AB-4771-A310-88ECB732681A}" name="Column6420"/>
    <tableColumn id="6421" xr3:uid="{608D5263-6EEE-4477-9D82-AE335D59515E}" name="Column6421"/>
    <tableColumn id="6422" xr3:uid="{CF5000DF-32FB-41FB-A145-B416A30231DF}" name="Column6422"/>
    <tableColumn id="6423" xr3:uid="{96DF85CF-D026-4032-9F37-45BFA0AB1805}" name="Column6423"/>
    <tableColumn id="6424" xr3:uid="{7CDD9A3F-CEAB-4CA0-A412-0E45A4B6E175}" name="Column6424"/>
    <tableColumn id="6425" xr3:uid="{80454DAE-1C95-4EC6-9F9C-1D3D6C12930C}" name="Column6425"/>
    <tableColumn id="6426" xr3:uid="{865F165D-CCD3-40E8-ADD7-121E97F66BA3}" name="Column6426"/>
    <tableColumn id="6427" xr3:uid="{2D9175BE-629C-437C-B3DE-C377216A960D}" name="Column6427"/>
    <tableColumn id="6428" xr3:uid="{A95D1238-602B-47EB-BEED-3C7D545B0459}" name="Column6428"/>
    <tableColumn id="6429" xr3:uid="{8F3D44C9-0179-49BA-BB96-1583FB5023B2}" name="Column6429"/>
    <tableColumn id="6430" xr3:uid="{7579BCE5-D95C-4CE9-AA2F-629DBEE5F516}" name="Column6430"/>
    <tableColumn id="6431" xr3:uid="{A9A21D01-7716-46FA-8174-6F39B5754750}" name="Column6431"/>
    <tableColumn id="6432" xr3:uid="{E64D2141-03D6-4716-B079-98DEFF8598D7}" name="Column6432"/>
    <tableColumn id="6433" xr3:uid="{59227443-85E7-4E6E-8932-C72836E0E5C0}" name="Column6433"/>
    <tableColumn id="6434" xr3:uid="{3D44BCA9-0076-4283-8BA5-EC986D511B6C}" name="Column6434"/>
    <tableColumn id="6435" xr3:uid="{705D7758-9B8E-4E4A-ACBB-3C901F021DBA}" name="Column6435"/>
    <tableColumn id="6436" xr3:uid="{58EA0C2D-A3DF-4742-8123-978AA11206A2}" name="Column6436"/>
    <tableColumn id="6437" xr3:uid="{58CF12BB-19AE-4568-B8CF-FE3658F0AD5D}" name="Column6437"/>
    <tableColumn id="6438" xr3:uid="{93211C18-70D4-4D30-A55F-15FBB8C39D3B}" name="Column6438"/>
    <tableColumn id="6439" xr3:uid="{E3DE79A7-253D-4246-B1F7-EE70C42533BF}" name="Column6439"/>
    <tableColumn id="6440" xr3:uid="{90FE5163-3561-4494-AF48-F2300FE4C39B}" name="Column6440"/>
    <tableColumn id="6441" xr3:uid="{DEDF1875-B72D-4638-B2C5-75983EBE2237}" name="Column6441"/>
    <tableColumn id="6442" xr3:uid="{22B24536-6AC1-476E-901D-3BD688810C5A}" name="Column6442"/>
    <tableColumn id="6443" xr3:uid="{7EBFC44D-93B7-47DE-A3D2-F06B9A48DDB0}" name="Column6443"/>
    <tableColumn id="6444" xr3:uid="{2B3FFCE4-08F5-4A51-820A-99285AC67679}" name="Column6444"/>
    <tableColumn id="6445" xr3:uid="{7C6D3531-2138-4B89-9F55-0E6E5520A242}" name="Column6445"/>
    <tableColumn id="6446" xr3:uid="{9D06449E-3642-416C-BFF2-10EC9BB94632}" name="Column6446"/>
    <tableColumn id="6447" xr3:uid="{7ADA35DC-77C9-46EA-AFB2-F99619560068}" name="Column6447"/>
    <tableColumn id="6448" xr3:uid="{B56219D6-8B7A-42AE-8961-6F0456C79E11}" name="Column6448"/>
    <tableColumn id="6449" xr3:uid="{54417619-B036-411A-B47D-B9AA466A834B}" name="Column6449"/>
    <tableColumn id="6450" xr3:uid="{DEDE010B-75F3-4BA5-BEAD-17998191231E}" name="Column6450"/>
    <tableColumn id="6451" xr3:uid="{7F227B74-55D6-4F22-ACEF-B29C20D82587}" name="Column6451"/>
    <tableColumn id="6452" xr3:uid="{63CB2561-563D-4A39-8D91-0E4518C69593}" name="Column6452"/>
    <tableColumn id="6453" xr3:uid="{F6BBA959-F3B2-414D-8847-B95CAA5E2413}" name="Column6453"/>
    <tableColumn id="6454" xr3:uid="{B9F2BBE5-869A-48B5-8A72-D65D316DC8A2}" name="Column6454"/>
    <tableColumn id="6455" xr3:uid="{B866E094-56D7-4FA3-9E50-D641C6692531}" name="Column6455"/>
    <tableColumn id="6456" xr3:uid="{58807965-6BA1-4A62-8D9C-DA3C342C4EBA}" name="Column6456"/>
    <tableColumn id="6457" xr3:uid="{A6B9EE58-DE63-4629-930A-E9E00556FC82}" name="Column6457"/>
    <tableColumn id="6458" xr3:uid="{1E9BFAD2-6C24-4F9F-BAFE-D8AFCBA8E6BE}" name="Column6458"/>
    <tableColumn id="6459" xr3:uid="{A127FA9F-F670-449B-9E52-C2698BE8CC9C}" name="Column6459"/>
    <tableColumn id="6460" xr3:uid="{FA122ACE-FAB8-412B-80DA-8DDD7A3EC666}" name="Column6460"/>
    <tableColumn id="6461" xr3:uid="{1E0CB9CC-D134-402D-8F4F-5179F4B1C17B}" name="Column6461"/>
    <tableColumn id="6462" xr3:uid="{3B2E9149-0081-4B5B-8A5C-62F5DAC54415}" name="Column6462"/>
    <tableColumn id="6463" xr3:uid="{1095D4E4-779D-45BE-9B94-0EE8EB6BAAAF}" name="Column6463"/>
    <tableColumn id="6464" xr3:uid="{C6FB6BB4-7E87-4103-BE08-E110C1A69C9B}" name="Column6464"/>
    <tableColumn id="6465" xr3:uid="{E69A4E33-91A1-4C02-81C8-68C726CDC207}" name="Column6465"/>
    <tableColumn id="6466" xr3:uid="{E98E04CF-2DEF-4B14-B35A-5346361EA563}" name="Column6466"/>
    <tableColumn id="6467" xr3:uid="{9D214DD6-AAA2-4AF0-9B28-A4B0891F7516}" name="Column6467"/>
    <tableColumn id="6468" xr3:uid="{B6CF78DA-078D-4D5E-9AFC-AE0878039755}" name="Column6468"/>
    <tableColumn id="6469" xr3:uid="{8E140961-D2B0-4BCB-938B-7DC9DD741E38}" name="Column6469"/>
    <tableColumn id="6470" xr3:uid="{AC57B4FB-1755-4ED4-B234-0FFDF8419030}" name="Column6470"/>
    <tableColumn id="6471" xr3:uid="{4A0C7801-E800-4DC1-A77E-D0F789F6A036}" name="Column6471"/>
    <tableColumn id="6472" xr3:uid="{BD4949CE-2F16-420C-B68D-A369998D9DE3}" name="Column6472"/>
    <tableColumn id="6473" xr3:uid="{02262AFE-AA01-4BCE-A00B-D5662AACA08F}" name="Column6473"/>
    <tableColumn id="6474" xr3:uid="{9FDD99A5-58D5-4F7E-A610-04DA340AFBCA}" name="Column6474"/>
    <tableColumn id="6475" xr3:uid="{0122A9E3-85B0-45EA-9CFB-831A4052F6EF}" name="Column6475"/>
    <tableColumn id="6476" xr3:uid="{C0246E9B-B7CA-4A68-93BE-D12905D7EC0F}" name="Column6476"/>
    <tableColumn id="6477" xr3:uid="{1645EF25-E35E-4662-9AB1-797FD44762AB}" name="Column6477"/>
    <tableColumn id="6478" xr3:uid="{017FC8C1-505D-4031-BECC-3EE565727157}" name="Column6478"/>
    <tableColumn id="6479" xr3:uid="{8CDD4B65-464C-43C5-9071-CC783B27FBF6}" name="Column6479"/>
    <tableColumn id="6480" xr3:uid="{21E1B4C1-F08B-4A79-B265-CC194C007E42}" name="Column6480"/>
    <tableColumn id="6481" xr3:uid="{757E5B7B-C855-4FB5-B71D-E321A45D9055}" name="Column6481"/>
    <tableColumn id="6482" xr3:uid="{22FF539E-B432-47B3-9F9D-A99D2C7F7B6F}" name="Column6482"/>
    <tableColumn id="6483" xr3:uid="{F72E77A1-A24A-4929-83C2-A05AA21B844D}" name="Column6483"/>
    <tableColumn id="6484" xr3:uid="{BC145440-E163-4C49-A1FC-78532CE5D7B7}" name="Column6484"/>
    <tableColumn id="6485" xr3:uid="{2BD5EAF5-796A-4391-BE22-8EAA814F12BC}" name="Column6485"/>
    <tableColumn id="6486" xr3:uid="{85F74663-0377-41A8-B5B8-43DA125A4C64}" name="Column6486"/>
    <tableColumn id="6487" xr3:uid="{B04190DE-8565-4B96-BE2A-648275DACC2F}" name="Column6487"/>
    <tableColumn id="6488" xr3:uid="{0F723F4A-8286-40DF-BC6D-1F16051F48CE}" name="Column6488"/>
    <tableColumn id="6489" xr3:uid="{6028B680-7BC3-4335-90B3-B8E57183C50E}" name="Column6489"/>
    <tableColumn id="6490" xr3:uid="{884E900F-0E21-4F2D-B280-F6C4ED25F4DA}" name="Column6490"/>
    <tableColumn id="6491" xr3:uid="{9ED37B82-189F-4720-B807-8F12AFA2F3AD}" name="Column6491"/>
    <tableColumn id="6492" xr3:uid="{6DC4601F-F8B3-49A4-9A36-7CC59419BBD9}" name="Column6492"/>
    <tableColumn id="6493" xr3:uid="{5C3DEC3F-8660-4359-BB17-12302331CB54}" name="Column6493"/>
    <tableColumn id="6494" xr3:uid="{9B0CEDE0-5BF8-4E59-A0E2-A6365A2B38BD}" name="Column6494"/>
    <tableColumn id="6495" xr3:uid="{3ED4F9E3-97F7-484A-97C0-F36285F26DE0}" name="Column6495"/>
    <tableColumn id="6496" xr3:uid="{6E4E0B56-ABF7-4C9D-87A0-75D9452AF7BD}" name="Column6496"/>
    <tableColumn id="6497" xr3:uid="{0D4B39ED-64BA-45D3-8538-9EB20F52964B}" name="Column6497"/>
    <tableColumn id="6498" xr3:uid="{EFFB768E-C82F-4B5A-ADAF-ECB1EB667DD6}" name="Column6498"/>
    <tableColumn id="6499" xr3:uid="{7E103447-CC8A-4602-85FF-81133DDFD329}" name="Column6499"/>
    <tableColumn id="6500" xr3:uid="{26FEE19D-A77A-4C70-9802-D3B4B2054FA0}" name="Column6500"/>
    <tableColumn id="6501" xr3:uid="{8B692FEB-79DF-4C90-AF67-8A49F4AD358C}" name="Column6501"/>
    <tableColumn id="6502" xr3:uid="{FB8D276B-3EE1-43E6-9D62-AB164D04FDD5}" name="Column6502"/>
    <tableColumn id="6503" xr3:uid="{573D17C9-1630-4663-9842-9F37EBD7A491}" name="Column6503"/>
    <tableColumn id="6504" xr3:uid="{26A4779F-B90C-4686-8566-40244D2A38D3}" name="Column6504"/>
    <tableColumn id="6505" xr3:uid="{924AA60E-CCB7-4E7F-9A1F-EDCC3FF6BB1C}" name="Column6505"/>
    <tableColumn id="6506" xr3:uid="{4DD38D28-6FA4-48C4-9475-9C55D954086D}" name="Column6506"/>
    <tableColumn id="6507" xr3:uid="{B01BC1DB-93E3-4D98-B88A-9FF32608BA77}" name="Column6507"/>
    <tableColumn id="6508" xr3:uid="{2640B6BE-094C-4728-BFEA-DD06AF20711F}" name="Column6508"/>
    <tableColumn id="6509" xr3:uid="{AF2F8B95-F23A-4069-90C0-6C130123B344}" name="Column6509"/>
    <tableColumn id="6510" xr3:uid="{B1B7B0FC-6FD8-485A-96CC-F9FFA54A176E}" name="Column6510"/>
    <tableColumn id="6511" xr3:uid="{3545CF0C-8F74-4260-81E8-B06739A765D8}" name="Column6511"/>
    <tableColumn id="6512" xr3:uid="{8BC586E6-F814-4610-9D5B-9A71B59A0001}" name="Column6512"/>
    <tableColumn id="6513" xr3:uid="{3994550C-F999-4593-AF11-B6CE478462EC}" name="Column6513"/>
    <tableColumn id="6514" xr3:uid="{C5FC0BAC-459F-4F2B-9F51-6F3220384B4F}" name="Column6514"/>
    <tableColumn id="6515" xr3:uid="{3740C05B-0CE0-4281-9B77-91A6CF893C04}" name="Column6515"/>
    <tableColumn id="6516" xr3:uid="{952C9745-B62B-4ED1-B5B4-6232A56E0FCF}" name="Column6516"/>
    <tableColumn id="6517" xr3:uid="{78E98F2B-9F77-45A5-90A6-8BBDAAB6EC2B}" name="Column6517"/>
    <tableColumn id="6518" xr3:uid="{C869C0D6-3CDC-4078-8D3B-E0B2C864BC3F}" name="Column6518"/>
    <tableColumn id="6519" xr3:uid="{21B6EBE8-9C81-417B-8BDA-5FC360ABF9F2}" name="Column6519"/>
    <tableColumn id="6520" xr3:uid="{F84BB5E2-2ED3-49E0-92B1-5EFC38E13909}" name="Column6520"/>
    <tableColumn id="6521" xr3:uid="{38C2E7E4-3EFA-4BEE-B00A-4409CE1F586B}" name="Column6521"/>
    <tableColumn id="6522" xr3:uid="{F6806F9A-1810-4908-91AC-F7DBB8B1892D}" name="Column6522"/>
    <tableColumn id="6523" xr3:uid="{9B841BB3-F0E5-4D0F-A1B9-5FD470EA4DD2}" name="Column6523"/>
    <tableColumn id="6524" xr3:uid="{D4C02FCB-D374-46FD-AED2-F3276AD049B6}" name="Column6524"/>
    <tableColumn id="6525" xr3:uid="{CD4117B9-DA2E-4E22-8B78-F10922335F58}" name="Column6525"/>
    <tableColumn id="6526" xr3:uid="{CEF328CC-C1BE-4634-AE69-E09E16AB97B8}" name="Column6526"/>
    <tableColumn id="6527" xr3:uid="{DC0A51A2-85AF-482E-B9C1-F6D1007B5294}" name="Column6527"/>
    <tableColumn id="6528" xr3:uid="{58410B7B-625F-4228-8F6F-AE4E542D9008}" name="Column6528"/>
    <tableColumn id="6529" xr3:uid="{C7F9E099-E564-48CD-9D24-22BD451409F1}" name="Column6529"/>
    <tableColumn id="6530" xr3:uid="{11E18A41-A46C-4F22-B60D-17267091F414}" name="Column6530"/>
    <tableColumn id="6531" xr3:uid="{49CBECD2-B70C-4AB4-BA9F-9DD4993EA12C}" name="Column6531"/>
    <tableColumn id="6532" xr3:uid="{05A5DE90-6126-4318-95B7-6A37035080F0}" name="Column6532"/>
    <tableColumn id="6533" xr3:uid="{ADB203CD-CA6D-4BA1-93C1-E79DA6A7AC1F}" name="Column6533"/>
    <tableColumn id="6534" xr3:uid="{E98C6934-789B-4DBE-A2B7-386E663B7309}" name="Column6534"/>
    <tableColumn id="6535" xr3:uid="{8B61D822-D302-44FC-B778-F9C072C0A104}" name="Column6535"/>
    <tableColumn id="6536" xr3:uid="{5D728584-6788-4514-8992-E6991943632D}" name="Column6536"/>
    <tableColumn id="6537" xr3:uid="{0F8466EB-23FF-4BC1-ABDE-956B10933D09}" name="Column6537"/>
    <tableColumn id="6538" xr3:uid="{80C10A5C-FE89-44CB-80BD-0CEC77E18F8F}" name="Column6538"/>
    <tableColumn id="6539" xr3:uid="{DB215284-DDBE-4F63-93F9-EAB86DB8CE7A}" name="Column6539"/>
    <tableColumn id="6540" xr3:uid="{523E57D5-8DEA-4ADC-8658-884A8CF54D96}" name="Column6540"/>
    <tableColumn id="6541" xr3:uid="{91A50BE6-9C60-4C12-95A7-FABAF6FBDA5B}" name="Column6541"/>
    <tableColumn id="6542" xr3:uid="{028A64E6-7F5B-46D1-B5E1-B4DE09581655}" name="Column6542"/>
    <tableColumn id="6543" xr3:uid="{776531BB-816B-4D16-AF43-CBDCDC97E894}" name="Column6543"/>
    <tableColumn id="6544" xr3:uid="{94FD105B-EC35-46DC-B673-C656CCD8811E}" name="Column6544"/>
    <tableColumn id="6545" xr3:uid="{5F13635B-4B19-4393-95F7-D9D515F27693}" name="Column6545"/>
    <tableColumn id="6546" xr3:uid="{5A98B7AC-9DA1-4A46-AFB8-EF6CB572AFF7}" name="Column6546"/>
    <tableColumn id="6547" xr3:uid="{0C8A29E1-D8D6-4BD5-9EBC-C743A21A1E39}" name="Column6547"/>
    <tableColumn id="6548" xr3:uid="{5939DB24-C1F4-4224-9275-7878D48346C8}" name="Column6548"/>
    <tableColumn id="6549" xr3:uid="{ABDA81B7-7CF7-469D-B150-EAC268429AD4}" name="Column6549"/>
    <tableColumn id="6550" xr3:uid="{39E6FE36-6CCA-48CA-92B3-FCFF731E3CE4}" name="Column6550"/>
    <tableColumn id="6551" xr3:uid="{3CE257CF-E968-4CCA-9C5F-5E7A679AACBE}" name="Column6551"/>
    <tableColumn id="6552" xr3:uid="{CC5C56F7-C097-438A-B7A7-1B3999C1B8FB}" name="Column6552"/>
    <tableColumn id="6553" xr3:uid="{20DCDBF8-C2B8-4AB9-A08D-5DFD13DFF334}" name="Column6553"/>
    <tableColumn id="6554" xr3:uid="{EC065D88-292F-4D1A-9828-F1D0344FCF04}" name="Column6554"/>
    <tableColumn id="6555" xr3:uid="{F01A09CC-01A9-4B69-B13D-F2392CBF61B4}" name="Column6555"/>
    <tableColumn id="6556" xr3:uid="{FACD3E4A-7A9D-4712-8626-48BB139762F8}" name="Column6556"/>
    <tableColumn id="6557" xr3:uid="{E97AA58A-EB19-492C-908C-C040CA6B740D}" name="Column6557"/>
    <tableColumn id="6558" xr3:uid="{32754337-2D43-4C9A-BE44-ED88D4CDCE95}" name="Column6558"/>
    <tableColumn id="6559" xr3:uid="{85E25828-7B78-4C3A-BCE7-05324DCD3627}" name="Column6559"/>
    <tableColumn id="6560" xr3:uid="{B2C45D33-ACE9-4FE5-A0D0-9F9E18A459C2}" name="Column6560"/>
    <tableColumn id="6561" xr3:uid="{B49A67FA-3F49-4BB2-AEAE-44BDD9A334A4}" name="Column6561"/>
    <tableColumn id="6562" xr3:uid="{8A76BD7A-24D6-4AD0-AAEE-418E629F1F59}" name="Column6562"/>
    <tableColumn id="6563" xr3:uid="{62603C74-A8FA-49C8-83AB-A4101F8783E1}" name="Column6563"/>
    <tableColumn id="6564" xr3:uid="{6A16F7FC-8103-482D-8098-D505AFFC077F}" name="Column6564"/>
    <tableColumn id="6565" xr3:uid="{F83E30EF-EAF5-4DDD-9048-B6E2BDC91A23}" name="Column6565"/>
    <tableColumn id="6566" xr3:uid="{DB4FA99A-78DE-49F4-A49E-376CC53BE162}" name="Column6566"/>
    <tableColumn id="6567" xr3:uid="{9BC33BCB-BCAE-4C56-AD89-0D442AD1B65B}" name="Column6567"/>
    <tableColumn id="6568" xr3:uid="{619CBCE9-148F-4A86-A4F0-E7D366538FA2}" name="Column6568"/>
    <tableColumn id="6569" xr3:uid="{7EAA29B3-8BC3-4B99-8087-ADC60C59C3BD}" name="Column6569"/>
    <tableColumn id="6570" xr3:uid="{2DFB5A5A-8FB7-40E9-AB75-0F8EFFC70E6F}" name="Column6570"/>
    <tableColumn id="6571" xr3:uid="{0F1D175E-0562-4A5E-AA99-E5BFFCEB6B33}" name="Column6571"/>
    <tableColumn id="6572" xr3:uid="{8120BF3E-3B98-410E-BA44-0AA166E7E953}" name="Column6572"/>
    <tableColumn id="6573" xr3:uid="{D9FAD2F5-8617-465F-8594-BB3A23696B02}" name="Column6573"/>
    <tableColumn id="6574" xr3:uid="{3DB90AB9-59F3-41BC-86E2-03D243DE15C8}" name="Column6574"/>
    <tableColumn id="6575" xr3:uid="{1CC2DCB3-F455-494C-B13E-0A3F9E2E9F6D}" name="Column6575"/>
    <tableColumn id="6576" xr3:uid="{6297BEA9-5B48-4CDA-80E4-2C01B92926D8}" name="Column6576"/>
    <tableColumn id="6577" xr3:uid="{66325E0E-569D-4778-89FC-DB51CC45A13E}" name="Column6577"/>
    <tableColumn id="6578" xr3:uid="{8C2D2E80-CC8D-41FE-A2F6-81D87E99A57B}" name="Column6578"/>
    <tableColumn id="6579" xr3:uid="{43462DDA-9EE2-4416-ADC5-A40E3A58BCB0}" name="Column6579"/>
    <tableColumn id="6580" xr3:uid="{A7E6C1C9-F64D-43B2-887F-B5AF22DA870E}" name="Column6580"/>
    <tableColumn id="6581" xr3:uid="{68112A46-B14A-420D-8ED7-DC9E265F14C5}" name="Column6581"/>
    <tableColumn id="6582" xr3:uid="{F8D9BB3D-465F-4555-8EC6-1C121E0BEAF9}" name="Column6582"/>
    <tableColumn id="6583" xr3:uid="{F05A8272-441C-46D9-8127-4C6A8D47890B}" name="Column6583"/>
    <tableColumn id="6584" xr3:uid="{A27B7923-4166-4FB0-BE52-EFE614AE8D62}" name="Column6584"/>
    <tableColumn id="6585" xr3:uid="{76E23107-B024-4900-B9DC-E87120650C30}" name="Column6585"/>
    <tableColumn id="6586" xr3:uid="{96F37757-060F-4E60-AF29-D65AD372C707}" name="Column6586"/>
    <tableColumn id="6587" xr3:uid="{874339BF-1645-41DA-94CA-8C8ADF6608B1}" name="Column6587"/>
    <tableColumn id="6588" xr3:uid="{C8545314-7D2B-4B39-9287-AADC5A1381D1}" name="Column6588"/>
    <tableColumn id="6589" xr3:uid="{BDBDB2FA-C88C-473A-87A7-3928A6888253}" name="Column6589"/>
    <tableColumn id="6590" xr3:uid="{A110ECFA-F812-4D46-8CB9-E1A598ED3269}" name="Column6590"/>
    <tableColumn id="6591" xr3:uid="{0870FFC3-DE0E-414C-97B7-F370EAE114A2}" name="Column6591"/>
    <tableColumn id="6592" xr3:uid="{64E5B010-3CE8-4E04-9E91-62B64F23FA57}" name="Column6592"/>
    <tableColumn id="6593" xr3:uid="{D8599AF1-2554-446C-9A24-E78AF237EBC0}" name="Column6593"/>
    <tableColumn id="6594" xr3:uid="{2CBB360F-81DA-4729-B905-65EB232C1329}" name="Column6594"/>
    <tableColumn id="6595" xr3:uid="{1AD628C0-F473-4985-A698-64EB49C6C82E}" name="Column6595"/>
    <tableColumn id="6596" xr3:uid="{38C791CF-0AD4-4484-931B-C99BC639C8F6}" name="Column6596"/>
    <tableColumn id="6597" xr3:uid="{270AC9E5-99BD-4FA0-8680-1A5856FE4D76}" name="Column6597"/>
    <tableColumn id="6598" xr3:uid="{E6C6581F-DF51-416C-92C3-82BFD35B5132}" name="Column6598"/>
    <tableColumn id="6599" xr3:uid="{FBFDD196-6D62-4A97-9DCB-99DE4F3B531B}" name="Column6599"/>
    <tableColumn id="6600" xr3:uid="{B2524B10-5A60-48D3-A028-B2932529B055}" name="Column6600"/>
    <tableColumn id="6601" xr3:uid="{79B82403-8AB9-4941-AD3A-295B17107DFE}" name="Column6601"/>
    <tableColumn id="6602" xr3:uid="{EA6A8F1A-5B12-437F-A04F-6506BAB7641E}" name="Column6602"/>
    <tableColumn id="6603" xr3:uid="{B0BB3CD5-ABD5-4779-8FFA-40B9248288F4}" name="Column6603"/>
    <tableColumn id="6604" xr3:uid="{0638296A-B716-4EE0-9AC8-1752B0ECE120}" name="Column6604"/>
    <tableColumn id="6605" xr3:uid="{81BA8187-A648-4F70-8DED-C457390D307D}" name="Column6605"/>
    <tableColumn id="6606" xr3:uid="{375FA45B-C5A8-46E0-BAEC-2FAE483BEF21}" name="Column6606"/>
    <tableColumn id="6607" xr3:uid="{D186790F-62BF-40A6-AB17-07243047F52B}" name="Column6607"/>
    <tableColumn id="6608" xr3:uid="{D4DF11D0-63F4-4B52-B1A6-6019F8605B88}" name="Column6608"/>
    <tableColumn id="6609" xr3:uid="{C5F8D0C3-96EE-4935-A712-3D6864082314}" name="Column6609"/>
    <tableColumn id="6610" xr3:uid="{1043B01A-0B1E-4D76-9535-E7948E88403A}" name="Column6610"/>
    <tableColumn id="6611" xr3:uid="{36EE9048-8622-4B3C-92EF-48007042DA19}" name="Column6611"/>
    <tableColumn id="6612" xr3:uid="{62151850-7800-4038-81C0-9EF01BF720A7}" name="Column6612"/>
    <tableColumn id="6613" xr3:uid="{CEEC310A-0A66-4EAB-8A84-6AC308A81C60}" name="Column6613"/>
    <tableColumn id="6614" xr3:uid="{A8A44861-3135-4363-9861-8EBDB2B06C90}" name="Column6614"/>
    <tableColumn id="6615" xr3:uid="{C0D19F1B-432F-4D5E-BB34-B5C1957E07D2}" name="Column6615"/>
    <tableColumn id="6616" xr3:uid="{53A48F2D-F976-4E4D-AB9D-906E49F4D47F}" name="Column6616"/>
    <tableColumn id="6617" xr3:uid="{375D20D2-F139-4961-895F-DED6631AC619}" name="Column6617"/>
    <tableColumn id="6618" xr3:uid="{91C7B3E1-A2DE-44D5-99FB-6B5D66B19984}" name="Column6618"/>
    <tableColumn id="6619" xr3:uid="{FBC38CF1-6A0A-42FD-A982-CF837EBFDAB2}" name="Column6619"/>
    <tableColumn id="6620" xr3:uid="{384C07AA-C084-4085-84D0-A6D4B7350F57}" name="Column6620"/>
    <tableColumn id="6621" xr3:uid="{D7698EA6-6B2D-4355-B092-F27921150C4F}" name="Column6621"/>
    <tableColumn id="6622" xr3:uid="{8616E631-729A-4B77-A9D2-13432ED15580}" name="Column6622"/>
    <tableColumn id="6623" xr3:uid="{9E839FC3-1AA7-4E03-A72B-5DC70689019A}" name="Column6623"/>
    <tableColumn id="6624" xr3:uid="{EB916806-8340-44C6-A6AD-BAED4B105B56}" name="Column6624"/>
    <tableColumn id="6625" xr3:uid="{7C844BC5-6B40-4647-94B8-9F15CD355475}" name="Column6625"/>
    <tableColumn id="6626" xr3:uid="{E3FE311B-C70C-4B4D-96D7-FF22121395AC}" name="Column6626"/>
    <tableColumn id="6627" xr3:uid="{60AC82B7-5F74-4C71-B2AC-F29FBA95F333}" name="Column6627"/>
    <tableColumn id="6628" xr3:uid="{415FC0B0-37E5-4B73-AC9F-15DE76A171BB}" name="Column6628"/>
    <tableColumn id="6629" xr3:uid="{D498379A-30AB-4C35-93D0-AB4371100635}" name="Column6629"/>
    <tableColumn id="6630" xr3:uid="{3A960A95-1A6B-4D6F-B07F-970D1DA389F7}" name="Column6630"/>
    <tableColumn id="6631" xr3:uid="{A918422E-7E2C-4450-B627-B04C726755B9}" name="Column6631"/>
    <tableColumn id="6632" xr3:uid="{51B9B6C3-F1CD-4E3F-890F-7C11D0AB18C3}" name="Column6632"/>
    <tableColumn id="6633" xr3:uid="{B6335303-B553-445F-9412-F0CC2822605E}" name="Column6633"/>
    <tableColumn id="6634" xr3:uid="{673AC474-5A36-472E-A1F5-CA587CEB4A25}" name="Column6634"/>
    <tableColumn id="6635" xr3:uid="{042389E3-2CE3-4F90-A718-08EB075E15E9}" name="Column6635"/>
    <tableColumn id="6636" xr3:uid="{2D07DF5D-8D04-4BF9-9B7D-DF4349AB05E4}" name="Column6636"/>
    <tableColumn id="6637" xr3:uid="{AFB0759D-243E-4F09-998B-7F7059557AEC}" name="Column6637"/>
    <tableColumn id="6638" xr3:uid="{6531DE81-D16A-43A8-B76E-003CC153AD89}" name="Column6638"/>
    <tableColumn id="6639" xr3:uid="{C333AA09-E87B-4998-B820-813F5C79A208}" name="Column6639"/>
    <tableColumn id="6640" xr3:uid="{2A4F8F88-25AC-4B97-8231-E7A49C272C81}" name="Column6640"/>
    <tableColumn id="6641" xr3:uid="{8CC196B4-EF95-463C-BC78-2AB99FAECDFB}" name="Column6641"/>
    <tableColumn id="6642" xr3:uid="{37B352DD-390E-4FFE-BE7D-B94AA8D13221}" name="Column6642"/>
    <tableColumn id="6643" xr3:uid="{3E861EF1-A46D-44FA-A822-77F03EAF1B44}" name="Column6643"/>
    <tableColumn id="6644" xr3:uid="{275AB5D2-94BC-4D04-B0F6-A57897A8EB6A}" name="Column6644"/>
    <tableColumn id="6645" xr3:uid="{3377A7EE-6A7C-4812-B89B-CAFB0FEE883F}" name="Column6645"/>
    <tableColumn id="6646" xr3:uid="{6FBF8C9C-BDF0-4652-87B0-0034416D4CB0}" name="Column6646"/>
    <tableColumn id="6647" xr3:uid="{F835720A-6927-4236-B311-1918264091BE}" name="Column6647"/>
    <tableColumn id="6648" xr3:uid="{D5E3E244-6D94-4E4A-ADAC-4FC87BF9C907}" name="Column6648"/>
    <tableColumn id="6649" xr3:uid="{AEBD6395-7DBB-4BA6-993E-9682401D192F}" name="Column6649"/>
    <tableColumn id="6650" xr3:uid="{03D95E2F-B2B1-4163-BFF2-3B82E6E83576}" name="Column6650"/>
    <tableColumn id="6651" xr3:uid="{B91CF50A-0602-4C04-A8C0-B97FCB7ACD41}" name="Column6651"/>
    <tableColumn id="6652" xr3:uid="{89FDC15B-B9B7-484D-AD72-CD7DF9DAEF3A}" name="Column6652"/>
    <tableColumn id="6653" xr3:uid="{650078C7-BC0D-4A4A-A8BD-2291058C6289}" name="Column6653"/>
    <tableColumn id="6654" xr3:uid="{34C6EB96-DF62-47C3-9FE2-A8D93F9FE0BF}" name="Column6654"/>
    <tableColumn id="6655" xr3:uid="{16D02BFF-1C62-4B74-9532-089D7AB24E38}" name="Column6655"/>
    <tableColumn id="6656" xr3:uid="{1BA116A9-D63D-4EDC-9602-A9C605B6FDEE}" name="Column6656"/>
    <tableColumn id="6657" xr3:uid="{39CBF3A4-1D51-4290-A1CF-B6C1B5966262}" name="Column6657"/>
    <tableColumn id="6658" xr3:uid="{0692D955-BC21-4527-871E-C280B388E624}" name="Column6658"/>
    <tableColumn id="6659" xr3:uid="{FB54F77B-9525-4800-833E-F32B4A13294F}" name="Column6659"/>
    <tableColumn id="6660" xr3:uid="{C9F82CB7-AC26-455C-A9FF-7DCD6C70C9FE}" name="Column6660"/>
    <tableColumn id="6661" xr3:uid="{1920746B-EF54-483B-97C4-80C658FC04AB}" name="Column6661"/>
    <tableColumn id="6662" xr3:uid="{29561FA6-ED64-4A10-8CE8-CB01C2DE02C7}" name="Column6662"/>
    <tableColumn id="6663" xr3:uid="{016ACD5B-4213-430B-BCA1-CDD587DC6797}" name="Column6663"/>
    <tableColumn id="6664" xr3:uid="{1BB99538-8A78-47BB-80AF-231524B11884}" name="Column6664"/>
    <tableColumn id="6665" xr3:uid="{4E8D7300-AC09-4F3C-8F37-3981BFE22073}" name="Column6665"/>
    <tableColumn id="6666" xr3:uid="{E7EEE715-5015-4475-B8C9-79612FB294A4}" name="Column6666"/>
    <tableColumn id="6667" xr3:uid="{62C76511-3EED-462B-819A-9CAAB746049E}" name="Column6667"/>
    <tableColumn id="6668" xr3:uid="{D9FD3753-BC3F-4824-9579-59C62FF1FB1C}" name="Column6668"/>
    <tableColumn id="6669" xr3:uid="{5344B4BC-B236-4C11-9E15-A39E5A3B3E5A}" name="Column6669"/>
    <tableColumn id="6670" xr3:uid="{2CA8AF23-383A-4180-A679-F3C7C04C1B63}" name="Column6670"/>
    <tableColumn id="6671" xr3:uid="{230765F2-1F6B-46FE-BD4A-55667977D8C7}" name="Column6671"/>
    <tableColumn id="6672" xr3:uid="{6E66036C-7160-468D-B434-4C3D2D53BCCE}" name="Column6672"/>
    <tableColumn id="6673" xr3:uid="{069722AE-69D3-4E5C-99EB-F13B321E422E}" name="Column6673"/>
    <tableColumn id="6674" xr3:uid="{EE68C553-E5F6-41EA-BA4B-FF716153EF43}" name="Column6674"/>
    <tableColumn id="6675" xr3:uid="{4E6CA2ED-5BE8-4683-B4EA-714041D8635E}" name="Column6675"/>
    <tableColumn id="6676" xr3:uid="{4661459D-F4F8-4B9D-BFFA-8707A317D559}" name="Column6676"/>
    <tableColumn id="6677" xr3:uid="{7FB8E372-E312-44D7-9EE5-F6E17A3B301E}" name="Column6677"/>
    <tableColumn id="6678" xr3:uid="{D7C6AB7F-4265-4EDD-9E9F-971908E346C9}" name="Column6678"/>
    <tableColumn id="6679" xr3:uid="{4A74ED98-66A6-4E5F-927B-DBD39C0FE5C0}" name="Column6679"/>
    <tableColumn id="6680" xr3:uid="{E0231918-C913-4B99-93CC-46141DCABD2F}" name="Column6680"/>
    <tableColumn id="6681" xr3:uid="{00935FDC-6A7F-4455-9D66-C1D3B122AC79}" name="Column6681"/>
    <tableColumn id="6682" xr3:uid="{39A68B3A-5774-4ADC-A835-D39646C6C16C}" name="Column6682"/>
    <tableColumn id="6683" xr3:uid="{528D68C0-F081-4C66-B8F9-9A34B5FA1A36}" name="Column6683"/>
    <tableColumn id="6684" xr3:uid="{9B118F57-BBDA-40D8-977B-F1D14A99AB06}" name="Column6684"/>
    <tableColumn id="6685" xr3:uid="{3EA07F19-11E8-4762-BA6A-27E9F3C8216F}" name="Column6685"/>
    <tableColumn id="6686" xr3:uid="{AEFB2340-BC19-4CEA-8F91-05AC5AAE7EB4}" name="Column6686"/>
    <tableColumn id="6687" xr3:uid="{BA4B2442-9383-4633-B38F-2C50E044CB8B}" name="Column6687"/>
    <tableColumn id="6688" xr3:uid="{B7B9A874-0838-4E1C-BA39-B926A67D63B9}" name="Column6688"/>
    <tableColumn id="6689" xr3:uid="{A5F539B5-ECBD-4762-8552-BE7B849DAF54}" name="Column6689"/>
    <tableColumn id="6690" xr3:uid="{CC3E8724-13E4-4449-AB3A-3CF29B39F4BB}" name="Column6690"/>
    <tableColumn id="6691" xr3:uid="{14CD9BC2-B95A-42C1-929B-95F595B2335B}" name="Column6691"/>
    <tableColumn id="6692" xr3:uid="{B2788D27-F3EE-44D6-AFA0-0B56D5F46F9C}" name="Column6692"/>
    <tableColumn id="6693" xr3:uid="{44FB5D0A-4FC4-499A-8614-673B592ACD18}" name="Column6693"/>
    <tableColumn id="6694" xr3:uid="{90161FB0-5B5B-4D12-B8D3-7C0768754F06}" name="Column6694"/>
    <tableColumn id="6695" xr3:uid="{F1820303-2F8F-4ECE-803F-F3B04F57036F}" name="Column6695"/>
    <tableColumn id="6696" xr3:uid="{7E21AC6D-7C44-4C7A-9441-8B8429D18682}" name="Column6696"/>
    <tableColumn id="6697" xr3:uid="{5376E670-BB58-4A8B-AA00-9459C78FB85A}" name="Column6697"/>
    <tableColumn id="6698" xr3:uid="{32A52D9F-3E34-4C46-A1F4-E6DCB8291342}" name="Column6698"/>
    <tableColumn id="6699" xr3:uid="{F9586BB1-F877-4191-8441-89007AAC5348}" name="Column6699"/>
    <tableColumn id="6700" xr3:uid="{CF9F49EC-B5CE-4DE4-A222-D7FC62F0E277}" name="Column6700"/>
    <tableColumn id="6701" xr3:uid="{F2D78440-FBED-4B89-BFE0-7487004C718E}" name="Column6701"/>
    <tableColumn id="6702" xr3:uid="{4A65088A-4226-4FF0-BB11-D41EE9F34BFB}" name="Column6702"/>
    <tableColumn id="6703" xr3:uid="{D3510060-D3AA-4E4C-9C8E-BA6C4BF6AAE7}" name="Column6703"/>
    <tableColumn id="6704" xr3:uid="{13422590-E341-454D-8B09-9A4D936C3287}" name="Column6704"/>
    <tableColumn id="6705" xr3:uid="{8880E08E-27C8-4C68-8E3A-457AE0BAD685}" name="Column6705"/>
    <tableColumn id="6706" xr3:uid="{1622A6E7-B004-4D14-9462-8AB2F6415786}" name="Column6706"/>
    <tableColumn id="6707" xr3:uid="{60EB12CF-EB26-4DBF-AEB6-1241231FC97A}" name="Column6707"/>
    <tableColumn id="6708" xr3:uid="{37E341E1-3E09-40B4-A597-D0772C777A51}" name="Column6708"/>
    <tableColumn id="6709" xr3:uid="{E1EBAADA-63FD-453E-858C-0DD38734E6C6}" name="Column6709"/>
    <tableColumn id="6710" xr3:uid="{9B70C303-2DE1-43B3-BD05-FA5FEF7515F4}" name="Column6710"/>
    <tableColumn id="6711" xr3:uid="{734A183C-F5E7-453C-9F33-AA55A16E58B4}" name="Column6711"/>
    <tableColumn id="6712" xr3:uid="{FE748F87-8850-48C3-940F-8756C99D6FF6}" name="Column6712"/>
    <tableColumn id="6713" xr3:uid="{2A4E4352-57EA-4547-B705-FA378547AC79}" name="Column6713"/>
    <tableColumn id="6714" xr3:uid="{E8271168-4A97-44A4-8937-F1871978D48A}" name="Column6714"/>
    <tableColumn id="6715" xr3:uid="{7254334C-14C7-4D5D-96F1-8D9F04AD7836}" name="Column6715"/>
    <tableColumn id="6716" xr3:uid="{E5AD9A0E-330D-4E4A-A9A5-1A7CCA7205B1}" name="Column6716"/>
    <tableColumn id="6717" xr3:uid="{C235D57E-44BF-4D94-84E8-C8707CA285BD}" name="Column6717"/>
    <tableColumn id="6718" xr3:uid="{B7779522-E050-4DE8-9E41-1FD1DF650E22}" name="Column6718"/>
    <tableColumn id="6719" xr3:uid="{48E83DCB-2BC7-4CB4-8955-12E83DCD3A0C}" name="Column6719"/>
    <tableColumn id="6720" xr3:uid="{ADDD487E-1CC1-4889-8789-83AB24F282E3}" name="Column6720"/>
    <tableColumn id="6721" xr3:uid="{4F90DFA1-F43B-4420-9CDC-BEA3C177DC55}" name="Column6721"/>
    <tableColumn id="6722" xr3:uid="{53F06552-EA4E-471A-B1D2-88CEC3435107}" name="Column6722"/>
    <tableColumn id="6723" xr3:uid="{BF701028-6652-4D9E-A8AF-00E7C1FE90EE}" name="Column6723"/>
    <tableColumn id="6724" xr3:uid="{426DB7BE-040A-401E-9115-2C70FA9A904D}" name="Column6724"/>
    <tableColumn id="6725" xr3:uid="{C1B258A0-D3A6-4B50-95BE-778FEFE211F9}" name="Column6725"/>
    <tableColumn id="6726" xr3:uid="{DA9AEFD3-D29C-4E17-B6A1-D6A5380361FC}" name="Column6726"/>
    <tableColumn id="6727" xr3:uid="{EAAD83AF-EFEB-4AAE-AB45-5CC34823D488}" name="Column6727"/>
    <tableColumn id="6728" xr3:uid="{77F8C84F-73B3-44F8-85F7-9677455FFF0F}" name="Column6728"/>
    <tableColumn id="6729" xr3:uid="{E34B9E7C-A147-451A-A8FB-087ADA236D9E}" name="Column6729"/>
    <tableColumn id="6730" xr3:uid="{C61AAF82-A904-45E9-B04F-70600E7DEB98}" name="Column6730"/>
    <tableColumn id="6731" xr3:uid="{F1EB6F2D-7527-494B-9FEE-11E7BD6B9F26}" name="Column6731"/>
    <tableColumn id="6732" xr3:uid="{583FF125-288C-4DFE-9E7D-54A9D01D2CBB}" name="Column6732"/>
    <tableColumn id="6733" xr3:uid="{E1BEF5C5-504E-47F5-8E46-267AD2B1F315}" name="Column6733"/>
    <tableColumn id="6734" xr3:uid="{1F15C22D-47FF-45EC-871D-6001BE8FBE1C}" name="Column6734"/>
    <tableColumn id="6735" xr3:uid="{CDF188F9-7C84-4D19-B117-5D01CFD29C7A}" name="Column6735"/>
    <tableColumn id="6736" xr3:uid="{40946801-C914-4A1C-9675-9032A6DD52D8}" name="Column6736"/>
    <tableColumn id="6737" xr3:uid="{ADB0686B-A140-4675-BFF2-17F32D4E3E8B}" name="Column6737"/>
    <tableColumn id="6738" xr3:uid="{6F5979C1-F00D-4074-8BFD-805A8BA8E4B2}" name="Column6738"/>
    <tableColumn id="6739" xr3:uid="{59B55D19-2AEA-46E3-91CF-FC9863E7B7F8}" name="Column6739"/>
    <tableColumn id="6740" xr3:uid="{F69604CB-EE20-41F1-9923-8CD61B376FDA}" name="Column6740"/>
    <tableColumn id="6741" xr3:uid="{9BA3E761-75EE-47D9-B190-09F1C203BE86}" name="Column6741"/>
    <tableColumn id="6742" xr3:uid="{36C32BF0-5A48-4AC9-B872-8928A5F17CB1}" name="Column6742"/>
    <tableColumn id="6743" xr3:uid="{3F6C40C2-F050-4DA4-8B03-C8C32398844B}" name="Column6743"/>
    <tableColumn id="6744" xr3:uid="{FE96075D-A4EB-4578-9074-0CEEFFD6C6C4}" name="Column6744"/>
    <tableColumn id="6745" xr3:uid="{D13EB042-0ED8-499E-A758-8CE493133CAD}" name="Column6745"/>
    <tableColumn id="6746" xr3:uid="{74D9A865-0EF5-474C-933F-4717324A07BD}" name="Column6746"/>
    <tableColumn id="6747" xr3:uid="{9197CE9E-70A8-45DB-B1F6-40D7F8123FE7}" name="Column6747"/>
    <tableColumn id="6748" xr3:uid="{9921979F-36C6-46B5-B4B7-C2573369A1B1}" name="Column6748"/>
    <tableColumn id="6749" xr3:uid="{0E412D03-CA9E-4706-AC3A-14A6FBBF009A}" name="Column6749"/>
    <tableColumn id="6750" xr3:uid="{3EF94EB6-7E7D-4736-A316-8493DDC770C2}" name="Column6750"/>
    <tableColumn id="6751" xr3:uid="{9730D385-3D19-48DA-90FA-9DB8CBC76CCD}" name="Column6751"/>
    <tableColumn id="6752" xr3:uid="{21A0CD3B-3F25-4A1F-9753-9CB043F00C19}" name="Column6752"/>
    <tableColumn id="6753" xr3:uid="{AD7C48F6-4AEA-4E32-A41C-D8CB4DD75CCC}" name="Column6753"/>
    <tableColumn id="6754" xr3:uid="{B416E43D-F42F-45F9-90EA-D093B8EEA7AB}" name="Column6754"/>
    <tableColumn id="6755" xr3:uid="{1D76F060-321E-4069-B04C-EDCC8FD74CBC}" name="Column6755"/>
    <tableColumn id="6756" xr3:uid="{9CE307D1-E40B-47D0-BD58-96F93CCD6929}" name="Column6756"/>
    <tableColumn id="6757" xr3:uid="{15C7E653-D5F6-4D33-B79E-94731D28A9CF}" name="Column6757"/>
    <tableColumn id="6758" xr3:uid="{5FF6342E-65B1-4138-A84D-46C61A5F2956}" name="Column6758"/>
    <tableColumn id="6759" xr3:uid="{BA545173-3E8D-428C-9D15-2B59CC0ED017}" name="Column6759"/>
    <tableColumn id="6760" xr3:uid="{BCB3D558-9767-401A-86F0-6BDBDA77E470}" name="Column6760"/>
    <tableColumn id="6761" xr3:uid="{E4021A04-E59D-42F4-B3CC-9DC9634073CF}" name="Column6761"/>
    <tableColumn id="6762" xr3:uid="{860244DC-78FB-4280-9089-4A908CD7E04A}" name="Column6762"/>
    <tableColumn id="6763" xr3:uid="{78A27759-1514-415F-865A-C6311C366659}" name="Column6763"/>
    <tableColumn id="6764" xr3:uid="{93298EA7-7D27-4B51-B262-B8659DE1A0D6}" name="Column6764"/>
    <tableColumn id="6765" xr3:uid="{5D93ABF9-334B-45B1-A7F7-87F4DD6183A9}" name="Column6765"/>
    <tableColumn id="6766" xr3:uid="{A1CBB295-0954-45ED-B192-EEE68DDE926A}" name="Column6766"/>
    <tableColumn id="6767" xr3:uid="{DB96A2A1-55CD-4E19-8275-4B9A1D4118F1}" name="Column6767"/>
    <tableColumn id="6768" xr3:uid="{AAE8283D-A381-40BA-9D52-F5D916AE469C}" name="Column6768"/>
    <tableColumn id="6769" xr3:uid="{A36D2B42-F397-4C17-9A25-BDB552B5E187}" name="Column6769"/>
    <tableColumn id="6770" xr3:uid="{53228D56-52CF-4739-9209-0DA415809127}" name="Column6770"/>
    <tableColumn id="6771" xr3:uid="{FD1469E5-1245-4979-884F-7BE29C200FC0}" name="Column6771"/>
    <tableColumn id="6772" xr3:uid="{189E25B0-CFAA-4BAD-9022-47A3541E2B71}" name="Column6772"/>
    <tableColumn id="6773" xr3:uid="{5E1BF266-B01A-44D3-BEE2-89C9BF110048}" name="Column6773"/>
    <tableColumn id="6774" xr3:uid="{76852B4D-D8C9-417F-A515-A5416E4FE905}" name="Column6774"/>
    <tableColumn id="6775" xr3:uid="{C0F07548-D107-4DCF-BE69-0FB87E902131}" name="Column6775"/>
    <tableColumn id="6776" xr3:uid="{4F9BE6EB-3002-4A27-9CCE-5D5DB229110B}" name="Column6776"/>
    <tableColumn id="6777" xr3:uid="{44735D33-852A-41CF-AC6F-443E51E5D4A3}" name="Column6777"/>
    <tableColumn id="6778" xr3:uid="{3317023D-4F25-4F89-B201-57ACFB9C99BA}" name="Column6778"/>
    <tableColumn id="6779" xr3:uid="{3B552388-3F68-45DE-9472-1D98052C6768}" name="Column6779"/>
    <tableColumn id="6780" xr3:uid="{2C2E42F2-ED50-4370-8F44-0F63AC551090}" name="Column6780"/>
    <tableColumn id="6781" xr3:uid="{677D2069-87B1-4532-A328-B06EF68B09CF}" name="Column6781"/>
    <tableColumn id="6782" xr3:uid="{A145AB4F-0BF6-4763-B053-4B04E2EA1049}" name="Column6782"/>
    <tableColumn id="6783" xr3:uid="{1BC3D01D-CEF0-400D-86E9-80D37A04F933}" name="Column6783"/>
    <tableColumn id="6784" xr3:uid="{FA8D9604-D54D-44A7-B11A-2F2E27334EB8}" name="Column6784"/>
    <tableColumn id="6785" xr3:uid="{32E72A11-3627-4DC0-B512-D50B7E7D13D5}" name="Column6785"/>
    <tableColumn id="6786" xr3:uid="{C4473E76-86F5-49B7-9E32-13566EC637B4}" name="Column6786"/>
    <tableColumn id="6787" xr3:uid="{C9EBA67E-5365-41E6-936F-CCC0B1A54D25}" name="Column6787"/>
    <tableColumn id="6788" xr3:uid="{285141F5-E08F-4877-A41C-A82DE7064BF4}" name="Column6788"/>
    <tableColumn id="6789" xr3:uid="{B96532FF-84E1-4CF3-8999-ED79EBF1FB31}" name="Column6789"/>
    <tableColumn id="6790" xr3:uid="{99ADB0B2-88BD-463E-ABDE-8939BF5E8A63}" name="Column6790"/>
    <tableColumn id="6791" xr3:uid="{C9A72BD7-0E12-4D96-A5D8-B83D15DDB7F8}" name="Column6791"/>
    <tableColumn id="6792" xr3:uid="{A568E545-BE08-4258-9B49-3995DE53865D}" name="Column6792"/>
    <tableColumn id="6793" xr3:uid="{3375F149-DB65-44FB-984D-755EBAAAC283}" name="Column6793"/>
    <tableColumn id="6794" xr3:uid="{6BD731D0-7C4D-42D4-8362-082B6ACEC252}" name="Column6794"/>
    <tableColumn id="6795" xr3:uid="{EDB01F46-D282-4128-85AE-B082C10FDD92}" name="Column6795"/>
    <tableColumn id="6796" xr3:uid="{D76FAB87-228C-485F-92AE-811628B1745E}" name="Column6796"/>
    <tableColumn id="6797" xr3:uid="{74C952E9-E09E-4028-B539-99FCFEC7FF40}" name="Column6797"/>
    <tableColumn id="6798" xr3:uid="{E9AF552D-47CD-4EA9-B11F-762D8B0CCA75}" name="Column6798"/>
    <tableColumn id="6799" xr3:uid="{20B8B2B5-D827-4C95-8EF2-136BA7C7864D}" name="Column6799"/>
    <tableColumn id="6800" xr3:uid="{DC85AB4F-6AFF-4BF0-9F18-4647C3345133}" name="Column6800"/>
    <tableColumn id="6801" xr3:uid="{91F60936-D6DA-44EE-8B55-7E41AF6DF2BC}" name="Column6801"/>
    <tableColumn id="6802" xr3:uid="{425EEC44-5A37-48E8-B1E5-F3F0393EB272}" name="Column6802"/>
    <tableColumn id="6803" xr3:uid="{EE8B7799-0430-4F34-A71E-2CC3F302362B}" name="Column6803"/>
    <tableColumn id="6804" xr3:uid="{8C35A4E7-1258-48EA-BA35-9F596EC0C175}" name="Column6804"/>
    <tableColumn id="6805" xr3:uid="{7FD73A58-66E3-4EC6-8E85-6725FE068641}" name="Column6805"/>
    <tableColumn id="6806" xr3:uid="{EFFEF407-C9F2-47A4-AC78-EAD777056BA2}" name="Column6806"/>
    <tableColumn id="6807" xr3:uid="{AD964877-713B-4A92-BC46-02788D12CEF9}" name="Column6807"/>
    <tableColumn id="6808" xr3:uid="{12E5E317-3CD7-46EF-9B76-51DA989CE7C8}" name="Column6808"/>
    <tableColumn id="6809" xr3:uid="{334F92E1-D181-4B6B-A97C-A57D933312DB}" name="Column6809"/>
    <tableColumn id="6810" xr3:uid="{89A761C3-6827-4B1B-98D0-CFDEF3C797A2}" name="Column6810"/>
    <tableColumn id="6811" xr3:uid="{9524C9AB-1227-4C23-84C6-C39652AE6D1B}" name="Column6811"/>
    <tableColumn id="6812" xr3:uid="{E287F2CD-F18A-4B15-9779-E3FA69A96794}" name="Column6812"/>
    <tableColumn id="6813" xr3:uid="{E47B6FE6-BE30-4B59-900C-D34B2CD5D942}" name="Column6813"/>
    <tableColumn id="6814" xr3:uid="{F2BB0225-8A15-4F0B-BE6A-633C84483FB0}" name="Column6814"/>
    <tableColumn id="6815" xr3:uid="{8BCD4C0F-5B5C-4A90-A4C0-2225BFEFC367}" name="Column6815"/>
    <tableColumn id="6816" xr3:uid="{78F0A9EA-BCFE-4058-BED1-2FCCC21FD04C}" name="Column6816"/>
    <tableColumn id="6817" xr3:uid="{3CF5D357-E42A-4D95-A7BE-1D5B2DD6ED1B}" name="Column6817"/>
    <tableColumn id="6818" xr3:uid="{BF518E78-D5A0-4C3D-983C-7DE888686474}" name="Column6818"/>
    <tableColumn id="6819" xr3:uid="{84CB7796-0779-4838-8C74-57F62A756FAD}" name="Column6819"/>
    <tableColumn id="6820" xr3:uid="{6275BFB3-DEBD-462E-8087-E1D7E4F5FF26}" name="Column6820"/>
    <tableColumn id="6821" xr3:uid="{95FFCBF8-9E33-4638-BB6A-7A54E812CD9A}" name="Column6821"/>
    <tableColumn id="6822" xr3:uid="{FA5D5F7B-6979-4927-A63C-F4CAE076CBDA}" name="Column6822"/>
    <tableColumn id="6823" xr3:uid="{9552D981-26C4-4962-A6C0-926F36BC274A}" name="Column6823"/>
    <tableColumn id="6824" xr3:uid="{55E4608D-6D02-4FEA-A1E6-D7F04BA89BD9}" name="Column6824"/>
    <tableColumn id="6825" xr3:uid="{BB699164-4075-4EE4-8841-40899EC6BE8D}" name="Column6825"/>
    <tableColumn id="6826" xr3:uid="{93A6B234-0CCA-4F7C-936F-4906B533723F}" name="Column6826"/>
    <tableColumn id="6827" xr3:uid="{DA759F36-C52F-49FE-A9D1-01592ACEFD94}" name="Column6827"/>
    <tableColumn id="6828" xr3:uid="{4E98C5C0-49E3-4C9F-97B1-001835461B61}" name="Column6828"/>
    <tableColumn id="6829" xr3:uid="{1257B4F3-11CF-44A9-A3B1-4EB93477B83A}" name="Column6829"/>
    <tableColumn id="6830" xr3:uid="{E3D91778-8326-4FEE-82E9-E9BE117A4ED9}" name="Column6830"/>
    <tableColumn id="6831" xr3:uid="{9CA16B63-BB0D-4014-82F0-0609E5F69850}" name="Column6831"/>
    <tableColumn id="6832" xr3:uid="{190865CC-5F11-4440-8C13-9A60E46DCC23}" name="Column6832"/>
    <tableColumn id="6833" xr3:uid="{B50C5958-69A9-4398-8BBE-C57E319099CA}" name="Column6833"/>
    <tableColumn id="6834" xr3:uid="{975650D0-9FA3-4D9D-994E-E7FFB8544895}" name="Column6834"/>
    <tableColumn id="6835" xr3:uid="{CFE89966-2BCC-47BD-AD96-D01C147E657E}" name="Column6835"/>
    <tableColumn id="6836" xr3:uid="{6B31AE71-4526-43CF-BDFB-23A2A9DEFBE6}" name="Column6836"/>
    <tableColumn id="6837" xr3:uid="{BA260BE3-5423-415B-B7F2-300CBA1025BC}" name="Column6837"/>
    <tableColumn id="6838" xr3:uid="{751D3821-F979-4895-8B43-A883842037D6}" name="Column6838"/>
    <tableColumn id="6839" xr3:uid="{30E97617-1648-49E5-B686-32A31D89B938}" name="Column6839"/>
    <tableColumn id="6840" xr3:uid="{87006344-1D98-428A-AF51-A2871269DE0A}" name="Column6840"/>
    <tableColumn id="6841" xr3:uid="{E66AF81E-EC5D-4758-A549-94FF23E34975}" name="Column6841"/>
    <tableColumn id="6842" xr3:uid="{E2CBF8D2-EAFE-4FD3-B643-B92BD6EB67E9}" name="Column6842"/>
    <tableColumn id="6843" xr3:uid="{3EFF3CAD-7074-4E65-907E-E30ACBD762A0}" name="Column6843"/>
    <tableColumn id="6844" xr3:uid="{A59BAE60-C1ED-4DEE-A640-696BC7B6BAAF}" name="Column6844"/>
    <tableColumn id="6845" xr3:uid="{E6407255-93A1-412C-A26A-E3B5722D5931}" name="Column6845"/>
    <tableColumn id="6846" xr3:uid="{03959753-9E5C-4A28-86BD-E5684B1D68FC}" name="Column6846"/>
    <tableColumn id="6847" xr3:uid="{88232C22-84FA-49AF-8E5C-7F59FC10D091}" name="Column6847"/>
    <tableColumn id="6848" xr3:uid="{B5C6A3AB-331D-41E1-952A-2CFF8509EA65}" name="Column6848"/>
    <tableColumn id="6849" xr3:uid="{31058735-C1EC-457B-9FD9-9BA675578FEF}" name="Column6849"/>
    <tableColumn id="6850" xr3:uid="{D540A63E-74B9-4AC2-AC4F-58D375D512CD}" name="Column6850"/>
    <tableColumn id="6851" xr3:uid="{3390A263-0C9B-43B5-8847-D6D42F48C75C}" name="Column6851"/>
    <tableColumn id="6852" xr3:uid="{A5FFB8CB-1AB8-47F1-8049-6A54A4E12055}" name="Column6852"/>
    <tableColumn id="6853" xr3:uid="{F6D5FAEB-BF63-4525-92D6-6D5B0DEC91CD}" name="Column6853"/>
    <tableColumn id="6854" xr3:uid="{940D11B6-305E-4BB7-86B2-33AB2C158029}" name="Column6854"/>
    <tableColumn id="6855" xr3:uid="{548A4BFA-BDF4-4DAB-82B9-5BAE74E23FCB}" name="Column6855"/>
    <tableColumn id="6856" xr3:uid="{6DA50550-9938-4118-B904-355A07F60540}" name="Column6856"/>
    <tableColumn id="6857" xr3:uid="{2318E12B-F228-43C5-BBD1-FA5544AAAF3A}" name="Column6857"/>
    <tableColumn id="6858" xr3:uid="{60E0E0A7-AB79-4251-B397-F0CC68D3601C}" name="Column6858"/>
    <tableColumn id="6859" xr3:uid="{34677401-35BD-4580-A02A-EEC98593D311}" name="Column6859"/>
    <tableColumn id="6860" xr3:uid="{158AA825-3BB5-443B-BAB4-8636BBF9BE88}" name="Column6860"/>
    <tableColumn id="6861" xr3:uid="{724C2450-D7CA-4A0A-B9B6-E810BCAA9A31}" name="Column6861"/>
    <tableColumn id="6862" xr3:uid="{21B81C72-9C55-4448-AF9C-0750E2D64842}" name="Column6862"/>
    <tableColumn id="6863" xr3:uid="{879FFF03-B0C1-4B12-8DD6-3C2B2160C076}" name="Column6863"/>
    <tableColumn id="6864" xr3:uid="{0EA41BA1-EDA0-4C7A-BB16-76A0F14981E3}" name="Column6864"/>
    <tableColumn id="6865" xr3:uid="{A0A63365-6F43-4449-8481-A37435032640}" name="Column6865"/>
    <tableColumn id="6866" xr3:uid="{4CC448B7-55FC-4676-B809-97C10A699A32}" name="Column6866"/>
    <tableColumn id="6867" xr3:uid="{6FCDFE47-7C21-46C1-AD8A-C352C51A568F}" name="Column6867"/>
    <tableColumn id="6868" xr3:uid="{67B39526-3ED9-4AEA-9E4D-A84B3F560D61}" name="Column6868"/>
    <tableColumn id="6869" xr3:uid="{F397F620-8784-4789-8EB7-F63E5B8A01CF}" name="Column6869"/>
    <tableColumn id="6870" xr3:uid="{F7EE10CA-19C2-48D8-A5D2-E1CC3AB58134}" name="Column6870"/>
    <tableColumn id="6871" xr3:uid="{CDAC3BED-08AC-449B-A6E3-6BC1AC46FA8B}" name="Column6871"/>
    <tableColumn id="6872" xr3:uid="{A1954E4E-B6E8-49D9-9662-ACBCB67C9248}" name="Column6872"/>
    <tableColumn id="6873" xr3:uid="{82E6AF6B-8940-4632-9088-9A3FA35C48A0}" name="Column6873"/>
    <tableColumn id="6874" xr3:uid="{21D0148E-C718-45B8-A012-255F94076DE1}" name="Column6874"/>
    <tableColumn id="6875" xr3:uid="{12BCD6FA-C9BF-4428-B859-82564819FA78}" name="Column6875"/>
    <tableColumn id="6876" xr3:uid="{3124E496-522B-4E7A-AEFA-2F5498C68A82}" name="Column6876"/>
    <tableColumn id="6877" xr3:uid="{143B9023-2CE1-4343-9176-0807DF128F39}" name="Column6877"/>
    <tableColumn id="6878" xr3:uid="{BC851420-C56E-4B7A-A295-5C8B272E3A4D}" name="Column6878"/>
    <tableColumn id="6879" xr3:uid="{8CEBE8ED-9759-4A84-9AC2-C23AD360C05C}" name="Column6879"/>
    <tableColumn id="6880" xr3:uid="{A720D6CB-1F92-4927-B100-6A021259873E}" name="Column6880"/>
    <tableColumn id="6881" xr3:uid="{8A5B69E2-FD15-4233-913C-765E6526226C}" name="Column6881"/>
    <tableColumn id="6882" xr3:uid="{2AC350C0-A165-4A0D-9D9B-54E798043139}" name="Column6882"/>
    <tableColumn id="6883" xr3:uid="{42616079-5934-4149-AEF7-6BF111645237}" name="Column6883"/>
    <tableColumn id="6884" xr3:uid="{6202D926-B00B-4010-B2D1-BAE9503E7D7F}" name="Column6884"/>
    <tableColumn id="6885" xr3:uid="{4C7CDBCE-2490-4623-9441-95C8319D95A3}" name="Column6885"/>
    <tableColumn id="6886" xr3:uid="{07B93FC5-B229-4D43-BD47-7D995382270E}" name="Column6886"/>
    <tableColumn id="6887" xr3:uid="{1FFF5A59-DDD3-44F9-92F2-77DE3521A69F}" name="Column6887"/>
    <tableColumn id="6888" xr3:uid="{D0B3BAC7-A670-4C94-AE52-0EE160B91073}" name="Column6888"/>
    <tableColumn id="6889" xr3:uid="{064BD879-5A86-4E4F-9540-C7C9FFA78E76}" name="Column6889"/>
    <tableColumn id="6890" xr3:uid="{6B648689-2010-431E-B8EA-BB6E53397C6D}" name="Column6890"/>
    <tableColumn id="6891" xr3:uid="{86838E49-398A-45D5-BDB4-3304A0772FA7}" name="Column6891"/>
    <tableColumn id="6892" xr3:uid="{378ABF56-9385-4F09-893E-149B7425F248}" name="Column6892"/>
    <tableColumn id="6893" xr3:uid="{6A2266AA-57BB-43A0-B418-7F11A19B5C77}" name="Column6893"/>
    <tableColumn id="6894" xr3:uid="{E0115326-B531-4DDD-9727-67574A19061F}" name="Column6894"/>
    <tableColumn id="6895" xr3:uid="{AFE872E5-FC4B-4957-B2A6-0AFCF907A77D}" name="Column6895"/>
    <tableColumn id="6896" xr3:uid="{88413816-C88C-4DDC-87BC-A13837CF2A64}" name="Column6896"/>
    <tableColumn id="6897" xr3:uid="{748B29E6-12E6-4793-B083-4009862385AE}" name="Column6897"/>
    <tableColumn id="6898" xr3:uid="{75AEB310-7049-4D4F-8EE3-315E857ADD36}" name="Column6898"/>
    <tableColumn id="6899" xr3:uid="{7D9AF5E1-078F-4834-BF8A-C3C4C3A2863C}" name="Column6899"/>
    <tableColumn id="6900" xr3:uid="{33A03B70-853F-4F13-86AA-61CFBB33EA6B}" name="Column6900"/>
    <tableColumn id="6901" xr3:uid="{23BC2CE6-2500-4469-AEF9-2F24D94CE905}" name="Column6901"/>
    <tableColumn id="6902" xr3:uid="{1ED6D7DD-474C-42C2-93B5-20B6F1EF1157}" name="Column6902"/>
    <tableColumn id="6903" xr3:uid="{7AFF1B31-E191-4E0B-83F4-266AFC10E23C}" name="Column6903"/>
    <tableColumn id="6904" xr3:uid="{E7B5B183-A649-462D-831F-7F8F057B1F66}" name="Column6904"/>
    <tableColumn id="6905" xr3:uid="{A74E0B2F-2866-460A-A39B-5062E2E45162}" name="Column6905"/>
    <tableColumn id="6906" xr3:uid="{B7AC03C7-B449-4166-87E9-8F80AF91BC36}" name="Column6906"/>
    <tableColumn id="6907" xr3:uid="{E6266B13-8F15-45B5-A443-3D840C6D4C5A}" name="Column6907"/>
    <tableColumn id="6908" xr3:uid="{FD013643-E6C8-4C60-91FC-6B4C3CB95EA9}" name="Column6908"/>
    <tableColumn id="6909" xr3:uid="{D11A2DB9-5951-472B-9D7A-37F954E96FA8}" name="Column6909"/>
    <tableColumn id="6910" xr3:uid="{8DAF875B-38ED-4A12-9572-F7F4BC032FE2}" name="Column6910"/>
    <tableColumn id="6911" xr3:uid="{E2133019-C0C0-4379-9931-CDCB26F3D8E8}" name="Column6911"/>
    <tableColumn id="6912" xr3:uid="{2C1D0422-532C-4AC3-9ADF-E20DD01B5DC2}" name="Column6912"/>
    <tableColumn id="6913" xr3:uid="{0F2E50F3-B517-4F6A-895E-C17F5BB8358F}" name="Column6913"/>
    <tableColumn id="6914" xr3:uid="{AF5558E8-FF2B-4DDE-89EA-F5EA3DC92C55}" name="Column6914"/>
    <tableColumn id="6915" xr3:uid="{8B365B11-3956-4FC4-83F5-029CFD32E664}" name="Column6915"/>
    <tableColumn id="6916" xr3:uid="{36714D58-7D84-4DED-AFD3-3D7FE242A8EA}" name="Column6916"/>
    <tableColumn id="6917" xr3:uid="{8B40C851-29F3-4A49-8BFB-5265B7A018B4}" name="Column6917"/>
    <tableColumn id="6918" xr3:uid="{0B535081-F712-4CFD-8B25-BE72B135B01F}" name="Column6918"/>
    <tableColumn id="6919" xr3:uid="{41BDE84B-43BA-41D1-9E92-A5E229968801}" name="Column6919"/>
    <tableColumn id="6920" xr3:uid="{880DB966-323C-4264-B016-FA478A3748B9}" name="Column6920"/>
    <tableColumn id="6921" xr3:uid="{0269271A-F701-4A42-8C5D-31A8E042F789}" name="Column6921"/>
    <tableColumn id="6922" xr3:uid="{6EC71C21-FF84-4932-82FC-922A0CCDB756}" name="Column6922"/>
    <tableColumn id="6923" xr3:uid="{9AE82B91-1DF9-4522-8DF4-C544BF6F030D}" name="Column6923"/>
    <tableColumn id="6924" xr3:uid="{A3975155-5FAC-42D8-A840-7AF64872AB54}" name="Column6924"/>
    <tableColumn id="6925" xr3:uid="{5331EDAC-286A-4530-B217-775D9790C296}" name="Column6925"/>
    <tableColumn id="6926" xr3:uid="{6CA27E59-43F2-4A94-9C7A-C4778C45A837}" name="Column6926"/>
    <tableColumn id="6927" xr3:uid="{3678CF63-DAE1-43F6-8EB4-43CB5E3944E3}" name="Column6927"/>
    <tableColumn id="6928" xr3:uid="{A81CE287-E1B8-46D4-8937-0BD18A5E1FD4}" name="Column6928"/>
    <tableColumn id="6929" xr3:uid="{E5E7EABC-BA30-45D0-A7BD-4A93763D7840}" name="Column6929"/>
    <tableColumn id="6930" xr3:uid="{0B03E0AC-C7F7-4C93-84C8-599C802DBA5A}" name="Column6930"/>
    <tableColumn id="6931" xr3:uid="{101FDB15-88DC-4187-AE06-DA96FFCBEEAA}" name="Column6931"/>
    <tableColumn id="6932" xr3:uid="{D0283772-F9C1-4475-A75D-C8922A6CB9F7}" name="Column6932"/>
    <tableColumn id="6933" xr3:uid="{B333BE48-D559-40A5-9F8E-A33CD602FAA1}" name="Column6933"/>
    <tableColumn id="6934" xr3:uid="{F2997A2E-B45F-4896-8CFA-4F8760748430}" name="Column6934"/>
    <tableColumn id="6935" xr3:uid="{60FC6772-8A7F-452B-AD91-BDDDBE58451F}" name="Column6935"/>
    <tableColumn id="6936" xr3:uid="{91CB18B4-A073-440D-9ED8-79D008630DF0}" name="Column6936"/>
    <tableColumn id="6937" xr3:uid="{C16978F3-F0FB-415D-8020-497C84541AC3}" name="Column6937"/>
    <tableColumn id="6938" xr3:uid="{5933FC1C-2CB8-4263-AA3C-A0BC39294067}" name="Column6938"/>
    <tableColumn id="6939" xr3:uid="{F9B5AB4B-6197-47B7-9EBF-C77EF26FCCAF}" name="Column6939"/>
    <tableColumn id="6940" xr3:uid="{560ECF26-B659-470F-8206-A08703BF1826}" name="Column6940"/>
    <tableColumn id="6941" xr3:uid="{8C1ADDF7-9D82-4457-90C8-0F0F3BE0C7FA}" name="Column6941"/>
    <tableColumn id="6942" xr3:uid="{BEFDAE79-8AC7-4D75-A5D9-FDA78DBA153A}" name="Column6942"/>
    <tableColumn id="6943" xr3:uid="{28669690-4DA5-47E9-9855-A323F9A1D3B0}" name="Column6943"/>
    <tableColumn id="6944" xr3:uid="{F9890C01-1DAB-4B27-BC85-96E98CEF4871}" name="Column6944"/>
    <tableColumn id="6945" xr3:uid="{8FD8D595-5249-470D-92D2-EBFCBA7D129A}" name="Column6945"/>
    <tableColumn id="6946" xr3:uid="{2CF275CF-639D-4181-8BD3-21CFE8FEEC05}" name="Column6946"/>
    <tableColumn id="6947" xr3:uid="{0C428F12-93E5-4D1F-BE12-54496A84BB27}" name="Column6947"/>
    <tableColumn id="6948" xr3:uid="{65CACB30-0615-41E5-A9E1-EC76D2EE359E}" name="Column6948"/>
    <tableColumn id="6949" xr3:uid="{DC879827-B011-42EE-ABA5-89A83343A093}" name="Column6949"/>
    <tableColumn id="6950" xr3:uid="{DB5CFA0B-257C-44B5-8059-79194E1E3E96}" name="Column6950"/>
    <tableColumn id="6951" xr3:uid="{9FEE0CB2-123D-4AF6-82A7-1AF83B02CF63}" name="Column6951"/>
    <tableColumn id="6952" xr3:uid="{90FB5FAC-87E6-4A3E-8139-7F89DCCC777C}" name="Column6952"/>
    <tableColumn id="6953" xr3:uid="{16962DB0-EB83-4D80-8F09-575045E25779}" name="Column6953"/>
    <tableColumn id="6954" xr3:uid="{62A36F7E-F672-49A6-89D8-A7A2F370155A}" name="Column6954"/>
    <tableColumn id="6955" xr3:uid="{415B2DBD-AFF0-42F3-ACFB-F9041B0827B7}" name="Column6955"/>
    <tableColumn id="6956" xr3:uid="{4CA9AF02-28A5-4A1F-B0BF-354A685B302A}" name="Column6956"/>
    <tableColumn id="6957" xr3:uid="{D05992A6-7243-4F2A-8E30-B55D7F0966A0}" name="Column6957"/>
    <tableColumn id="6958" xr3:uid="{3C30277F-A632-44F1-BBEE-837B33C77183}" name="Column6958"/>
    <tableColumn id="6959" xr3:uid="{1DF1B5DB-4428-40DB-B3A9-7F29010F4716}" name="Column6959"/>
    <tableColumn id="6960" xr3:uid="{801A5B7E-E2B8-48D6-A2E6-E887A0FD3A31}" name="Column6960"/>
    <tableColumn id="6961" xr3:uid="{7245D670-6CD6-4629-9136-1F716EDE1097}" name="Column6961"/>
    <tableColumn id="6962" xr3:uid="{B9017E6E-4F54-4B18-BE4A-BA40FDC1D2FA}" name="Column6962"/>
    <tableColumn id="6963" xr3:uid="{79091830-57DB-4F68-933D-E3D83A5872B9}" name="Column6963"/>
    <tableColumn id="6964" xr3:uid="{593A30A5-A715-4E45-8F0C-4BF8DBFF2197}" name="Column6964"/>
    <tableColumn id="6965" xr3:uid="{8803A05F-4057-4499-B30C-C7D372AE1464}" name="Column6965"/>
    <tableColumn id="6966" xr3:uid="{3F86BC4E-1AD2-4E5E-A14C-F2C51E94CFC0}" name="Column6966"/>
    <tableColumn id="6967" xr3:uid="{50428794-1D09-4DFB-A662-E0A5F57E8AB3}" name="Column6967"/>
    <tableColumn id="6968" xr3:uid="{5947FB61-FED3-43DB-9C87-5169F488EA2C}" name="Column6968"/>
    <tableColumn id="6969" xr3:uid="{5CC42609-1221-4425-87D9-FEDC050C3110}" name="Column6969"/>
    <tableColumn id="6970" xr3:uid="{895F2802-587C-4B57-BA16-E8BAD404D32C}" name="Column6970"/>
    <tableColumn id="6971" xr3:uid="{4D6A694B-DC29-4766-8723-EFC1A2728CE4}" name="Column6971"/>
    <tableColumn id="6972" xr3:uid="{00F6BE9B-C9CF-4E85-AAC8-0FEB286F4325}" name="Column6972"/>
    <tableColumn id="6973" xr3:uid="{3E877EE0-B9AA-4892-934D-5D82AD986065}" name="Column6973"/>
    <tableColumn id="6974" xr3:uid="{507792B4-A1AC-4164-9D0D-E569458208F4}" name="Column6974"/>
    <tableColumn id="6975" xr3:uid="{84DF05E5-D1D8-428D-9CC8-65683ACC8469}" name="Column6975"/>
    <tableColumn id="6976" xr3:uid="{CA144325-37EC-4E83-A47F-B2E7498A9669}" name="Column6976"/>
    <tableColumn id="6977" xr3:uid="{34FB3817-C7DE-46A2-BB79-8691258C15B7}" name="Column6977"/>
    <tableColumn id="6978" xr3:uid="{B3572FF1-80DD-4793-9F75-CFAB987C9043}" name="Column6978"/>
    <tableColumn id="6979" xr3:uid="{F09B4F45-E343-4207-BE2F-979A71811831}" name="Column6979"/>
    <tableColumn id="6980" xr3:uid="{F69F3F09-57A7-4B70-A84C-EF59140442DD}" name="Column6980"/>
    <tableColumn id="6981" xr3:uid="{6FF9937E-59CE-4321-A154-3413BECBDF2C}" name="Column6981"/>
    <tableColumn id="6982" xr3:uid="{4C03CA19-E94F-45DD-83C1-2D7752A0CB73}" name="Column6982"/>
    <tableColumn id="6983" xr3:uid="{F729BBEF-05F9-40A3-9D00-979278598C13}" name="Column6983"/>
    <tableColumn id="6984" xr3:uid="{16089E5D-2240-4B4B-9EBF-D17D9FF3CCB3}" name="Column6984"/>
    <tableColumn id="6985" xr3:uid="{06FB7393-1699-4687-8334-EF1F50D78BE7}" name="Column6985"/>
    <tableColumn id="6986" xr3:uid="{0E6AC4B5-C650-41E6-9391-F7A319A98610}" name="Column6986"/>
    <tableColumn id="6987" xr3:uid="{85E3496D-C6B6-42EB-8F27-088E71789BA1}" name="Column6987"/>
    <tableColumn id="6988" xr3:uid="{D0075D6B-BDC9-458F-BD13-67E7AB042DDA}" name="Column6988"/>
    <tableColumn id="6989" xr3:uid="{43BA364D-C50E-4FC5-86D0-08F0E0ECA463}" name="Column6989"/>
    <tableColumn id="6990" xr3:uid="{72E14F0E-E14E-4105-8D12-18D123E47721}" name="Column6990"/>
    <tableColumn id="6991" xr3:uid="{434D2E1B-D7E7-4E5F-9689-214BE9893D12}" name="Column6991"/>
    <tableColumn id="6992" xr3:uid="{0C2E3E1B-103E-4A30-876F-851E3FECF0DD}" name="Column6992"/>
    <tableColumn id="6993" xr3:uid="{D0E189BE-C326-47D6-83C7-B28B295C2903}" name="Column6993"/>
    <tableColumn id="6994" xr3:uid="{200AA739-8F9D-4D8B-AEB5-C3C83FE23073}" name="Column6994"/>
    <tableColumn id="6995" xr3:uid="{BFE47696-D67A-452D-99ED-D9CDD8C8BEF7}" name="Column6995"/>
    <tableColumn id="6996" xr3:uid="{252345F4-6AFB-498F-9670-F281CD293630}" name="Column6996"/>
    <tableColumn id="6997" xr3:uid="{CD0E114E-5128-4FDB-8C87-6E8B314D0C15}" name="Column6997"/>
    <tableColumn id="6998" xr3:uid="{CAF37ED5-7EB3-433C-9CAB-D00FB67D40F5}" name="Column6998"/>
    <tableColumn id="6999" xr3:uid="{878A5285-D523-42FA-A534-53DF80EC8FC8}" name="Column6999"/>
    <tableColumn id="7000" xr3:uid="{69646D4E-0EBD-4522-8FB3-5B9B8B3D2704}" name="Column7000"/>
    <tableColumn id="7001" xr3:uid="{B704D410-6D2A-419F-9339-748117CEE026}" name="Column7001"/>
    <tableColumn id="7002" xr3:uid="{9F70A24B-ED99-484F-9BDB-F453F6A8E74D}" name="Column7002"/>
    <tableColumn id="7003" xr3:uid="{E7006512-2936-40E8-8253-9E3C25ED3F68}" name="Column7003"/>
    <tableColumn id="7004" xr3:uid="{D9FB70E9-D09E-4B2A-8905-A99ECC401743}" name="Column7004"/>
    <tableColumn id="7005" xr3:uid="{B19C9491-0621-4D89-9490-BA91D2C95797}" name="Column7005"/>
    <tableColumn id="7006" xr3:uid="{079F8542-39FA-4D1E-9F08-B9517E0D5F8B}" name="Column7006"/>
    <tableColumn id="7007" xr3:uid="{08746ADC-356F-4B82-B261-4E666EC4FCFF}" name="Column7007"/>
    <tableColumn id="7008" xr3:uid="{957A249B-0F42-466A-BCE6-AC825E5E5260}" name="Column7008"/>
    <tableColumn id="7009" xr3:uid="{4C8707CC-7A22-4F23-B1E6-070158AF3340}" name="Column7009"/>
    <tableColumn id="7010" xr3:uid="{12D9065B-1BD5-479C-BB09-93BD7233D313}" name="Column7010"/>
    <tableColumn id="7011" xr3:uid="{32D18AE1-E90F-4209-BD13-947656335889}" name="Column7011"/>
    <tableColumn id="7012" xr3:uid="{00B4D5F3-3B65-4984-A549-7115011F048A}" name="Column7012"/>
    <tableColumn id="7013" xr3:uid="{BEE135F8-1797-43F7-A63F-DACF4E08A1A2}" name="Column7013"/>
    <tableColumn id="7014" xr3:uid="{1510E729-328E-476E-A71D-443EAE027AB4}" name="Column7014"/>
    <tableColumn id="7015" xr3:uid="{B1E697DB-91D0-4FB4-BB56-608552495CCF}" name="Column7015"/>
    <tableColumn id="7016" xr3:uid="{AF6FC316-398B-4CB6-AE0A-A8B86A289546}" name="Column7016"/>
    <tableColumn id="7017" xr3:uid="{4C01FB95-3EFA-4A47-851D-EFF5A6876C52}" name="Column7017"/>
    <tableColumn id="7018" xr3:uid="{F0C07685-8D31-4E38-8FA7-711784754E58}" name="Column7018"/>
    <tableColumn id="7019" xr3:uid="{0112617D-5870-4F8E-B1A0-9E16B0CAF438}" name="Column7019"/>
    <tableColumn id="7020" xr3:uid="{65081C49-F4E4-4312-8387-2E0CDE74D164}" name="Column7020"/>
    <tableColumn id="7021" xr3:uid="{59F1A82B-DA69-4AE8-8DD7-245AC7C81C0A}" name="Column7021"/>
    <tableColumn id="7022" xr3:uid="{7622427D-BA80-4F27-961D-09499D18AC32}" name="Column7022"/>
    <tableColumn id="7023" xr3:uid="{87507216-7200-4142-9F2D-9C79BB5C98E6}" name="Column7023"/>
    <tableColumn id="7024" xr3:uid="{88990566-3B80-4F0E-B2F4-EE51BD517C3D}" name="Column7024"/>
    <tableColumn id="7025" xr3:uid="{ADC99D8F-1171-4F4B-9099-CF3990523D43}" name="Column7025"/>
    <tableColumn id="7026" xr3:uid="{A233E9B7-3470-4AE1-8E90-050AF23D5AB9}" name="Column7026"/>
    <tableColumn id="7027" xr3:uid="{06E0F6E0-6D4C-4297-A8C8-20CD4A48E292}" name="Column7027"/>
    <tableColumn id="7028" xr3:uid="{A7BE0383-CE4B-43F1-BC75-4B33628B534C}" name="Column7028"/>
    <tableColumn id="7029" xr3:uid="{634ED1C3-2A87-4787-9C05-828EAE93DB77}" name="Column7029"/>
    <tableColumn id="7030" xr3:uid="{94B9E032-3F74-4546-9BEE-7B83027B1EE7}" name="Column7030"/>
    <tableColumn id="7031" xr3:uid="{63747CD9-E97C-42F3-B5E4-492602080342}" name="Column7031"/>
    <tableColumn id="7032" xr3:uid="{AF5CE06A-2FB5-4A77-8EA7-B3E71777B2E7}" name="Column7032"/>
    <tableColumn id="7033" xr3:uid="{D16F8E6E-C7DE-4C5E-A53A-331FC428C7D7}" name="Column7033"/>
    <tableColumn id="7034" xr3:uid="{ED48DE76-6FDE-48FF-91AB-F9378B6306F7}" name="Column7034"/>
    <tableColumn id="7035" xr3:uid="{7E79D0A3-0C91-4C1D-80F2-0B391BEE33CE}" name="Column7035"/>
    <tableColumn id="7036" xr3:uid="{6C636FB4-6438-4EC2-A7E1-11B9969FDEB4}" name="Column7036"/>
    <tableColumn id="7037" xr3:uid="{A9E6FAA6-A133-4D6D-B2ED-67B41FAAC713}" name="Column7037"/>
    <tableColumn id="7038" xr3:uid="{6ED09430-AFB2-4863-9A54-751ADEA3E564}" name="Column7038"/>
    <tableColumn id="7039" xr3:uid="{91BAEB4C-8D83-42A9-B336-6667AE552AD7}" name="Column7039"/>
    <tableColumn id="7040" xr3:uid="{255068A9-71A4-441E-8862-2F202B70262A}" name="Column7040"/>
    <tableColumn id="7041" xr3:uid="{BE84B39A-154F-4AA0-935E-C71E358115C7}" name="Column7041"/>
    <tableColumn id="7042" xr3:uid="{5D17A762-7437-41B0-A44A-39F766EEED10}" name="Column7042"/>
    <tableColumn id="7043" xr3:uid="{096C4B49-52A4-4A1B-B9BA-919BB431BC98}" name="Column7043"/>
    <tableColumn id="7044" xr3:uid="{A53C63BB-C951-42D1-A1FB-782FA675B42E}" name="Column7044"/>
    <tableColumn id="7045" xr3:uid="{224B1645-5B91-4667-903E-70AC17ED3539}" name="Column7045"/>
    <tableColumn id="7046" xr3:uid="{D3D8AC64-475A-4F89-BAB6-D6D1257F31C7}" name="Column7046"/>
    <tableColumn id="7047" xr3:uid="{9185EFAF-A3C1-47F0-815D-638FFCD86828}" name="Column7047"/>
    <tableColumn id="7048" xr3:uid="{735221A9-0DDF-42AC-81A4-6215AA930B75}" name="Column7048"/>
    <tableColumn id="7049" xr3:uid="{60B82DF7-DF74-42E1-9CBD-C096E5B268F5}" name="Column7049"/>
    <tableColumn id="7050" xr3:uid="{13122510-9041-44A8-BDE3-28CEE5EB22D4}" name="Column7050"/>
    <tableColumn id="7051" xr3:uid="{388780F3-7C1E-4AE7-ABE3-67F5A2DCE309}" name="Column7051"/>
    <tableColumn id="7052" xr3:uid="{4EA320AD-8251-475B-94DF-FE0D0A78892C}" name="Column7052"/>
    <tableColumn id="7053" xr3:uid="{191CB3FB-0411-41C3-8DEB-4CA5BA866611}" name="Column7053"/>
    <tableColumn id="7054" xr3:uid="{3D9B9618-E5C5-4306-B478-18891A04653E}" name="Column7054"/>
    <tableColumn id="7055" xr3:uid="{F2156E2C-4A93-4AEA-A89B-54533020C54B}" name="Column7055"/>
    <tableColumn id="7056" xr3:uid="{C2DB0F74-D34F-40BB-A54D-6C35157177DE}" name="Column7056"/>
    <tableColumn id="7057" xr3:uid="{BF186086-CC20-4AE9-9CC5-A118E8A411D9}" name="Column7057"/>
    <tableColumn id="7058" xr3:uid="{18B223A0-D406-4810-9945-D12C0D770DB4}" name="Column7058"/>
    <tableColumn id="7059" xr3:uid="{44E4285F-429D-42E2-A34F-0A97B0B7F25B}" name="Column7059"/>
    <tableColumn id="7060" xr3:uid="{8D7B82BA-C543-45ED-B6BA-A02EF5F94DA6}" name="Column7060"/>
    <tableColumn id="7061" xr3:uid="{57C40A6B-7677-4454-A926-702D2739AF4F}" name="Column7061"/>
    <tableColumn id="7062" xr3:uid="{C53905DE-8705-4410-BD90-457519FFAB51}" name="Column7062"/>
    <tableColumn id="7063" xr3:uid="{DF1390F7-655D-4616-815B-17088AE88A97}" name="Column7063"/>
    <tableColumn id="7064" xr3:uid="{842A74D5-811C-49E7-BE5A-FC254C39852A}" name="Column7064"/>
    <tableColumn id="7065" xr3:uid="{10CF364C-0B29-4038-B116-10CB4DD8EE48}" name="Column7065"/>
    <tableColumn id="7066" xr3:uid="{F8440A31-D824-4EA5-843E-623755CC8F67}" name="Column7066"/>
    <tableColumn id="7067" xr3:uid="{AE659481-5B7D-4A40-A093-41F540F04401}" name="Column7067"/>
    <tableColumn id="7068" xr3:uid="{C6D6F5B1-D37A-415F-8B90-11F9609D1A98}" name="Column7068"/>
    <tableColumn id="7069" xr3:uid="{510861AF-44C9-40B0-BA4C-94DA774220CD}" name="Column7069"/>
    <tableColumn id="7070" xr3:uid="{A0271A91-CA1E-4ECE-8206-166CE41BC418}" name="Column7070"/>
    <tableColumn id="7071" xr3:uid="{D002A411-EFAA-47F0-BB19-3081144AD80D}" name="Column7071"/>
    <tableColumn id="7072" xr3:uid="{DD8DF341-0E0B-4865-9007-1B44B31837CC}" name="Column7072"/>
    <tableColumn id="7073" xr3:uid="{B29D0E63-74FE-46A2-A1FD-5E91B32CD0DB}" name="Column7073"/>
    <tableColumn id="7074" xr3:uid="{073509DF-C62B-4590-A0A1-84243929BC49}" name="Column7074"/>
    <tableColumn id="7075" xr3:uid="{48CD6E7F-36D0-45D9-AFF9-EF8ECC44D7E6}" name="Column7075"/>
    <tableColumn id="7076" xr3:uid="{90AF21BE-CAFA-4903-923A-F1AB60892055}" name="Column7076"/>
    <tableColumn id="7077" xr3:uid="{E6ACD451-9764-4453-916D-2EFCB2EBC8F1}" name="Column7077"/>
    <tableColumn id="7078" xr3:uid="{734579BB-C18B-4583-A85F-856D9F7F0CCB}" name="Column7078"/>
    <tableColumn id="7079" xr3:uid="{F5BEA8DE-AD9E-4E49-A8ED-334B9EE8AC9B}" name="Column7079"/>
    <tableColumn id="7080" xr3:uid="{2F22FB2F-EAE9-48BB-9374-6526ABCE3F7C}" name="Column7080"/>
    <tableColumn id="7081" xr3:uid="{6FD8C31B-0F1F-4B44-B68C-DD61E826C903}" name="Column7081"/>
    <tableColumn id="7082" xr3:uid="{62730E92-B42D-4858-B967-EDE41DBAB41A}" name="Column7082"/>
    <tableColumn id="7083" xr3:uid="{6EE4E6AA-78F4-4F48-B908-642418021011}" name="Column7083"/>
    <tableColumn id="7084" xr3:uid="{2C733984-49E2-4EC7-94C7-F263301B56C5}" name="Column7084"/>
    <tableColumn id="7085" xr3:uid="{EECF8F57-8335-4790-A98C-C18AFA8B7F15}" name="Column7085"/>
    <tableColumn id="7086" xr3:uid="{DE8397DF-087E-4612-9984-21087C7B18DD}" name="Column7086"/>
    <tableColumn id="7087" xr3:uid="{8EF5F89D-58B4-430C-B9DA-35065E79507F}" name="Column7087"/>
    <tableColumn id="7088" xr3:uid="{A054324D-DEBA-40D6-ACAE-12DD514BBE30}" name="Column7088"/>
    <tableColumn id="7089" xr3:uid="{7D685D21-DF50-42BE-B4D6-C1A628C2D14B}" name="Column7089"/>
    <tableColumn id="7090" xr3:uid="{4A05C435-2693-4E62-B4B9-6198EEF09C7E}" name="Column7090"/>
    <tableColumn id="7091" xr3:uid="{82C0582E-1DB9-4CB5-8174-C077BF437815}" name="Column7091"/>
    <tableColumn id="7092" xr3:uid="{BB687E99-8586-49F9-97C7-BFBB2E342C43}" name="Column7092"/>
    <tableColumn id="7093" xr3:uid="{43F645E9-421F-4DE4-8825-DCF62663B94A}" name="Column7093"/>
    <tableColumn id="7094" xr3:uid="{46726CD3-7860-4E4B-9206-42B64FE734F8}" name="Column7094"/>
    <tableColumn id="7095" xr3:uid="{2FD6D9A1-A5AD-4D77-A6C8-F3F86A72347A}" name="Column7095"/>
    <tableColumn id="7096" xr3:uid="{268EB713-42AC-48E3-AE9A-404F3D684DF5}" name="Column7096"/>
    <tableColumn id="7097" xr3:uid="{54373522-A7A2-44FE-A0B9-4F9FE817AE22}" name="Column7097"/>
    <tableColumn id="7098" xr3:uid="{FCF5D61D-2254-487F-BF49-7373244FE309}" name="Column7098"/>
    <tableColumn id="7099" xr3:uid="{AC18ABFC-6E13-4CB7-99CE-2BA207B943A3}" name="Column7099"/>
    <tableColumn id="7100" xr3:uid="{E8633B88-EFFB-4041-A27B-342B4D64CB54}" name="Column7100"/>
    <tableColumn id="7101" xr3:uid="{5568DF29-AC88-4360-A61A-D71FF66F508B}" name="Column7101"/>
    <tableColumn id="7102" xr3:uid="{1D6BF578-74B0-4388-887A-3384DD11DB40}" name="Column7102"/>
    <tableColumn id="7103" xr3:uid="{953141DA-3D6F-4FC2-9924-1EFECF232A1C}" name="Column7103"/>
    <tableColumn id="7104" xr3:uid="{D03A6270-FA68-4963-951D-D62FF9CE1B91}" name="Column7104"/>
    <tableColumn id="7105" xr3:uid="{76AE49B1-3A80-40CA-BCFE-EA4102CF9FB9}" name="Column7105"/>
    <tableColumn id="7106" xr3:uid="{C7F48358-2EC3-4485-8B04-30C0624BBADE}" name="Column7106"/>
    <tableColumn id="7107" xr3:uid="{2D4D1B24-16DA-40CF-8D58-E65FDA12AB37}" name="Column7107"/>
    <tableColumn id="7108" xr3:uid="{FCCC1ED3-B41C-48D7-A4C7-82B8A7B8CF1F}" name="Column7108"/>
    <tableColumn id="7109" xr3:uid="{409764CD-6911-4412-BC36-0CE281258961}" name="Column7109"/>
    <tableColumn id="7110" xr3:uid="{E19EFAC4-7B99-4600-AD62-453340706EB5}" name="Column7110"/>
    <tableColumn id="7111" xr3:uid="{C3D5B067-B691-44E8-BD7D-7A7750E0F8EE}" name="Column7111"/>
    <tableColumn id="7112" xr3:uid="{01B41CE4-DB70-4CB2-8284-69FFC7391F34}" name="Column7112"/>
    <tableColumn id="7113" xr3:uid="{9EDBBB09-8F1C-4739-9EF1-3494B023ECFC}" name="Column7113"/>
    <tableColumn id="7114" xr3:uid="{0D8096D9-3283-464A-98DB-BD18BF09C954}" name="Column7114"/>
    <tableColumn id="7115" xr3:uid="{00BD2E97-826C-4CA9-9E88-E97A6174C81C}" name="Column7115"/>
    <tableColumn id="7116" xr3:uid="{522F0C97-4AF0-4DE5-86C8-2C8EEB4919E0}" name="Column7116"/>
    <tableColumn id="7117" xr3:uid="{3A1D418B-127A-4F97-B04E-9BD3AC50CE2C}" name="Column7117"/>
    <tableColumn id="7118" xr3:uid="{BFCC8136-D874-42F4-B3B0-8BBFF8BA0EB5}" name="Column7118"/>
    <tableColumn id="7119" xr3:uid="{97AEAEAE-C4AA-40C1-8145-7B5BE71BB160}" name="Column7119"/>
    <tableColumn id="7120" xr3:uid="{77D40470-F970-4EED-8091-4C043D1F1C31}" name="Column7120"/>
    <tableColumn id="7121" xr3:uid="{17603EE0-BC71-4070-947A-29F911AA6CBD}" name="Column7121"/>
    <tableColumn id="7122" xr3:uid="{B5481522-4312-4490-A7DE-721F57581F15}" name="Column7122"/>
    <tableColumn id="7123" xr3:uid="{50643427-3390-47D7-A1FE-5763523F3DBE}" name="Column7123"/>
    <tableColumn id="7124" xr3:uid="{7FC8C6F5-98F5-48B2-849A-36F23192CD7A}" name="Column7124"/>
    <tableColumn id="7125" xr3:uid="{9E403638-2572-4941-BFA2-FC49960B0047}" name="Column7125"/>
    <tableColumn id="7126" xr3:uid="{7560ED6D-8F5F-4965-8084-D5F890CE45C6}" name="Column7126"/>
    <tableColumn id="7127" xr3:uid="{86FBE886-B756-4983-ADCB-82EF8C30726D}" name="Column7127"/>
    <tableColumn id="7128" xr3:uid="{B1FCDD95-9B1D-42AE-B423-58D22E147E03}" name="Column7128"/>
    <tableColumn id="7129" xr3:uid="{792E2AF7-C75E-40CA-AF17-558C3850E03F}" name="Column7129"/>
    <tableColumn id="7130" xr3:uid="{836636F7-CD33-450E-A390-BECCF26DBC31}" name="Column7130"/>
    <tableColumn id="7131" xr3:uid="{386F394B-0823-4904-89C2-A94B254AA3B3}" name="Column7131"/>
    <tableColumn id="7132" xr3:uid="{50CEF1D2-F99E-4787-BBB4-EF3B85C7B87B}" name="Column7132"/>
    <tableColumn id="7133" xr3:uid="{1498C161-1CEF-4EF9-ACDE-2FA69C3209D1}" name="Column7133"/>
    <tableColumn id="7134" xr3:uid="{4BCE2BB8-C955-43A5-B1DB-1C103D5F9828}" name="Column7134"/>
    <tableColumn id="7135" xr3:uid="{A8E50CEA-1702-4AA2-ADFB-FDDD4BA85280}" name="Column7135"/>
    <tableColumn id="7136" xr3:uid="{031BDF87-8762-4227-A5E0-AA72A231E356}" name="Column7136"/>
    <tableColumn id="7137" xr3:uid="{0C83CEAB-AA4C-44E7-9F65-482B50297E40}" name="Column7137"/>
    <tableColumn id="7138" xr3:uid="{F9045862-1B4F-4F92-8683-6DB7CB188D07}" name="Column7138"/>
    <tableColumn id="7139" xr3:uid="{12584AC4-0A90-4151-A3B0-D9FC4B60A65A}" name="Column7139"/>
    <tableColumn id="7140" xr3:uid="{067FF892-6EDD-4C37-AAB3-CF6675F2C49F}" name="Column7140"/>
    <tableColumn id="7141" xr3:uid="{05B24689-EB5D-49F4-8E84-C905751AA123}" name="Column7141"/>
    <tableColumn id="7142" xr3:uid="{23EC992B-9149-4ACA-B0FB-A57829465AF5}" name="Column7142"/>
    <tableColumn id="7143" xr3:uid="{D1EC41FC-ECEB-495A-A324-E7CB76115392}" name="Column7143"/>
    <tableColumn id="7144" xr3:uid="{60091DF6-5597-44F3-BFAF-21AD8113FFB7}" name="Column7144"/>
    <tableColumn id="7145" xr3:uid="{618B5AB2-E0B7-4171-8E06-BC12CBB54CD4}" name="Column7145"/>
    <tableColumn id="7146" xr3:uid="{2B01CB84-1F32-4BB6-B308-30A36C9B81B3}" name="Column7146"/>
    <tableColumn id="7147" xr3:uid="{195974BA-78B7-40F5-A944-5AE63391BE40}" name="Column7147"/>
    <tableColumn id="7148" xr3:uid="{E2EA9A90-5943-47A5-AF8D-66409B7371F5}" name="Column7148"/>
    <tableColumn id="7149" xr3:uid="{5692CD8B-EF9F-4E84-8C13-DF4FA0A16427}" name="Column7149"/>
    <tableColumn id="7150" xr3:uid="{4D2DD2BF-69EB-474E-8A6F-609BC9EE443F}" name="Column7150"/>
    <tableColumn id="7151" xr3:uid="{7F81A75B-F77A-474D-BDCF-A91B8B1D0404}" name="Column7151"/>
    <tableColumn id="7152" xr3:uid="{32801660-E7EA-4358-A1B2-59208E20D2FE}" name="Column7152"/>
    <tableColumn id="7153" xr3:uid="{587D3F29-FF65-4A83-B9C7-142F52CD9140}" name="Column7153"/>
    <tableColumn id="7154" xr3:uid="{F4D4F0C6-E186-48F0-B26D-A4C49642934F}" name="Column7154"/>
    <tableColumn id="7155" xr3:uid="{32D734B3-15BF-4505-A506-234061AA14F6}" name="Column7155"/>
    <tableColumn id="7156" xr3:uid="{BD184515-9CBE-474E-A2D5-AB4472141874}" name="Column7156"/>
    <tableColumn id="7157" xr3:uid="{6B97DB3B-2CEB-42A8-B398-021C43C27B9E}" name="Column7157"/>
    <tableColumn id="7158" xr3:uid="{2D7E05D9-D685-4DCD-ACE8-2B19F79FF3D7}" name="Column7158"/>
    <tableColumn id="7159" xr3:uid="{AE69F09F-E231-494A-8125-6FEC3CA9F3CB}" name="Column7159"/>
    <tableColumn id="7160" xr3:uid="{6FE31C66-1ABC-4274-A3CD-E51B53B73665}" name="Column7160"/>
    <tableColumn id="7161" xr3:uid="{57494918-98A8-4C32-9C2F-A19A58B4F1DF}" name="Column7161"/>
    <tableColumn id="7162" xr3:uid="{2FAB169F-6AAD-4F4D-B3FE-2F48ED99CA94}" name="Column7162"/>
    <tableColumn id="7163" xr3:uid="{84A5E0E0-CB2E-4A61-A469-C194206FC68E}" name="Column7163"/>
    <tableColumn id="7164" xr3:uid="{164A2B1F-C29F-4285-BDD0-F03C5D4761C7}" name="Column7164"/>
    <tableColumn id="7165" xr3:uid="{7FD13BD8-2FB1-4818-97A4-DB1CEB129367}" name="Column7165"/>
    <tableColumn id="7166" xr3:uid="{3D2CCB5A-339A-4115-92DA-322FD0E5A02D}" name="Column7166"/>
    <tableColumn id="7167" xr3:uid="{AE438834-D2B2-4DB8-8F5D-533A9FFDDC39}" name="Column7167"/>
    <tableColumn id="7168" xr3:uid="{9DB267C5-FC75-445D-8ABF-34A4050E88EC}" name="Column7168"/>
    <tableColumn id="7169" xr3:uid="{E2C5D5DC-C43F-4C42-95D8-5AB46F636C6B}" name="Column7169"/>
    <tableColumn id="7170" xr3:uid="{FF31D605-2A79-4BFA-8E16-7886FC60ECAD}" name="Column7170"/>
    <tableColumn id="7171" xr3:uid="{BD84E7EF-D068-410E-ACF3-36EB45B98518}" name="Column7171"/>
    <tableColumn id="7172" xr3:uid="{E7B4FB28-BC61-4172-A3F0-E9A1EFE8B617}" name="Column7172"/>
    <tableColumn id="7173" xr3:uid="{299E2972-8568-45B2-86CF-82AB22287C16}" name="Column7173"/>
    <tableColumn id="7174" xr3:uid="{DF3E0EE6-EF2C-4DA8-8830-A85F17F4B761}" name="Column7174"/>
    <tableColumn id="7175" xr3:uid="{D8AC2EED-7B79-4AF7-B77F-91D78A4AA7CA}" name="Column7175"/>
    <tableColumn id="7176" xr3:uid="{140EBD5D-9A3B-4A6D-844D-76ED7D43BBEF}" name="Column7176"/>
    <tableColumn id="7177" xr3:uid="{D8CC2E73-9337-4DE9-BFE6-F5C20F5541F4}" name="Column7177"/>
    <tableColumn id="7178" xr3:uid="{C97666D9-734E-4F45-96A5-362191ADFB74}" name="Column7178"/>
    <tableColumn id="7179" xr3:uid="{D0C14063-669C-4DEB-8E77-18D674DD4E8E}" name="Column7179"/>
    <tableColumn id="7180" xr3:uid="{EC9DAB14-B385-476B-BC51-107C1A0CEF4A}" name="Column7180"/>
    <tableColumn id="7181" xr3:uid="{0574EC24-0D89-4087-92FE-15A6C443B2FA}" name="Column7181"/>
    <tableColumn id="7182" xr3:uid="{B80F5FD8-97C0-46CE-8F97-C63ABE5ED417}" name="Column7182"/>
    <tableColumn id="7183" xr3:uid="{865F201D-306B-4862-A32F-5A1D8EC3EC20}" name="Column7183"/>
    <tableColumn id="7184" xr3:uid="{F7F976CA-37B5-477F-BB23-56F5A1289D3F}" name="Column7184"/>
    <tableColumn id="7185" xr3:uid="{6300C026-E5D5-43C6-853C-2E768D7C829D}" name="Column7185"/>
    <tableColumn id="7186" xr3:uid="{2A4E754B-E367-43C9-B8D1-9AAA1DBDDA2E}" name="Column7186"/>
    <tableColumn id="7187" xr3:uid="{0A575422-3B9A-4A4C-9BF3-E91F7EC28143}" name="Column7187"/>
    <tableColumn id="7188" xr3:uid="{4B2C1E83-1083-4F7D-9238-FA97E3B6E2E7}" name="Column7188"/>
    <tableColumn id="7189" xr3:uid="{DB5F18BB-3896-43FC-A492-4FD02ACA21FC}" name="Column7189"/>
    <tableColumn id="7190" xr3:uid="{2F3C4605-B4F0-45E2-B8AD-5FEFC005BF72}" name="Column7190"/>
    <tableColumn id="7191" xr3:uid="{810CAA94-C786-42E8-A7D1-3BA4F37DD28F}" name="Column7191"/>
    <tableColumn id="7192" xr3:uid="{2C899695-5D65-4283-8E3C-03CFF65DB7ED}" name="Column7192"/>
    <tableColumn id="7193" xr3:uid="{53C68E28-FFE1-4E9C-B697-74C1FC7DDAB3}" name="Column7193"/>
    <tableColumn id="7194" xr3:uid="{B9E9211A-3D3B-4444-AAD7-1E6010A77865}" name="Column7194"/>
    <tableColumn id="7195" xr3:uid="{A622D3FF-FF77-4AB8-96EF-6F996862DFB4}" name="Column7195"/>
    <tableColumn id="7196" xr3:uid="{ABC2ABC2-157A-43A0-87A3-9981D3DEFB62}" name="Column7196"/>
    <tableColumn id="7197" xr3:uid="{BA34BF7E-30B4-43C0-BB61-6B63ADC1BE09}" name="Column7197"/>
    <tableColumn id="7198" xr3:uid="{C4C24886-7AAD-40B3-B61A-EE27A8EC583A}" name="Column7198"/>
    <tableColumn id="7199" xr3:uid="{A12B13D6-AD41-4CBE-8ACB-D48440A7B22E}" name="Column7199"/>
    <tableColumn id="7200" xr3:uid="{1DDD1F9B-0184-4A14-A3C3-EE12A5FA4DBA}" name="Column7200"/>
    <tableColumn id="7201" xr3:uid="{0AF3B742-A1A1-41C9-9FA0-D6C6171C6846}" name="Column7201"/>
    <tableColumn id="7202" xr3:uid="{3F7F4D18-3CF4-4C0F-9BDB-3E5CEC8BF570}" name="Column7202"/>
    <tableColumn id="7203" xr3:uid="{F6898F0A-44C7-4FDC-9200-98FF7A2E377E}" name="Column7203"/>
    <tableColumn id="7204" xr3:uid="{AFD532FE-BD8A-4F63-8532-5F0D7F514920}" name="Column7204"/>
    <tableColumn id="7205" xr3:uid="{A83B916D-E745-4B72-93D0-AA1E1DC732D6}" name="Column7205"/>
    <tableColumn id="7206" xr3:uid="{8F56BEE3-7BAF-42FB-BE17-75F3B945C3C0}" name="Column7206"/>
    <tableColumn id="7207" xr3:uid="{1230C053-3356-4464-9A11-05B228699F8F}" name="Column7207"/>
    <tableColumn id="7208" xr3:uid="{EA568D7F-84EE-48B4-AC3B-43C75FC24906}" name="Column7208"/>
    <tableColumn id="7209" xr3:uid="{35A05D78-8487-45D8-9C8C-8F91701CAE95}" name="Column7209"/>
    <tableColumn id="7210" xr3:uid="{2778C065-0712-40E3-BBEC-4A2F5761AE67}" name="Column7210"/>
    <tableColumn id="7211" xr3:uid="{FAD4662B-BC43-4C65-AEE7-DDB879EBA1CA}" name="Column7211"/>
    <tableColumn id="7212" xr3:uid="{3DFC4E2B-6E26-45CB-9239-7872B064F1F8}" name="Column7212"/>
    <tableColumn id="7213" xr3:uid="{DDC1AC69-FA75-4713-8719-5709545032E4}" name="Column7213"/>
    <tableColumn id="7214" xr3:uid="{D09E0747-12F6-4DEE-8339-A4BA3E0E1F08}" name="Column7214"/>
    <tableColumn id="7215" xr3:uid="{302143A6-0120-4291-9109-248F67BD9E5A}" name="Column7215"/>
    <tableColumn id="7216" xr3:uid="{BB9F0E53-0B41-4682-8195-560EEA6CC820}" name="Column7216"/>
    <tableColumn id="7217" xr3:uid="{451E64E3-0726-496B-A51E-8CDA429AD247}" name="Column7217"/>
    <tableColumn id="7218" xr3:uid="{E12062DC-ADB7-4D4F-82F3-BEE5169EEC30}" name="Column7218"/>
    <tableColumn id="7219" xr3:uid="{820ADCF7-174A-44F7-8446-AA8CC2D5B522}" name="Column7219"/>
    <tableColumn id="7220" xr3:uid="{FA8920D0-4F01-41BF-9407-88DDA6CAB197}" name="Column7220"/>
    <tableColumn id="7221" xr3:uid="{57C60708-15AB-499D-BF92-E76BE3907885}" name="Column7221"/>
    <tableColumn id="7222" xr3:uid="{26CD9E14-4BF7-4BAC-A0C7-86A52C3BD1A5}" name="Column7222"/>
    <tableColumn id="7223" xr3:uid="{440C315F-1A92-41C4-8CD7-BBF8CD8DC6D7}" name="Column7223"/>
    <tableColumn id="7224" xr3:uid="{30863371-8904-4269-96F4-191871EA4BF6}" name="Column7224"/>
    <tableColumn id="7225" xr3:uid="{5774031D-5AF1-4ABF-88DF-95072459BF0B}" name="Column7225"/>
    <tableColumn id="7226" xr3:uid="{10B12C56-2E1F-473C-AA64-AFBBB282AB2C}" name="Column7226"/>
    <tableColumn id="7227" xr3:uid="{93DB5AFD-6C58-47BB-BC27-17D47476B53B}" name="Column7227"/>
    <tableColumn id="7228" xr3:uid="{AE261762-ED97-4DD7-99B5-A9F189CD454B}" name="Column7228"/>
    <tableColumn id="7229" xr3:uid="{D7AB8C77-EA2D-4CB9-907F-A4414232F621}" name="Column7229"/>
    <tableColumn id="7230" xr3:uid="{8CCA5C20-E670-4742-9719-4BEF048CABFB}" name="Column7230"/>
    <tableColumn id="7231" xr3:uid="{34CA4C48-ABAD-4C06-A382-996389DA5217}" name="Column7231"/>
    <tableColumn id="7232" xr3:uid="{8718183F-F083-4F97-B5CD-E0E208CC6C92}" name="Column7232"/>
    <tableColumn id="7233" xr3:uid="{EB8D684C-C194-40B6-A628-29E7907CA9A3}" name="Column7233"/>
    <tableColumn id="7234" xr3:uid="{BB83493F-1469-4047-8464-2203AC7BDC7E}" name="Column7234"/>
    <tableColumn id="7235" xr3:uid="{0E9B4F9D-CE47-4321-A312-AEDD28FF1A7F}" name="Column7235"/>
    <tableColumn id="7236" xr3:uid="{C9B04218-16D8-434E-BBF0-81D0C8A2A67B}" name="Column7236"/>
    <tableColumn id="7237" xr3:uid="{AADEDF5E-BD1C-4EDD-A6B3-C492DC4F71F2}" name="Column7237"/>
    <tableColumn id="7238" xr3:uid="{ED186FC0-A251-47F4-A586-10B916DE413E}" name="Column7238"/>
    <tableColumn id="7239" xr3:uid="{F8FAF18C-7FBC-4AC2-B38B-B603833ECD8A}" name="Column7239"/>
    <tableColumn id="7240" xr3:uid="{58DCC6AC-2B00-4B64-A1C6-BF0707D4BC30}" name="Column7240"/>
    <tableColumn id="7241" xr3:uid="{CF8EE11F-AC51-4410-BF93-691CE126DA21}" name="Column7241"/>
    <tableColumn id="7242" xr3:uid="{8F3F6A09-408E-4DA7-A491-ACBC2D86E125}" name="Column7242"/>
    <tableColumn id="7243" xr3:uid="{838923EE-31B0-4BA0-8C00-57C38485DBAD}" name="Column7243"/>
    <tableColumn id="7244" xr3:uid="{A0E82987-ECAD-41D6-8E1A-38635DB228F8}" name="Column7244"/>
    <tableColumn id="7245" xr3:uid="{BA961FDA-77BC-4119-8AB7-22A14DB12BFC}" name="Column7245"/>
    <tableColumn id="7246" xr3:uid="{053E5A7B-D887-47CC-B52C-DBA1F855F4A8}" name="Column7246"/>
    <tableColumn id="7247" xr3:uid="{36193D77-C367-40EB-A03A-EB30EAA12EC4}" name="Column7247"/>
    <tableColumn id="7248" xr3:uid="{D65D8805-86BC-45B2-9FB9-3D49A9687DCE}" name="Column7248"/>
    <tableColumn id="7249" xr3:uid="{3C0C3FBC-9BDB-43E8-A100-357150761A5A}" name="Column7249"/>
    <tableColumn id="7250" xr3:uid="{7497CAC3-41EE-4713-A197-276E5DE3058A}" name="Column7250"/>
    <tableColumn id="7251" xr3:uid="{010488CB-ABF2-4174-AB87-C4707A28E0D0}" name="Column7251"/>
    <tableColumn id="7252" xr3:uid="{B92EB9B2-18DF-45DA-9196-7CE226261B27}" name="Column7252"/>
    <tableColumn id="7253" xr3:uid="{966F8E18-A5A6-4D10-A339-7E4F301CD89D}" name="Column7253"/>
    <tableColumn id="7254" xr3:uid="{FD372EF4-3D16-4795-9CBC-0E1AC1A2B88A}" name="Column7254"/>
    <tableColumn id="7255" xr3:uid="{7B62DFFB-FFAC-44D6-92DB-642BB897C32B}" name="Column7255"/>
    <tableColumn id="7256" xr3:uid="{AF1ADE83-0D28-4CE6-9004-5C0CF062EB4B}" name="Column7256"/>
    <tableColumn id="7257" xr3:uid="{E80FFAEA-B53F-45DD-85B4-410C2323307C}" name="Column7257"/>
    <tableColumn id="7258" xr3:uid="{335E382B-3665-4A7A-821D-E1613F1DD2C1}" name="Column7258"/>
    <tableColumn id="7259" xr3:uid="{D21FEA08-9288-4EAE-B9FF-570CFB0A6DA3}" name="Column7259"/>
    <tableColumn id="7260" xr3:uid="{B571E1F4-B42B-4C8B-B3DA-29F32F296094}" name="Column7260"/>
    <tableColumn id="7261" xr3:uid="{F8690CA5-EB67-4B9C-AA89-4B2F7044F87A}" name="Column7261"/>
    <tableColumn id="7262" xr3:uid="{0CF19E98-0B9A-40DA-AFB7-947BAAAD8C51}" name="Column7262"/>
    <tableColumn id="7263" xr3:uid="{678B7E47-D5B4-423D-98CC-3BA4E9CB94C5}" name="Column7263"/>
    <tableColumn id="7264" xr3:uid="{9EA1C9B4-8C4F-4666-B699-F331F0E41D0B}" name="Column7264"/>
    <tableColumn id="7265" xr3:uid="{0A6936A0-641E-4765-A408-4AE0C8F705C9}" name="Column7265"/>
    <tableColumn id="7266" xr3:uid="{C0245620-2616-4DC7-8FC8-02481A17F038}" name="Column7266"/>
    <tableColumn id="7267" xr3:uid="{2F6952C7-7F19-4D7F-AA88-A4594C52AEB1}" name="Column7267"/>
    <tableColumn id="7268" xr3:uid="{1CC556A9-08BE-476A-8C61-14F6D0AF66D4}" name="Column7268"/>
    <tableColumn id="7269" xr3:uid="{9163ADA5-670D-4E84-8712-D11D3E3FF5D1}" name="Column7269"/>
    <tableColumn id="7270" xr3:uid="{321D47CF-5B7B-4E50-B619-D89F93612ECC}" name="Column7270"/>
    <tableColumn id="7271" xr3:uid="{86BFE7CC-F52C-4487-81FD-5925958762EC}" name="Column7271"/>
    <tableColumn id="7272" xr3:uid="{9B7569BE-E250-4B94-BF82-9DE73BC1EA86}" name="Column7272"/>
    <tableColumn id="7273" xr3:uid="{7A42AEC0-2613-4909-991D-5E88C69E998D}" name="Column7273"/>
    <tableColumn id="7274" xr3:uid="{83B4C996-3E93-4164-B436-518AFF696F3A}" name="Column7274"/>
    <tableColumn id="7275" xr3:uid="{8762AD7B-940B-43AD-8BF5-B092DF148A70}" name="Column7275"/>
    <tableColumn id="7276" xr3:uid="{11CB79A9-9A20-456C-895C-94D9EFDB2AC4}" name="Column7276"/>
    <tableColumn id="7277" xr3:uid="{F9040241-ED78-4F0D-AA31-21EF3F747961}" name="Column7277"/>
    <tableColumn id="7278" xr3:uid="{A352EEB0-EBCA-42AA-80B2-172FE0717851}" name="Column7278"/>
    <tableColumn id="7279" xr3:uid="{E0C8BBC4-20E8-4CF2-9C2C-42948365E6CE}" name="Column7279"/>
    <tableColumn id="7280" xr3:uid="{826AAB04-E06C-4204-A1E0-6FFA9D0AADBA}" name="Column7280"/>
    <tableColumn id="7281" xr3:uid="{85051E23-6898-4CCF-90AE-764B081F1854}" name="Column7281"/>
    <tableColumn id="7282" xr3:uid="{4745ADE4-FEEC-45CC-AFE3-FAB689541844}" name="Column7282"/>
    <tableColumn id="7283" xr3:uid="{97D0EC6E-B93B-409C-9554-FA0217110739}" name="Column7283"/>
    <tableColumn id="7284" xr3:uid="{E8C7B9F8-3DFB-4974-84C2-A18FD3858034}" name="Column7284"/>
    <tableColumn id="7285" xr3:uid="{E1A6BD85-8787-4BB1-A3D8-142742A75087}" name="Column7285"/>
    <tableColumn id="7286" xr3:uid="{3415A255-258D-4C07-B072-9DF6EC63C6DA}" name="Column7286"/>
    <tableColumn id="7287" xr3:uid="{3CC8D866-C0EE-47F4-9CDE-387A2C6F4573}" name="Column7287"/>
    <tableColumn id="7288" xr3:uid="{FE36699D-5456-429D-B674-AB4B1EB5B902}" name="Column7288"/>
    <tableColumn id="7289" xr3:uid="{85C2DF13-BD91-4C92-BAE0-4DA41DBBD25B}" name="Column7289"/>
    <tableColumn id="7290" xr3:uid="{B77CB03A-8EE2-4CC5-8796-99DED3B1B569}" name="Column7290"/>
    <tableColumn id="7291" xr3:uid="{5141D764-29E2-4053-9388-976137AE12B2}" name="Column7291"/>
    <tableColumn id="7292" xr3:uid="{264824D3-AF8C-4060-BEF8-08B30AC3A573}" name="Column7292"/>
    <tableColumn id="7293" xr3:uid="{9A5481DD-448B-46EC-A1CB-0D74F91CB94F}" name="Column7293"/>
    <tableColumn id="7294" xr3:uid="{1320E4BC-A78B-475C-A84A-8756726F444E}" name="Column7294"/>
    <tableColumn id="7295" xr3:uid="{B4EE6D18-BB12-4910-929C-5422F28EDC13}" name="Column7295"/>
    <tableColumn id="7296" xr3:uid="{DCE685F8-5B41-42E6-82AF-2213AC5D3C9F}" name="Column7296"/>
    <tableColumn id="7297" xr3:uid="{5BDF5A79-0C31-460A-A5F6-1CA86132580A}" name="Column7297"/>
    <tableColumn id="7298" xr3:uid="{B6365A10-F653-4E58-B585-65AB784FF3ED}" name="Column7298"/>
    <tableColumn id="7299" xr3:uid="{E17A92DB-E0F4-44A2-9701-70ACD139BE57}" name="Column7299"/>
    <tableColumn id="7300" xr3:uid="{074E5381-930B-4122-A1AA-3B545AFE5E15}" name="Column7300"/>
    <tableColumn id="7301" xr3:uid="{67216903-AF04-4E5B-8064-841DEA48DF19}" name="Column7301"/>
    <tableColumn id="7302" xr3:uid="{BB1404B1-9497-4468-BADF-5F09E8CF0031}" name="Column7302"/>
    <tableColumn id="7303" xr3:uid="{CFE15AE3-70DA-482C-8584-72FD7F8B0C60}" name="Column7303"/>
    <tableColumn id="7304" xr3:uid="{8658671F-34DA-4C79-B547-5644FC910205}" name="Column7304"/>
    <tableColumn id="7305" xr3:uid="{38CDCF24-E202-47C8-9F45-C669A135EDC3}" name="Column7305"/>
    <tableColumn id="7306" xr3:uid="{362C7D50-02DD-44BC-929A-4E65B60696EE}" name="Column7306"/>
    <tableColumn id="7307" xr3:uid="{0CA3D0B9-DA5E-42F6-B5F4-309B359B283E}" name="Column7307"/>
    <tableColumn id="7308" xr3:uid="{28595858-B94F-4740-B77C-862A25F95359}" name="Column7308"/>
    <tableColumn id="7309" xr3:uid="{662C5E91-464A-4159-81D1-934A3D1C4DCA}" name="Column7309"/>
    <tableColumn id="7310" xr3:uid="{E23239E1-43E6-4F8C-B737-56F822553A57}" name="Column7310"/>
    <tableColumn id="7311" xr3:uid="{EB11CDBA-84EA-4F41-8404-657CF265B22E}" name="Column7311"/>
    <tableColumn id="7312" xr3:uid="{853F02F3-5EF7-44FC-B522-0E434878D214}" name="Column7312"/>
    <tableColumn id="7313" xr3:uid="{D83C51F6-773B-4CC6-A37C-C95ABEF6B45E}" name="Column7313"/>
    <tableColumn id="7314" xr3:uid="{0CAC7C3A-A7ED-47DE-93FD-31A91D83B9B6}" name="Column7314"/>
    <tableColumn id="7315" xr3:uid="{F809BA71-AAF3-44BD-85C7-6776ECBDA37A}" name="Column7315"/>
    <tableColumn id="7316" xr3:uid="{D1CEB231-2ABC-452D-8169-D43A9A2E9C8D}" name="Column7316"/>
    <tableColumn id="7317" xr3:uid="{29B22053-6CB3-48C8-877E-51998F2F76B9}" name="Column7317"/>
    <tableColumn id="7318" xr3:uid="{7CBA75D4-84B6-43A1-B886-8822CB6DD4F3}" name="Column7318"/>
    <tableColumn id="7319" xr3:uid="{D5115B2E-A9E3-4820-814C-CE2D280D7F10}" name="Column7319"/>
    <tableColumn id="7320" xr3:uid="{B199862E-04FE-48C0-A525-93EA4A251F4B}" name="Column7320"/>
    <tableColumn id="7321" xr3:uid="{BDA08EF0-7326-46EF-9435-608F4ED25B3B}" name="Column7321"/>
    <tableColumn id="7322" xr3:uid="{E760DC67-2E33-47A7-9BBF-323232971C25}" name="Column7322"/>
    <tableColumn id="7323" xr3:uid="{2C631B94-E225-42F0-B068-5CBE2981D6E4}" name="Column7323"/>
    <tableColumn id="7324" xr3:uid="{95BCE048-FFCC-466E-B4A4-6FF31ECFD296}" name="Column7324"/>
    <tableColumn id="7325" xr3:uid="{A4A9107E-A787-483A-BFE4-895BDAAE7DBE}" name="Column7325"/>
    <tableColumn id="7326" xr3:uid="{D67F18F3-579C-4360-AC11-340AC25C8F2B}" name="Column7326"/>
    <tableColumn id="7327" xr3:uid="{66694DD8-D35B-47C4-B733-3C4357F15394}" name="Column7327"/>
    <tableColumn id="7328" xr3:uid="{7E55E59A-05A0-448E-951B-04FDA009A1DA}" name="Column7328"/>
    <tableColumn id="7329" xr3:uid="{6478B9E0-3226-46C9-BE6E-F3BBF0E4B3DF}" name="Column7329"/>
    <tableColumn id="7330" xr3:uid="{75876266-8502-4843-B5B2-646393DAA5D5}" name="Column7330"/>
    <tableColumn id="7331" xr3:uid="{246D70B0-AD75-4F7E-AEA2-7A1791B53660}" name="Column7331"/>
    <tableColumn id="7332" xr3:uid="{B6CA0F22-0C29-4DAC-9546-A569DA6995CD}" name="Column7332"/>
    <tableColumn id="7333" xr3:uid="{226572FB-8656-4080-AC9D-09BE35B97D02}" name="Column7333"/>
    <tableColumn id="7334" xr3:uid="{D30FEE17-55E1-4951-AC3E-48B902FA14C7}" name="Column7334"/>
    <tableColumn id="7335" xr3:uid="{BEF15DDC-1E48-412D-883D-833A00B6A59C}" name="Column7335"/>
    <tableColumn id="7336" xr3:uid="{F8F72D04-9E9C-4F28-84A1-9E2FD8B1F42D}" name="Column7336"/>
    <tableColumn id="7337" xr3:uid="{C983DAC9-0AFD-411A-B698-E8363C3A6B53}" name="Column7337"/>
    <tableColumn id="7338" xr3:uid="{A8691F66-435A-4FD9-AC3B-E4A179FC7ACB}" name="Column7338"/>
    <tableColumn id="7339" xr3:uid="{0E6C5F46-6B19-464F-A038-AB7EED245506}" name="Column7339"/>
    <tableColumn id="7340" xr3:uid="{03D36BA3-07B3-4F82-B2C1-083822A69E1A}" name="Column7340"/>
    <tableColumn id="7341" xr3:uid="{7501C5EC-CDBE-4552-B823-9DB95519FE09}" name="Column7341"/>
    <tableColumn id="7342" xr3:uid="{2E909EFF-E4ED-4BBE-B379-5B9BC2F11E54}" name="Column7342"/>
    <tableColumn id="7343" xr3:uid="{1BFE00C1-ADC2-4734-BA75-C601376DB645}" name="Column7343"/>
    <tableColumn id="7344" xr3:uid="{DEF0E6A7-19B4-4DFF-89FD-ADEE323BFAEE}" name="Column7344"/>
    <tableColumn id="7345" xr3:uid="{36551648-B40D-4B40-8D2D-B457D3629F4A}" name="Column7345"/>
    <tableColumn id="7346" xr3:uid="{54C586CE-702A-4DE7-910D-D63E02E6ACCA}" name="Column7346"/>
    <tableColumn id="7347" xr3:uid="{81840013-4197-418E-87CD-5CD97CB937D1}" name="Column7347"/>
    <tableColumn id="7348" xr3:uid="{B2E38797-C0C1-4114-9577-0E64CA8C8250}" name="Column7348"/>
    <tableColumn id="7349" xr3:uid="{DEFA9F78-3AF3-498C-8B39-655EDDE19B4B}" name="Column7349"/>
    <tableColumn id="7350" xr3:uid="{7924B8D0-B800-4571-B300-9D16E4E3BD55}" name="Column7350"/>
    <tableColumn id="7351" xr3:uid="{CADAFFAC-4071-4DD6-8B45-B3BFE111CF02}" name="Column7351"/>
    <tableColumn id="7352" xr3:uid="{8214C258-BAA3-4A7C-9DE4-7415725AEAE1}" name="Column7352"/>
    <tableColumn id="7353" xr3:uid="{862E42AD-431F-43A4-8DB9-3EA1151BED9E}" name="Column7353"/>
    <tableColumn id="7354" xr3:uid="{F91D6559-5EB8-465C-8D28-95423960E711}" name="Column7354"/>
    <tableColumn id="7355" xr3:uid="{FBAFA1CF-5C49-49F0-A42E-CCBAF9972297}" name="Column7355"/>
    <tableColumn id="7356" xr3:uid="{EFCC33AE-E005-4FB4-90B6-48D9B57DBEB6}" name="Column7356"/>
    <tableColumn id="7357" xr3:uid="{2BF30E12-A72E-49CE-AD7A-639F96D23180}" name="Column7357"/>
    <tableColumn id="7358" xr3:uid="{9AFAC663-F477-4F0C-8300-BDD92344F46C}" name="Column7358"/>
    <tableColumn id="7359" xr3:uid="{B2069904-1C07-492F-88A5-5996A9A908E6}" name="Column7359"/>
    <tableColumn id="7360" xr3:uid="{DFCCE1BB-98F0-4464-A6D9-931B46874867}" name="Column7360"/>
    <tableColumn id="7361" xr3:uid="{A14AAD4E-028A-4201-AE86-E6DD342F9B33}" name="Column7361"/>
    <tableColumn id="7362" xr3:uid="{71AD5356-11B2-4F7E-860E-9167B1E99C3D}" name="Column7362"/>
    <tableColumn id="7363" xr3:uid="{06A732F9-B082-4826-AB3E-0D74D30AD5E0}" name="Column7363"/>
    <tableColumn id="7364" xr3:uid="{EB655F38-DB41-4DD7-AA19-64BC2A5E9930}" name="Column7364"/>
    <tableColumn id="7365" xr3:uid="{A0D97122-2A4F-47DC-985C-555E9169E407}" name="Column7365"/>
    <tableColumn id="7366" xr3:uid="{6AF84C1E-89AC-4002-BB66-0C5FAA119396}" name="Column7366"/>
    <tableColumn id="7367" xr3:uid="{5328C9A7-698F-4488-A419-477BEFEA931D}" name="Column7367"/>
    <tableColumn id="7368" xr3:uid="{6A0F6B8D-4184-4386-B198-15CB96640634}" name="Column7368"/>
    <tableColumn id="7369" xr3:uid="{242DB61C-8C1A-4694-89FA-4C14A1B98B6B}" name="Column7369"/>
    <tableColumn id="7370" xr3:uid="{822CA511-27D8-4C38-80BF-1E0666C7C081}" name="Column7370"/>
    <tableColumn id="7371" xr3:uid="{216A71AB-2829-4C81-AF22-D37F548F14B7}" name="Column7371"/>
    <tableColumn id="7372" xr3:uid="{9DA42EDA-AEDE-4CCB-AD56-F6FA9E4F906E}" name="Column7372"/>
    <tableColumn id="7373" xr3:uid="{559CD58D-DEC3-428F-920C-99531A1C7F44}" name="Column7373"/>
    <tableColumn id="7374" xr3:uid="{CB326D4A-6578-4AEB-99F3-4E70F2123D42}" name="Column7374"/>
    <tableColumn id="7375" xr3:uid="{026A78A5-4E01-4409-8345-5B5CD63B6C60}" name="Column7375"/>
    <tableColumn id="7376" xr3:uid="{1D857B38-72D3-48F3-812D-A4F91829E177}" name="Column7376"/>
    <tableColumn id="7377" xr3:uid="{4015D849-C89B-425B-80A5-45A01735DD49}" name="Column7377"/>
    <tableColumn id="7378" xr3:uid="{18AD1FA3-D2A1-4E62-8AE0-B250B7CEE8E8}" name="Column7378"/>
    <tableColumn id="7379" xr3:uid="{E4A3F70A-4856-4DA7-93D0-8306142C5596}" name="Column7379"/>
    <tableColumn id="7380" xr3:uid="{9E1C5DC6-7EEF-4980-B5D5-6733965E6483}" name="Column7380"/>
    <tableColumn id="7381" xr3:uid="{B9E8F0DA-6840-4612-B49A-1F609CCC693B}" name="Column7381"/>
    <tableColumn id="7382" xr3:uid="{B3466C54-C81D-4E01-843F-E0EAA9C1C9B7}" name="Column7382"/>
    <tableColumn id="7383" xr3:uid="{79A8627B-3574-46A9-BD3B-DE8CB3C0736C}" name="Column7383"/>
    <tableColumn id="7384" xr3:uid="{85C6A8D2-81B9-437E-B24B-3708AA801394}" name="Column7384"/>
    <tableColumn id="7385" xr3:uid="{F7A521D3-8A8B-43E1-B9D8-5390CE084533}" name="Column7385"/>
    <tableColumn id="7386" xr3:uid="{F426E2D2-B72E-413C-B58B-9665AD9738A5}" name="Column7386"/>
    <tableColumn id="7387" xr3:uid="{447F1629-FAD7-4542-AF12-B45B73AEB99F}" name="Column7387"/>
    <tableColumn id="7388" xr3:uid="{91EF71FA-F652-4714-876C-CF4E317B9ADD}" name="Column7388"/>
    <tableColumn id="7389" xr3:uid="{C903BACA-652C-439A-8589-763FA550F7E7}" name="Column7389"/>
    <tableColumn id="7390" xr3:uid="{838D1718-0F6E-4A82-8060-6F5002F648AE}" name="Column7390"/>
    <tableColumn id="7391" xr3:uid="{13222EC7-2C5D-4617-978B-A00ACA03CDC9}" name="Column7391"/>
    <tableColumn id="7392" xr3:uid="{03D4B3FA-C471-4F4F-9CAB-A20AB0C2E719}" name="Column7392"/>
    <tableColumn id="7393" xr3:uid="{4B5C5775-4399-4371-9426-23F75CC9B81D}" name="Column7393"/>
    <tableColumn id="7394" xr3:uid="{2F104772-C894-4879-8C60-E5EA515DE0EF}" name="Column7394"/>
    <tableColumn id="7395" xr3:uid="{B90FFEA1-ED29-4581-A1DC-7138784662D8}" name="Column7395"/>
    <tableColumn id="7396" xr3:uid="{BBE918F4-2CCA-4177-BE45-56BD3D0B8B5D}" name="Column7396"/>
    <tableColumn id="7397" xr3:uid="{DFF27908-F8AA-48EA-AFD8-DDF36FCD9DE8}" name="Column7397"/>
    <tableColumn id="7398" xr3:uid="{FBF8DC7A-1199-466D-B3A3-BC773082137D}" name="Column7398"/>
    <tableColumn id="7399" xr3:uid="{EE39D288-02EB-420C-BCF4-5D756BD943BD}" name="Column7399"/>
    <tableColumn id="7400" xr3:uid="{CFF63753-430B-4CB7-98F3-D1C665F31931}" name="Column7400"/>
    <tableColumn id="7401" xr3:uid="{C1C0DA9F-7526-4150-A144-08E4EB01BA92}" name="Column7401"/>
    <tableColumn id="7402" xr3:uid="{ABF57C08-69AC-4751-BB33-F252B09759DA}" name="Column7402"/>
    <tableColumn id="7403" xr3:uid="{051622DD-8E14-4DC9-867F-74BFF606D67D}" name="Column7403"/>
    <tableColumn id="7404" xr3:uid="{6719CF19-792B-4D63-933C-6BC7A91408C7}" name="Column7404"/>
    <tableColumn id="7405" xr3:uid="{3976F055-5E9E-4B23-BFA2-95F3DF04897A}" name="Column7405"/>
    <tableColumn id="7406" xr3:uid="{C74F58F4-B081-47D5-80D8-0CA1D14893C8}" name="Column7406"/>
    <tableColumn id="7407" xr3:uid="{FA6CCFE6-E2F3-40F9-8F7D-6B8A77A5EE5B}" name="Column7407"/>
    <tableColumn id="7408" xr3:uid="{5BEDBF0F-1024-431C-A56A-9DCDDD9952EC}" name="Column7408"/>
    <tableColumn id="7409" xr3:uid="{05B4876A-2B09-4B00-B9F3-397445F41F7A}" name="Column7409"/>
    <tableColumn id="7410" xr3:uid="{3C81B0C5-37D8-4CD3-A9B7-535741BF1918}" name="Column7410"/>
    <tableColumn id="7411" xr3:uid="{E75067C3-0E89-4864-A7D6-DD3DEA802453}" name="Column7411"/>
    <tableColumn id="7412" xr3:uid="{1887C495-9E2D-44D5-9E03-499EB75767A0}" name="Column7412"/>
    <tableColumn id="7413" xr3:uid="{335C44F6-8131-45A1-82F3-42A3C859DD2D}" name="Column7413"/>
    <tableColumn id="7414" xr3:uid="{A20AED27-1606-4935-BD22-DD06F71F5720}" name="Column7414"/>
    <tableColumn id="7415" xr3:uid="{67ED4CC1-5A4F-4546-80D9-3F49BD667712}" name="Column7415"/>
    <tableColumn id="7416" xr3:uid="{140E5888-FF19-4075-87AD-BAB81162088A}" name="Column7416"/>
    <tableColumn id="7417" xr3:uid="{63DD14E9-F1BD-4913-A9F8-7EBE6F162DE0}" name="Column7417"/>
    <tableColumn id="7418" xr3:uid="{A5A9FFAD-94CE-4C2A-B487-500B769B17DF}" name="Column7418"/>
    <tableColumn id="7419" xr3:uid="{5EEED84B-C50F-4F71-8731-BA4BF327CC72}" name="Column7419"/>
    <tableColumn id="7420" xr3:uid="{DA3905B6-2132-428E-841F-8E406B3B4C26}" name="Column7420"/>
    <tableColumn id="7421" xr3:uid="{C5DA7B05-67DC-44F1-B3CA-2AD27E6A0DCB}" name="Column7421"/>
    <tableColumn id="7422" xr3:uid="{829DDCBA-F56F-47E8-ADFF-EAFF5FCF5BD6}" name="Column7422"/>
    <tableColumn id="7423" xr3:uid="{D110F0E5-3C03-45E4-A931-4B3C812A2225}" name="Column7423"/>
    <tableColumn id="7424" xr3:uid="{AD3F70F6-940C-4533-94C9-ABF90D6EED7C}" name="Column7424"/>
    <tableColumn id="7425" xr3:uid="{DB84A43B-E0D2-4E93-9770-D54CD739BC01}" name="Column7425"/>
    <tableColumn id="7426" xr3:uid="{1DA10A83-C584-4F70-BD2E-FE342490DA89}" name="Column7426"/>
    <tableColumn id="7427" xr3:uid="{57B9AEB7-73FA-4897-9F88-FE79BA418EA2}" name="Column7427"/>
    <tableColumn id="7428" xr3:uid="{5572801F-4D9B-4E03-AD02-E743B0323867}" name="Column7428"/>
    <tableColumn id="7429" xr3:uid="{A41D60B2-A7B5-4116-A712-C3A85CDBEDD1}" name="Column7429"/>
    <tableColumn id="7430" xr3:uid="{CF17B91A-FC4B-40F5-9B6D-BF004C4CA29D}" name="Column7430"/>
    <tableColumn id="7431" xr3:uid="{1DDA40D7-FD6C-47DF-BDB0-E0C99D0A0726}" name="Column7431"/>
    <tableColumn id="7432" xr3:uid="{92F0E295-F2AE-49BD-BC41-DE51C47A8B0B}" name="Column7432"/>
    <tableColumn id="7433" xr3:uid="{3DC5D4E3-130F-4020-A7D4-E62815D83CEF}" name="Column7433"/>
    <tableColumn id="7434" xr3:uid="{1702FFFF-7A79-4B20-A53B-7FF093971476}" name="Column7434"/>
    <tableColumn id="7435" xr3:uid="{1ECEE3D4-90E2-467E-993D-C214703A131F}" name="Column7435"/>
    <tableColumn id="7436" xr3:uid="{1BBCE1DB-3BB4-4BB2-947D-C9C5523AF35D}" name="Column7436"/>
    <tableColumn id="7437" xr3:uid="{8E3330DE-0E8C-437A-9696-74D592A1D4FB}" name="Column7437"/>
    <tableColumn id="7438" xr3:uid="{A5DA3EC1-E74F-4A8A-8192-B793DA3ECD89}" name="Column7438"/>
    <tableColumn id="7439" xr3:uid="{9BD0032C-12A0-4ECD-862E-B6C8C65C416E}" name="Column7439"/>
    <tableColumn id="7440" xr3:uid="{3E6FDE4E-BD08-49ED-AAD7-F30E88FCF15E}" name="Column7440"/>
    <tableColumn id="7441" xr3:uid="{B39DBC6D-A290-4F72-ADD7-FFBA37BE2BDC}" name="Column7441"/>
    <tableColumn id="7442" xr3:uid="{233183E7-D076-41CF-8037-35816C6F0E4F}" name="Column7442"/>
    <tableColumn id="7443" xr3:uid="{60989087-7422-45BC-B74F-C3B67821C3AD}" name="Column7443"/>
    <tableColumn id="7444" xr3:uid="{48FDDB6D-E689-42FA-B19E-BE6639A55957}" name="Column7444"/>
    <tableColumn id="7445" xr3:uid="{A4045650-33C7-48AF-800B-AB87983A2E58}" name="Column7445"/>
    <tableColumn id="7446" xr3:uid="{40C3F7D0-BD8B-4D1F-A460-ADC690D52C18}" name="Column7446"/>
    <tableColumn id="7447" xr3:uid="{30A68FD2-126A-4842-8963-B2BAC7C330BB}" name="Column7447"/>
    <tableColumn id="7448" xr3:uid="{1B7A6E54-915B-4952-96EF-956AAD14C037}" name="Column7448"/>
    <tableColumn id="7449" xr3:uid="{910B4EE2-ADB4-4816-A594-CD58E23F95C1}" name="Column7449"/>
    <tableColumn id="7450" xr3:uid="{44835C2D-AB84-4F2A-8E05-F7999709DDFD}" name="Column7450"/>
    <tableColumn id="7451" xr3:uid="{519D2809-858B-40A8-BA5C-1CB9F12AF4ED}" name="Column7451"/>
    <tableColumn id="7452" xr3:uid="{40513172-E003-464B-9486-2804A868E522}" name="Column7452"/>
    <tableColumn id="7453" xr3:uid="{155C984C-3A09-4449-ADE9-F8EEC20852CD}" name="Column7453"/>
    <tableColumn id="7454" xr3:uid="{C7DDF963-3EBD-426B-B154-EEB5E406A9E6}" name="Column7454"/>
    <tableColumn id="7455" xr3:uid="{D8A01FED-FD62-4898-AE53-FEA171E30104}" name="Column7455"/>
    <tableColumn id="7456" xr3:uid="{FB8976B3-C37C-4DC5-8D3E-5CF639FD6AF7}" name="Column7456"/>
    <tableColumn id="7457" xr3:uid="{5B9DD410-393E-470C-AC2C-AA5E86148C51}" name="Column7457"/>
    <tableColumn id="7458" xr3:uid="{1A1FFEBE-7995-4344-8D2C-2A352FECFDF1}" name="Column7458"/>
    <tableColumn id="7459" xr3:uid="{138EC9FB-0BF6-42DB-A713-0B2324FD3B1F}" name="Column7459"/>
    <tableColumn id="7460" xr3:uid="{828315BF-C82D-4F4F-AB48-9C54CC3C65E3}" name="Column7460"/>
    <tableColumn id="7461" xr3:uid="{A200186C-C693-4935-9D7A-38C5D763BB4D}" name="Column7461"/>
    <tableColumn id="7462" xr3:uid="{195573CB-7DF9-469E-BA62-0E87A6D58532}" name="Column7462"/>
    <tableColumn id="7463" xr3:uid="{4D223E34-52DF-4B85-BB86-EF370E47CB48}" name="Column7463"/>
    <tableColumn id="7464" xr3:uid="{F589B580-F7B1-4216-A777-F22B8C58FBFE}" name="Column7464"/>
    <tableColumn id="7465" xr3:uid="{1F2D13E4-D9F0-4CAF-955F-A37B0174699B}" name="Column7465"/>
    <tableColumn id="7466" xr3:uid="{A60630B5-1B77-4899-966C-5FBD97F42F00}" name="Column7466"/>
    <tableColumn id="7467" xr3:uid="{72FD3326-15CC-48B5-AB0E-58EFB4F75CA6}" name="Column7467"/>
    <tableColumn id="7468" xr3:uid="{A3340E78-B141-4B1D-9574-5075C0D01EEA}" name="Column7468"/>
    <tableColumn id="7469" xr3:uid="{94C6F64B-60A2-4A88-9D74-6DAA7AB3CC82}" name="Column7469"/>
    <tableColumn id="7470" xr3:uid="{53B978F1-48BD-43B1-ACF1-6614535AD2A9}" name="Column7470"/>
    <tableColumn id="7471" xr3:uid="{2DF5548B-8CAB-4CEE-B965-F207D00C7685}" name="Column7471"/>
    <tableColumn id="7472" xr3:uid="{668FE621-A77B-4B19-A152-CC824F563C7D}" name="Column7472"/>
    <tableColumn id="7473" xr3:uid="{0659E984-2CD2-4710-8C90-BC65F3647403}" name="Column7473"/>
    <tableColumn id="7474" xr3:uid="{B7377E52-931D-4A58-951B-EA8D4D277774}" name="Column7474"/>
    <tableColumn id="7475" xr3:uid="{CAF57495-B090-469F-8992-5326EF969F51}" name="Column7475"/>
    <tableColumn id="7476" xr3:uid="{61FCB199-1733-4685-A0EA-C32A1A50BE3B}" name="Column7476"/>
    <tableColumn id="7477" xr3:uid="{DBC01A63-6595-4EAA-9B3B-DCE70C4C9358}" name="Column7477"/>
    <tableColumn id="7478" xr3:uid="{500A2B44-6225-4B8F-8D3A-4522ECED48E1}" name="Column7478"/>
    <tableColumn id="7479" xr3:uid="{880D9577-17A7-40F9-AF6B-B1B37C67DF06}" name="Column7479"/>
    <tableColumn id="7480" xr3:uid="{373FAFAB-F24A-413C-B77B-414C0A04C80F}" name="Column7480"/>
    <tableColumn id="7481" xr3:uid="{84A7D7FE-B50A-4ED2-A5E0-24A7A4D3C423}" name="Column7481"/>
    <tableColumn id="7482" xr3:uid="{F5EF4511-B9F8-4229-AFF4-11DCA39D7B1B}" name="Column7482"/>
    <tableColumn id="7483" xr3:uid="{C6DB4AAB-819C-4658-AEB8-E6DD77090760}" name="Column7483"/>
    <tableColumn id="7484" xr3:uid="{8CF666C9-A867-456B-9F04-FE840186FB96}" name="Column7484"/>
    <tableColumn id="7485" xr3:uid="{1E3D9C55-EA32-43D6-BD20-58370C849CBD}" name="Column7485"/>
    <tableColumn id="7486" xr3:uid="{130903FC-E185-470A-AF6C-26FD1AE2B7F9}" name="Column7486"/>
    <tableColumn id="7487" xr3:uid="{D5D9D5FB-BD31-42D0-B4F2-A7978CD23C4C}" name="Column7487"/>
    <tableColumn id="7488" xr3:uid="{37B12F5B-EEA0-4672-BC58-9ADC0BF39B96}" name="Column7488"/>
    <tableColumn id="7489" xr3:uid="{E2B33913-E8D4-477B-BCEB-D9CE8A99E097}" name="Column7489"/>
    <tableColumn id="7490" xr3:uid="{A8506E7E-E516-4727-BB83-CB5B41A9776D}" name="Column7490"/>
    <tableColumn id="7491" xr3:uid="{97853152-EFD7-47C6-AF10-59372756721E}" name="Column7491"/>
    <tableColumn id="7492" xr3:uid="{2D268E26-8E83-4590-BAA3-34DD78371068}" name="Column7492"/>
    <tableColumn id="7493" xr3:uid="{95FB0571-2607-4EFE-80EE-FDCED52682C0}" name="Column7493"/>
    <tableColumn id="7494" xr3:uid="{400CD1D0-4721-4578-8F43-14C9D994E275}" name="Column7494"/>
    <tableColumn id="7495" xr3:uid="{E789D3FE-AA5F-452D-AEDF-5C082FED8218}" name="Column7495"/>
    <tableColumn id="7496" xr3:uid="{6D3C20F4-AE2D-4DE5-9AAF-B43683BBB30F}" name="Column7496"/>
    <tableColumn id="7497" xr3:uid="{0A93B79E-4CAB-4B8D-A21A-92064E38DF77}" name="Column7497"/>
    <tableColumn id="7498" xr3:uid="{0FABB540-0EB7-431F-9221-D6D942390AE3}" name="Column7498"/>
    <tableColumn id="7499" xr3:uid="{CFD6962E-2946-4C27-93AD-ED8E144CE92F}" name="Column7499"/>
    <tableColumn id="7500" xr3:uid="{96D1E0F0-C3E5-4FD8-8DA3-62D2F7A80357}" name="Column7500"/>
    <tableColumn id="7501" xr3:uid="{B607189F-11AF-4BB0-9CF5-C755D85C4D10}" name="Column7501"/>
    <tableColumn id="7502" xr3:uid="{18DFFC4E-E1CD-44FF-8E82-071EFEB1DEEB}" name="Column7502"/>
    <tableColumn id="7503" xr3:uid="{D98ECECA-E1BA-4BA4-A969-5278E2D9BF2B}" name="Column7503"/>
    <tableColumn id="7504" xr3:uid="{6A76EBB6-420A-4FDB-91D4-F3CA21243E43}" name="Column7504"/>
    <tableColumn id="7505" xr3:uid="{BF19F601-C238-414F-837B-016FB9E078F2}" name="Column7505"/>
    <tableColumn id="7506" xr3:uid="{6563B530-83EA-4465-BB6C-3F7A4F113DD9}" name="Column7506"/>
    <tableColumn id="7507" xr3:uid="{1F9D16B2-2813-4A2D-AD77-EAFFF6EF3C8F}" name="Column7507"/>
    <tableColumn id="7508" xr3:uid="{9CA40878-447A-4F55-891A-600FCD0A63AA}" name="Column7508"/>
    <tableColumn id="7509" xr3:uid="{F09B7D0A-556B-4C83-9DD2-C23BB4930D86}" name="Column7509"/>
    <tableColumn id="7510" xr3:uid="{3C3B24C1-8996-43E3-AF15-533D22A12A97}" name="Column7510"/>
    <tableColumn id="7511" xr3:uid="{E0EA5C50-2AE5-4CC4-9DD6-703CCCBCB2C8}" name="Column7511"/>
    <tableColumn id="7512" xr3:uid="{186B7276-54CE-4C20-89DF-528B86C6081F}" name="Column7512"/>
    <tableColumn id="7513" xr3:uid="{D0C75AC7-82FA-401F-9A39-B83DF4C325DB}" name="Column7513"/>
    <tableColumn id="7514" xr3:uid="{F84375C0-A950-44AF-95B4-5E871952739E}" name="Column7514"/>
    <tableColumn id="7515" xr3:uid="{B593E729-8698-49B2-8C0D-0DE13E9B89C5}" name="Column7515"/>
    <tableColumn id="7516" xr3:uid="{3391AC4D-C7B3-482E-BEF0-C16FE4B0436E}" name="Column7516"/>
    <tableColumn id="7517" xr3:uid="{54D6AEBB-B9EA-43EF-9D89-9072C1B140A8}" name="Column7517"/>
    <tableColumn id="7518" xr3:uid="{76B87537-D8B7-47C6-91C3-F1A243D8B524}" name="Column7518"/>
    <tableColumn id="7519" xr3:uid="{55183419-8800-4331-834A-A88155235DC0}" name="Column7519"/>
    <tableColumn id="7520" xr3:uid="{DBC8942F-945A-4AB6-A249-C343177FE911}" name="Column7520"/>
    <tableColumn id="7521" xr3:uid="{4D8DC723-C2A7-450F-9674-5B15C0720180}" name="Column7521"/>
    <tableColumn id="7522" xr3:uid="{B407159B-73FE-458F-9983-CEAECB58C8EF}" name="Column7522"/>
    <tableColumn id="7523" xr3:uid="{29DEF5BD-D498-41B5-B4E7-E506ACD36F72}" name="Column7523"/>
    <tableColumn id="7524" xr3:uid="{D05D6D4C-61C8-4DB6-868B-2C59EAE178B4}" name="Column7524"/>
    <tableColumn id="7525" xr3:uid="{D30A29D5-7BF9-4D0C-A125-6C7703C8DF9A}" name="Column7525"/>
    <tableColumn id="7526" xr3:uid="{ED44D7BA-4BA9-49E5-99BF-AD9F0B8E3DE8}" name="Column7526"/>
    <tableColumn id="7527" xr3:uid="{8EFE0EF8-DBA3-408B-B60C-5987A136BB2F}" name="Column7527"/>
    <tableColumn id="7528" xr3:uid="{856BF5B8-88E7-4E37-8543-F4F915C16450}" name="Column7528"/>
    <tableColumn id="7529" xr3:uid="{71A6F2E3-1404-497E-B051-5F7B4EE62278}" name="Column7529"/>
    <tableColumn id="7530" xr3:uid="{2A678477-FE79-4AF0-AF39-3B2F8470159F}" name="Column7530"/>
    <tableColumn id="7531" xr3:uid="{D41AD7A8-E310-425A-9164-0E0E3CD1839E}" name="Column7531"/>
    <tableColumn id="7532" xr3:uid="{4863BF5E-2338-4C12-9F80-6BBAA1003A30}" name="Column7532"/>
    <tableColumn id="7533" xr3:uid="{86E7CEDF-4C3F-425D-BDC5-E75392018037}" name="Column7533"/>
    <tableColumn id="7534" xr3:uid="{41CBAED4-FA0D-4CF8-897C-9D476CA9EAA2}" name="Column7534"/>
    <tableColumn id="7535" xr3:uid="{12AB4BF0-89F8-482D-A6EE-886222F6B8B4}" name="Column7535"/>
    <tableColumn id="7536" xr3:uid="{C1BB7468-CA51-4D43-BED7-72C99320CF98}" name="Column7536"/>
    <tableColumn id="7537" xr3:uid="{8CB026A4-E44B-4D22-B7A7-5A30C52D709D}" name="Column7537"/>
    <tableColumn id="7538" xr3:uid="{CD55DA50-BA74-420D-8CA9-BD0F07A0C36A}" name="Column7538"/>
    <tableColumn id="7539" xr3:uid="{EF2B25BE-A2CA-4B7B-BAFF-6949F15FB86E}" name="Column7539"/>
    <tableColumn id="7540" xr3:uid="{3690EB34-2249-4909-A208-090AB4F12534}" name="Column7540"/>
    <tableColumn id="7541" xr3:uid="{056A931A-EE7E-47A5-A4D1-CD5FF04E54DC}" name="Column7541"/>
    <tableColumn id="7542" xr3:uid="{A651E926-1F9D-4BD2-8DC0-06BFAD582534}" name="Column7542"/>
    <tableColumn id="7543" xr3:uid="{8384E80E-85F2-4183-A14F-233860F24F30}" name="Column7543"/>
    <tableColumn id="7544" xr3:uid="{2C013954-F6D0-4DD0-9E19-CE4A52640FEC}" name="Column7544"/>
    <tableColumn id="7545" xr3:uid="{77E09BCC-9401-4589-AE2D-75A2D6EC2356}" name="Column7545"/>
    <tableColumn id="7546" xr3:uid="{01BC1ED9-5869-4549-82CB-9400B0F3A3E3}" name="Column7546"/>
    <tableColumn id="7547" xr3:uid="{286A0803-7C4A-41C1-B868-A094DBA94AD3}" name="Column7547"/>
    <tableColumn id="7548" xr3:uid="{0E4FA17F-5BEB-4DB1-9927-C59545E01D51}" name="Column7548"/>
    <tableColumn id="7549" xr3:uid="{AC51AC07-37B9-4015-873B-B5CE62D62174}" name="Column7549"/>
    <tableColumn id="7550" xr3:uid="{914C3E25-296F-4C75-B577-098A9A974360}" name="Column7550"/>
    <tableColumn id="7551" xr3:uid="{8437EA55-9549-4261-87F3-EBD9072BCC5B}" name="Column7551"/>
    <tableColumn id="7552" xr3:uid="{0251C106-8C1B-4978-B0FB-07B32BDA04D8}" name="Column7552"/>
    <tableColumn id="7553" xr3:uid="{4B693BCB-667B-4F06-B442-2B4C7C99DC38}" name="Column7553"/>
    <tableColumn id="7554" xr3:uid="{8FD1C111-9F5D-499E-A46C-0E76FA31E299}" name="Column7554"/>
    <tableColumn id="7555" xr3:uid="{505227BC-F97F-40E3-BD7F-302433FE1C33}" name="Column7555"/>
    <tableColumn id="7556" xr3:uid="{F28413AC-8BFD-459F-9D6E-4649810809FA}" name="Column7556"/>
    <tableColumn id="7557" xr3:uid="{5B9754A4-1D3D-435F-9C77-1AE3EF89752C}" name="Column7557"/>
    <tableColumn id="7558" xr3:uid="{46309A79-14FA-4798-B32D-9242E99CA32C}" name="Column7558"/>
    <tableColumn id="7559" xr3:uid="{76D92917-0C4C-4888-9EA0-4496F8995ED6}" name="Column7559"/>
    <tableColumn id="7560" xr3:uid="{7272C1CD-7BA2-401E-9E6A-361360506605}" name="Column7560"/>
    <tableColumn id="7561" xr3:uid="{9221DB2E-6C1D-40C6-9943-061946B90874}" name="Column7561"/>
    <tableColumn id="7562" xr3:uid="{B7795652-C4F5-4116-B07C-D2D90F8DDCF2}" name="Column7562"/>
    <tableColumn id="7563" xr3:uid="{0AA6A335-637B-4115-84B1-25EED558B647}" name="Column7563"/>
    <tableColumn id="7564" xr3:uid="{988BD869-6DE4-4B46-99E1-25C63334B34B}" name="Column7564"/>
    <tableColumn id="7565" xr3:uid="{61A7D35E-BF04-4601-B86D-E76B4C2A76A3}" name="Column7565"/>
    <tableColumn id="7566" xr3:uid="{B21D1873-5473-49AA-B7DD-1D34DF7CFC3D}" name="Column7566"/>
    <tableColumn id="7567" xr3:uid="{80E26115-D0F7-486C-95F8-4C5E497CFD6A}" name="Column7567"/>
    <tableColumn id="7568" xr3:uid="{2129EF22-2BFF-4432-8004-F0D8F79C85A5}" name="Column7568"/>
    <tableColumn id="7569" xr3:uid="{959C9265-6102-420A-943A-92D979433275}" name="Column7569"/>
    <tableColumn id="7570" xr3:uid="{91D32DBE-5298-476A-B4FA-08C9E2B9B839}" name="Column7570"/>
    <tableColumn id="7571" xr3:uid="{A7F15781-DCA9-472C-BDE1-5013A4C1A880}" name="Column7571"/>
    <tableColumn id="7572" xr3:uid="{D45F7F4B-0425-4014-A4AD-86B06AEE8DD2}" name="Column7572"/>
    <tableColumn id="7573" xr3:uid="{BD039D1E-35D4-4906-B942-F9DD990280DE}" name="Column7573"/>
    <tableColumn id="7574" xr3:uid="{F5B14A66-E7C0-4C6A-B3CC-2FD817BDAB72}" name="Column7574"/>
    <tableColumn id="7575" xr3:uid="{D6AC17A8-1B2A-4F77-A966-F5EDAF4A7A4C}" name="Column7575"/>
    <tableColumn id="7576" xr3:uid="{8D716B62-1BEE-4E91-8B3C-54D21DE1FEC7}" name="Column7576"/>
    <tableColumn id="7577" xr3:uid="{DD149D2E-7519-42BE-96E2-4A6E20315882}" name="Column7577"/>
    <tableColumn id="7578" xr3:uid="{C78A0B23-EACA-43E2-B8C2-F764FB054A89}" name="Column7578"/>
    <tableColumn id="7579" xr3:uid="{9D219908-EC98-4534-9C25-D8ADB9F5C176}" name="Column7579"/>
    <tableColumn id="7580" xr3:uid="{F4C43E48-F9A1-4CBA-A3F3-7E180834AC15}" name="Column7580"/>
    <tableColumn id="7581" xr3:uid="{BA60ADE6-FAFC-4ED4-B0DF-95A6C82FD51F}" name="Column7581"/>
    <tableColumn id="7582" xr3:uid="{D2D31882-0578-44CC-B73E-F3AF5411E6D2}" name="Column7582"/>
    <tableColumn id="7583" xr3:uid="{88E222B5-2052-43F5-A6F7-54E165C02D5C}" name="Column7583"/>
    <tableColumn id="7584" xr3:uid="{7ABEF300-9D19-4159-A233-1463140D4238}" name="Column7584"/>
    <tableColumn id="7585" xr3:uid="{22974C29-D3CC-4A1B-8DBA-494C7ECB1975}" name="Column7585"/>
    <tableColumn id="7586" xr3:uid="{06B20D61-F0D8-43C2-8405-DCBEA184C407}" name="Column7586"/>
    <tableColumn id="7587" xr3:uid="{5B9980B8-8F53-49D9-A77E-F8AD7EE3A0E0}" name="Column7587"/>
    <tableColumn id="7588" xr3:uid="{41F03C3F-B9CE-4E5D-B043-DECFC7677D31}" name="Column7588"/>
    <tableColumn id="7589" xr3:uid="{D973DFFB-B7D1-49A8-9AB2-265B1B2BB509}" name="Column7589"/>
    <tableColumn id="7590" xr3:uid="{82A6BCAF-9F7A-41AF-80A7-9F6237954E9A}" name="Column7590"/>
    <tableColumn id="7591" xr3:uid="{AC9D28BC-4975-4835-9E4D-31FFE261E91F}" name="Column7591"/>
    <tableColumn id="7592" xr3:uid="{20236F49-A240-4F81-9AC1-AED9211BFA17}" name="Column7592"/>
    <tableColumn id="7593" xr3:uid="{0001204F-6689-483B-A8E9-29F18E78EAC1}" name="Column7593"/>
    <tableColumn id="7594" xr3:uid="{CEC430EF-6E1C-4164-8442-423F08E6BA55}" name="Column7594"/>
    <tableColumn id="7595" xr3:uid="{4BF12EAA-48FE-4181-A6A1-209FCE8EA0B7}" name="Column7595"/>
    <tableColumn id="7596" xr3:uid="{3CB3AB4C-89E7-4D70-82A7-6B0486A617D2}" name="Column7596"/>
    <tableColumn id="7597" xr3:uid="{1A6E363F-9C40-4BCC-8AF0-78A6389CBFAD}" name="Column7597"/>
    <tableColumn id="7598" xr3:uid="{67520154-435C-40FC-85AE-F633BA9DBC44}" name="Column7598"/>
    <tableColumn id="7599" xr3:uid="{E632DBD6-0B55-4719-8D26-BFD18C8B227A}" name="Column7599"/>
    <tableColumn id="7600" xr3:uid="{385CD287-9EC3-4A6F-B9ED-27BF8D3C00FD}" name="Column7600"/>
    <tableColumn id="7601" xr3:uid="{97FBC40B-EAC4-4309-A70A-9F71BCB23461}" name="Column7601"/>
    <tableColumn id="7602" xr3:uid="{5FAFF574-B041-4712-AC58-AD7304FD0256}" name="Column7602"/>
    <tableColumn id="7603" xr3:uid="{26A90BC3-5C13-4739-AA18-06F0F0C7E850}" name="Column7603"/>
    <tableColumn id="7604" xr3:uid="{F9409CB8-8466-407D-AD52-F66D55665617}" name="Column7604"/>
    <tableColumn id="7605" xr3:uid="{63AAD25D-7D7B-4F5D-BFE3-AC6555432FAC}" name="Column7605"/>
    <tableColumn id="7606" xr3:uid="{7B396BC6-D8E5-4266-91E0-4629C9D101C8}" name="Column7606"/>
    <tableColumn id="7607" xr3:uid="{7115635A-EC4A-4EE7-8B6C-9D0C351969E7}" name="Column7607"/>
    <tableColumn id="7608" xr3:uid="{5911F943-2318-48F7-8FAF-1235D0BABE04}" name="Column7608"/>
    <tableColumn id="7609" xr3:uid="{67140CE5-BC04-4408-991B-F45F676B4AA0}" name="Column7609"/>
    <tableColumn id="7610" xr3:uid="{069B2C3C-8691-4C6D-AB12-F54046ABDC58}" name="Column7610"/>
    <tableColumn id="7611" xr3:uid="{0802B90D-70D6-47E9-AA7B-3D878D2B95F3}" name="Column7611"/>
    <tableColumn id="7612" xr3:uid="{844582C0-1750-4244-985B-802B81F3D414}" name="Column7612"/>
    <tableColumn id="7613" xr3:uid="{6FA2CEF5-F52B-4AE7-9C06-CE0537EE8849}" name="Column7613"/>
    <tableColumn id="7614" xr3:uid="{0D483DE5-3237-4ED1-A3A8-3E80132BE154}" name="Column7614"/>
    <tableColumn id="7615" xr3:uid="{81AF8418-05B8-4A9B-96BA-9F18D587891E}" name="Column7615"/>
    <tableColumn id="7616" xr3:uid="{A9890235-BA73-4AAA-84FD-1E6F5378D1F4}" name="Column7616"/>
    <tableColumn id="7617" xr3:uid="{D6EEAA56-EFD4-4146-A8E7-65958AD1B7BA}" name="Column7617"/>
    <tableColumn id="7618" xr3:uid="{B026105A-6A40-4C9E-84C4-C2A10FB98029}" name="Column7618"/>
    <tableColumn id="7619" xr3:uid="{25A1BC7E-7F6F-42B0-85CC-3CF37EF4CC26}" name="Column7619"/>
    <tableColumn id="7620" xr3:uid="{786303EF-8C9F-4156-9271-49F372DDF69F}" name="Column7620"/>
    <tableColumn id="7621" xr3:uid="{03B855B0-8DF7-4315-BDBE-90E91D523586}" name="Column7621"/>
    <tableColumn id="7622" xr3:uid="{2B95C2C7-7CAF-4F41-935E-CC12A79985B4}" name="Column7622"/>
    <tableColumn id="7623" xr3:uid="{8C5C4637-710F-40A2-95AA-7D4515384277}" name="Column7623"/>
    <tableColumn id="7624" xr3:uid="{0384A551-BF39-47FF-9E8D-0F65360449A9}" name="Column7624"/>
    <tableColumn id="7625" xr3:uid="{64B73690-12C7-4E75-9CB1-72AB58523D4A}" name="Column7625"/>
    <tableColumn id="7626" xr3:uid="{0495002D-41E3-4E00-97E6-F36FE817E5FA}" name="Column7626"/>
    <tableColumn id="7627" xr3:uid="{25201B80-1D97-4910-BE4D-C0BAD8B1044A}" name="Column7627"/>
    <tableColumn id="7628" xr3:uid="{BEB3EAD1-587D-4AC0-A3D0-18CD0689FB4A}" name="Column7628"/>
    <tableColumn id="7629" xr3:uid="{1C389523-4BA0-49A3-B5D3-A7258F23EBCF}" name="Column7629"/>
    <tableColumn id="7630" xr3:uid="{AEE93083-9DE4-4013-912B-BB44EB4D0DC9}" name="Column7630"/>
    <tableColumn id="7631" xr3:uid="{21D5BCBC-E1D7-4493-AF41-FFC740E2C802}" name="Column7631"/>
    <tableColumn id="7632" xr3:uid="{2499BF57-781B-499A-9E47-C98CDC7A8EAD}" name="Column7632"/>
    <tableColumn id="7633" xr3:uid="{736C108F-9D1C-40A9-9163-6F938B308252}" name="Column7633"/>
    <tableColumn id="7634" xr3:uid="{C396A941-44CE-44B3-B070-3F41F6D393A4}" name="Column7634"/>
    <tableColumn id="7635" xr3:uid="{72B86A26-E8E0-47CB-AD73-146B94A3F7D8}" name="Column7635"/>
    <tableColumn id="7636" xr3:uid="{1B65A441-C1D0-45AF-A887-687304D79614}" name="Column7636"/>
    <tableColumn id="7637" xr3:uid="{C0062499-C461-4437-8C12-AECCC05DE54D}" name="Column7637"/>
    <tableColumn id="7638" xr3:uid="{0F35FE48-A63C-4569-9C18-3A4954231459}" name="Column7638"/>
    <tableColumn id="7639" xr3:uid="{7BE54DBD-6EF1-49DB-A920-6041C21950B4}" name="Column7639"/>
    <tableColumn id="7640" xr3:uid="{0E8834BB-0D95-4A60-86F6-57ADAE60A18A}" name="Column7640"/>
    <tableColumn id="7641" xr3:uid="{39013549-E50F-470D-A1A1-1FAC94A8A985}" name="Column7641"/>
    <tableColumn id="7642" xr3:uid="{7CA5A53C-1B5B-4269-8683-0D6D430BC655}" name="Column7642"/>
    <tableColumn id="7643" xr3:uid="{7503074B-1EC5-46A4-BC08-7E20AE9EC174}" name="Column7643"/>
    <tableColumn id="7644" xr3:uid="{F0E853B8-0A26-4DB9-84E8-DE187ECC9DCF}" name="Column7644"/>
    <tableColumn id="7645" xr3:uid="{CDB7A6DC-F475-40BA-BB77-715CCA6053F3}" name="Column7645"/>
    <tableColumn id="7646" xr3:uid="{C9C9354A-06C7-4BD2-94AA-13BC1180F21C}" name="Column7646"/>
    <tableColumn id="7647" xr3:uid="{162C1933-0353-4D33-84F3-AB5133D2ADA1}" name="Column7647"/>
    <tableColumn id="7648" xr3:uid="{EAEC9ECB-D095-4CD5-B248-55D2AC46D559}" name="Column7648"/>
    <tableColumn id="7649" xr3:uid="{60290F63-41ED-4B8E-B264-5151DC8AF3CA}" name="Column7649"/>
    <tableColumn id="7650" xr3:uid="{73046B19-0D18-4DAC-95ED-A47262FCC3BB}" name="Column7650"/>
    <tableColumn id="7651" xr3:uid="{85ED4591-4F62-4E48-9244-CE62D7973A00}" name="Column7651"/>
    <tableColumn id="7652" xr3:uid="{F085381D-5D3C-4AB5-A73E-2AD777B2DE64}" name="Column7652"/>
    <tableColumn id="7653" xr3:uid="{573DF454-0894-4AAA-9798-3140A8210418}" name="Column7653"/>
    <tableColumn id="7654" xr3:uid="{B5FEEA08-711D-4794-9EC7-DCB97F4BA81F}" name="Column7654"/>
    <tableColumn id="7655" xr3:uid="{881F478D-0558-4126-82C4-CA7FCADC285D}" name="Column7655"/>
    <tableColumn id="7656" xr3:uid="{ED79D316-0B17-48FD-BFCB-4383D0A80CCA}" name="Column7656"/>
    <tableColumn id="7657" xr3:uid="{32846BCA-FDA6-4B11-AE43-EB8B8B488CC2}" name="Column7657"/>
    <tableColumn id="7658" xr3:uid="{3375FF49-655F-4D6F-A485-FB917259EEF8}" name="Column7658"/>
    <tableColumn id="7659" xr3:uid="{EEF28B9D-665E-45EA-8F37-B6B325DD090A}" name="Column7659"/>
    <tableColumn id="7660" xr3:uid="{4CE81788-C24E-47D1-B489-6FFF3AE9D5B4}" name="Column7660"/>
    <tableColumn id="7661" xr3:uid="{3EA5F29E-4DDD-45CD-BD47-462024CE2114}" name="Column7661"/>
    <tableColumn id="7662" xr3:uid="{5D6BFACB-EEAF-4F68-B931-32B8786F8325}" name="Column7662"/>
    <tableColumn id="7663" xr3:uid="{42B6B02A-C528-49BC-A6B6-112489AA4A21}" name="Column7663"/>
    <tableColumn id="7664" xr3:uid="{5BC99CEE-EB3C-4C84-ABFE-2516326ECD9E}" name="Column7664"/>
    <tableColumn id="7665" xr3:uid="{46F6E137-BB12-40B4-81F5-C45C4136B63C}" name="Column7665"/>
    <tableColumn id="7666" xr3:uid="{0F0D329C-8669-422D-A9D9-A774C184D094}" name="Column7666"/>
    <tableColumn id="7667" xr3:uid="{CF383C6E-BE64-4265-9C06-B3E490BEB666}" name="Column7667"/>
    <tableColumn id="7668" xr3:uid="{F88C5BBF-B3A4-48D5-9157-8A17122F2CC3}" name="Column7668"/>
    <tableColumn id="7669" xr3:uid="{C3F27726-4766-4D2F-B337-08E816704E6F}" name="Column7669"/>
    <tableColumn id="7670" xr3:uid="{412B13FD-AFB6-4B71-AF04-3B48DAA13B45}" name="Column7670"/>
    <tableColumn id="7671" xr3:uid="{9059E754-BF49-4255-A2F6-8A81272E59CF}" name="Column7671"/>
    <tableColumn id="7672" xr3:uid="{C6800A83-D55E-4C58-857C-89A2B9E99A18}" name="Column7672"/>
    <tableColumn id="7673" xr3:uid="{E7467959-08D4-4013-BF10-402D3849D97E}" name="Column7673"/>
    <tableColumn id="7674" xr3:uid="{32E6AEBE-A01E-468D-B47A-B2D3F5586A42}" name="Column7674"/>
    <tableColumn id="7675" xr3:uid="{374FBA2A-502E-4F88-9CF0-C2798D6A46C2}" name="Column7675"/>
    <tableColumn id="7676" xr3:uid="{E6A9157C-EB00-40D9-A597-400E90A117AB}" name="Column7676"/>
    <tableColumn id="7677" xr3:uid="{BFCA11DD-E38F-4AD3-9195-6E3C886105EA}" name="Column7677"/>
    <tableColumn id="7678" xr3:uid="{813F38F8-2C00-4990-ABCC-2593B67C19C6}" name="Column7678"/>
    <tableColumn id="7679" xr3:uid="{8752D301-1645-4102-AAC7-0A5566EE47DA}" name="Column7679"/>
    <tableColumn id="7680" xr3:uid="{E2617A3E-5C9E-4CC2-9087-403736D3408E}" name="Column7680"/>
    <tableColumn id="7681" xr3:uid="{2080A0A4-93FC-4535-9B6B-F4C165B45197}" name="Column7681"/>
    <tableColumn id="7682" xr3:uid="{BAA6A876-ED01-4B03-B1E5-E9BA39E48199}" name="Column7682"/>
    <tableColumn id="7683" xr3:uid="{17192D43-2DA1-4A3F-BDC1-184D5F0290B5}" name="Column7683"/>
    <tableColumn id="7684" xr3:uid="{EA2B4CDF-4166-43A0-845E-165D1B162469}" name="Column7684"/>
    <tableColumn id="7685" xr3:uid="{264BDE4F-EEF8-4C94-AB12-2224E2CAB5DE}" name="Column7685"/>
    <tableColumn id="7686" xr3:uid="{B064F5D5-57D0-4AAC-B696-8186EBE2F2BA}" name="Column7686"/>
    <tableColumn id="7687" xr3:uid="{57BC07A9-F635-42F0-AEF6-C4FB15ECDD27}" name="Column7687"/>
    <tableColumn id="7688" xr3:uid="{41B295A9-C3ED-4981-B1A2-6A336A55A106}" name="Column7688"/>
    <tableColumn id="7689" xr3:uid="{C4FCB9BF-FE3F-48C6-B96B-70F5FAB0A349}" name="Column7689"/>
    <tableColumn id="7690" xr3:uid="{E99BF6A2-F1FE-4595-8394-49419673DA94}" name="Column7690"/>
    <tableColumn id="7691" xr3:uid="{D63F14E5-636F-441D-B417-BE731AF2F940}" name="Column7691"/>
    <tableColumn id="7692" xr3:uid="{C8D08FCD-5ED1-48B9-B6C9-DF7538B195EE}" name="Column7692"/>
    <tableColumn id="7693" xr3:uid="{88AD569E-DFA4-4B1B-86C6-0992E8DDD1FD}" name="Column7693"/>
    <tableColumn id="7694" xr3:uid="{837C751D-00FB-4FBD-AC80-1AA66FD4FC40}" name="Column7694"/>
    <tableColumn id="7695" xr3:uid="{78536B94-820C-4C23-9164-D3E07CF41045}" name="Column7695"/>
    <tableColumn id="7696" xr3:uid="{4CC46B2C-A707-44A0-9284-2AF7A6FD197F}" name="Column7696"/>
    <tableColumn id="7697" xr3:uid="{7FCEBADB-2043-495C-8BD6-B07EF14DFF1E}" name="Column7697"/>
    <tableColumn id="7698" xr3:uid="{C13FBE53-896D-4549-A08B-62202BB6BF4B}" name="Column7698"/>
    <tableColumn id="7699" xr3:uid="{2DD7DF45-77F2-451A-ACDF-F17CB42042F1}" name="Column7699"/>
    <tableColumn id="7700" xr3:uid="{E8387139-231C-4BBA-894B-0D3F505D2D16}" name="Column7700"/>
    <tableColumn id="7701" xr3:uid="{826A4381-6D2A-4986-BB8D-D4A4D7EFDE66}" name="Column7701"/>
    <tableColumn id="7702" xr3:uid="{41FB9CAE-499C-4C8C-856B-0083247451F0}" name="Column7702"/>
    <tableColumn id="7703" xr3:uid="{A8A2ED1A-6B9F-41E3-B855-DF3D16808D2A}" name="Column7703"/>
    <tableColumn id="7704" xr3:uid="{EFE7C930-9F0C-4004-ACB7-86F2F1D38938}" name="Column7704"/>
    <tableColumn id="7705" xr3:uid="{C7AE3327-378D-44CE-9227-210DAD683D87}" name="Column7705"/>
    <tableColumn id="7706" xr3:uid="{D0333AC4-BD3E-43A5-950D-DDA33C3B48CB}" name="Column7706"/>
    <tableColumn id="7707" xr3:uid="{FEF1B87A-08C9-410B-8CEE-F3B6AD2614AF}" name="Column7707"/>
    <tableColumn id="7708" xr3:uid="{2085736C-F841-4630-9545-EA53C4319791}" name="Column7708"/>
    <tableColumn id="7709" xr3:uid="{F1697216-798B-4A97-B9B0-67715F63BDC7}" name="Column7709"/>
    <tableColumn id="7710" xr3:uid="{7EAD0337-8A91-4E8D-B213-245522AAE3B5}" name="Column7710"/>
    <tableColumn id="7711" xr3:uid="{FB7D3E10-C773-4475-AC40-EBCF87D9DBE4}" name="Column7711"/>
    <tableColumn id="7712" xr3:uid="{1314EC04-5155-431E-A6BD-3DF2E83FE3DB}" name="Column7712"/>
    <tableColumn id="7713" xr3:uid="{59E00B22-F0F3-4823-AF80-C027CCA71D84}" name="Column7713"/>
    <tableColumn id="7714" xr3:uid="{ED114DB4-187C-4226-80CB-673F99242D90}" name="Column7714"/>
    <tableColumn id="7715" xr3:uid="{E7FB9FA5-3FA4-42ED-995A-A1927C9211D4}" name="Column7715"/>
    <tableColumn id="7716" xr3:uid="{8AABCC7F-2A14-4AF2-B4FF-776E0A69A8CC}" name="Column7716"/>
    <tableColumn id="7717" xr3:uid="{408DA320-2641-4668-A9E8-6C1EBFF02E02}" name="Column7717"/>
    <tableColumn id="7718" xr3:uid="{83B653DA-EEBF-44A2-A263-966CCE9351D3}" name="Column7718"/>
    <tableColumn id="7719" xr3:uid="{0D65BB0B-CB12-422D-A8F1-A43C9B62F4AC}" name="Column7719"/>
    <tableColumn id="7720" xr3:uid="{A689FC33-E984-4649-8300-43DD1BA10BC0}" name="Column7720"/>
    <tableColumn id="7721" xr3:uid="{5D9E8694-134F-4EA2-913D-CE45CECA6DEC}" name="Column7721"/>
    <tableColumn id="7722" xr3:uid="{601C8AD3-3839-4FDC-8628-189D0DD92DDF}" name="Column7722"/>
    <tableColumn id="7723" xr3:uid="{237AA4CA-1874-437A-AAEE-B4D428C33608}" name="Column7723"/>
    <tableColumn id="7724" xr3:uid="{7F0C72E3-EDA5-4CC9-A0BA-453DF607E0E1}" name="Column7724"/>
    <tableColumn id="7725" xr3:uid="{84E76B82-2F69-4E75-A289-4EFB9E1F156B}" name="Column7725"/>
    <tableColumn id="7726" xr3:uid="{305E19C0-6F27-4BB9-B3D8-FE1E8A1EE722}" name="Column7726"/>
    <tableColumn id="7727" xr3:uid="{1C3EF5ED-418A-446F-8866-67F473CE6C4C}" name="Column7727"/>
    <tableColumn id="7728" xr3:uid="{7F2445AE-66BE-491E-81C4-0835BAD47588}" name="Column7728"/>
    <tableColumn id="7729" xr3:uid="{EC7C71B7-6A2C-4683-9B47-F12171C06F84}" name="Column7729"/>
    <tableColumn id="7730" xr3:uid="{ED628131-766E-434B-87D4-CDEB29C67213}" name="Column7730"/>
    <tableColumn id="7731" xr3:uid="{48A6BF66-B61C-4B78-8819-BC934C72EF78}" name="Column7731"/>
    <tableColumn id="7732" xr3:uid="{59537B9B-765D-4AE7-A09D-A378F6422277}" name="Column7732"/>
    <tableColumn id="7733" xr3:uid="{8A29751E-CEB5-4A3F-9165-35DF4C91A711}" name="Column7733"/>
    <tableColumn id="7734" xr3:uid="{55D3293C-370F-4AE0-B607-80C573088180}" name="Column7734"/>
    <tableColumn id="7735" xr3:uid="{EB847FB9-F795-4D43-8AB0-76F300999411}" name="Column7735"/>
    <tableColumn id="7736" xr3:uid="{1D2A69CC-0ACF-484A-919D-F25F13962AA9}" name="Column7736"/>
    <tableColumn id="7737" xr3:uid="{E3D6EDF3-DD4F-4A2D-8E2A-63D42ABABE22}" name="Column7737"/>
    <tableColumn id="7738" xr3:uid="{A6B63F7B-89A9-4457-8AC7-56253D7A6D58}" name="Column7738"/>
    <tableColumn id="7739" xr3:uid="{B5CE84FF-0098-4015-A4D6-9787408BA7DE}" name="Column7739"/>
    <tableColumn id="7740" xr3:uid="{0AF232C0-9415-4B7C-AAE1-99F7F0D64B16}" name="Column7740"/>
    <tableColumn id="7741" xr3:uid="{5D1BE232-6288-42DF-AFF6-1C75E19D7B4C}" name="Column7741"/>
    <tableColumn id="7742" xr3:uid="{12B98302-78D6-4674-A67E-E9A6E5DBC72C}" name="Column7742"/>
    <tableColumn id="7743" xr3:uid="{993EF191-1BA0-47A7-9022-DD87D5813241}" name="Column7743"/>
    <tableColumn id="7744" xr3:uid="{760CD7FC-3B34-4F16-AEAF-27DBF4F1BEA1}" name="Column7744"/>
    <tableColumn id="7745" xr3:uid="{47DD443A-5310-445C-B4ED-23490896ACBA}" name="Column7745"/>
    <tableColumn id="7746" xr3:uid="{A0E78541-C871-408C-9886-345EB6F0717F}" name="Column7746"/>
    <tableColumn id="7747" xr3:uid="{17403FDD-FEBC-41F0-9A53-EB16AE8703AF}" name="Column7747"/>
    <tableColumn id="7748" xr3:uid="{EAFAA9B3-C596-454E-93AD-0603BD651D23}" name="Column7748"/>
    <tableColumn id="7749" xr3:uid="{15E4F206-B260-47B0-A7F2-0265CAA506BE}" name="Column7749"/>
    <tableColumn id="7750" xr3:uid="{CB3AD653-D890-4146-8A6D-FB0A2B2EEFDC}" name="Column7750"/>
    <tableColumn id="7751" xr3:uid="{E3DE16B2-6A19-4185-A8BB-723EC037086C}" name="Column7751"/>
    <tableColumn id="7752" xr3:uid="{152BB028-962F-4AA8-BA69-A012B29BDB4B}" name="Column7752"/>
    <tableColumn id="7753" xr3:uid="{9B8ECCC6-E052-4AF3-A58E-EFFA8E7576DA}" name="Column7753"/>
    <tableColumn id="7754" xr3:uid="{5A7ED900-AA55-48E2-B7E7-864D046C371B}" name="Column7754"/>
    <tableColumn id="7755" xr3:uid="{DCD3692F-292C-4E33-8730-F268A52F7CDE}" name="Column7755"/>
    <tableColumn id="7756" xr3:uid="{8FDCD0C3-4C96-446F-AC94-DFBD13AC5099}" name="Column7756"/>
    <tableColumn id="7757" xr3:uid="{90A30A61-D0DA-4D97-8267-E24B7902544E}" name="Column7757"/>
    <tableColumn id="7758" xr3:uid="{42F61901-DFCB-4761-9BAA-A6ACA668499E}" name="Column7758"/>
    <tableColumn id="7759" xr3:uid="{C810CD7A-20C0-454C-8E89-EF6B5C83D8B4}" name="Column7759"/>
    <tableColumn id="7760" xr3:uid="{BE566B63-9B34-4CCF-9E39-D82D287FE6EA}" name="Column7760"/>
    <tableColumn id="7761" xr3:uid="{1B65405A-1E36-46DC-B5D8-8A959AEA9EC2}" name="Column7761"/>
    <tableColumn id="7762" xr3:uid="{CEA6B11F-CB81-47F4-9DDD-FFCDD985DFFA}" name="Column7762"/>
    <tableColumn id="7763" xr3:uid="{D7876285-C4B1-4984-9771-AA8DA3CBA036}" name="Column7763"/>
    <tableColumn id="7764" xr3:uid="{C27C53DE-A397-4780-8456-8F02814FCB5B}" name="Column7764"/>
    <tableColumn id="7765" xr3:uid="{920CE4B1-FA9A-4D6C-9352-E518F6BCC74D}" name="Column7765"/>
    <tableColumn id="7766" xr3:uid="{FFD6BB00-E891-48E2-AEE4-7684E8A55C67}" name="Column7766"/>
    <tableColumn id="7767" xr3:uid="{51F2252B-9ED6-4B77-9788-83D783B11BB0}" name="Column7767"/>
    <tableColumn id="7768" xr3:uid="{E44C3651-4F69-4B69-8969-FA7C15EB915B}" name="Column7768"/>
    <tableColumn id="7769" xr3:uid="{EEAFD5AA-6EC9-4749-A810-C54734000B43}" name="Column7769"/>
    <tableColumn id="7770" xr3:uid="{9D793E5F-FDDC-4BB3-A9C5-6AD81ACFAB76}" name="Column7770"/>
    <tableColumn id="7771" xr3:uid="{2C81DA2F-9BE1-467D-B043-A6FFD4565938}" name="Column7771"/>
    <tableColumn id="7772" xr3:uid="{917CF2F6-36D8-49B7-BA0B-C59C4C1664FE}" name="Column7772"/>
    <tableColumn id="7773" xr3:uid="{CA38C6D3-9E57-4BB9-8BF4-653B50F2833B}" name="Column7773"/>
    <tableColumn id="7774" xr3:uid="{738BA346-C03C-423E-B707-606E449E1E57}" name="Column7774"/>
    <tableColumn id="7775" xr3:uid="{E185D5C9-BE0B-41DB-88F8-942249382E97}" name="Column7775"/>
    <tableColumn id="7776" xr3:uid="{16433DF9-F8E9-4534-AEEC-171909352E75}" name="Column7776"/>
    <tableColumn id="7777" xr3:uid="{056E6506-75EF-447E-A0AE-DC1759920A92}" name="Column7777"/>
    <tableColumn id="7778" xr3:uid="{421EA2B1-A8FD-44CB-8C06-B3D603A1E988}" name="Column7778"/>
    <tableColumn id="7779" xr3:uid="{9B10B50C-1C24-49BF-9087-2CC011C9F9E8}" name="Column7779"/>
    <tableColumn id="7780" xr3:uid="{B04AA635-8E19-4F58-9666-7C961988E031}" name="Column7780"/>
    <tableColumn id="7781" xr3:uid="{41C46FBA-8CC5-4DF6-82F7-E61F3AEDD113}" name="Column7781"/>
    <tableColumn id="7782" xr3:uid="{C046B83E-A955-41C0-ACEB-BE784693FCA5}" name="Column7782"/>
    <tableColumn id="7783" xr3:uid="{EB8AB85A-82C3-4BB0-A2B7-99A7946A1648}" name="Column7783"/>
    <tableColumn id="7784" xr3:uid="{31115E63-8D67-45DB-A9E6-7490C0C678AF}" name="Column7784"/>
    <tableColumn id="7785" xr3:uid="{592F989C-D758-4F84-AB27-8AD6FC62C644}" name="Column7785"/>
    <tableColumn id="7786" xr3:uid="{72106A6A-4356-4926-9918-F6B051C01B67}" name="Column7786"/>
    <tableColumn id="7787" xr3:uid="{FF61E46C-7942-480F-9637-D329A66B0101}" name="Column7787"/>
    <tableColumn id="7788" xr3:uid="{70A05D67-3751-48DE-BC40-29ADC44EF54F}" name="Column7788"/>
    <tableColumn id="7789" xr3:uid="{C37F4349-A3EA-4275-AD20-77DCF24E9CF2}" name="Column7789"/>
    <tableColumn id="7790" xr3:uid="{CD4BDA90-CDD1-41E5-8DF9-7B80C316A04E}" name="Column7790"/>
    <tableColumn id="7791" xr3:uid="{43E03A3F-492F-4373-B832-E859A0BFCED6}" name="Column7791"/>
    <tableColumn id="7792" xr3:uid="{95F6A7DD-03AB-4951-8CD9-EF4816DD8F3C}" name="Column7792"/>
    <tableColumn id="7793" xr3:uid="{AA55B1A1-A441-438E-8321-15E31E8DF57D}" name="Column7793"/>
    <tableColumn id="7794" xr3:uid="{21562640-7029-4D20-91DB-B28A5B906B4A}" name="Column7794"/>
    <tableColumn id="7795" xr3:uid="{41F49225-9307-4598-9E21-95C69CF75803}" name="Column7795"/>
    <tableColumn id="7796" xr3:uid="{AD65D6CA-CA65-4C12-849E-041CAA146579}" name="Column7796"/>
    <tableColumn id="7797" xr3:uid="{1FD2B79E-4B51-41F2-B1AD-1BC1BD497F5E}" name="Column7797"/>
    <tableColumn id="7798" xr3:uid="{7AC66F1A-61CE-41AA-9D92-23A45B79A5D8}" name="Column7798"/>
    <tableColumn id="7799" xr3:uid="{36A5053B-9747-40F5-9F8D-55575679A6CA}" name="Column7799"/>
    <tableColumn id="7800" xr3:uid="{BBA8AC93-F3C8-4312-98FC-38274408413A}" name="Column7800"/>
    <tableColumn id="7801" xr3:uid="{115E77AB-7519-4F86-8055-04678C47C2E8}" name="Column7801"/>
    <tableColumn id="7802" xr3:uid="{58590887-7D07-4ACE-BDA9-94D232E97C46}" name="Column7802"/>
    <tableColumn id="7803" xr3:uid="{DC67E18C-E7AD-4F5A-837D-79D9A1EFAC13}" name="Column7803"/>
    <tableColumn id="7804" xr3:uid="{E3D25BE4-3AD8-4E05-AF2E-5471425EBC0A}" name="Column7804"/>
    <tableColumn id="7805" xr3:uid="{58F59A56-3438-42B5-B054-62EA624FC221}" name="Column7805"/>
    <tableColumn id="7806" xr3:uid="{E56E5AC4-FD46-4567-8C92-208D27F49BAA}" name="Column7806"/>
    <tableColumn id="7807" xr3:uid="{797AB1CF-3A72-47B6-A96D-E8ECE83FA021}" name="Column7807"/>
    <tableColumn id="7808" xr3:uid="{DDDB35F4-AFD8-465C-8DFE-C55E4120AF7E}" name="Column7808"/>
    <tableColumn id="7809" xr3:uid="{B10759A2-13DF-44DE-96FD-73E00D7AB68F}" name="Column7809"/>
    <tableColumn id="7810" xr3:uid="{1E579F4A-0BF6-473A-AFCE-012E5A2F1B0B}" name="Column7810"/>
    <tableColumn id="7811" xr3:uid="{19F384A1-10CD-4169-96AC-152CFF75078C}" name="Column7811"/>
    <tableColumn id="7812" xr3:uid="{114A2431-B164-492D-9C84-5EBB3D25AB91}" name="Column7812"/>
    <tableColumn id="7813" xr3:uid="{40C2F34B-24C8-4F70-8908-70135FD5A5DA}" name="Column7813"/>
    <tableColumn id="7814" xr3:uid="{6365300C-418D-4DC8-B958-2B70C5882F0A}" name="Column7814"/>
    <tableColumn id="7815" xr3:uid="{CE68E3F2-E8F0-4FD4-8EDD-E45AF8584B5A}" name="Column7815"/>
    <tableColumn id="7816" xr3:uid="{1BAE9F11-B229-410A-8F78-7094D9FCF0A6}" name="Column7816"/>
    <tableColumn id="7817" xr3:uid="{3548C9DA-E942-4EA5-B355-2556241EE5C1}" name="Column7817"/>
    <tableColumn id="7818" xr3:uid="{C1D89009-74D3-44EA-B91E-59F598B8B869}" name="Column7818"/>
    <tableColumn id="7819" xr3:uid="{698491C2-7F99-48AF-91A7-0EFDFA5AF27F}" name="Column7819"/>
    <tableColumn id="7820" xr3:uid="{E23C7C63-B03E-46C3-B626-7C4B0FAE3F9F}" name="Column7820"/>
    <tableColumn id="7821" xr3:uid="{7F8B5B53-B3C7-4B4C-98BB-6CC3D6296BE8}" name="Column7821"/>
    <tableColumn id="7822" xr3:uid="{F41F1D87-291E-434C-89EE-B6501BEF864B}" name="Column7822"/>
    <tableColumn id="7823" xr3:uid="{E14755C4-EFD2-4E6E-BAF2-133690576254}" name="Column7823"/>
    <tableColumn id="7824" xr3:uid="{40FE5140-A9F9-4B96-B41F-9C388F85BFF1}" name="Column7824"/>
    <tableColumn id="7825" xr3:uid="{FA194B69-EA03-46CC-A04F-B55F598B75EF}" name="Column7825"/>
    <tableColumn id="7826" xr3:uid="{93588199-6D3D-4EC9-8850-6709790CEA09}" name="Column7826"/>
    <tableColumn id="7827" xr3:uid="{29E14F7B-0884-49F7-8382-21C0DB9E015B}" name="Column7827"/>
    <tableColumn id="7828" xr3:uid="{DE3D1C87-D66D-4961-BA3F-25FEF7BB3869}" name="Column7828"/>
    <tableColumn id="7829" xr3:uid="{06290A77-6F2A-4795-94C5-0163726FC390}" name="Column7829"/>
    <tableColumn id="7830" xr3:uid="{420050D1-BDD0-4F6C-A406-F965BF727224}" name="Column7830"/>
    <tableColumn id="7831" xr3:uid="{91A2DC76-D98C-49E8-B4C0-DF019124EEB1}" name="Column7831"/>
    <tableColumn id="7832" xr3:uid="{B8ACAD31-474E-41DB-914A-A76FD06855FD}" name="Column7832"/>
    <tableColumn id="7833" xr3:uid="{5291CA34-B01C-43B2-96BD-A0C1AFF712C8}" name="Column7833"/>
    <tableColumn id="7834" xr3:uid="{25AED7F1-C542-4BE7-B2FF-BB13876B0022}" name="Column7834"/>
    <tableColumn id="7835" xr3:uid="{019FDCA9-3F4F-405B-90E3-90F7E6CE6F6C}" name="Column7835"/>
    <tableColumn id="7836" xr3:uid="{F0C6AFE0-BB62-453B-8DAD-2EA5C07DEA31}" name="Column7836"/>
    <tableColumn id="7837" xr3:uid="{50C7AF29-D33B-491E-95FB-D65D138C1E10}" name="Column7837"/>
    <tableColumn id="7838" xr3:uid="{A6AE9A1D-9C5E-487A-84A4-E9699D8E533F}" name="Column7838"/>
    <tableColumn id="7839" xr3:uid="{A1444384-9EB3-47EE-8DD6-CE57AB990C7B}" name="Column7839"/>
    <tableColumn id="7840" xr3:uid="{C12562FC-A034-4FF3-953D-C42A67A0B11C}" name="Column7840"/>
    <tableColumn id="7841" xr3:uid="{17B20E5B-C75E-447B-8F50-75504150506D}" name="Column7841"/>
    <tableColumn id="7842" xr3:uid="{67675212-E3A6-4D4F-B740-28EF293B3FB9}" name="Column7842"/>
    <tableColumn id="7843" xr3:uid="{4E2BFDCA-CDD3-48FF-BC73-26D0C27D8A82}" name="Column7843"/>
    <tableColumn id="7844" xr3:uid="{2CFD892C-37CA-45A8-BAFC-756907175AFA}" name="Column7844"/>
    <tableColumn id="7845" xr3:uid="{82CE9083-018D-4E94-8D34-4352D6C63FFF}" name="Column7845"/>
    <tableColumn id="7846" xr3:uid="{C90C22A4-2017-45F8-B356-CEE24292D99F}" name="Column7846"/>
    <tableColumn id="7847" xr3:uid="{DEF4FCAD-6AB3-45DA-AE4D-01B42CB1FB4A}" name="Column7847"/>
    <tableColumn id="7848" xr3:uid="{009C566F-493B-42E2-B617-8E4F28C7B327}" name="Column7848"/>
    <tableColumn id="7849" xr3:uid="{3CDE5ECE-F029-47A1-8F51-D28A616F1573}" name="Column7849"/>
    <tableColumn id="7850" xr3:uid="{C25B7384-FE88-4257-AD24-2A8D6389FFCB}" name="Column7850"/>
    <tableColumn id="7851" xr3:uid="{64CA064A-E965-4D2C-B52D-D719C9A74CC4}" name="Column7851"/>
    <tableColumn id="7852" xr3:uid="{1506081E-F895-4007-8E8A-9673C9DF5F15}" name="Column7852"/>
    <tableColumn id="7853" xr3:uid="{8722B7EE-79D1-4133-A2FE-3040AB406B40}" name="Column7853"/>
    <tableColumn id="7854" xr3:uid="{5D5BED58-6F78-4DC9-BC3E-A77A2F797BA6}" name="Column7854"/>
    <tableColumn id="7855" xr3:uid="{8BF5267A-715A-44F6-A8EA-877AD9BE040C}" name="Column7855"/>
    <tableColumn id="7856" xr3:uid="{4F9BE92E-2CFB-451B-BFEA-221E6D62B03F}" name="Column7856"/>
    <tableColumn id="7857" xr3:uid="{0FA387D8-C056-4989-A9E8-19F048EC419A}" name="Column7857"/>
    <tableColumn id="7858" xr3:uid="{EE6E6213-EE90-47A7-BEDB-4B64CD953206}" name="Column7858"/>
    <tableColumn id="7859" xr3:uid="{070E6CD1-3877-4A65-89F8-1CE0289E3DB5}" name="Column7859"/>
    <tableColumn id="7860" xr3:uid="{0BE55303-BAC9-4038-8731-03E4BCCDE012}" name="Column7860"/>
    <tableColumn id="7861" xr3:uid="{F8DEB5EE-6AC2-4E85-8F7A-5A9BDFBE7F53}" name="Column7861"/>
    <tableColumn id="7862" xr3:uid="{FB0769C7-43B9-4E05-B17E-BA75DF27C109}" name="Column7862"/>
    <tableColumn id="7863" xr3:uid="{FFD4562E-C459-499F-9DFD-1DC29BB31554}" name="Column7863"/>
    <tableColumn id="7864" xr3:uid="{9F80F2EB-B5EF-42FC-A731-121F049CDC2E}" name="Column7864"/>
    <tableColumn id="7865" xr3:uid="{4E5EDD34-F900-4424-A300-5A952CF4161C}" name="Column7865"/>
    <tableColumn id="7866" xr3:uid="{C8F4DB3B-11AF-4305-975F-D476B58AE809}" name="Column7866"/>
    <tableColumn id="7867" xr3:uid="{48DC2865-5070-412E-9074-583FE80377EB}" name="Column7867"/>
    <tableColumn id="7868" xr3:uid="{F9153152-D808-4F4C-BB3C-4CE021CE518F}" name="Column7868"/>
    <tableColumn id="7869" xr3:uid="{D46737F5-2A14-4C73-8656-E47D6BE60914}" name="Column7869"/>
    <tableColumn id="7870" xr3:uid="{9D6D241E-020E-49A7-815F-E6A0048231EB}" name="Column7870"/>
    <tableColumn id="7871" xr3:uid="{F48DF652-2DC3-4E44-BD0F-93593BFACCEF}" name="Column7871"/>
    <tableColumn id="7872" xr3:uid="{DF971566-3E55-4405-9F6A-2A29B31F3D7B}" name="Column7872"/>
    <tableColumn id="7873" xr3:uid="{9EC4CCAC-6DDE-499E-AA5B-078C6419A55E}" name="Column7873"/>
    <tableColumn id="7874" xr3:uid="{B87E560B-BA3C-4AC6-A15F-BFFB78842CEF}" name="Column7874"/>
    <tableColumn id="7875" xr3:uid="{74DDC9EE-D56F-4D13-A112-D54ED4F20A8E}" name="Column7875"/>
    <tableColumn id="7876" xr3:uid="{70BDF033-D5B2-4186-A069-B85B99608015}" name="Column7876"/>
    <tableColumn id="7877" xr3:uid="{8E4B7F41-29D8-439D-BCE7-02226B137B54}" name="Column7877"/>
    <tableColumn id="7878" xr3:uid="{792195F7-5185-49F9-AC70-E9A7F99B5DD3}" name="Column7878"/>
    <tableColumn id="7879" xr3:uid="{AE4D47BF-BF7B-4355-9D81-9CAEB1370C9B}" name="Column7879"/>
    <tableColumn id="7880" xr3:uid="{CC044CC2-D653-4A43-827A-15E806F2B728}" name="Column7880"/>
    <tableColumn id="7881" xr3:uid="{EACE3608-F0ED-4A4D-8EF9-105DFBEDCD1A}" name="Column7881"/>
    <tableColumn id="7882" xr3:uid="{C8963979-1E79-425D-B64F-C5665B641914}" name="Column7882"/>
    <tableColumn id="7883" xr3:uid="{20540351-2AA0-4462-923E-5303A3E58C48}" name="Column7883"/>
    <tableColumn id="7884" xr3:uid="{C09C802E-8187-4A78-BD30-754AA04A81BE}" name="Column7884"/>
    <tableColumn id="7885" xr3:uid="{5489E09D-58D0-40FE-AFF8-6CC2A96BF3EC}" name="Column7885"/>
    <tableColumn id="7886" xr3:uid="{A07E7276-5C12-4CA5-9773-98F58F5E0ADD}" name="Column7886"/>
    <tableColumn id="7887" xr3:uid="{C2F358D4-195F-46C8-B766-9D350F6136BF}" name="Column7887"/>
    <tableColumn id="7888" xr3:uid="{311E435C-8F29-495A-A572-FA280493F2E2}" name="Column7888"/>
    <tableColumn id="7889" xr3:uid="{03D1AC8C-997B-4532-B322-1258DF826341}" name="Column7889"/>
    <tableColumn id="7890" xr3:uid="{C4B2F937-8E3F-4377-B6D0-162D30AF06C1}" name="Column7890"/>
    <tableColumn id="7891" xr3:uid="{1E0A517A-DF97-4D3C-BE6D-3963F17FF9A9}" name="Column7891"/>
    <tableColumn id="7892" xr3:uid="{F6489090-88C6-4255-BCD0-8010D1AC6E7B}" name="Column7892"/>
    <tableColumn id="7893" xr3:uid="{B4E85AC8-C03D-4EBC-A0DE-2271D1AE6950}" name="Column7893"/>
    <tableColumn id="7894" xr3:uid="{257318BB-2FF9-4647-80D9-164B3B8ADD1F}" name="Column7894"/>
    <tableColumn id="7895" xr3:uid="{AD38D927-6678-4AEF-9E65-72DB761D2C3A}" name="Column7895"/>
    <tableColumn id="7896" xr3:uid="{5C66D1BE-1B50-4415-A5F9-CD6162793A0C}" name="Column7896"/>
    <tableColumn id="7897" xr3:uid="{F3ED97F9-6E72-4B01-8ECE-0BB6BFDEF790}" name="Column7897"/>
    <tableColumn id="7898" xr3:uid="{223080AA-438F-4767-9C48-096FDD5C1DA0}" name="Column7898"/>
    <tableColumn id="7899" xr3:uid="{83C89B8B-9EC1-4C22-B0C1-32C15E00D511}" name="Column7899"/>
    <tableColumn id="7900" xr3:uid="{562D1BDC-9A86-4C51-886B-A27C81600EB5}" name="Column7900"/>
    <tableColumn id="7901" xr3:uid="{B99B6146-4C15-466D-B4D7-29330124AB57}" name="Column7901"/>
    <tableColumn id="7902" xr3:uid="{DEA2E04A-E119-4A6E-87CD-2C5415FCC4AD}" name="Column7902"/>
    <tableColumn id="7903" xr3:uid="{D082F645-C2DA-4B82-BC1B-6FF2E58BB262}" name="Column7903"/>
    <tableColumn id="7904" xr3:uid="{37C6CCDB-861C-4450-95D3-28F78E09EE00}" name="Column7904"/>
    <tableColumn id="7905" xr3:uid="{EEA7E0B7-CAA8-4F34-BD35-DCFB20F5A3F0}" name="Column7905"/>
    <tableColumn id="7906" xr3:uid="{448F034E-BAC7-46A3-8367-22160F48C3DD}" name="Column7906"/>
    <tableColumn id="7907" xr3:uid="{FE579CCD-B9AD-439F-80DA-B4A317DF0A15}" name="Column7907"/>
    <tableColumn id="7908" xr3:uid="{030963E8-F6E7-4797-8587-A9A7BA7C83DD}" name="Column7908"/>
    <tableColumn id="7909" xr3:uid="{032BB9DF-860B-4F2E-9F14-60CCE170B5CA}" name="Column7909"/>
    <tableColumn id="7910" xr3:uid="{EE83EA7E-6487-4621-94CD-94BF16C01D12}" name="Column7910"/>
    <tableColumn id="7911" xr3:uid="{C3AA31D5-33B8-4827-AA0C-3C48D3D4A059}" name="Column7911"/>
    <tableColumn id="7912" xr3:uid="{64F5838C-3490-4E76-AAC7-917799A275E4}" name="Column7912"/>
    <tableColumn id="7913" xr3:uid="{1D1089EF-25A4-479B-B48C-0352B687D1DA}" name="Column7913"/>
    <tableColumn id="7914" xr3:uid="{51E9F958-78DF-4863-B870-7A244350CE77}" name="Column7914"/>
    <tableColumn id="7915" xr3:uid="{979D7FDB-7A83-41E8-A847-0049BB3169E4}" name="Column7915"/>
    <tableColumn id="7916" xr3:uid="{3AF666F8-12AA-47A3-AC74-5E16689BE9AB}" name="Column7916"/>
    <tableColumn id="7917" xr3:uid="{C4BE7050-8B50-453F-A3C4-C528572E2224}" name="Column7917"/>
    <tableColumn id="7918" xr3:uid="{ED192A70-B66A-45C4-82DD-EBBA9CC71FBE}" name="Column7918"/>
    <tableColumn id="7919" xr3:uid="{B4E92DA0-5FF9-4EEE-A973-2CE347908C30}" name="Column7919"/>
    <tableColumn id="7920" xr3:uid="{90F6F8BD-10B3-496B-A58A-8E3FEBE18AE7}" name="Column7920"/>
    <tableColumn id="7921" xr3:uid="{4096D421-FB33-44E4-BE47-D6F74E111001}" name="Column7921"/>
    <tableColumn id="7922" xr3:uid="{CEC9BCB9-73D1-46A4-995B-6A27CEB47FC1}" name="Column7922"/>
    <tableColumn id="7923" xr3:uid="{16228F16-6239-4DC8-9724-1DE9E8401E39}" name="Column7923"/>
    <tableColumn id="7924" xr3:uid="{2ADD7DE3-8602-4727-AA7C-03F3D854B86A}" name="Column7924"/>
    <tableColumn id="7925" xr3:uid="{10C1B6F7-2B07-4223-BC1D-AF4FB1201DC3}" name="Column7925"/>
    <tableColumn id="7926" xr3:uid="{7DC052AF-22B4-42DA-9BA4-B92A5CE50BA4}" name="Column7926"/>
    <tableColumn id="7927" xr3:uid="{28FCBF60-6F69-46E3-9EB4-7566D53083F4}" name="Column7927"/>
    <tableColumn id="7928" xr3:uid="{66EB0143-7961-432C-8DB1-E0828CEEF282}" name="Column7928"/>
    <tableColumn id="7929" xr3:uid="{7168AE99-54A6-4B31-8936-8B1421BFF25C}" name="Column7929"/>
    <tableColumn id="7930" xr3:uid="{FEEACD83-4F26-4AE0-9CCE-653356C64252}" name="Column7930"/>
    <tableColumn id="7931" xr3:uid="{13098194-D4CC-4225-B88A-9C47B3CC67D5}" name="Column7931"/>
    <tableColumn id="7932" xr3:uid="{5129DEBC-918A-4465-9E55-488A21FDF569}" name="Column7932"/>
    <tableColumn id="7933" xr3:uid="{4657F184-4EFB-4135-9642-4CFB91C72323}" name="Column7933"/>
    <tableColumn id="7934" xr3:uid="{7A4D10A2-658D-4DF1-A1FB-D355265294F6}" name="Column7934"/>
    <tableColumn id="7935" xr3:uid="{FDD6E678-1BAC-4DC6-B59D-BEA500C267B5}" name="Column7935"/>
    <tableColumn id="7936" xr3:uid="{83C8A366-3DB9-49F2-B1C8-63A33677AB72}" name="Column7936"/>
    <tableColumn id="7937" xr3:uid="{8BD67B07-26B5-496B-B5F6-303CB1B7EFBC}" name="Column7937"/>
    <tableColumn id="7938" xr3:uid="{A267FB3C-50F2-427B-8814-ACCCD13D8DA5}" name="Column7938"/>
    <tableColumn id="7939" xr3:uid="{D9823F7F-FEEA-467F-9455-A3870F31B79A}" name="Column7939"/>
    <tableColumn id="7940" xr3:uid="{27EC6B73-2468-4347-80C5-AB84AAEA8F1E}" name="Column7940"/>
    <tableColumn id="7941" xr3:uid="{A03DE27F-F783-4E85-A7FF-F63A054237DE}" name="Column7941"/>
    <tableColumn id="7942" xr3:uid="{B6A7B851-0194-445C-AC36-DE5C7C593583}" name="Column7942"/>
    <tableColumn id="7943" xr3:uid="{146ACF51-E44E-45A4-8674-AFBC775BC8D4}" name="Column7943"/>
    <tableColumn id="7944" xr3:uid="{14D246E3-FA39-403B-9444-805CBE74AFD1}" name="Column7944"/>
    <tableColumn id="7945" xr3:uid="{B2188717-8B58-457A-A680-BDD2E7D68738}" name="Column7945"/>
    <tableColumn id="7946" xr3:uid="{F7D74CE0-5675-4024-990B-A8D737CECB9A}" name="Column7946"/>
    <tableColumn id="7947" xr3:uid="{C46A2717-B90E-4C40-A43A-0D52C6787AC7}" name="Column7947"/>
    <tableColumn id="7948" xr3:uid="{8A900BF9-07B4-450F-8CD9-AEFBA0E87CAD}" name="Column7948"/>
    <tableColumn id="7949" xr3:uid="{F5058FE4-E46D-4EDF-B7E8-89D83D13C6C3}" name="Column7949"/>
    <tableColumn id="7950" xr3:uid="{82D765E6-C5D4-4634-819A-12E1E5B215E3}" name="Column7950"/>
    <tableColumn id="7951" xr3:uid="{E94832E6-429A-4009-9C59-9C986A091FCC}" name="Column7951"/>
    <tableColumn id="7952" xr3:uid="{B94D64D9-A95C-4350-8CD4-0B6BCD7EC8A1}" name="Column7952"/>
    <tableColumn id="7953" xr3:uid="{F33B6D70-46E7-40CE-AA4D-8B10B39CA104}" name="Column7953"/>
    <tableColumn id="7954" xr3:uid="{E6E64F05-8A5D-4832-A32F-7829B5606CD3}" name="Column7954"/>
    <tableColumn id="7955" xr3:uid="{5434D13E-7DC5-4040-AB98-28D1200EF8C3}" name="Column7955"/>
    <tableColumn id="7956" xr3:uid="{50BE9881-BF65-421E-A3F8-076074452514}" name="Column7956"/>
    <tableColumn id="7957" xr3:uid="{C4E1EEC6-D931-4B27-97C0-2553A13DA78F}" name="Column7957"/>
    <tableColumn id="7958" xr3:uid="{8E20DADB-8A0C-467C-B7EC-8B6EC045D4BF}" name="Column7958"/>
    <tableColumn id="7959" xr3:uid="{AE67EE2F-EA59-42E9-AE2C-EE7C714A71A8}" name="Column7959"/>
    <tableColumn id="7960" xr3:uid="{F9627336-BCF5-4F62-97AB-B2E5ABC497A3}" name="Column7960"/>
    <tableColumn id="7961" xr3:uid="{504E4636-A678-4281-BF49-30F7FB41BB1D}" name="Column7961"/>
    <tableColumn id="7962" xr3:uid="{4BE2BEFB-6561-4328-BA39-8175BE72C1A3}" name="Column7962"/>
    <tableColumn id="7963" xr3:uid="{C925CF48-6AFF-4743-9645-F46BEBDBB9F5}" name="Column7963"/>
    <tableColumn id="7964" xr3:uid="{DF287001-3E43-4F31-AF7A-9EB4ACE3A757}" name="Column7964"/>
    <tableColumn id="7965" xr3:uid="{44130DCE-1917-4D0E-BE43-C25706A0538F}" name="Column7965"/>
    <tableColumn id="7966" xr3:uid="{A1523BD7-1290-4CBF-B8ED-7EE1998CC7AC}" name="Column7966"/>
    <tableColumn id="7967" xr3:uid="{9A252E7E-C8BC-4E06-837C-D94F4B4F732D}" name="Column7967"/>
    <tableColumn id="7968" xr3:uid="{147C4F5F-ED14-468D-8348-F91BDACE8240}" name="Column7968"/>
    <tableColumn id="7969" xr3:uid="{DC3C65D7-6CA2-464E-8DDE-DD18B4114B46}" name="Column7969"/>
    <tableColumn id="7970" xr3:uid="{3BD12D32-74A9-437F-BCEF-DE1406034485}" name="Column7970"/>
    <tableColumn id="7971" xr3:uid="{4925834B-48D8-4FDB-82B4-427797E1981C}" name="Column7971"/>
    <tableColumn id="7972" xr3:uid="{098CFCA1-FDC8-4707-A293-CD3E9AD73185}" name="Column7972"/>
    <tableColumn id="7973" xr3:uid="{A112AA58-810E-49C3-96D3-2DA94E6F6DF3}" name="Column7973"/>
    <tableColumn id="7974" xr3:uid="{77953A5A-4833-459A-8F25-E8C1E4F28899}" name="Column7974"/>
    <tableColumn id="7975" xr3:uid="{AC0B1F4C-322E-41EE-8B92-5BD6C2BD58F9}" name="Column7975"/>
    <tableColumn id="7976" xr3:uid="{A3FEC109-4D7E-4092-9F14-D54EF4CAFF41}" name="Column7976"/>
    <tableColumn id="7977" xr3:uid="{883B3C3C-4ABE-486F-9CC3-DEEDF17C225F}" name="Column7977"/>
    <tableColumn id="7978" xr3:uid="{5F7D3837-74C2-42CE-B922-D5CE3F5788A0}" name="Column7978"/>
    <tableColumn id="7979" xr3:uid="{8B7B23F1-AF83-4C79-BE13-00E956E30C23}" name="Column7979"/>
    <tableColumn id="7980" xr3:uid="{E0219CCD-9E3B-466B-A4E9-8B5615DBB7BC}" name="Column7980"/>
    <tableColumn id="7981" xr3:uid="{07688FAB-EA03-4630-9B09-37E29EE0EA10}" name="Column7981"/>
    <tableColumn id="7982" xr3:uid="{51B1B45B-48B5-4711-A8E4-225D6E1E3837}" name="Column7982"/>
    <tableColumn id="7983" xr3:uid="{1FBE2C16-62D6-4695-B3F6-29FF952CC6BF}" name="Column7983"/>
    <tableColumn id="7984" xr3:uid="{DE61BBE0-D94D-4A3C-B959-17CD8D602E03}" name="Column7984"/>
    <tableColumn id="7985" xr3:uid="{B0F2E4CE-9277-4E14-AA24-201BE5268AC9}" name="Column7985"/>
    <tableColumn id="7986" xr3:uid="{B75C772D-C480-4D2B-9B05-5266B957D82E}" name="Column7986"/>
    <tableColumn id="7987" xr3:uid="{B5D01D51-56A3-4228-A656-08728CBDA82C}" name="Column7987"/>
    <tableColumn id="7988" xr3:uid="{7A3BBD98-2522-43F9-BDE5-3A22B4E30BE5}" name="Column7988"/>
    <tableColumn id="7989" xr3:uid="{0BD8C582-1E2B-4384-B9B7-846E77575A40}" name="Column7989"/>
    <tableColumn id="7990" xr3:uid="{83D05FEF-DD63-425F-98EB-7E8154E9DA21}" name="Column7990"/>
    <tableColumn id="7991" xr3:uid="{27805DCC-9B76-449A-AA4F-B20564E5D7EF}" name="Column7991"/>
    <tableColumn id="7992" xr3:uid="{A4862776-5259-4B6E-B849-2882C4D16CE3}" name="Column7992"/>
    <tableColumn id="7993" xr3:uid="{70613449-93F7-45AA-965F-27CBE0A62C14}" name="Column7993"/>
    <tableColumn id="7994" xr3:uid="{6E3FB0C9-A592-4876-86F5-915EB69770E9}" name="Column7994"/>
    <tableColumn id="7995" xr3:uid="{DBB332F5-E7A2-4F14-98FD-4E82935741E1}" name="Column7995"/>
    <tableColumn id="7996" xr3:uid="{30877728-35FA-4F3F-AEFE-67C51B4C405E}" name="Column7996"/>
    <tableColumn id="7997" xr3:uid="{43D16352-ACA6-4387-80FD-CE206F26D325}" name="Column7997"/>
    <tableColumn id="7998" xr3:uid="{6C03BE5F-0D30-464A-A9FC-88C67E2BDFB9}" name="Column7998"/>
    <tableColumn id="7999" xr3:uid="{07036610-7811-4BD7-9D41-43021AF04632}" name="Column7999"/>
    <tableColumn id="8000" xr3:uid="{D2489412-2323-4CB7-B8C3-BCE0746D8976}" name="Column8000"/>
    <tableColumn id="8001" xr3:uid="{ECC98CB6-EBCA-4879-A12C-E5FE4EB5AAA8}" name="Column8001"/>
    <tableColumn id="8002" xr3:uid="{667BAA86-745D-47C4-A1A8-7DC5A7D93694}" name="Column8002"/>
    <tableColumn id="8003" xr3:uid="{F747EC04-44B1-4C2B-976E-8BE1182C7319}" name="Column8003"/>
    <tableColumn id="8004" xr3:uid="{29DD84E5-F42F-4EF1-BB0C-3AE385DCC85D}" name="Column8004"/>
    <tableColumn id="8005" xr3:uid="{216AF221-38DC-45BA-9BDD-504EFE52DF5B}" name="Column8005"/>
    <tableColumn id="8006" xr3:uid="{4E4BBD36-9CB3-4826-A365-92E317F19B5C}" name="Column8006"/>
    <tableColumn id="8007" xr3:uid="{B3567B9B-7CBD-4834-86EE-DBC0935F9452}" name="Column8007"/>
    <tableColumn id="8008" xr3:uid="{5BC0B99B-2430-475F-8B69-639F80FAE25C}" name="Column8008"/>
    <tableColumn id="8009" xr3:uid="{1111349B-4378-4341-844E-116A30C7EBB3}" name="Column8009"/>
    <tableColumn id="8010" xr3:uid="{90551AE0-8E43-45E5-95BE-8AF1CA42B010}" name="Column8010"/>
    <tableColumn id="8011" xr3:uid="{F1446390-1871-4C8F-90E7-53F6541208FE}" name="Column8011"/>
    <tableColumn id="8012" xr3:uid="{50FFAC5B-8F08-4A72-A8AC-29ECCD11FC96}" name="Column8012"/>
    <tableColumn id="8013" xr3:uid="{6C8E0470-7063-4433-9AFE-E06B606890EA}" name="Column8013"/>
    <tableColumn id="8014" xr3:uid="{76A705F5-30D7-4A7E-B9A2-19B5776F020F}" name="Column8014"/>
    <tableColumn id="8015" xr3:uid="{4C457C33-7F0A-418A-863E-569B0F029385}" name="Column8015"/>
    <tableColumn id="8016" xr3:uid="{6FF75260-D29C-4568-AD4A-8D585B9A775D}" name="Column8016"/>
    <tableColumn id="8017" xr3:uid="{BE72ABC9-F9A5-4D41-BD04-D048007FE875}" name="Column8017"/>
    <tableColumn id="8018" xr3:uid="{AF632C0C-8F6E-4C68-BED2-68ED3B53FDD1}" name="Column8018"/>
    <tableColumn id="8019" xr3:uid="{DE26584A-DA84-4FE1-B3D6-603E336439FD}" name="Column8019"/>
    <tableColumn id="8020" xr3:uid="{7AAD12BD-F8E8-4DF3-81DE-5BC99F9F000C}" name="Column8020"/>
    <tableColumn id="8021" xr3:uid="{585D8FD6-E0EE-46A5-A054-D42DC8D7EDEA}" name="Column8021"/>
    <tableColumn id="8022" xr3:uid="{8117EF31-386B-4219-A367-53F6AB91F751}" name="Column8022"/>
    <tableColumn id="8023" xr3:uid="{5B056113-8C49-45C3-97F6-9D935EEBC19E}" name="Column8023"/>
    <tableColumn id="8024" xr3:uid="{D035012F-237B-41A3-9C49-9520421975AD}" name="Column8024"/>
    <tableColumn id="8025" xr3:uid="{EBC77222-98E8-4211-8444-BC9755038169}" name="Column8025"/>
    <tableColumn id="8026" xr3:uid="{144E4480-D023-493D-8424-086285559277}" name="Column8026"/>
    <tableColumn id="8027" xr3:uid="{CBF5A5D0-9ACA-470B-979D-FAEFFE4C3346}" name="Column8027"/>
    <tableColumn id="8028" xr3:uid="{CF3A7999-D42A-4FEC-B96D-3BA2927E3134}" name="Column8028"/>
    <tableColumn id="8029" xr3:uid="{A9768976-5975-42C0-9C2C-E04A9B54B498}" name="Column8029"/>
    <tableColumn id="8030" xr3:uid="{1D23C07C-2C90-48BB-A5C1-030BF926CB99}" name="Column8030"/>
    <tableColumn id="8031" xr3:uid="{9304C389-94C7-45A2-88F6-BD2EF63AE251}" name="Column8031"/>
    <tableColumn id="8032" xr3:uid="{A730CB97-A120-403C-820B-80E1BEA01154}" name="Column8032"/>
    <tableColumn id="8033" xr3:uid="{47AECF28-8AD6-4AA3-B935-4A4B9A353A4E}" name="Column8033"/>
    <tableColumn id="8034" xr3:uid="{9C09E248-CC62-41F9-872D-9ED931567B4A}" name="Column8034"/>
    <tableColumn id="8035" xr3:uid="{AF580872-E05C-4F87-ADAF-E61E7FF8EDC7}" name="Column8035"/>
    <tableColumn id="8036" xr3:uid="{8A570779-FC1D-4BC9-A0C4-1ED20636562D}" name="Column8036"/>
    <tableColumn id="8037" xr3:uid="{0182E9C9-1A5A-4D8A-92AB-C6EAA1A791AB}" name="Column8037"/>
    <tableColumn id="8038" xr3:uid="{BE21250A-C0BD-4396-B7CA-34ADBC96787E}" name="Column8038"/>
    <tableColumn id="8039" xr3:uid="{7479E439-F6DD-444B-B14D-20F2A0B25780}" name="Column8039"/>
    <tableColumn id="8040" xr3:uid="{D498E1E1-CAE3-4952-A9D3-F5B5855BEE15}" name="Column8040"/>
    <tableColumn id="8041" xr3:uid="{6514EDAC-0E7F-4696-BB1A-2DCF3E49241E}" name="Column8041"/>
    <tableColumn id="8042" xr3:uid="{613F9C8E-6BEE-4F3E-95B4-21EFE9CDEECE}" name="Column8042"/>
    <tableColumn id="8043" xr3:uid="{BAB7D647-D055-4E79-A585-3702161F1236}" name="Column8043"/>
    <tableColumn id="8044" xr3:uid="{2443BE12-433D-4E0A-BDB6-0A4CAA66BD83}" name="Column8044"/>
    <tableColumn id="8045" xr3:uid="{553C43AF-BAF2-4FBE-AD9A-EDC827FF1151}" name="Column8045"/>
    <tableColumn id="8046" xr3:uid="{009DD070-EA90-4D18-816A-2DD8DC36D2AA}" name="Column8046"/>
    <tableColumn id="8047" xr3:uid="{079277AB-58E8-4CF8-8B1C-ED0F056EDE4D}" name="Column8047"/>
    <tableColumn id="8048" xr3:uid="{8C154F56-1D1B-422F-9398-5EED6BB10663}" name="Column8048"/>
    <tableColumn id="8049" xr3:uid="{59211DF1-7AA0-4D4C-9233-4655744F4800}" name="Column8049"/>
    <tableColumn id="8050" xr3:uid="{BC74E86E-3780-4AB0-8BFD-D20F10922C35}" name="Column8050"/>
    <tableColumn id="8051" xr3:uid="{7F96F6CF-5EA1-439F-99E8-8D926F85A787}" name="Column8051"/>
    <tableColumn id="8052" xr3:uid="{718D05D5-2F8C-4717-9762-93662E44AD9E}" name="Column8052"/>
    <tableColumn id="8053" xr3:uid="{B49B30D9-A1DD-442C-9E56-838B27D08165}" name="Column8053"/>
    <tableColumn id="8054" xr3:uid="{BBC9D80B-EAD2-41D2-B071-B236681F666D}" name="Column8054"/>
    <tableColumn id="8055" xr3:uid="{0C8A4468-0CEB-400B-8D00-CA3BB4C203FB}" name="Column8055"/>
    <tableColumn id="8056" xr3:uid="{84A4D06E-F3BE-42BB-B891-4F740E9C3E5D}" name="Column8056"/>
    <tableColumn id="8057" xr3:uid="{B0B2A44E-E2C2-4BA4-AAF4-9A319D90442D}" name="Column8057"/>
    <tableColumn id="8058" xr3:uid="{0597C9EE-DFB8-4F3D-BA7B-5CF8FF02F7CC}" name="Column8058"/>
    <tableColumn id="8059" xr3:uid="{39339C03-A079-4D41-A4D1-48CE30C539C2}" name="Column8059"/>
    <tableColumn id="8060" xr3:uid="{B5C82B90-7D40-4768-92DC-5834CD076C83}" name="Column8060"/>
    <tableColumn id="8061" xr3:uid="{777BD6E8-E827-4F8F-B240-7A6DC3B163E4}" name="Column8061"/>
    <tableColumn id="8062" xr3:uid="{ACEA03C5-9446-45C1-A270-FB0E60B6C5E8}" name="Column8062"/>
    <tableColumn id="8063" xr3:uid="{5FBEEF9A-3737-47CD-91C7-BD991D918C27}" name="Column8063"/>
    <tableColumn id="8064" xr3:uid="{C99FA5D7-4B5C-4E78-954F-093C57D4CBEC}" name="Column8064"/>
    <tableColumn id="8065" xr3:uid="{3B74F5A0-1DDA-4282-840B-1CE373FFD2F1}" name="Column8065"/>
    <tableColumn id="8066" xr3:uid="{89E56453-22BD-43F4-B86F-89E778D75C19}" name="Column8066"/>
    <tableColumn id="8067" xr3:uid="{878CA375-D9E1-4DCA-9444-B1E2085C5BD2}" name="Column8067"/>
    <tableColumn id="8068" xr3:uid="{7EE64622-1F59-4D6B-8A4C-7EF6B939D9E8}" name="Column8068"/>
    <tableColumn id="8069" xr3:uid="{21676674-6C58-4DE5-9A1A-89610F7CDB56}" name="Column8069"/>
    <tableColumn id="8070" xr3:uid="{479E9553-EE3C-4AD7-A6CF-BEF7A49AAF16}" name="Column8070"/>
    <tableColumn id="8071" xr3:uid="{0759EDD7-03CB-4745-8B41-3D96D743B400}" name="Column8071"/>
    <tableColumn id="8072" xr3:uid="{4F678340-0903-4E45-A977-9FB1CF8D061F}" name="Column8072"/>
    <tableColumn id="8073" xr3:uid="{95B9437F-B720-40C6-99CE-6D6389EE5945}" name="Column8073"/>
    <tableColumn id="8074" xr3:uid="{418D3AF3-3D1B-4CD3-8130-A4B6A887ED28}" name="Column8074"/>
    <tableColumn id="8075" xr3:uid="{C435D661-E6E4-4F7F-AA6D-3CAD905CD3AE}" name="Column8075"/>
    <tableColumn id="8076" xr3:uid="{716C17F0-F156-4AA7-9526-78366C978001}" name="Column8076"/>
    <tableColumn id="8077" xr3:uid="{09541E0D-DC47-4FBF-97DC-0CE0B1B8A389}" name="Column8077"/>
    <tableColumn id="8078" xr3:uid="{B6A9C716-3C02-46CC-94ED-76AA741A2298}" name="Column8078"/>
    <tableColumn id="8079" xr3:uid="{81CDB10C-C436-4617-9770-443DB1E47F6B}" name="Column8079"/>
    <tableColumn id="8080" xr3:uid="{C1B30F91-8043-438E-9592-B143384CA8A7}" name="Column8080"/>
    <tableColumn id="8081" xr3:uid="{5ECB6EC7-E939-4EC3-9794-609EC1973F4B}" name="Column8081"/>
    <tableColumn id="8082" xr3:uid="{347948B8-E6F0-4D08-8DB6-C92CEDC1E201}" name="Column8082"/>
    <tableColumn id="8083" xr3:uid="{F4F8724E-DEFE-4952-A0F6-3BAAD21600FB}" name="Column8083"/>
    <tableColumn id="8084" xr3:uid="{7914B5F1-C401-4203-9A8D-3A599B951FD6}" name="Column8084"/>
    <tableColumn id="8085" xr3:uid="{86FA0EA2-16BB-4FF9-897E-EB1C4A558949}" name="Column8085"/>
    <tableColumn id="8086" xr3:uid="{BB5774DD-4263-4FEA-8CA8-3FCF76C8D743}" name="Column8086"/>
    <tableColumn id="8087" xr3:uid="{8360D0B9-3DF4-4DFC-96A2-5DE891754D12}" name="Column8087"/>
    <tableColumn id="8088" xr3:uid="{2C8A3390-C491-4BE1-AB27-70FE03BA80AB}" name="Column8088"/>
    <tableColumn id="8089" xr3:uid="{BBA29544-18F0-4FD0-BF24-3F827CD7B50B}" name="Column8089"/>
    <tableColumn id="8090" xr3:uid="{89231786-8640-442C-97A4-7B40DF99FE7B}" name="Column8090"/>
    <tableColumn id="8091" xr3:uid="{63A17060-36EB-4AF6-B65C-52865B396792}" name="Column8091"/>
    <tableColumn id="8092" xr3:uid="{4495F32B-5C5D-42B2-BFFD-B0559717C31D}" name="Column8092"/>
    <tableColumn id="8093" xr3:uid="{8AAA76C4-8EB5-4BE9-BA26-0CBD3ADA9E3A}" name="Column8093"/>
    <tableColumn id="8094" xr3:uid="{272E5820-9C08-425E-AF33-71EE2DDC5629}" name="Column8094"/>
    <tableColumn id="8095" xr3:uid="{F902C539-364E-42F7-9AB3-B6448ECAEF9C}" name="Column8095"/>
    <tableColumn id="8096" xr3:uid="{BBBFE358-4452-44E6-A993-C314C4A79265}" name="Column8096"/>
    <tableColumn id="8097" xr3:uid="{AD72941B-50D8-4570-8B0C-9C611BD03B5E}" name="Column8097"/>
    <tableColumn id="8098" xr3:uid="{88E611C0-A748-4CF7-8006-DA9AA33F91D9}" name="Column8098"/>
    <tableColumn id="8099" xr3:uid="{02497356-FEEE-4040-B6C9-33EBB1EF61D9}" name="Column8099"/>
    <tableColumn id="8100" xr3:uid="{26EF10C7-6743-4889-86C0-BA19A7720395}" name="Column8100"/>
    <tableColumn id="8101" xr3:uid="{177A3916-BD81-42AA-835C-7D9AEE8072EE}" name="Column8101"/>
    <tableColumn id="8102" xr3:uid="{8FA1287B-E9BD-484C-90D2-6C8C1E49AD38}" name="Column8102"/>
    <tableColumn id="8103" xr3:uid="{2B8385CB-915C-46A1-A043-4D4A830845B3}" name="Column8103"/>
    <tableColumn id="8104" xr3:uid="{3843C6B9-D85D-47F9-B984-DA38DB8D7CE1}" name="Column8104"/>
    <tableColumn id="8105" xr3:uid="{3F96594F-4242-4B49-AAF1-E8688C5058C1}" name="Column8105"/>
    <tableColumn id="8106" xr3:uid="{33946A44-C0DF-4F03-9B9F-909BF8653311}" name="Column8106"/>
    <tableColumn id="8107" xr3:uid="{0AF9FE82-9C61-4282-A91B-208CA5FFBF61}" name="Column8107"/>
    <tableColumn id="8108" xr3:uid="{8212F59C-5B44-4C17-96EC-32E80625C96F}" name="Column8108"/>
    <tableColumn id="8109" xr3:uid="{D8EA4D35-0A6E-40D6-87C0-B135D36AB215}" name="Column8109"/>
    <tableColumn id="8110" xr3:uid="{793531C9-83C1-476B-9A11-EA9378ACCFEF}" name="Column8110"/>
    <tableColumn id="8111" xr3:uid="{2ED3741C-ECD1-4C18-BF3E-754C920E792B}" name="Column8111"/>
    <tableColumn id="8112" xr3:uid="{2A0C6064-30B9-4D58-8DC0-77805AA34B9D}" name="Column8112"/>
    <tableColumn id="8113" xr3:uid="{42A7DBCC-4B59-48FB-B607-B0F2C728CC88}" name="Column8113"/>
    <tableColumn id="8114" xr3:uid="{CCD157CB-FBBF-43AD-9C1F-573E4A69CB6B}" name="Column8114"/>
    <tableColumn id="8115" xr3:uid="{1D9BFD9A-EB36-402E-B062-A16E70F4957A}" name="Column8115"/>
    <tableColumn id="8116" xr3:uid="{C629A9A9-134B-4ACC-ABB8-F7CA56A68419}" name="Column8116"/>
    <tableColumn id="8117" xr3:uid="{A3908316-C929-4C5E-BACF-D6EB7DEC08BD}" name="Column8117"/>
    <tableColumn id="8118" xr3:uid="{6BCF978C-408E-4658-91E6-307B6908FED2}" name="Column8118"/>
    <tableColumn id="8119" xr3:uid="{51B6B9DA-9275-4A25-8586-A5DAF9345C0A}" name="Column8119"/>
    <tableColumn id="8120" xr3:uid="{C96951E7-D6E1-4DB3-B42F-4B4C3A3D86E8}" name="Column8120"/>
    <tableColumn id="8121" xr3:uid="{858E6864-E35C-4B92-8D9E-C65332D0D28D}" name="Column8121"/>
    <tableColumn id="8122" xr3:uid="{3A9E2F90-374D-4D6C-B85D-F7A12A05C6A7}" name="Column8122"/>
    <tableColumn id="8123" xr3:uid="{27B558F7-0C3C-4B8E-BAD2-FC1A8DC290EE}" name="Column8123"/>
    <tableColumn id="8124" xr3:uid="{B04A8C55-3CEA-4390-A538-AFCCC97295C9}" name="Column8124"/>
    <tableColumn id="8125" xr3:uid="{6E064A1B-2388-43D3-A3A3-899C75B35B55}" name="Column8125"/>
    <tableColumn id="8126" xr3:uid="{8196DEBE-2B77-43CF-9070-004D8644BD78}" name="Column8126"/>
    <tableColumn id="8127" xr3:uid="{BC89FE86-47A4-498D-B27C-40C8002BD53E}" name="Column8127"/>
    <tableColumn id="8128" xr3:uid="{B52532D9-059B-4383-841F-CD43D1210C9A}" name="Column8128"/>
    <tableColumn id="8129" xr3:uid="{43A0925E-1CD0-48E5-AE19-DA6294EB05A2}" name="Column8129"/>
    <tableColumn id="8130" xr3:uid="{07887BCC-3AF7-4DAB-9CC0-45C05BF8D81F}" name="Column8130"/>
    <tableColumn id="8131" xr3:uid="{2C031156-A36B-41CE-BB39-31592946B5DF}" name="Column8131"/>
    <tableColumn id="8132" xr3:uid="{4DA3378B-F18D-40EA-986E-03B20D3B40B4}" name="Column8132"/>
    <tableColumn id="8133" xr3:uid="{F2375346-B307-4756-B53B-9F6C71BC7612}" name="Column8133"/>
    <tableColumn id="8134" xr3:uid="{89387909-3F1A-4FC9-9A28-6B604008B22C}" name="Column8134"/>
    <tableColumn id="8135" xr3:uid="{CF286780-31F4-4217-B053-A5AE216BFDAD}" name="Column8135"/>
    <tableColumn id="8136" xr3:uid="{BC6D4F6D-E3E4-44CA-8321-E888E83A5F6E}" name="Column8136"/>
    <tableColumn id="8137" xr3:uid="{316B9887-70C6-4383-9E33-AF76140D19BB}" name="Column8137"/>
    <tableColumn id="8138" xr3:uid="{FEAA1F77-045D-4803-AD2E-C856032C1352}" name="Column8138"/>
    <tableColumn id="8139" xr3:uid="{582EF3E1-466F-4C74-9EA6-B0A30F63536A}" name="Column8139"/>
    <tableColumn id="8140" xr3:uid="{C8567C32-3ED3-4819-ADC7-AFCA4B85BE0A}" name="Column8140"/>
    <tableColumn id="8141" xr3:uid="{B955EDC7-0D3F-4079-B848-5947DE1FF408}" name="Column8141"/>
    <tableColumn id="8142" xr3:uid="{033CC603-3F6F-4420-A768-4F088620CF46}" name="Column8142"/>
    <tableColumn id="8143" xr3:uid="{F82C64CF-A5AF-4AD1-BEB1-FEAE5F0EF243}" name="Column8143"/>
    <tableColumn id="8144" xr3:uid="{2AF83CC2-1A96-4B23-963A-EA8396C84468}" name="Column8144"/>
    <tableColumn id="8145" xr3:uid="{2FD59524-5101-4B79-9847-3897EF9E026F}" name="Column8145"/>
    <tableColumn id="8146" xr3:uid="{88891026-E085-4B75-A08A-8744550399CB}" name="Column8146"/>
    <tableColumn id="8147" xr3:uid="{9431DEC9-6E9C-40DB-B858-71ACCF5191EC}" name="Column8147"/>
    <tableColumn id="8148" xr3:uid="{8ED8C353-0749-477B-83F0-C47171EC5694}" name="Column8148"/>
    <tableColumn id="8149" xr3:uid="{6C0E8234-2661-4642-94B6-5F98CF298B10}" name="Column8149"/>
    <tableColumn id="8150" xr3:uid="{3F36EDC9-522A-4ED1-A65B-08E99ACBD75E}" name="Column8150"/>
    <tableColumn id="8151" xr3:uid="{7AFD8C72-C4E7-473C-B51B-6F4072B7BAB1}" name="Column8151"/>
    <tableColumn id="8152" xr3:uid="{74118596-BDD9-4E4F-849C-B84880227FE4}" name="Column8152"/>
    <tableColumn id="8153" xr3:uid="{C3DF5F51-DFA5-465C-852E-686C563729C2}" name="Column8153"/>
    <tableColumn id="8154" xr3:uid="{7DDE0A58-8DE9-41F5-9855-DEBFFFDCAD7D}" name="Column8154"/>
    <tableColumn id="8155" xr3:uid="{4C03A432-2DEE-4582-B01C-E494FAF271B9}" name="Column8155"/>
    <tableColumn id="8156" xr3:uid="{24F3B951-F8DE-4FD8-B761-4A4FDF2660F3}" name="Column8156"/>
    <tableColumn id="8157" xr3:uid="{BA66F240-576B-4FB2-82AE-899B5060570B}" name="Column8157"/>
    <tableColumn id="8158" xr3:uid="{7C374C4B-50C2-436D-ACA5-D54269410826}" name="Column8158"/>
    <tableColumn id="8159" xr3:uid="{3C78F783-6CD5-4944-A4DD-BEFE0EF0FD3C}" name="Column8159"/>
    <tableColumn id="8160" xr3:uid="{6AE28992-AD11-4E79-9451-8B93EFFE9598}" name="Column8160"/>
    <tableColumn id="8161" xr3:uid="{30E0201B-8E57-4892-A148-06F5FC2F44CD}" name="Column8161"/>
    <tableColumn id="8162" xr3:uid="{59738E82-C7BF-4741-9DB4-74F895517628}" name="Column8162"/>
    <tableColumn id="8163" xr3:uid="{732D6280-4F95-4500-8F86-06A766EF295C}" name="Column8163"/>
    <tableColumn id="8164" xr3:uid="{FCB95024-D227-4445-B12C-C2983AF47D8E}" name="Column8164"/>
    <tableColumn id="8165" xr3:uid="{7645EA88-6F9A-49A7-A697-260F136BF9BC}" name="Column8165"/>
    <tableColumn id="8166" xr3:uid="{21F53530-FBDE-4B49-9A43-A704AA6B3396}" name="Column8166"/>
    <tableColumn id="8167" xr3:uid="{76B35D4A-63BF-409E-9C09-EE54782A27A0}" name="Column8167"/>
    <tableColumn id="8168" xr3:uid="{43BC7834-CEC5-48D3-BF90-E59915584FD3}" name="Column8168"/>
    <tableColumn id="8169" xr3:uid="{503D8ABF-05CC-4E17-8804-C528E9406820}" name="Column8169"/>
    <tableColumn id="8170" xr3:uid="{A673495F-EAB3-4FB7-89A1-23E4CA33E309}" name="Column8170"/>
    <tableColumn id="8171" xr3:uid="{4ACE70F9-2A3F-43CC-8F30-F26A1F921CD6}" name="Column8171"/>
    <tableColumn id="8172" xr3:uid="{8EE52E2C-6443-4519-B9F3-7155932A3182}" name="Column8172"/>
    <tableColumn id="8173" xr3:uid="{5961A4E4-F97A-4EF5-8130-F57A64A726B0}" name="Column8173"/>
    <tableColumn id="8174" xr3:uid="{3C6061F5-611D-4E98-B2F1-01D3897A811B}" name="Column8174"/>
    <tableColumn id="8175" xr3:uid="{5230874E-0BF1-4336-8A3E-FA4BA0291EA0}" name="Column8175"/>
    <tableColumn id="8176" xr3:uid="{1794218A-F846-4E2E-AE29-B211E26811D8}" name="Column8176"/>
    <tableColumn id="8177" xr3:uid="{98159248-8899-4E40-ACC3-065EA59431DE}" name="Column8177"/>
    <tableColumn id="8178" xr3:uid="{905982C7-4F13-49D1-8E1F-89DA9AB54D4B}" name="Column8178"/>
    <tableColumn id="8179" xr3:uid="{059B0257-FEA5-48CA-858C-F081D0BC842E}" name="Column8179"/>
    <tableColumn id="8180" xr3:uid="{806CD6FD-747F-42A6-B773-5AD8D137E988}" name="Column8180"/>
    <tableColumn id="8181" xr3:uid="{5D7E63CA-97E4-499C-914A-3CBFAD7B3FC1}" name="Column8181"/>
    <tableColumn id="8182" xr3:uid="{C54FC63E-25B3-4C26-8DEC-D6E2BE862C0C}" name="Column8182"/>
    <tableColumn id="8183" xr3:uid="{07ECE660-EC15-4B57-ACF4-1755ED89F6FF}" name="Column8183"/>
    <tableColumn id="8184" xr3:uid="{509B2616-A7B3-4AFA-B31B-26A9B339D726}" name="Column8184"/>
    <tableColumn id="8185" xr3:uid="{7FFB6A98-7E1C-474F-A1BF-354C28C747BD}" name="Column8185"/>
    <tableColumn id="8186" xr3:uid="{DA27FF78-EC7D-4F56-9E96-98BC39D1A430}" name="Column8186"/>
    <tableColumn id="8187" xr3:uid="{032FBBCC-6D76-4D18-A599-544DB832A8EF}" name="Column8187"/>
    <tableColumn id="8188" xr3:uid="{8C42A7AC-5719-4C0A-AAE7-3089CFA09F4A}" name="Column8188"/>
    <tableColumn id="8189" xr3:uid="{208520B7-3DEB-48A5-8E6F-169D6C0A7A75}" name="Column8189"/>
    <tableColumn id="8190" xr3:uid="{961B7399-26FA-4DDD-89DE-B54B4B4D47B7}" name="Column8190"/>
    <tableColumn id="8191" xr3:uid="{8AC51581-CE24-4BA1-877A-7D99F03265F1}" name="Column8191"/>
    <tableColumn id="8192" xr3:uid="{213156A3-2EAD-462F-99E1-D87CFEA4BF72}" name="Column8192"/>
    <tableColumn id="8193" xr3:uid="{1D2FDFF0-776D-4C86-934E-4EE4FD8DA7FE}" name="Column8193"/>
    <tableColumn id="8194" xr3:uid="{CA6E1AFE-A971-4402-8F45-B8282CB89CEF}" name="Column8194"/>
    <tableColumn id="8195" xr3:uid="{CBA76A30-2A90-499A-83B4-5754971B7373}" name="Column8195"/>
    <tableColumn id="8196" xr3:uid="{D200015A-80F0-4353-95F0-94894B0D8006}" name="Column8196"/>
    <tableColumn id="8197" xr3:uid="{70A5DDEF-82F7-4104-AD4A-D269F455A2D9}" name="Column8197"/>
    <tableColumn id="8198" xr3:uid="{BA7335DC-A7D0-49F7-B7D9-2680AC2CDB26}" name="Column8198"/>
    <tableColumn id="8199" xr3:uid="{EE53D8F5-A544-4ED2-9087-341863D342D9}" name="Column8199"/>
    <tableColumn id="8200" xr3:uid="{70665929-172F-4CDB-8212-00345842FD46}" name="Column8200"/>
    <tableColumn id="8201" xr3:uid="{2E827E01-6875-4F3C-A0D0-2803E647C061}" name="Column8201"/>
    <tableColumn id="8202" xr3:uid="{F6F6C44D-D41B-4CA6-952B-A3120B9C28D1}" name="Column8202"/>
    <tableColumn id="8203" xr3:uid="{3119269B-5D70-4B22-96B1-3B72DEFDBF91}" name="Column8203"/>
    <tableColumn id="8204" xr3:uid="{9D80A0E4-7828-4541-94B5-C3C20EFC9B29}" name="Column8204"/>
    <tableColumn id="8205" xr3:uid="{5DD85156-70A1-417E-B561-F682E38BD0BA}" name="Column8205"/>
    <tableColumn id="8206" xr3:uid="{32B1C701-6C8B-4D63-A117-283208A5AE69}" name="Column8206"/>
    <tableColumn id="8207" xr3:uid="{57EE6203-4D71-4B52-BB8E-EBBC4C8B6FF6}" name="Column8207"/>
    <tableColumn id="8208" xr3:uid="{C483BC87-7A82-4830-8EE3-08912C82C98F}" name="Column8208"/>
    <tableColumn id="8209" xr3:uid="{5E9E8BF6-F449-4009-BC73-4F75BE6394D7}" name="Column8209"/>
    <tableColumn id="8210" xr3:uid="{8AB3E32C-50BB-4FA5-9A95-A0C3C259BD48}" name="Column8210"/>
    <tableColumn id="8211" xr3:uid="{1943BD1E-E51D-48AE-970E-59775A744218}" name="Column8211"/>
    <tableColumn id="8212" xr3:uid="{5D41D941-086C-4B9A-9B72-A2367E0E0BEF}" name="Column8212"/>
    <tableColumn id="8213" xr3:uid="{63CFA0AA-C557-464E-8F6E-DAC83EBB13DA}" name="Column8213"/>
    <tableColumn id="8214" xr3:uid="{4905DD84-85C2-4CD2-82D5-C66C68863277}" name="Column8214"/>
    <tableColumn id="8215" xr3:uid="{EB2F7DE0-E834-41B4-B3AD-01BBEAADB875}" name="Column8215"/>
    <tableColumn id="8216" xr3:uid="{4CA14D95-2C1E-4929-9A8B-1E3AF4684D7E}" name="Column8216"/>
    <tableColumn id="8217" xr3:uid="{E543D73B-16A9-4116-86C0-1BBE73B17836}" name="Column8217"/>
    <tableColumn id="8218" xr3:uid="{A1313201-B83F-45EC-8AB3-CB338AF34F88}" name="Column8218"/>
    <tableColumn id="8219" xr3:uid="{F7C50088-27FB-49AC-8646-F2DC9E8EFAA1}" name="Column8219"/>
    <tableColumn id="8220" xr3:uid="{25DC8FF5-8C37-497B-847A-CDB853FA6D4A}" name="Column8220"/>
    <tableColumn id="8221" xr3:uid="{03337B24-04B5-4BC8-BAE8-E09427D1E800}" name="Column8221"/>
    <tableColumn id="8222" xr3:uid="{5FAD03BB-CE1D-4DB7-A569-4E6FAD95769B}" name="Column8222"/>
    <tableColumn id="8223" xr3:uid="{6E9A3DD9-A6C0-43E2-B2AB-4AE3E343AE25}" name="Column8223"/>
    <tableColumn id="8224" xr3:uid="{43960F5E-0F18-47C3-869A-8190C2F17054}" name="Column8224"/>
    <tableColumn id="8225" xr3:uid="{8936C020-B58D-48EC-A2D8-89F4D021A81B}" name="Column8225"/>
    <tableColumn id="8226" xr3:uid="{080BE6AC-527D-472B-B16A-69632914A778}" name="Column8226"/>
    <tableColumn id="8227" xr3:uid="{5609A5C1-BDE0-477B-9745-34889B9E7997}" name="Column8227"/>
    <tableColumn id="8228" xr3:uid="{108BE3C6-2230-4E2A-AC24-6BA06E740D30}" name="Column8228"/>
    <tableColumn id="8229" xr3:uid="{7F4A2257-CCEB-4461-A6E7-95006C125924}" name="Column8229"/>
    <tableColumn id="8230" xr3:uid="{65459D76-9249-44F2-AB0E-B36908CF6127}" name="Column8230"/>
    <tableColumn id="8231" xr3:uid="{B0B54187-500E-4AF6-993E-C3FF779B9FF3}" name="Column8231"/>
    <tableColumn id="8232" xr3:uid="{1AF822FD-68DE-405C-85CA-57B4CFA54DAA}" name="Column8232"/>
    <tableColumn id="8233" xr3:uid="{267E3641-DFB6-4EB6-A13F-180DBC508C87}" name="Column8233"/>
    <tableColumn id="8234" xr3:uid="{3FC1002B-9943-46DF-9DC7-ECB83038D945}" name="Column8234"/>
    <tableColumn id="8235" xr3:uid="{8CBF1304-CBCC-40BC-8FDE-4340C56078B0}" name="Column8235"/>
    <tableColumn id="8236" xr3:uid="{AD0CAE50-A3E0-4B0E-9FEC-BFBDFA726E4F}" name="Column8236"/>
    <tableColumn id="8237" xr3:uid="{D039FDAB-758C-4F93-ACD9-BF2B7FDA2F6C}" name="Column8237"/>
    <tableColumn id="8238" xr3:uid="{E7A12F54-5FF7-4A56-AF29-55EFA23477F9}" name="Column8238"/>
    <tableColumn id="8239" xr3:uid="{82516CF8-1CF7-4BED-BF61-97D6145E5F93}" name="Column8239"/>
    <tableColumn id="8240" xr3:uid="{AC137E0C-861D-4BD1-8F7B-61D063B9DB40}" name="Column8240"/>
    <tableColumn id="8241" xr3:uid="{D81DDB02-4511-4489-BC99-B0851EC1968D}" name="Column8241"/>
    <tableColumn id="8242" xr3:uid="{E86D3E26-28F5-41AE-8EBA-819C2D7F0571}" name="Column8242"/>
    <tableColumn id="8243" xr3:uid="{6E36BEB8-57E1-4AB8-BB9B-63C6F7C05EC3}" name="Column8243"/>
    <tableColumn id="8244" xr3:uid="{AA87017B-5183-451E-83E9-97AA1FE9F782}" name="Column8244"/>
    <tableColumn id="8245" xr3:uid="{21372B7C-96D8-4567-BFD0-8DE440F7B503}" name="Column8245"/>
    <tableColumn id="8246" xr3:uid="{343A27C7-4730-426C-8350-30AF41C9A33E}" name="Column8246"/>
    <tableColumn id="8247" xr3:uid="{520F3702-D5BF-4D25-8DF1-039BCA768EC7}" name="Column8247"/>
    <tableColumn id="8248" xr3:uid="{5EFFF468-FB49-4E46-BDBB-D65CB65BAA13}" name="Column8248"/>
    <tableColumn id="8249" xr3:uid="{E1E6C145-8DE9-4EC4-AE89-CBCCE72ECE9D}" name="Column8249"/>
    <tableColumn id="8250" xr3:uid="{7D0E7849-6BA6-4A19-9C2B-4424E986E6B3}" name="Column8250"/>
    <tableColumn id="8251" xr3:uid="{FE009CA3-4C03-49DB-A761-4ACE3A9CBD41}" name="Column8251"/>
    <tableColumn id="8252" xr3:uid="{E94A07E1-8B21-42D5-B9E4-E375D4A88780}" name="Column8252"/>
    <tableColumn id="8253" xr3:uid="{29063360-12C5-4062-B5DC-611248F6B7EE}" name="Column8253"/>
    <tableColumn id="8254" xr3:uid="{60594915-AC06-47D5-9FDA-8CA8DCAC4943}" name="Column8254"/>
    <tableColumn id="8255" xr3:uid="{57788932-22A5-4B5F-B3F6-0DBE0319C7EB}" name="Column8255"/>
    <tableColumn id="8256" xr3:uid="{E206C9CB-F520-4812-AE82-1BDBD2E74B5B}" name="Column8256"/>
    <tableColumn id="8257" xr3:uid="{C8875631-1575-41DB-81CD-5FB4318EA7F9}" name="Column8257"/>
    <tableColumn id="8258" xr3:uid="{9EE0FC69-3EBC-4294-90E3-9049AD56AF08}" name="Column8258"/>
    <tableColumn id="8259" xr3:uid="{DFC12E1E-172B-40FF-91C9-EE2A7204CCF3}" name="Column8259"/>
    <tableColumn id="8260" xr3:uid="{4E230C1F-B0CF-4078-AAF8-C46998747CFA}" name="Column8260"/>
    <tableColumn id="8261" xr3:uid="{E0800EC9-5EAE-4EC5-855B-A605B5306B4A}" name="Column8261"/>
    <tableColumn id="8262" xr3:uid="{8B0FEACE-28C7-4D55-9A94-A664C8AD25BA}" name="Column8262"/>
    <tableColumn id="8263" xr3:uid="{8176FEE6-8448-4F16-819A-C5730CFA3A01}" name="Column8263"/>
    <tableColumn id="8264" xr3:uid="{73605D40-7385-4D2E-A796-FBAA43CBA320}" name="Column8264"/>
    <tableColumn id="8265" xr3:uid="{28AE433B-DFAE-453E-87ED-4CAF32295B2E}" name="Column8265"/>
    <tableColumn id="8266" xr3:uid="{75B8422F-8509-4142-AF12-3B266097DF74}" name="Column8266"/>
    <tableColumn id="8267" xr3:uid="{F2095FB7-1715-4C27-9066-24520102EC3A}" name="Column8267"/>
    <tableColumn id="8268" xr3:uid="{C01943D1-6CC8-4506-A642-86B1B3CD0424}" name="Column8268"/>
    <tableColumn id="8269" xr3:uid="{2ED53934-F66A-47EE-9C3E-1BCF06C7BEDF}" name="Column8269"/>
    <tableColumn id="8270" xr3:uid="{7EFE9BD9-8D4C-484F-BC82-4AB09FBAF5DF}" name="Column8270"/>
    <tableColumn id="8271" xr3:uid="{8CCE7C41-12EF-45C6-8D5D-A55E0732F78C}" name="Column8271"/>
    <tableColumn id="8272" xr3:uid="{3D8AFEDA-4FC6-4B65-B878-8C97192F718A}" name="Column8272"/>
    <tableColumn id="8273" xr3:uid="{ECEDF802-6045-4A04-AB69-53619F3056FE}" name="Column8273"/>
    <tableColumn id="8274" xr3:uid="{F77D18DB-26BB-44C1-809B-402064C2DC4A}" name="Column8274"/>
    <tableColumn id="8275" xr3:uid="{2F3A3119-C3F7-41DF-BE88-555E23C9F53C}" name="Column8275"/>
    <tableColumn id="8276" xr3:uid="{AC5AEB8E-6C76-4CD5-88E9-5996008AAA1B}" name="Column8276"/>
    <tableColumn id="8277" xr3:uid="{6C1AE407-E63A-47EE-B859-E049D7EB3DE5}" name="Column8277"/>
    <tableColumn id="8278" xr3:uid="{7FAE6938-8AE2-4484-91FC-219288E9A670}" name="Column8278"/>
    <tableColumn id="8279" xr3:uid="{2921907A-77FE-4EDA-AE5E-FBA9C2EF6B75}" name="Column8279"/>
    <tableColumn id="8280" xr3:uid="{1D511D3F-E2D2-4757-907A-0FDC8658E962}" name="Column8280"/>
    <tableColumn id="8281" xr3:uid="{F53DFE90-9866-4850-BBB5-5EA29D44CC83}" name="Column8281"/>
    <tableColumn id="8282" xr3:uid="{B085CBA2-8B08-4F8A-BC7F-563571E382A5}" name="Column8282"/>
    <tableColumn id="8283" xr3:uid="{0E21AB6D-F82F-47F9-BB07-E1C3AEAECCC6}" name="Column8283"/>
    <tableColumn id="8284" xr3:uid="{07E96FD1-8C6F-4FBD-B690-B3630626C28E}" name="Column8284"/>
    <tableColumn id="8285" xr3:uid="{24187CDA-C4E2-4176-8468-DCA786ACF772}" name="Column8285"/>
    <tableColumn id="8286" xr3:uid="{338BA8B4-4157-48A7-B3DA-FD609F4F39D7}" name="Column8286"/>
    <tableColumn id="8287" xr3:uid="{6032BFD3-58CC-458E-9056-2F6876544108}" name="Column8287"/>
    <tableColumn id="8288" xr3:uid="{D3EAAC26-0846-45EB-A4D3-454EDB1980DD}" name="Column8288"/>
    <tableColumn id="8289" xr3:uid="{AF4DD85D-604F-4AD9-A04A-B2D9509FD9ED}" name="Column8289"/>
    <tableColumn id="8290" xr3:uid="{A70BEE40-5FA6-4DA9-96B0-9AE5CC10B9ED}" name="Column8290"/>
    <tableColumn id="8291" xr3:uid="{05413CBD-9DA6-4550-8CE7-1E0D8E93C026}" name="Column8291"/>
    <tableColumn id="8292" xr3:uid="{CE7ECDC2-F418-4885-9227-0717547B55A7}" name="Column8292"/>
    <tableColumn id="8293" xr3:uid="{7106B982-BDDB-4DBC-940C-BF4452216FF3}" name="Column8293"/>
    <tableColumn id="8294" xr3:uid="{1909FA28-0CAA-45B1-8A48-6DA222AA761E}" name="Column8294"/>
    <tableColumn id="8295" xr3:uid="{14704D03-F4A3-4E21-863A-3458C666D22A}" name="Column8295"/>
    <tableColumn id="8296" xr3:uid="{8C36BEC2-1E88-4A60-82D4-E60435BDEC4B}" name="Column8296"/>
    <tableColumn id="8297" xr3:uid="{453E6D82-86DD-4533-B53C-7429157ED6EE}" name="Column8297"/>
    <tableColumn id="8298" xr3:uid="{26A755B8-33E7-488D-BE49-E4C46D1C1A74}" name="Column8298"/>
    <tableColumn id="8299" xr3:uid="{49F62F39-1C31-42C0-9D14-8EEB5EF78CF2}" name="Column8299"/>
    <tableColumn id="8300" xr3:uid="{55CDF78C-6748-421A-B2C0-0475F859F5ED}" name="Column8300"/>
    <tableColumn id="8301" xr3:uid="{5CC178DB-48BF-49F0-BC64-DCA2E7773488}" name="Column8301"/>
    <tableColumn id="8302" xr3:uid="{3A2FAF6E-1737-424B-AAF6-AE3E64417C0F}" name="Column8302"/>
    <tableColumn id="8303" xr3:uid="{CB3E8E19-7C67-4377-828F-43FC9AA57E24}" name="Column8303"/>
    <tableColumn id="8304" xr3:uid="{932A73F6-55EB-446C-8C24-858CD700C5AF}" name="Column8304"/>
    <tableColumn id="8305" xr3:uid="{AC66A7B7-C285-4748-974B-B59F38F390FE}" name="Column8305"/>
    <tableColumn id="8306" xr3:uid="{64D7A030-E5C3-4A6E-A4B2-BD88881F3FC5}" name="Column8306"/>
    <tableColumn id="8307" xr3:uid="{21EBAD37-BD05-4C89-9142-7349E51BEBCC}" name="Column8307"/>
    <tableColumn id="8308" xr3:uid="{6ADB10C2-B1BD-498E-86F3-66C1BE8A3400}" name="Column8308"/>
    <tableColumn id="8309" xr3:uid="{DD763F05-9CE7-40EF-A9FF-4C4C7910E8BA}" name="Column8309"/>
    <tableColumn id="8310" xr3:uid="{034DCFA7-1389-450F-9037-510593110461}" name="Column8310"/>
    <tableColumn id="8311" xr3:uid="{98259D3B-6FD5-4705-960D-BEDAEEFAA614}" name="Column8311"/>
    <tableColumn id="8312" xr3:uid="{6826D34C-9959-47A2-8D5E-A0A860D8777E}" name="Column8312"/>
    <tableColumn id="8313" xr3:uid="{DF3F0DEC-FD73-4FDA-98C8-4B75342AF1DF}" name="Column8313"/>
    <tableColumn id="8314" xr3:uid="{707EBF2A-B7E7-4E32-A955-A7E0C2B78C41}" name="Column8314"/>
    <tableColumn id="8315" xr3:uid="{19301F70-52EE-4FC0-97B6-2E4BC6327178}" name="Column8315"/>
    <tableColumn id="8316" xr3:uid="{89EB8E06-18FB-47D0-A8BE-77FB98F25933}" name="Column8316"/>
    <tableColumn id="8317" xr3:uid="{6B2D5262-40D6-46C8-8F79-66EA509E1220}" name="Column8317"/>
    <tableColumn id="8318" xr3:uid="{86CE643D-FAD1-4DC5-814D-AF18F12620BA}" name="Column8318"/>
    <tableColumn id="8319" xr3:uid="{41404F40-C74D-4CCB-8977-425C80403C01}" name="Column8319"/>
    <tableColumn id="8320" xr3:uid="{5677740F-D32C-4712-BAF5-1E71B60B9C8A}" name="Column8320"/>
    <tableColumn id="8321" xr3:uid="{C5BEE915-98E5-4A48-9DE7-182B9E2C9418}" name="Column8321"/>
    <tableColumn id="8322" xr3:uid="{015C36F8-CE4F-47FC-9802-7445BBA544DE}" name="Column8322"/>
    <tableColumn id="8323" xr3:uid="{84171FD5-A759-42B6-80E5-638C509A3347}" name="Column8323"/>
    <tableColumn id="8324" xr3:uid="{9D581675-C01D-417E-865C-B0C0C7C8C670}" name="Column8324"/>
    <tableColumn id="8325" xr3:uid="{A2F7D912-F7F7-4C85-A93B-6A220325D8BA}" name="Column8325"/>
    <tableColumn id="8326" xr3:uid="{93DEC310-DDA5-4D5C-9CDD-DC880ED961A9}" name="Column8326"/>
    <tableColumn id="8327" xr3:uid="{9E43C529-BC5C-4341-B1FA-7356DA7CD903}" name="Column8327"/>
    <tableColumn id="8328" xr3:uid="{56B9F875-D933-4FCC-93AF-F3EC65B7AF6C}" name="Column8328"/>
    <tableColumn id="8329" xr3:uid="{F6266406-F3E0-4029-A5F4-5BFB70C795DD}" name="Column8329"/>
    <tableColumn id="8330" xr3:uid="{B5D3168F-2F8F-4A0D-A1B9-79455A652C6C}" name="Column8330"/>
    <tableColumn id="8331" xr3:uid="{FB428BD2-2563-4219-9D34-704C3D44B736}" name="Column8331"/>
    <tableColumn id="8332" xr3:uid="{02432782-9A2C-4AE3-B3C6-0A945C722221}" name="Column8332"/>
    <tableColumn id="8333" xr3:uid="{5CCB5F5F-22DA-40A6-A7C7-731EB3688670}" name="Column8333"/>
    <tableColumn id="8334" xr3:uid="{397BBEE4-D1CD-4BBE-A4F2-09B76634C10A}" name="Column8334"/>
    <tableColumn id="8335" xr3:uid="{7952CD67-5727-48AC-92FF-22DB4471CDF1}" name="Column8335"/>
    <tableColumn id="8336" xr3:uid="{9DB5C671-298D-4283-BF7C-9D1B455A100B}" name="Column8336"/>
    <tableColumn id="8337" xr3:uid="{208D5774-509B-4D7B-BECE-23C052776420}" name="Column8337"/>
    <tableColumn id="8338" xr3:uid="{CA9BFFC8-B1D4-4C18-8A69-C8303871A15D}" name="Column8338"/>
    <tableColumn id="8339" xr3:uid="{87FCED4A-7D12-4D09-A1C6-E6F8D1145739}" name="Column8339"/>
    <tableColumn id="8340" xr3:uid="{84FE74BC-7C7A-4106-BDFC-0E8C38229732}" name="Column8340"/>
    <tableColumn id="8341" xr3:uid="{17F6A098-1BCD-4ED3-AF87-426FA41DDE6E}" name="Column8341"/>
    <tableColumn id="8342" xr3:uid="{FBCD77DC-5A64-46B6-960D-1B040012DE26}" name="Column8342"/>
    <tableColumn id="8343" xr3:uid="{F2C9218A-4ADA-4C6E-A7D8-D5D14736061B}" name="Column8343"/>
    <tableColumn id="8344" xr3:uid="{85268DA2-8988-47EA-90B9-C984D3557C02}" name="Column8344"/>
    <tableColumn id="8345" xr3:uid="{2B583B85-BFE6-4F26-A422-37057F767DA9}" name="Column8345"/>
    <tableColumn id="8346" xr3:uid="{3ED0940A-BBAE-4D1B-963E-62CAAE9CA81D}" name="Column8346"/>
    <tableColumn id="8347" xr3:uid="{62A9D347-0FB2-4758-96A5-4870896F70CC}" name="Column8347"/>
    <tableColumn id="8348" xr3:uid="{D0228FE6-462A-44E7-84EF-AAE22E1B934B}" name="Column8348"/>
    <tableColumn id="8349" xr3:uid="{F95FED5C-1808-4D07-BE9A-168E4535ACC4}" name="Column8349"/>
    <tableColumn id="8350" xr3:uid="{A8BF4BB0-D9D2-4614-927A-9A955BF78B34}" name="Column8350"/>
    <tableColumn id="8351" xr3:uid="{ABE2582E-910B-4133-AE40-ECD581FBA641}" name="Column8351"/>
    <tableColumn id="8352" xr3:uid="{9E5533BB-F4EC-41DC-BF70-CDE4A0C4C595}" name="Column8352"/>
    <tableColumn id="8353" xr3:uid="{74017F0F-E828-449F-96EC-2F0F33A8333B}" name="Column8353"/>
    <tableColumn id="8354" xr3:uid="{8F002495-A561-4955-A4D4-959230F94DE0}" name="Column8354"/>
    <tableColumn id="8355" xr3:uid="{8FF79A3F-0466-4A0A-9F0C-D3A3F9B8F6A3}" name="Column8355"/>
    <tableColumn id="8356" xr3:uid="{B4F6E045-D0DC-4CCA-AC90-ACCAA366E4BA}" name="Column8356"/>
    <tableColumn id="8357" xr3:uid="{425FC4A7-0651-4561-AA4B-835564F69059}" name="Column8357"/>
    <tableColumn id="8358" xr3:uid="{0C8D5CC7-8F53-45C6-A71A-637317F0C8CC}" name="Column8358"/>
    <tableColumn id="8359" xr3:uid="{4BEC7261-9503-40D3-B474-A27166CCCB08}" name="Column8359"/>
    <tableColumn id="8360" xr3:uid="{9E06AE8F-3B28-457A-98DE-347F945181E2}" name="Column8360"/>
    <tableColumn id="8361" xr3:uid="{BD6C3203-A079-4DEA-875E-BE0D3112F1B6}" name="Column8361"/>
    <tableColumn id="8362" xr3:uid="{58CB2ACE-F23A-4D55-BDBF-5F757C735A5D}" name="Column8362"/>
    <tableColumn id="8363" xr3:uid="{65A375A8-19C5-454D-A1F8-E0DDEF348B62}" name="Column8363"/>
    <tableColumn id="8364" xr3:uid="{17C6D09A-4225-4911-A825-C3A58C130BFE}" name="Column8364"/>
    <tableColumn id="8365" xr3:uid="{70F0478F-7D08-491D-82C2-0DFD304CB546}" name="Column8365"/>
    <tableColumn id="8366" xr3:uid="{6C129FF7-BFCC-40B9-99F6-DF08DDEE654F}" name="Column8366"/>
    <tableColumn id="8367" xr3:uid="{230DAA4E-9259-4745-AB37-3312C93B7C98}" name="Column8367"/>
    <tableColumn id="8368" xr3:uid="{18AAA702-88C9-4C59-A69D-0C84843349BA}" name="Column8368"/>
    <tableColumn id="8369" xr3:uid="{D749DD02-AECB-4776-ABB2-2272CD54E1C5}" name="Column8369"/>
    <tableColumn id="8370" xr3:uid="{5338E214-713B-4210-81EF-99FD23BA94F1}" name="Column8370"/>
    <tableColumn id="8371" xr3:uid="{C518051E-42F3-4563-B4BF-F2E648DF83DC}" name="Column8371"/>
    <tableColumn id="8372" xr3:uid="{70D67FC6-07C5-4FA7-A6B2-86EFE6D169EE}" name="Column8372"/>
    <tableColumn id="8373" xr3:uid="{519ED09D-CC70-48F6-B846-0694ECFF3D42}" name="Column8373"/>
    <tableColumn id="8374" xr3:uid="{53F9EC48-746A-4249-8426-AD26CD1219AA}" name="Column8374"/>
    <tableColumn id="8375" xr3:uid="{21476131-CF00-4EFB-B2D1-A013BDB3CF59}" name="Column8375"/>
    <tableColumn id="8376" xr3:uid="{14D2F517-DCF4-4570-A0A1-468C61C7E60C}" name="Column8376"/>
    <tableColumn id="8377" xr3:uid="{E06FC29B-093F-485D-A23E-A9AA1F8FE2B6}" name="Column8377"/>
    <tableColumn id="8378" xr3:uid="{E8353D6A-439A-4806-B40F-99233DD617A3}" name="Column8378"/>
    <tableColumn id="8379" xr3:uid="{5526AE8E-9457-46E4-ACE9-4C6AA0E97428}" name="Column8379"/>
    <tableColumn id="8380" xr3:uid="{FD297AE5-A539-41E4-A3E4-AE5381B4C6DF}" name="Column8380"/>
    <tableColumn id="8381" xr3:uid="{14B34BE9-ABB0-4A02-8EEC-E841BD1E376D}" name="Column8381"/>
    <tableColumn id="8382" xr3:uid="{B7A76E52-771A-4097-8E4B-66CD780E624B}" name="Column8382"/>
    <tableColumn id="8383" xr3:uid="{D7CE2F4C-BDC3-4C56-AA83-E9D619F05738}" name="Column8383"/>
    <tableColumn id="8384" xr3:uid="{CB40F421-0901-48A3-A7A7-ED26011E82AF}" name="Column8384"/>
    <tableColumn id="8385" xr3:uid="{A1590670-359E-4CE6-83AA-EA4EEA70CA00}" name="Column8385"/>
    <tableColumn id="8386" xr3:uid="{A663CAAD-5917-4BFB-A20E-6C729F8193B3}" name="Column8386"/>
    <tableColumn id="8387" xr3:uid="{285F423D-7387-41E4-A9D3-FFE23731B3EE}" name="Column8387"/>
    <tableColumn id="8388" xr3:uid="{49985591-D9A0-437E-877B-61F7537A03D9}" name="Column8388"/>
    <tableColumn id="8389" xr3:uid="{588A25BC-AA5B-413B-BEA0-E57B922A3A50}" name="Column8389"/>
    <tableColumn id="8390" xr3:uid="{70B098E5-AAE8-422B-879B-CEF6F54753A0}" name="Column8390"/>
    <tableColumn id="8391" xr3:uid="{5D3AACA4-8B3F-44D9-BF9C-8941810981D8}" name="Column8391"/>
    <tableColumn id="8392" xr3:uid="{2538DFBF-41EF-4364-B31D-E28B8BB46822}" name="Column8392"/>
    <tableColumn id="8393" xr3:uid="{5C796067-E8A7-41C8-A4D1-F2B92CC654E5}" name="Column8393"/>
    <tableColumn id="8394" xr3:uid="{8503036F-CDB3-419E-81FF-F3DF693A5AEC}" name="Column8394"/>
    <tableColumn id="8395" xr3:uid="{1B019402-B876-4155-B895-5613BDFC167E}" name="Column8395"/>
    <tableColumn id="8396" xr3:uid="{8CFE7125-1E7F-4FD0-93D0-117EC230A34A}" name="Column8396"/>
    <tableColumn id="8397" xr3:uid="{3C4B05C4-7C37-4525-8DF1-A35D69B09343}" name="Column8397"/>
    <tableColumn id="8398" xr3:uid="{C1E70627-7BA4-4A77-86DF-208958B9E012}" name="Column8398"/>
    <tableColumn id="8399" xr3:uid="{9316CC54-41DE-4D01-B0A5-8606D0C0589B}" name="Column8399"/>
    <tableColumn id="8400" xr3:uid="{5CFBB0FD-78C4-4B3B-9C30-8790A9F4AAD8}" name="Column8400"/>
    <tableColumn id="8401" xr3:uid="{9DB3F747-BA09-4DBC-AC62-7F2256C555BD}" name="Column8401"/>
    <tableColumn id="8402" xr3:uid="{C32C7BD5-8D16-4534-A087-A87267AE2102}" name="Column8402"/>
    <tableColumn id="8403" xr3:uid="{47EB485C-12C1-4D32-8437-E87D51897832}" name="Column8403"/>
    <tableColumn id="8404" xr3:uid="{34F0ACA9-199E-4FA6-98C0-22D0738767E9}" name="Column8404"/>
    <tableColumn id="8405" xr3:uid="{E8967099-D0FE-4716-BA2C-CC5D324B2F12}" name="Column8405"/>
    <tableColumn id="8406" xr3:uid="{B3716022-BDAD-496E-8C9B-E37966C83CC6}" name="Column8406"/>
    <tableColumn id="8407" xr3:uid="{F5D3A1B9-A6C7-410A-901E-AC5607CEFD93}" name="Column8407"/>
    <tableColumn id="8408" xr3:uid="{FE90D559-2607-4EE3-87A3-83044C64B3EE}" name="Column8408"/>
    <tableColumn id="8409" xr3:uid="{B5BC51F4-F44B-4759-89EA-468BD87BA004}" name="Column8409"/>
    <tableColumn id="8410" xr3:uid="{DC388511-9A78-4D2E-924C-EC613CEB9F62}" name="Column8410"/>
    <tableColumn id="8411" xr3:uid="{CED529B2-6208-479B-943C-A16E7CF82567}" name="Column8411"/>
    <tableColumn id="8412" xr3:uid="{404DA5D1-CFF8-4EEC-96C8-A59CFBB9367D}" name="Column8412"/>
    <tableColumn id="8413" xr3:uid="{AD9466FD-9FAC-446B-8FBE-F1F3D6B62B8E}" name="Column8413"/>
    <tableColumn id="8414" xr3:uid="{E206AA31-3315-4471-9D7A-595CB67DE8C6}" name="Column8414"/>
    <tableColumn id="8415" xr3:uid="{BA95FFCE-1D16-47DB-9AC9-D6C55DFF356F}" name="Column8415"/>
    <tableColumn id="8416" xr3:uid="{25C7E86F-9E24-4A26-B418-48C1B4FEA047}" name="Column8416"/>
    <tableColumn id="8417" xr3:uid="{ED2DB8D8-61E6-4FCB-93C4-EF1A0B1ABD22}" name="Column8417"/>
    <tableColumn id="8418" xr3:uid="{03A065C4-597F-48DA-8121-A97357D7C1FB}" name="Column8418"/>
    <tableColumn id="8419" xr3:uid="{08BDD7E8-F262-4E1C-AF26-5E83587FF3DC}" name="Column8419"/>
    <tableColumn id="8420" xr3:uid="{36D3C13A-75DB-47D7-BCF8-BE907197A792}" name="Column8420"/>
    <tableColumn id="8421" xr3:uid="{2BF11B83-789A-4C24-AE7C-D16F9D45A106}" name="Column8421"/>
    <tableColumn id="8422" xr3:uid="{8CB83927-53E5-4F61-8CCF-96D21B0D06FD}" name="Column8422"/>
    <tableColumn id="8423" xr3:uid="{E942C844-76A0-4089-9823-7A3B51EE6688}" name="Column8423"/>
    <tableColumn id="8424" xr3:uid="{051412EA-C6E5-41AB-B364-2B513EF8A8FD}" name="Column8424"/>
    <tableColumn id="8425" xr3:uid="{50EDD61B-06C0-42DC-86B1-223339F18629}" name="Column8425"/>
    <tableColumn id="8426" xr3:uid="{9DBC94B3-1BE6-4B4D-A3CB-4A39702E956C}" name="Column8426"/>
    <tableColumn id="8427" xr3:uid="{7D5FAE7A-F46D-4C16-9985-D4438B4AD66C}" name="Column8427"/>
    <tableColumn id="8428" xr3:uid="{6BB48F99-E6A4-4CCB-84BF-F2E3515487D6}" name="Column8428"/>
    <tableColumn id="8429" xr3:uid="{DA390E77-89B8-403C-9B08-8E66584B5D3E}" name="Column8429"/>
    <tableColumn id="8430" xr3:uid="{B360E2A3-DB5D-400D-B13B-E1EDBC303A40}" name="Column8430"/>
    <tableColumn id="8431" xr3:uid="{5A29027A-851A-4068-B96A-E8B8ADE8C6E1}" name="Column8431"/>
    <tableColumn id="8432" xr3:uid="{5ADB7119-ED2A-45DE-B924-2D4A6348FECE}" name="Column8432"/>
    <tableColumn id="8433" xr3:uid="{3524FDFF-5A54-4E34-B4FA-B2FDD46873E2}" name="Column8433"/>
    <tableColumn id="8434" xr3:uid="{6BDE0C82-0867-4117-BABF-124E64729315}" name="Column8434"/>
    <tableColumn id="8435" xr3:uid="{CDBEEBED-AB4A-417A-B1FA-510D97C8581C}" name="Column8435"/>
    <tableColumn id="8436" xr3:uid="{E66510D5-1AC6-4FA6-B8CC-2380A6C0C9BE}" name="Column8436"/>
    <tableColumn id="8437" xr3:uid="{C83DF0F2-FB7F-4E3E-8FC8-6D09D3C3AB11}" name="Column8437"/>
    <tableColumn id="8438" xr3:uid="{14835202-B384-4290-8A87-F14FF0136364}" name="Column8438"/>
    <tableColumn id="8439" xr3:uid="{BDB901D5-53E3-4890-98A0-8D75BEC99548}" name="Column8439"/>
    <tableColumn id="8440" xr3:uid="{6B14F382-EC6F-4F46-BE96-CA380E9D5D27}" name="Column8440"/>
    <tableColumn id="8441" xr3:uid="{4D0807A8-185A-4B77-AD7C-B0A12C461ADB}" name="Column8441"/>
    <tableColumn id="8442" xr3:uid="{2B32D509-1360-4267-86CC-C01D45993D41}" name="Column8442"/>
    <tableColumn id="8443" xr3:uid="{514D66E9-DBA6-4D1C-86F3-B623D2226731}" name="Column8443"/>
    <tableColumn id="8444" xr3:uid="{5EA3F023-574F-4B00-A70D-247695888233}" name="Column8444"/>
    <tableColumn id="8445" xr3:uid="{50FB0C6C-DAB5-4197-A3A4-D91F71AF3DC5}" name="Column8445"/>
    <tableColumn id="8446" xr3:uid="{76BBE7D7-1475-4FFE-8B72-59A4211281B1}" name="Column8446"/>
    <tableColumn id="8447" xr3:uid="{1047E6FB-220E-4858-BE00-6B4890DCA619}" name="Column8447"/>
    <tableColumn id="8448" xr3:uid="{83EA3613-A89E-4DCB-A8EE-F23A3B9733BC}" name="Column8448"/>
    <tableColumn id="8449" xr3:uid="{603ED162-D748-4DB2-BB86-5383649FAD94}" name="Column8449"/>
    <tableColumn id="8450" xr3:uid="{7486D26D-A386-4EFF-9FAE-7671BE0E4C91}" name="Column8450"/>
    <tableColumn id="8451" xr3:uid="{BDA636C4-3485-48D2-A29E-8CC6A383CE2C}" name="Column8451"/>
    <tableColumn id="8452" xr3:uid="{2B3D3A47-1B87-4C79-B2AA-582CFD1A5E2B}" name="Column8452"/>
    <tableColumn id="8453" xr3:uid="{3FD2F202-D47C-4D0E-978D-1C59CF0A3368}" name="Column8453"/>
    <tableColumn id="8454" xr3:uid="{86576AA6-AE80-497C-8E18-04011EF854AD}" name="Column8454"/>
    <tableColumn id="8455" xr3:uid="{F9CF307C-97E6-4151-85EB-757DF402A6F5}" name="Column8455"/>
    <tableColumn id="8456" xr3:uid="{EE63A238-E4BC-4644-BD25-CFC869F12323}" name="Column8456"/>
    <tableColumn id="8457" xr3:uid="{A176624D-9853-4246-ADC1-EADDAF677D73}" name="Column8457"/>
    <tableColumn id="8458" xr3:uid="{A95CF1C9-6817-400D-ACCD-760200840EBB}" name="Column8458"/>
    <tableColumn id="8459" xr3:uid="{FE79A20F-03F3-44E9-AC72-9F266C17996D}" name="Column8459"/>
    <tableColumn id="8460" xr3:uid="{9AC98587-A872-416F-9361-F3420DF05C8D}" name="Column8460"/>
    <tableColumn id="8461" xr3:uid="{935D5C8B-15A5-4AB4-B7DA-D90D66C66C3A}" name="Column8461"/>
    <tableColumn id="8462" xr3:uid="{5F0BC992-3CE5-4717-8299-F2D8BEA39B8E}" name="Column8462"/>
    <tableColumn id="8463" xr3:uid="{E7522777-A676-4C53-A3DB-5E5D870120C9}" name="Column8463"/>
    <tableColumn id="8464" xr3:uid="{BF6861F2-B880-48C6-B2F1-D839F8DE56A3}" name="Column8464"/>
    <tableColumn id="8465" xr3:uid="{9A937DE9-DE4F-4313-8453-331DECD3DB87}" name="Column8465"/>
    <tableColumn id="8466" xr3:uid="{176EA256-B25F-4DC2-80DE-F75C614FA515}" name="Column8466"/>
    <tableColumn id="8467" xr3:uid="{43F8B7E8-5993-4451-863E-914F66F6FB23}" name="Column8467"/>
    <tableColumn id="8468" xr3:uid="{EC1E9545-CB5C-49CC-9F1F-B04B763FB9B1}" name="Column8468"/>
    <tableColumn id="8469" xr3:uid="{8E0E1C06-278D-4AD6-A601-1C79E4B3D2A8}" name="Column8469"/>
    <tableColumn id="8470" xr3:uid="{7EBE3DCD-3CFF-4E5B-9D64-AF94BFD5C765}" name="Column8470"/>
    <tableColumn id="8471" xr3:uid="{CF75FA7E-2920-4C52-897E-9B6E5BD4524A}" name="Column8471"/>
    <tableColumn id="8472" xr3:uid="{3F6E817E-2999-4516-9018-B0F7FF0F7F92}" name="Column8472"/>
    <tableColumn id="8473" xr3:uid="{F89959CF-F14A-4BCD-A0FB-0D3EACB22D00}" name="Column8473"/>
    <tableColumn id="8474" xr3:uid="{53DA57FC-44BA-4472-AD20-1566158ED5B7}" name="Column8474"/>
    <tableColumn id="8475" xr3:uid="{BA1562AE-5B4D-4DDF-8DBC-ADB8F68EDC41}" name="Column8475"/>
    <tableColumn id="8476" xr3:uid="{D302E2EF-34C9-4404-879D-52509F52F524}" name="Column8476"/>
    <tableColumn id="8477" xr3:uid="{29F48E21-7646-4510-B61B-FF296ECBF074}" name="Column8477"/>
    <tableColumn id="8478" xr3:uid="{F5307932-BD5B-4538-9539-66C2DA2632AE}" name="Column8478"/>
    <tableColumn id="8479" xr3:uid="{D74CACCD-EE96-43A3-A192-FA5FC506FE19}" name="Column8479"/>
    <tableColumn id="8480" xr3:uid="{8A314715-79C9-4BB0-9B9C-AD14A39930E6}" name="Column8480"/>
    <tableColumn id="8481" xr3:uid="{A0E01ADD-4E63-4B01-AA15-B3F87F0B73CA}" name="Column8481"/>
    <tableColumn id="8482" xr3:uid="{F952003E-9253-43B0-ACE4-41479A5D6492}" name="Column8482"/>
    <tableColumn id="8483" xr3:uid="{6FFF2895-4627-49FE-A163-4B977C218B8A}" name="Column8483"/>
    <tableColumn id="8484" xr3:uid="{0A69EDB7-51C8-49E8-96A8-3EF7D2A43310}" name="Column8484"/>
    <tableColumn id="8485" xr3:uid="{A72D57D5-7766-423D-841E-403554019762}" name="Column8485"/>
    <tableColumn id="8486" xr3:uid="{A863DA0C-34A2-46C9-B40F-EC3D0A0C2834}" name="Column8486"/>
    <tableColumn id="8487" xr3:uid="{3F9214B0-2C5D-4836-B528-BB0A52D33792}" name="Column8487"/>
    <tableColumn id="8488" xr3:uid="{2088856F-A4E6-4BD4-A271-838E5357854A}" name="Column8488"/>
    <tableColumn id="8489" xr3:uid="{835E44CE-642E-44D0-BEF7-54EAEE5B698E}" name="Column8489"/>
    <tableColumn id="8490" xr3:uid="{F5E1ADEE-34BD-4DE5-B3C9-E8066D6485CD}" name="Column8490"/>
    <tableColumn id="8491" xr3:uid="{B2828977-9793-4938-8ECE-2A5456453C4B}" name="Column8491"/>
    <tableColumn id="8492" xr3:uid="{DA964E45-5DEE-4702-A7CD-53CC35C861E5}" name="Column8492"/>
    <tableColumn id="8493" xr3:uid="{7EF40F4D-320F-443E-8DAB-F63E9E15E83C}" name="Column8493"/>
    <tableColumn id="8494" xr3:uid="{048E535D-0C99-4698-A921-C768F66D6E01}" name="Column8494"/>
    <tableColumn id="8495" xr3:uid="{D53A1571-2F5C-4972-89FF-DADD973A77A7}" name="Column8495"/>
    <tableColumn id="8496" xr3:uid="{54401714-CB79-4010-B6BB-1A04842DF649}" name="Column8496"/>
    <tableColumn id="8497" xr3:uid="{C84D2E4B-531E-4444-92F4-5F8F057EA07E}" name="Column8497"/>
    <tableColumn id="8498" xr3:uid="{7136416C-2261-4E52-B292-A02DDE549596}" name="Column8498"/>
    <tableColumn id="8499" xr3:uid="{9C54994C-D2FF-4255-B08F-68B69B6684CD}" name="Column8499"/>
    <tableColumn id="8500" xr3:uid="{5648B31A-4645-42AF-B353-10DCA34D90F2}" name="Column8500"/>
    <tableColumn id="8501" xr3:uid="{F2A36CBA-2A9E-4F7E-98AB-D3A2521D0D67}" name="Column8501"/>
    <tableColumn id="8502" xr3:uid="{E547530B-F057-4BBA-AFB6-D60F7047C79D}" name="Column8502"/>
    <tableColumn id="8503" xr3:uid="{EEF5AF3D-5D82-4C94-9A0B-D0C22276A4D7}" name="Column8503"/>
    <tableColumn id="8504" xr3:uid="{BCA20A27-6474-405B-B080-D3D8350CBBC3}" name="Column8504"/>
    <tableColumn id="8505" xr3:uid="{235A8232-C7D0-44E1-B1FC-05F0681F7A18}" name="Column8505"/>
    <tableColumn id="8506" xr3:uid="{02089081-F4CD-4474-BBAE-EDA3A8F12259}" name="Column8506"/>
    <tableColumn id="8507" xr3:uid="{F606E38C-D9F7-4CDD-88C8-68AFFF6B6339}" name="Column8507"/>
    <tableColumn id="8508" xr3:uid="{5A2CC096-0772-4CC5-8D04-97E5190E5315}" name="Column8508"/>
    <tableColumn id="8509" xr3:uid="{CA82D849-CF5A-4A6B-ABFF-867661CA97CF}" name="Column8509"/>
    <tableColumn id="8510" xr3:uid="{7E028561-9BCA-47D2-A6D6-EEF1041E041F}" name="Column8510"/>
    <tableColumn id="8511" xr3:uid="{BC4D15F8-A31B-4A30-BE85-81F70F6B8349}" name="Column8511"/>
    <tableColumn id="8512" xr3:uid="{E7D0FA8D-192D-440D-8DD3-BDF218240800}" name="Column8512"/>
    <tableColumn id="8513" xr3:uid="{5E388495-DBCB-461E-BE94-CE64518B8D0A}" name="Column8513"/>
    <tableColumn id="8514" xr3:uid="{AA5B26D1-E0A2-4069-B044-0126920684A7}" name="Column8514"/>
    <tableColumn id="8515" xr3:uid="{DD28A580-0EC9-48DE-9E74-838FF96A6726}" name="Column8515"/>
    <tableColumn id="8516" xr3:uid="{B21A6ED4-B70A-400E-8ADA-45D8B4851A4E}" name="Column8516"/>
    <tableColumn id="8517" xr3:uid="{39A7B35D-EEFF-42DC-9B19-620C2B1FD2B5}" name="Column8517"/>
    <tableColumn id="8518" xr3:uid="{E16B6803-5184-4814-9CD6-46E5F935DA34}" name="Column8518"/>
    <tableColumn id="8519" xr3:uid="{0B5D27C6-62D1-478F-BB6A-B1085EEAD53C}" name="Column8519"/>
    <tableColumn id="8520" xr3:uid="{4BDCF97D-D93B-45D1-94F7-8D3F9D7F5CDF}" name="Column8520"/>
    <tableColumn id="8521" xr3:uid="{03B8F8FE-2E4A-4DCD-99DD-B2922B5ACECD}" name="Column8521"/>
    <tableColumn id="8522" xr3:uid="{6E803E3F-BAD0-4670-AFF6-316EEF089577}" name="Column8522"/>
    <tableColumn id="8523" xr3:uid="{97CBD339-3F28-49C4-BDA8-0FD6A4977E71}" name="Column8523"/>
    <tableColumn id="8524" xr3:uid="{C871A38E-B322-4D7A-8470-78E2F5B80200}" name="Column8524"/>
    <tableColumn id="8525" xr3:uid="{7A70C90C-07DA-4C3E-951A-7D526021F060}" name="Column8525"/>
    <tableColumn id="8526" xr3:uid="{3EC0FF66-DB0C-4073-AEB8-08A6BB3695FE}" name="Column8526"/>
    <tableColumn id="8527" xr3:uid="{1379E1FD-BCC4-44DB-8BC2-D5A1E8B32BA4}" name="Column8527"/>
    <tableColumn id="8528" xr3:uid="{30684512-9AFD-4780-9F18-7D624C4AAE42}" name="Column8528"/>
    <tableColumn id="8529" xr3:uid="{72FB5EAD-61D8-4260-BD92-5AA797C02618}" name="Column8529"/>
    <tableColumn id="8530" xr3:uid="{3D198A58-F245-4B73-9B9E-7D99EFDC688A}" name="Column8530"/>
    <tableColumn id="8531" xr3:uid="{AC6A95EB-4706-4157-A299-632CCCB94FD8}" name="Column8531"/>
    <tableColumn id="8532" xr3:uid="{9C77068D-E62F-4614-AFB7-F6EDAF2EEF68}" name="Column8532"/>
    <tableColumn id="8533" xr3:uid="{620024A0-06F0-40DA-9EEB-6760AD832A9D}" name="Column8533"/>
    <tableColumn id="8534" xr3:uid="{A8081616-FFA1-431B-8303-974F7B747A0A}" name="Column8534"/>
    <tableColumn id="8535" xr3:uid="{0D1AAED5-FAEF-4CBF-B24B-5F9786960410}" name="Column8535"/>
    <tableColumn id="8536" xr3:uid="{D283FE07-03C9-4344-A381-029319418707}" name="Column8536"/>
    <tableColumn id="8537" xr3:uid="{32A0FE73-9A93-4CF3-AB20-C2BA67567B5D}" name="Column8537"/>
    <tableColumn id="8538" xr3:uid="{16B5DEFC-DE15-4AB7-B7F3-574BFD1C87D6}" name="Column8538"/>
    <tableColumn id="8539" xr3:uid="{C383422D-38A9-480B-AC18-0B572550CD51}" name="Column8539"/>
    <tableColumn id="8540" xr3:uid="{1CF1D4F9-DA43-4471-A902-A19B588D3B75}" name="Column8540"/>
    <tableColumn id="8541" xr3:uid="{3538B097-7C85-4668-A015-16B503F0C733}" name="Column8541"/>
    <tableColumn id="8542" xr3:uid="{A23287D3-99BB-4F06-A173-C35955585861}" name="Column8542"/>
    <tableColumn id="8543" xr3:uid="{0FA7B7F4-DF7F-484C-ACF3-C613B2017C29}" name="Column8543"/>
    <tableColumn id="8544" xr3:uid="{82D1EFF5-F505-43DC-8E21-AADDD62AD0ED}" name="Column8544"/>
    <tableColumn id="8545" xr3:uid="{F1BDB20A-5028-469E-A013-341C7102CD4B}" name="Column8545"/>
    <tableColumn id="8546" xr3:uid="{C8016F52-7159-45B5-B8DC-2EC66F58D36E}" name="Column8546"/>
    <tableColumn id="8547" xr3:uid="{0F260C18-0342-4A09-9723-7470B375D527}" name="Column8547"/>
    <tableColumn id="8548" xr3:uid="{342DA801-F1C3-4318-BF50-A69259C29283}" name="Column8548"/>
    <tableColumn id="8549" xr3:uid="{ADFF51A9-D6CE-4C0F-89A1-D068EB2B653F}" name="Column8549"/>
    <tableColumn id="8550" xr3:uid="{C7CD4AC3-6156-49EA-BA00-1C8C364EE948}" name="Column8550"/>
    <tableColumn id="8551" xr3:uid="{BDA6E1E4-CF2A-413D-848F-4153D44535EE}" name="Column8551"/>
    <tableColumn id="8552" xr3:uid="{E9CE63BC-EE72-4A03-ABA4-200D5416A1A5}" name="Column8552"/>
    <tableColumn id="8553" xr3:uid="{41B6341A-61DB-4DC1-8082-2FC3100C7486}" name="Column8553"/>
    <tableColumn id="8554" xr3:uid="{EF5C1E71-2853-4578-8832-243F1937C926}" name="Column8554"/>
    <tableColumn id="8555" xr3:uid="{7B002945-025F-439A-877E-7BFC983DC8C7}" name="Column8555"/>
    <tableColumn id="8556" xr3:uid="{EE090504-15F3-436B-B5CC-ABCD7B252542}" name="Column8556"/>
    <tableColumn id="8557" xr3:uid="{BFEE365A-96F0-4373-B7AB-8BBAF9E949F9}" name="Column8557"/>
    <tableColumn id="8558" xr3:uid="{DA308A3C-2B5B-4203-939B-F3EE49D31AAA}" name="Column8558"/>
    <tableColumn id="8559" xr3:uid="{A2AC989C-B170-4757-B71A-A4537ABC6100}" name="Column8559"/>
    <tableColumn id="8560" xr3:uid="{EB3DB88B-C6C1-4668-BC1D-0FE79170135D}" name="Column8560"/>
    <tableColumn id="8561" xr3:uid="{EB387724-2DF8-49F5-9D32-0E1769E1C0DC}" name="Column8561"/>
    <tableColumn id="8562" xr3:uid="{14E97FB5-634E-4071-801A-2B5AD75E3415}" name="Column8562"/>
    <tableColumn id="8563" xr3:uid="{5C75D698-15DE-49AD-84B7-4728A5E24F6A}" name="Column8563"/>
    <tableColumn id="8564" xr3:uid="{DA19D74B-33F8-4FF2-AD8C-9B98136D1394}" name="Column8564"/>
    <tableColumn id="8565" xr3:uid="{50EBE325-5820-4932-B7A6-52EE5CF936AD}" name="Column8565"/>
    <tableColumn id="8566" xr3:uid="{0F90B24C-5F4E-40E1-9CE2-3041B7F9764C}" name="Column8566"/>
    <tableColumn id="8567" xr3:uid="{1178AD52-029B-40BE-93A8-ADE2057004EC}" name="Column8567"/>
    <tableColumn id="8568" xr3:uid="{2EF9DB9E-54C2-4633-A4AB-77256697F82A}" name="Column8568"/>
    <tableColumn id="8569" xr3:uid="{AB4375DA-0649-4CCE-BEBE-8150205396AE}" name="Column8569"/>
    <tableColumn id="8570" xr3:uid="{BDF06286-7899-49C5-8589-28ADBD24748C}" name="Column8570"/>
    <tableColumn id="8571" xr3:uid="{E4B365C1-E9C5-43A9-B506-0B2F2782491D}" name="Column8571"/>
    <tableColumn id="8572" xr3:uid="{381911CA-08FA-489E-B44C-19EA5013BE00}" name="Column8572"/>
    <tableColumn id="8573" xr3:uid="{588BBF21-4000-4679-84BF-E1614C750FFA}" name="Column8573"/>
    <tableColumn id="8574" xr3:uid="{E6394CD6-2BFB-49F9-B70A-88B272D4A33C}" name="Column8574"/>
    <tableColumn id="8575" xr3:uid="{2C1D2040-36D7-449D-BDFB-820E1D99DD0C}" name="Column8575"/>
    <tableColumn id="8576" xr3:uid="{A13A6FBB-4ED3-408E-95C5-8BC2EC6E3934}" name="Column8576"/>
    <tableColumn id="8577" xr3:uid="{788DB9E6-808F-4805-A718-40652A9AC718}" name="Column8577"/>
    <tableColumn id="8578" xr3:uid="{815B8B47-E256-4BAC-B7B2-BA8CF974F44D}" name="Column8578"/>
    <tableColumn id="8579" xr3:uid="{532A99C3-84A3-424A-B4DE-521C6CCFEE00}" name="Column8579"/>
    <tableColumn id="8580" xr3:uid="{E1276B33-508C-4D5B-A211-AACF34E0E8C7}" name="Column8580"/>
    <tableColumn id="8581" xr3:uid="{3F373331-FB4C-4422-8389-4C4D0F544915}" name="Column8581"/>
    <tableColumn id="8582" xr3:uid="{E6FE0589-C084-4AF2-85ED-C2F1FC14A764}" name="Column8582"/>
    <tableColumn id="8583" xr3:uid="{DF81A7E2-E687-4B43-9736-2EA0DE358AE1}" name="Column8583"/>
    <tableColumn id="8584" xr3:uid="{5797F9F6-F14C-45E2-BDA3-A924C052638D}" name="Column8584"/>
    <tableColumn id="8585" xr3:uid="{84D98EA9-549E-462A-99F6-6A0E3F45BA13}" name="Column8585"/>
    <tableColumn id="8586" xr3:uid="{100F0337-A93C-4FFB-8D34-B479432779E4}" name="Column8586"/>
    <tableColumn id="8587" xr3:uid="{68B6A618-ADAE-4AA0-979B-333D777A9138}" name="Column8587"/>
    <tableColumn id="8588" xr3:uid="{E6A3F6AE-CB39-418F-ABF6-5532042963BA}" name="Column8588"/>
    <tableColumn id="8589" xr3:uid="{747A9D2B-9EDF-405A-83DA-FD1072D56FFB}" name="Column8589"/>
    <tableColumn id="8590" xr3:uid="{636DF7CA-CE87-40D3-B93D-16BBE5DCA215}" name="Column8590"/>
    <tableColumn id="8591" xr3:uid="{B1F00E6F-CAF6-4939-AA5D-2F946C6561EF}" name="Column8591"/>
    <tableColumn id="8592" xr3:uid="{2148D0F6-808C-45E3-9CBB-2C2DA554F504}" name="Column8592"/>
    <tableColumn id="8593" xr3:uid="{D00FA61E-F576-4D7A-A203-38C1D0E04304}" name="Column8593"/>
    <tableColumn id="8594" xr3:uid="{823E12A6-0AB2-459B-AFE8-79EEE3B42CAC}" name="Column8594"/>
    <tableColumn id="8595" xr3:uid="{B3449CC0-DFE4-4DA8-BEAC-D64DA955BFF4}" name="Column8595"/>
    <tableColumn id="8596" xr3:uid="{F3FB398D-5450-4515-A2F8-CF500C91E9CC}" name="Column8596"/>
    <tableColumn id="8597" xr3:uid="{AE757580-28C8-4F52-B23F-AA8FB4DFEB0E}" name="Column8597"/>
    <tableColumn id="8598" xr3:uid="{9B557988-E211-454A-A7CE-3F8CF6562F45}" name="Column8598"/>
    <tableColumn id="8599" xr3:uid="{D99095E1-0F62-4F1C-B0EC-203BC664927D}" name="Column8599"/>
    <tableColumn id="8600" xr3:uid="{BEE7724B-FFC6-4A94-8E87-297C6FF79767}" name="Column8600"/>
    <tableColumn id="8601" xr3:uid="{479749DA-E255-4C8A-AC33-B7F35818AD4F}" name="Column8601"/>
    <tableColumn id="8602" xr3:uid="{34C54B5E-9B6A-47DD-8751-EC51918A4363}" name="Column8602"/>
    <tableColumn id="8603" xr3:uid="{2B946838-AF50-4550-A618-46FDBE7C5838}" name="Column8603"/>
    <tableColumn id="8604" xr3:uid="{68D21061-7BF6-4F57-81D3-CBE77E4CBB6B}" name="Column8604"/>
    <tableColumn id="8605" xr3:uid="{9628521C-D2CF-49C5-8944-E1E455C47BDB}" name="Column8605"/>
    <tableColumn id="8606" xr3:uid="{18AAC027-7FFC-4AA9-8B4C-B837B38CD0E0}" name="Column8606"/>
    <tableColumn id="8607" xr3:uid="{5D874521-80F6-4AD0-BDF0-468CC7BF8127}" name="Column8607"/>
    <tableColumn id="8608" xr3:uid="{D26479F0-7199-4BEE-85B5-1CF0705369E0}" name="Column8608"/>
    <tableColumn id="8609" xr3:uid="{D0872E1A-988C-4773-A256-CC12094241D1}" name="Column8609"/>
    <tableColumn id="8610" xr3:uid="{7DE25199-4DE5-44F1-A138-705ECB025B4A}" name="Column8610"/>
    <tableColumn id="8611" xr3:uid="{1ACED9E0-E18F-4F6D-A2CF-27EB3AF493EC}" name="Column8611"/>
    <tableColumn id="8612" xr3:uid="{D374DD64-16E6-4255-91DB-0DCDCB70E765}" name="Column8612"/>
    <tableColumn id="8613" xr3:uid="{2C138816-9FD5-435C-B765-A01DE0575843}" name="Column8613"/>
    <tableColumn id="8614" xr3:uid="{EAFC5DC3-ECC7-469E-A367-DB16D40C6090}" name="Column8614"/>
    <tableColumn id="8615" xr3:uid="{A9BC34B6-0629-47B3-88EB-295F0F3B8980}" name="Column8615"/>
    <tableColumn id="8616" xr3:uid="{32C4B8F8-E3EA-45E2-987A-BC7F2662D0FB}" name="Column8616"/>
    <tableColumn id="8617" xr3:uid="{E6F7E80E-7838-4FA5-9034-1095C8ACD3C7}" name="Column8617"/>
    <tableColumn id="8618" xr3:uid="{B067963E-A429-4B19-B948-91253F67BF44}" name="Column8618"/>
    <tableColumn id="8619" xr3:uid="{33594D96-609E-4B2C-8B13-D51CD065E491}" name="Column8619"/>
    <tableColumn id="8620" xr3:uid="{A380822A-ABF5-44A4-A413-C072C3274C2B}" name="Column8620"/>
    <tableColumn id="8621" xr3:uid="{6B0C4C83-10B5-4517-B398-5DD0DDB2C555}" name="Column8621"/>
    <tableColumn id="8622" xr3:uid="{A6D8CE03-1A7D-4838-B4D4-74E9A88F2E7E}" name="Column8622"/>
    <tableColumn id="8623" xr3:uid="{A7298384-26DD-43B6-8A67-4F78B6903CE2}" name="Column8623"/>
    <tableColumn id="8624" xr3:uid="{FD23B722-9CCB-4CE6-BFB8-CFECA160D6D4}" name="Column8624"/>
    <tableColumn id="8625" xr3:uid="{0FBC3B8B-7842-44F9-8C30-A082CA641F9E}" name="Column8625"/>
    <tableColumn id="8626" xr3:uid="{AEABFC9C-D6C1-4155-9B10-2805E08BE171}" name="Column8626"/>
    <tableColumn id="8627" xr3:uid="{51FB351A-F937-448F-A569-D6B2E68B80C1}" name="Column8627"/>
    <tableColumn id="8628" xr3:uid="{8CE9F2C9-F1EC-4366-A4BC-0383FFCB2801}" name="Column8628"/>
    <tableColumn id="8629" xr3:uid="{80011685-13DE-4277-A5B3-F1243A107877}" name="Column8629"/>
    <tableColumn id="8630" xr3:uid="{BEE23044-550C-4CC4-8E7D-EAB8FEAA6ECD}" name="Column8630"/>
    <tableColumn id="8631" xr3:uid="{C8755B2A-E59B-4146-8D5D-C71A2084E1D0}" name="Column8631"/>
    <tableColumn id="8632" xr3:uid="{BCE4AD7A-1C95-45F6-A42F-436E316B6004}" name="Column8632"/>
    <tableColumn id="8633" xr3:uid="{743B81E4-8CD7-41D3-83A9-8A9ABE16D187}" name="Column8633"/>
    <tableColumn id="8634" xr3:uid="{448CB5CF-2D45-4DE5-BD25-02BFB2F997F6}" name="Column8634"/>
    <tableColumn id="8635" xr3:uid="{D99B09BF-03EE-4E3A-BA32-B16B0F0B131B}" name="Column8635"/>
    <tableColumn id="8636" xr3:uid="{6851518B-961E-46C6-91FC-E47479E13378}" name="Column8636"/>
    <tableColumn id="8637" xr3:uid="{E8D7F57D-8E64-45CC-BE46-9BEF2AF0985E}" name="Column8637"/>
    <tableColumn id="8638" xr3:uid="{16CCD727-8ED7-4877-B818-8693DD81F4BE}" name="Column8638"/>
    <tableColumn id="8639" xr3:uid="{B6DE29BC-F1E9-4377-AEF1-F79C4C054474}" name="Column8639"/>
    <tableColumn id="8640" xr3:uid="{CA820D40-A1F1-43EB-89DF-52457592C87C}" name="Column8640"/>
    <tableColumn id="8641" xr3:uid="{043B5CCC-1A2D-4497-A837-D24170E85BE8}" name="Column8641"/>
    <tableColumn id="8642" xr3:uid="{DE86454C-9C30-4A18-8861-32F9026B1029}" name="Column8642"/>
    <tableColumn id="8643" xr3:uid="{9D864866-052B-4639-83EE-F3EA2E47E83F}" name="Column8643"/>
    <tableColumn id="8644" xr3:uid="{CF48751E-632C-4FD5-8BC6-2A62A10E62F6}" name="Column8644"/>
    <tableColumn id="8645" xr3:uid="{B60D82EF-CA4A-4987-9C85-B505391FCCD1}" name="Column8645"/>
    <tableColumn id="8646" xr3:uid="{7FAD2326-87EA-4814-AE1A-BF2506A64A0D}" name="Column8646"/>
    <tableColumn id="8647" xr3:uid="{7C7B1E01-50D3-4505-AA5D-1132F9E1667C}" name="Column8647"/>
    <tableColumn id="8648" xr3:uid="{8CFAF7DA-678F-4953-8EED-E93E3E237CE6}" name="Column8648"/>
    <tableColumn id="8649" xr3:uid="{974D4BFE-FA23-4675-9774-5EA275976AB8}" name="Column8649"/>
    <tableColumn id="8650" xr3:uid="{CD0849D2-6CA4-48D7-A48F-158BB7047C0D}" name="Column8650"/>
    <tableColumn id="8651" xr3:uid="{F3A3D8C3-71B4-4C08-A99D-191765B3E9B1}" name="Column8651"/>
    <tableColumn id="8652" xr3:uid="{E5322D3E-6DD1-4B6D-9ED1-BB34F9BDC647}" name="Column8652"/>
    <tableColumn id="8653" xr3:uid="{10D36C01-802D-4045-9883-CB5730B115A5}" name="Column8653"/>
    <tableColumn id="8654" xr3:uid="{949CD808-4C7B-4066-A23C-C1406C893B46}" name="Column8654"/>
    <tableColumn id="8655" xr3:uid="{234F9492-1F0C-4291-BC66-B5D7D5E431AA}" name="Column8655"/>
    <tableColumn id="8656" xr3:uid="{AE5AEDCB-B96C-481B-8E7F-CAD57624C827}" name="Column8656"/>
    <tableColumn id="8657" xr3:uid="{3E7642ED-73D7-4DFA-B5D5-77A76C06B673}" name="Column8657"/>
    <tableColumn id="8658" xr3:uid="{1DF1FE90-7FEA-4D59-9906-C048F449C913}" name="Column8658"/>
    <tableColumn id="8659" xr3:uid="{EA9D4FF9-52E4-4070-86DF-27A8CDAFB7B9}" name="Column8659"/>
    <tableColumn id="8660" xr3:uid="{21CFA329-7AA8-4870-B674-990E305A2068}" name="Column8660"/>
    <tableColumn id="8661" xr3:uid="{E80F59FA-FAAE-4AEB-AA53-1CC6C802BDD9}" name="Column8661"/>
    <tableColumn id="8662" xr3:uid="{DA5CE88D-92CB-440E-BE51-84978F67B52F}" name="Column8662"/>
    <tableColumn id="8663" xr3:uid="{0ABBEA55-8337-4625-9A2B-1D82F53115D4}" name="Column8663"/>
    <tableColumn id="8664" xr3:uid="{C1C3076C-894A-44F6-8833-C490F319A1B9}" name="Column8664"/>
    <tableColumn id="8665" xr3:uid="{5F72333F-CB96-480A-9B55-2BBCD9270A0E}" name="Column8665"/>
    <tableColumn id="8666" xr3:uid="{24F589C9-CA3F-4CF9-B728-1230E3BA13AB}" name="Column8666"/>
    <tableColumn id="8667" xr3:uid="{0AB6D1CB-B2B1-4AB1-9580-8A9CA716C338}" name="Column8667"/>
    <tableColumn id="8668" xr3:uid="{087A4E43-2265-419F-A3C3-BB9ACCB41314}" name="Column8668"/>
    <tableColumn id="8669" xr3:uid="{B9CCB3EE-82E5-45D5-8BA4-2675FCCC499F}" name="Column8669"/>
    <tableColumn id="8670" xr3:uid="{21E214D1-F9C8-42D0-A97A-01B7C85A800A}" name="Column8670"/>
    <tableColumn id="8671" xr3:uid="{4E935F05-5481-464A-8723-D45A109691AB}" name="Column8671"/>
    <tableColumn id="8672" xr3:uid="{A055420B-56C2-4113-A234-31EE2D55DD7E}" name="Column8672"/>
    <tableColumn id="8673" xr3:uid="{31C34281-996B-4B2D-8886-C2556E7015A3}" name="Column8673"/>
    <tableColumn id="8674" xr3:uid="{CF34ABA3-53E4-4276-AD2A-8859C7125D25}" name="Column8674"/>
    <tableColumn id="8675" xr3:uid="{C2AFD149-E64A-4C42-A629-1BBDA43FF3BB}" name="Column8675"/>
    <tableColumn id="8676" xr3:uid="{55B6815F-A450-490F-B4CF-DAE51F247BC1}" name="Column8676"/>
    <tableColumn id="8677" xr3:uid="{DF455091-E356-46C1-9195-E71F464A262B}" name="Column8677"/>
    <tableColumn id="8678" xr3:uid="{EC048A69-3100-4959-A1FB-61B8A0D45381}" name="Column8678"/>
    <tableColumn id="8679" xr3:uid="{966C0CA5-DAAC-4BAA-91BE-3D34165E2DD5}" name="Column8679"/>
    <tableColumn id="8680" xr3:uid="{FB970E5F-6D04-4DF9-9B60-9575BD613E68}" name="Column8680"/>
    <tableColumn id="8681" xr3:uid="{3DD46EB4-5249-4144-9D49-3BF25ECDE85D}" name="Column8681"/>
    <tableColumn id="8682" xr3:uid="{10D9D955-B6B9-487E-8EC7-0A44B79C2DAD}" name="Column8682"/>
    <tableColumn id="8683" xr3:uid="{DBC8C165-6A18-4485-9D12-FC334722371D}" name="Column8683"/>
    <tableColumn id="8684" xr3:uid="{2F2BDA2C-2C43-4448-AE09-B63C2055D546}" name="Column8684"/>
    <tableColumn id="8685" xr3:uid="{07A6C1F1-EFD2-46EA-B6DE-98A3898717EC}" name="Column8685"/>
    <tableColumn id="8686" xr3:uid="{D42CA673-BB5A-4EA9-A700-F1E37B0BF80E}" name="Column8686"/>
    <tableColumn id="8687" xr3:uid="{B47889B4-D5D4-4EA5-9296-568F4E964BEC}" name="Column8687"/>
    <tableColumn id="8688" xr3:uid="{309E5BAE-3419-4DA1-8729-0DF1E5A74D12}" name="Column8688"/>
    <tableColumn id="8689" xr3:uid="{74C1956C-BB8B-4EED-9540-F247A3C15AAB}" name="Column8689"/>
    <tableColumn id="8690" xr3:uid="{37B64B5C-D3A4-487A-8BFE-71BA72FB9A71}" name="Column8690"/>
    <tableColumn id="8691" xr3:uid="{DDD7945A-8C81-4B54-863F-83C4F9738C47}" name="Column8691"/>
    <tableColumn id="8692" xr3:uid="{4E4A278C-F944-46B8-B230-DD773872D4C0}" name="Column8692"/>
    <tableColumn id="8693" xr3:uid="{8F0D99F9-16F5-477C-A8A8-CC91C7BAA59F}" name="Column8693"/>
    <tableColumn id="8694" xr3:uid="{B9849714-BA86-4B9B-B4F0-AFDFF3636B30}" name="Column8694"/>
    <tableColumn id="8695" xr3:uid="{4A03E463-9B63-409B-862E-7F8954B067AB}" name="Column8695"/>
    <tableColumn id="8696" xr3:uid="{B06D198B-4912-4757-9102-B9F635918753}" name="Column8696"/>
    <tableColumn id="8697" xr3:uid="{D02745E3-8E07-4A3D-869D-3B7BAE169402}" name="Column8697"/>
    <tableColumn id="8698" xr3:uid="{0CFA63B1-26F1-435B-A220-378528BD44DE}" name="Column8698"/>
    <tableColumn id="8699" xr3:uid="{401F7878-C61E-4FB7-97DC-5BBFA4A4A130}" name="Column8699"/>
    <tableColumn id="8700" xr3:uid="{83FAC8BF-D8DA-4ABC-9066-AC3931A819F7}" name="Column8700"/>
    <tableColumn id="8701" xr3:uid="{C998A90E-2B71-480D-A5B5-BEC32E338913}" name="Column8701"/>
    <tableColumn id="8702" xr3:uid="{4DC08A30-5B0B-436A-9F5A-990099AD39EA}" name="Column8702"/>
    <tableColumn id="8703" xr3:uid="{ACC4AA2D-2929-4EFD-9A02-93C5F2AF98EC}" name="Column8703"/>
    <tableColumn id="8704" xr3:uid="{247616D4-B38F-49E4-B1AC-1392B1FCCE1E}" name="Column8704"/>
    <tableColumn id="8705" xr3:uid="{489BAC79-82A6-479E-B2CD-5C27A2B20DD5}" name="Column8705"/>
    <tableColumn id="8706" xr3:uid="{EDCC83F7-B8A3-463B-A3C1-DDA04777B902}" name="Column8706"/>
    <tableColumn id="8707" xr3:uid="{1C83D3F3-420B-4E1B-9C03-34F9D8FFFD92}" name="Column8707"/>
    <tableColumn id="8708" xr3:uid="{3A335380-51B1-4837-98CA-EF1EA651A952}" name="Column8708"/>
    <tableColumn id="8709" xr3:uid="{18BBFDE6-6FB6-43E7-AE52-4AD6ABF6F977}" name="Column8709"/>
    <tableColumn id="8710" xr3:uid="{81035152-7C6B-46A5-BBB6-2C9F6A740E08}" name="Column8710"/>
    <tableColumn id="8711" xr3:uid="{288876F2-40BC-4F2D-ADF7-77BD3C12EE86}" name="Column8711"/>
    <tableColumn id="8712" xr3:uid="{FCACBEA3-203A-4496-B33A-497681446843}" name="Column8712"/>
    <tableColumn id="8713" xr3:uid="{B489F0B9-288E-4820-A649-2183D629338E}" name="Column8713"/>
    <tableColumn id="8714" xr3:uid="{85D81AC4-B719-44B7-AD97-038809952707}" name="Column8714"/>
    <tableColumn id="8715" xr3:uid="{C55D8BED-7A94-452A-9AC5-4AC270EBBAB3}" name="Column8715"/>
    <tableColumn id="8716" xr3:uid="{DBE25E3B-D484-4F01-A049-B415579760D7}" name="Column8716"/>
    <tableColumn id="8717" xr3:uid="{0CCE2B50-A2F5-467D-8B9C-142AF5FA2313}" name="Column8717"/>
    <tableColumn id="8718" xr3:uid="{36A8726E-D548-48C9-816E-250763F4BD1C}" name="Column8718"/>
    <tableColumn id="8719" xr3:uid="{D42E2B5E-E961-46F5-AB8D-2B4A3E4D5C6B}" name="Column8719"/>
    <tableColumn id="8720" xr3:uid="{96C04816-8905-48AD-B5A3-0D4CC29B0C5C}" name="Column8720"/>
    <tableColumn id="8721" xr3:uid="{5A4F40F0-2E80-4CBF-B446-737BC8326155}" name="Column8721"/>
    <tableColumn id="8722" xr3:uid="{06335C6A-7C4C-4CF2-8DFF-9F838A5E8010}" name="Column8722"/>
    <tableColumn id="8723" xr3:uid="{B669057E-E796-4FE4-9102-F241C0092821}" name="Column8723"/>
    <tableColumn id="8724" xr3:uid="{500FF12C-F5A0-4218-9C18-C12E1D10E051}" name="Column8724"/>
    <tableColumn id="8725" xr3:uid="{F877A21E-47E4-459F-B9B6-11D56424BA06}" name="Column8725"/>
    <tableColumn id="8726" xr3:uid="{5F9DE4B2-F264-4913-9C2B-2CF776958E18}" name="Column8726"/>
    <tableColumn id="8727" xr3:uid="{47AEF533-B70D-475B-B162-3DC76B2E1E88}" name="Column8727"/>
    <tableColumn id="8728" xr3:uid="{0F48284D-C7A5-491D-BA02-B57CC056D853}" name="Column8728"/>
    <tableColumn id="8729" xr3:uid="{88BD32D6-4E39-47C7-A994-620E8301323A}" name="Column8729"/>
    <tableColumn id="8730" xr3:uid="{300DED53-8A58-4288-99ED-3D8C222E74F3}" name="Column8730"/>
    <tableColumn id="8731" xr3:uid="{287CB6BD-5129-4DA0-A61A-2C91AC564BD3}" name="Column8731"/>
    <tableColumn id="8732" xr3:uid="{4BE31E8D-FCFE-4A7F-9B6D-E445A25D3C06}" name="Column8732"/>
    <tableColumn id="8733" xr3:uid="{AEC10A70-16BF-44DA-865E-910BF9013754}" name="Column8733"/>
    <tableColumn id="8734" xr3:uid="{7971D08A-F16F-421A-AACA-D5754E0F39D2}" name="Column8734"/>
    <tableColumn id="8735" xr3:uid="{81D0C476-6D91-4FD3-A3FD-5F0A07AE1DCE}" name="Column8735"/>
    <tableColumn id="8736" xr3:uid="{F1FDC2CE-5D36-4F7A-ABAA-127F5A74E418}" name="Column8736"/>
    <tableColumn id="8737" xr3:uid="{7A731F0F-01E1-44A7-97F5-1B944BEA6DB9}" name="Column8737"/>
    <tableColumn id="8738" xr3:uid="{F41A74A5-C5A1-47B1-9230-436AE4731267}" name="Column8738"/>
    <tableColumn id="8739" xr3:uid="{FB70BE5E-D435-4E7A-8931-6F5FEC050D1F}" name="Column8739"/>
    <tableColumn id="8740" xr3:uid="{7E8A5A45-59DE-49C1-96A0-3C7DE3245897}" name="Column8740"/>
    <tableColumn id="8741" xr3:uid="{6F0A62F6-9408-48E6-A143-C87EE70CE30F}" name="Column8741"/>
    <tableColumn id="8742" xr3:uid="{72AF7034-1A86-44C5-9D96-A65973DCBA19}" name="Column8742"/>
    <tableColumn id="8743" xr3:uid="{9C621AA5-33F0-4E68-AF05-9A3E932714FA}" name="Column8743"/>
    <tableColumn id="8744" xr3:uid="{85AA67F4-E8EF-485F-8752-06A961228417}" name="Column8744"/>
    <tableColumn id="8745" xr3:uid="{2756602B-4718-4E67-8566-F9D0DA79BFE3}" name="Column8745"/>
    <tableColumn id="8746" xr3:uid="{4ADFAAAB-EEAA-483E-8989-38888C45EF7D}" name="Column8746"/>
    <tableColumn id="8747" xr3:uid="{C1C03D9C-4410-4334-A0FF-81F96EAE6FF2}" name="Column8747"/>
    <tableColumn id="8748" xr3:uid="{D872BA2A-6D89-4342-B9C5-1A7EE51E008E}" name="Column8748"/>
    <tableColumn id="8749" xr3:uid="{7B183900-0DC4-435E-8125-3BE5D6B2A40A}" name="Column8749"/>
    <tableColumn id="8750" xr3:uid="{3220D705-40CE-4454-8803-3A3935A0304F}" name="Column8750"/>
    <tableColumn id="8751" xr3:uid="{D30E3445-7453-40AB-8FC6-0A7FB6521CB9}" name="Column8751"/>
    <tableColumn id="8752" xr3:uid="{4B3E3BC3-0CEE-4A0A-AB3D-3BB5645706AB}" name="Column8752"/>
    <tableColumn id="8753" xr3:uid="{70C60F53-CD3C-421E-8085-78374EDFDE62}" name="Column8753"/>
    <tableColumn id="8754" xr3:uid="{887F26B5-1A94-4CA0-BED8-9A7C0D874805}" name="Column8754"/>
    <tableColumn id="8755" xr3:uid="{561DFA74-7810-494F-A22C-ADB83E921FF4}" name="Column8755"/>
    <tableColumn id="8756" xr3:uid="{ED11837A-0452-4BF4-A138-6BBE6152E16D}" name="Column8756"/>
    <tableColumn id="8757" xr3:uid="{A6AA15DC-5F47-4900-91A2-14CBD7B651F4}" name="Column8757"/>
    <tableColumn id="8758" xr3:uid="{B9618FB8-2B73-4EC4-B8BE-E252D77523A2}" name="Column8758"/>
    <tableColumn id="8759" xr3:uid="{A8F3D5C7-FBF5-4391-8D5E-7FCAF2A8F0BE}" name="Column8759"/>
    <tableColumn id="8760" xr3:uid="{07D7813F-41A0-49AE-B435-C71EBF296628}" name="Column8760"/>
    <tableColumn id="8761" xr3:uid="{8F856D80-39E3-471D-A5C3-3B2E83BD845C}" name="Column8761"/>
    <tableColumn id="8762" xr3:uid="{89FD8936-FBA9-4AC5-B747-CDFF2887F596}" name="Column8762"/>
    <tableColumn id="8763" xr3:uid="{B4049DBB-3382-4659-BB34-A95A4C5DAF41}" name="Column8763"/>
    <tableColumn id="8764" xr3:uid="{227C8AE1-5C99-4401-B7E0-8386C2C7DCC7}" name="Column8764"/>
    <tableColumn id="8765" xr3:uid="{2B6A39D3-B0E5-40E5-A192-32E94A166259}" name="Column8765"/>
    <tableColumn id="8766" xr3:uid="{61741976-6CC1-4575-AAF6-B905E7D9CB76}" name="Column8766"/>
    <tableColumn id="8767" xr3:uid="{8251AF6B-5964-4D0B-AA5B-7740728CAD51}" name="Column8767"/>
    <tableColumn id="8768" xr3:uid="{50D9F081-1F93-414C-8B45-D6FE161979EA}" name="Column8768"/>
    <tableColumn id="8769" xr3:uid="{9922998E-0B46-4173-A41C-B7AB6C004490}" name="Column8769"/>
    <tableColumn id="8770" xr3:uid="{FAB4F613-DCE6-4B4A-BFA7-3D5AD58626C6}" name="Column8770"/>
    <tableColumn id="8771" xr3:uid="{BE9B21C4-1ABA-4E94-B087-A510A1651458}" name="Column8771"/>
    <tableColumn id="8772" xr3:uid="{D398B1DD-7C95-4182-8C7F-0901995B9749}" name="Column8772"/>
    <tableColumn id="8773" xr3:uid="{C2B8E746-10A8-4A4E-A37B-D28FFE2D53D9}" name="Column8773"/>
    <tableColumn id="8774" xr3:uid="{7F454C66-4031-479D-AD47-B59ABCEF9B6C}" name="Column8774"/>
    <tableColumn id="8775" xr3:uid="{2714C8C4-EE05-4CD1-85B2-D562C583E081}" name="Column8775"/>
    <tableColumn id="8776" xr3:uid="{BA7900B9-3F01-40F6-ACD2-1EBABE135901}" name="Column8776"/>
    <tableColumn id="8777" xr3:uid="{6A49004E-1672-4234-8C47-99169F94025B}" name="Column8777"/>
    <tableColumn id="8778" xr3:uid="{D26E9556-BB87-4634-A2D9-4BFE08151D22}" name="Column8778"/>
    <tableColumn id="8779" xr3:uid="{75AD85A9-EC07-4132-B364-21DF4B23E8E9}" name="Column8779"/>
    <tableColumn id="8780" xr3:uid="{746F4615-0430-4987-B905-31A9717CF2E2}" name="Column8780"/>
    <tableColumn id="8781" xr3:uid="{2E391C27-64A8-4464-BB1B-FC1E47984D8B}" name="Column8781"/>
    <tableColumn id="8782" xr3:uid="{1188D1CB-A2F1-45F4-8725-D22FCAA4ACCA}" name="Column8782"/>
    <tableColumn id="8783" xr3:uid="{4F2B09F5-1077-48F2-A641-79E54C2759E6}" name="Column8783"/>
    <tableColumn id="8784" xr3:uid="{7F44BDC2-CCAF-4E60-B94A-B58E4EE76D70}" name="Column8784"/>
    <tableColumn id="8785" xr3:uid="{622B4D6F-56A9-4E01-8935-6B6DBD57E47E}" name="Column8785"/>
    <tableColumn id="8786" xr3:uid="{294C71D5-F96A-4C7E-9253-53F4B0B5A97E}" name="Column8786"/>
    <tableColumn id="8787" xr3:uid="{AB9378A9-C93A-422E-9B05-36A32404AF95}" name="Column8787"/>
    <tableColumn id="8788" xr3:uid="{490F6AD9-5F9B-4E41-99B0-12A03B72B0EB}" name="Column8788"/>
    <tableColumn id="8789" xr3:uid="{6E357621-2FA9-4AA1-AD65-4641313010E6}" name="Column8789"/>
    <tableColumn id="8790" xr3:uid="{9C1BB85C-53DC-48D5-A63D-EDFF1DD5D368}" name="Column8790"/>
    <tableColumn id="8791" xr3:uid="{1C9C022E-0A04-4795-B272-1E087225231E}" name="Column8791"/>
    <tableColumn id="8792" xr3:uid="{D098498B-674A-4EB6-9760-9BCFA24BF38E}" name="Column8792"/>
    <tableColumn id="8793" xr3:uid="{0B46687D-8F88-43F7-B9B4-AECC1D429453}" name="Column8793"/>
    <tableColumn id="8794" xr3:uid="{589B35FC-DB99-4C84-9F25-FCBD33FEAF64}" name="Column8794"/>
    <tableColumn id="8795" xr3:uid="{7BA6471E-71BD-4671-A9F8-B06A590000B8}" name="Column8795"/>
    <tableColumn id="8796" xr3:uid="{51518C7C-D3E2-4F2F-820E-6BE7AC978EF4}" name="Column8796"/>
    <tableColumn id="8797" xr3:uid="{E05D9BDB-70F5-40A1-82E9-DEDF1AE493BB}" name="Column8797"/>
    <tableColumn id="8798" xr3:uid="{763DB5C9-A99E-4163-A6A5-DEA6E63358AA}" name="Column8798"/>
    <tableColumn id="8799" xr3:uid="{C6F81BA3-4F4A-45A6-8D72-3B784D6B6558}" name="Column8799"/>
    <tableColumn id="8800" xr3:uid="{DDF78953-C4BF-4DBD-BD83-C46A8E29DEEA}" name="Column8800"/>
    <tableColumn id="8801" xr3:uid="{BF593AC0-5E39-47ED-BA3E-1E53C7F77BB3}" name="Column8801"/>
    <tableColumn id="8802" xr3:uid="{783F5857-7433-4FC2-B2B1-EEC32DEA43BB}" name="Column8802"/>
    <tableColumn id="8803" xr3:uid="{AED8CCDC-CEB8-4D7E-A265-4C97FE882113}" name="Column8803"/>
    <tableColumn id="8804" xr3:uid="{FC277E6F-54A4-4685-A2CC-C3202506ED7D}" name="Column8804"/>
    <tableColumn id="8805" xr3:uid="{6591D5A7-950F-4B70-85BF-731F2C01D752}" name="Column8805"/>
    <tableColumn id="8806" xr3:uid="{6EC53E0C-7068-4E3C-BE3F-57670AD5F1A1}" name="Column8806"/>
    <tableColumn id="8807" xr3:uid="{60B4D85D-CE79-431A-838B-1E813504969B}" name="Column8807"/>
    <tableColumn id="8808" xr3:uid="{2C27141C-8E35-4F32-843F-D1F94ED1D20C}" name="Column8808"/>
    <tableColumn id="8809" xr3:uid="{64361A79-A9C2-40ED-A449-A9B276DC4F1A}" name="Column8809"/>
    <tableColumn id="8810" xr3:uid="{3D1F6498-D72F-47BF-ADDD-739169540A60}" name="Column8810"/>
    <tableColumn id="8811" xr3:uid="{3A314367-26E6-4002-827A-154C4E24E59A}" name="Column8811"/>
    <tableColumn id="8812" xr3:uid="{705A1EF1-0A90-45C4-BAB8-61CEE007206F}" name="Column8812"/>
    <tableColumn id="8813" xr3:uid="{6C0659FD-A7E2-45BD-BC60-1CA495E0C3F1}" name="Column8813"/>
    <tableColumn id="8814" xr3:uid="{31F6244E-E144-4844-8018-0626FA66685C}" name="Column8814"/>
    <tableColumn id="8815" xr3:uid="{5FEA78DA-9534-439B-A1B7-1B92D88C8572}" name="Column8815"/>
    <tableColumn id="8816" xr3:uid="{1DC9B3B4-C247-42FA-BC3D-ED4D1A7F8AA9}" name="Column8816"/>
    <tableColumn id="8817" xr3:uid="{1C6DF810-1FFB-4E57-B296-89804C664B2D}" name="Column8817"/>
    <tableColumn id="8818" xr3:uid="{993945F8-06D3-4B4A-A853-1BE5660F44CD}" name="Column8818"/>
    <tableColumn id="8819" xr3:uid="{216BB2A9-3036-486A-B565-A953F9803770}" name="Column8819"/>
    <tableColumn id="8820" xr3:uid="{D4206DBC-260A-429E-A329-EF4F8F8E463C}" name="Column8820"/>
    <tableColumn id="8821" xr3:uid="{22909329-D8E5-4868-A9BC-67613440A20E}" name="Column8821"/>
    <tableColumn id="8822" xr3:uid="{064318AA-3DDC-435E-BBB5-CBAB693F818A}" name="Column8822"/>
    <tableColumn id="8823" xr3:uid="{FAC8DB5E-D460-4F71-AB41-A164BF43244B}" name="Column8823"/>
    <tableColumn id="8824" xr3:uid="{6AEEC1DA-72E4-4464-9B4F-2934ADC5D543}" name="Column8824"/>
    <tableColumn id="8825" xr3:uid="{F357C83A-C443-4A3C-9A14-04F8626B97D2}" name="Column8825"/>
    <tableColumn id="8826" xr3:uid="{651B472B-1FA0-47F5-B484-3C131CDC9A06}" name="Column8826"/>
    <tableColumn id="8827" xr3:uid="{B3A9A4E5-6BE7-4F95-ABA7-3F8FC4271082}" name="Column8827"/>
    <tableColumn id="8828" xr3:uid="{52AD01BB-44E2-4E11-9E36-51B9A3EF9BEB}" name="Column8828"/>
    <tableColumn id="8829" xr3:uid="{B28CAF6C-90A8-4056-ABCD-4EBCDB711607}" name="Column8829"/>
    <tableColumn id="8830" xr3:uid="{75CBD4D3-9AD1-4C8F-BFCF-E47A50E3BE64}" name="Column8830"/>
    <tableColumn id="8831" xr3:uid="{12C1118B-EFD1-4036-84E0-5E810061C8D9}" name="Column8831"/>
    <tableColumn id="8832" xr3:uid="{2F8AECF7-8D31-4DD0-BC70-85D77A0AC7E6}" name="Column8832"/>
    <tableColumn id="8833" xr3:uid="{DF57FC51-906E-474A-8F0F-6023471C191B}" name="Column8833"/>
    <tableColumn id="8834" xr3:uid="{B1125B89-45A8-456D-8181-87AD5399B3A5}" name="Column8834"/>
    <tableColumn id="8835" xr3:uid="{0300CD8A-2738-47B2-952D-10B4BE91997A}" name="Column8835"/>
    <tableColumn id="8836" xr3:uid="{F8178BF1-70ED-47AF-B931-7383533BD3DA}" name="Column8836"/>
    <tableColumn id="8837" xr3:uid="{55724298-FEFE-40B2-9908-CFC114F58F0B}" name="Column8837"/>
    <tableColumn id="8838" xr3:uid="{DF0AF83B-1F87-4FE3-BB89-D26D2316A5A8}" name="Column8838"/>
    <tableColumn id="8839" xr3:uid="{BF2352D0-D85B-4FBB-B836-AF4025AA74D9}" name="Column8839"/>
    <tableColumn id="8840" xr3:uid="{67F8178A-9ED0-4348-B4D2-1B989F798254}" name="Column8840"/>
    <tableColumn id="8841" xr3:uid="{41E15E66-0CF9-4207-A17D-4AF39C1B3D51}" name="Column8841"/>
    <tableColumn id="8842" xr3:uid="{617886E2-559E-4368-84EA-139A374D46B2}" name="Column8842"/>
    <tableColumn id="8843" xr3:uid="{50288416-81A5-4F95-8A6D-515470119516}" name="Column8843"/>
    <tableColumn id="8844" xr3:uid="{54E60661-943E-4CF2-A0D5-C6BAC015DB83}" name="Column8844"/>
    <tableColumn id="8845" xr3:uid="{D6F91854-90B8-414A-B0DA-26568C860248}" name="Column8845"/>
    <tableColumn id="8846" xr3:uid="{57603779-EC2A-41B1-BD44-B437D584B3C9}" name="Column8846"/>
    <tableColumn id="8847" xr3:uid="{4AE9F0D3-3D93-4E9C-B02C-450D9FF41E7D}" name="Column8847"/>
    <tableColumn id="8848" xr3:uid="{7C63F281-F641-4B61-91A9-5D93C748B9A1}" name="Column8848"/>
    <tableColumn id="8849" xr3:uid="{6F0D4051-FCDD-4579-99AD-4AA1CFADEEFC}" name="Column8849"/>
    <tableColumn id="8850" xr3:uid="{B4600645-0B40-4544-A010-F923EDAFFADD}" name="Column8850"/>
    <tableColumn id="8851" xr3:uid="{ED1870D1-A8FE-4792-9DB7-35315ED942AB}" name="Column8851"/>
    <tableColumn id="8852" xr3:uid="{78809CA3-BE3F-4D7D-B3A2-DD36744C48D9}" name="Column8852"/>
    <tableColumn id="8853" xr3:uid="{F1BABDC9-3FF0-45B9-A71C-E15490BD8C79}" name="Column8853"/>
    <tableColumn id="8854" xr3:uid="{A9615974-87D0-40E1-BE14-8281DCBCA400}" name="Column8854"/>
    <tableColumn id="8855" xr3:uid="{679393C7-01DA-471E-8541-45CF3CD71AF0}" name="Column8855"/>
    <tableColumn id="8856" xr3:uid="{AAF7E358-96EC-4B92-AA60-2F96B7446BDC}" name="Column8856"/>
    <tableColumn id="8857" xr3:uid="{EA269A5C-063A-4B92-B306-9328493E104A}" name="Column8857"/>
    <tableColumn id="8858" xr3:uid="{50B10231-9DFB-485F-89BD-C52182EB0252}" name="Column8858"/>
    <tableColumn id="8859" xr3:uid="{4A2E5BFB-D50F-4E4D-ADCB-25A47E9351AE}" name="Column8859"/>
    <tableColumn id="8860" xr3:uid="{33955A9D-643F-4004-B86B-7461214CA91C}" name="Column8860"/>
    <tableColumn id="8861" xr3:uid="{AA9396C2-A42E-4D5B-A43C-8B636F3311BA}" name="Column8861"/>
    <tableColumn id="8862" xr3:uid="{C1564FE8-3CAC-4719-A60D-97197D96F93E}" name="Column8862"/>
    <tableColumn id="8863" xr3:uid="{260C7676-FE1F-41BD-90B3-90EDDF368857}" name="Column8863"/>
    <tableColumn id="8864" xr3:uid="{E29E360D-DF4F-40FB-B7F4-40BF739638C6}" name="Column8864"/>
    <tableColumn id="8865" xr3:uid="{C8F78D42-1A57-49C4-B730-821E3E252AFD}" name="Column8865"/>
    <tableColumn id="8866" xr3:uid="{3E6172AC-C08C-453A-A989-F817FD599D6D}" name="Column8866"/>
    <tableColumn id="8867" xr3:uid="{15C34542-B65A-4BC8-9312-4DDD043B4B0D}" name="Column8867"/>
    <tableColumn id="8868" xr3:uid="{F2D16C1C-7CB4-4B2E-B3D7-00B0B1FE71AA}" name="Column8868"/>
    <tableColumn id="8869" xr3:uid="{BBFCEEF5-3B0E-45DB-AEB0-26618925109F}" name="Column8869"/>
    <tableColumn id="8870" xr3:uid="{D3211076-22AE-4E74-BD31-D4E950AE3410}" name="Column8870"/>
    <tableColumn id="8871" xr3:uid="{CB2BE18D-2C99-48F5-819B-D4E74136C731}" name="Column8871"/>
    <tableColumn id="8872" xr3:uid="{96739568-4DD8-4498-94F4-4A4698D178F3}" name="Column8872"/>
    <tableColumn id="8873" xr3:uid="{7B7DF503-9C35-4338-878A-BE70CD693245}" name="Column8873"/>
    <tableColumn id="8874" xr3:uid="{97B8BFF6-3D7D-4983-9AFE-2916125F11EB}" name="Column8874"/>
    <tableColumn id="8875" xr3:uid="{B74DA422-E4C0-40AD-AF87-5E87A3D77638}" name="Column8875"/>
    <tableColumn id="8876" xr3:uid="{1988EF96-A912-4497-BE78-0800F8A8FD46}" name="Column8876"/>
    <tableColumn id="8877" xr3:uid="{23AE8322-64FB-4AFE-9BFF-8138B6FCCCF4}" name="Column8877"/>
    <tableColumn id="8878" xr3:uid="{18771B0F-80BE-4788-82CA-DDE94EF61E4C}" name="Column8878"/>
    <tableColumn id="8879" xr3:uid="{9B980E42-5137-46E9-8741-C505B6992294}" name="Column8879"/>
    <tableColumn id="8880" xr3:uid="{5EFD7864-B8E3-4D7C-9AF3-3B57382C34B0}" name="Column8880"/>
    <tableColumn id="8881" xr3:uid="{8820B880-36C0-4CA3-9C5D-44C0F9B9DE71}" name="Column8881"/>
    <tableColumn id="8882" xr3:uid="{BB5F26F1-C46A-4976-9A16-284202E8E5F5}" name="Column8882"/>
    <tableColumn id="8883" xr3:uid="{3E1214D9-77D4-4E3E-A4ED-BC797C204DC2}" name="Column8883"/>
    <tableColumn id="8884" xr3:uid="{F4E4F657-9B39-4643-9ECB-FD7656EC049F}" name="Column8884"/>
    <tableColumn id="8885" xr3:uid="{743F6917-77FA-4F0A-968B-A5F13D26FA59}" name="Column8885"/>
    <tableColumn id="8886" xr3:uid="{7A28B73D-1A9F-469A-B347-6F094F457EFF}" name="Column8886"/>
    <tableColumn id="8887" xr3:uid="{DC6D7500-C024-4C48-94EE-56F8070CE9EB}" name="Column8887"/>
    <tableColumn id="8888" xr3:uid="{0BEE4A67-BEF2-4334-B892-16606360B906}" name="Column8888"/>
    <tableColumn id="8889" xr3:uid="{8EC460AB-A41B-48C3-8020-12196256513F}" name="Column8889"/>
    <tableColumn id="8890" xr3:uid="{2472FFFE-2E2C-48CB-8E27-6647C711BDE8}" name="Column8890"/>
    <tableColumn id="8891" xr3:uid="{D63010B3-ADDE-4F60-9D5F-1B6AE4D0111E}" name="Column8891"/>
    <tableColumn id="8892" xr3:uid="{5BB42CF0-6CF3-4249-8080-BD68806EF005}" name="Column8892"/>
    <tableColumn id="8893" xr3:uid="{644236BF-3C16-4E3D-9218-BEDDED531932}" name="Column8893"/>
    <tableColumn id="8894" xr3:uid="{F704111F-A504-4CCF-A881-855FA4CF9B8F}" name="Column8894"/>
    <tableColumn id="8895" xr3:uid="{F4AE95EF-CF9E-4E04-ABCD-CC24D4FA867F}" name="Column8895"/>
    <tableColumn id="8896" xr3:uid="{4D142F75-2424-4FCB-80F5-F9497E7B6231}" name="Column8896"/>
    <tableColumn id="8897" xr3:uid="{5351B5F1-E996-4E10-B03D-D913665153D2}" name="Column8897"/>
    <tableColumn id="8898" xr3:uid="{3E38BCF1-55BB-44D9-9306-DD9FC2FFB0EE}" name="Column8898"/>
    <tableColumn id="8899" xr3:uid="{A0FD768D-A9F0-4C83-BF55-7FA138DE152A}" name="Column8899"/>
    <tableColumn id="8900" xr3:uid="{1213B1A5-A6C9-4F31-BF55-8631AEC4DD90}" name="Column8900"/>
    <tableColumn id="8901" xr3:uid="{D65212FF-6FC3-4B26-844F-D6E2C21A8271}" name="Column8901"/>
    <tableColumn id="8902" xr3:uid="{6A8524ED-4E94-433C-94E6-133B94635BE2}" name="Column8902"/>
    <tableColumn id="8903" xr3:uid="{F936AC0E-6D5B-4056-BA00-366F5484AE14}" name="Column8903"/>
    <tableColumn id="8904" xr3:uid="{18631F4A-8414-4FFD-A352-76503E022FE9}" name="Column8904"/>
    <tableColumn id="8905" xr3:uid="{20722B9D-C41E-47BB-AF1F-6DC651F42957}" name="Column8905"/>
    <tableColumn id="8906" xr3:uid="{64C9DC70-0C59-4F72-977F-9842F83437F3}" name="Column8906"/>
    <tableColumn id="8907" xr3:uid="{FD5DB5C7-5953-48DA-B4B0-1DF372BE6B55}" name="Column8907"/>
    <tableColumn id="8908" xr3:uid="{29EE6D18-C410-4E9D-94F1-2C74CA5CD96B}" name="Column8908"/>
    <tableColumn id="8909" xr3:uid="{3214B68E-260E-45E2-832E-B444262E1E67}" name="Column8909"/>
    <tableColumn id="8910" xr3:uid="{19E381C6-EFD1-45FD-A04A-ED46F667600B}" name="Column8910"/>
    <tableColumn id="8911" xr3:uid="{2352D000-FF58-4382-A39F-E83A454C50A6}" name="Column8911"/>
    <tableColumn id="8912" xr3:uid="{0B1D8857-21F7-44BC-AC4F-790AD5211584}" name="Column8912"/>
    <tableColumn id="8913" xr3:uid="{0FC850AC-31D2-490C-A2C1-7997A67BB736}" name="Column8913"/>
    <tableColumn id="8914" xr3:uid="{200855C9-6488-4372-9644-B0AD4AD0DF16}" name="Column8914"/>
    <tableColumn id="8915" xr3:uid="{B6D07EF5-2BFF-4822-9DD2-36098FA2679C}" name="Column8915"/>
    <tableColumn id="8916" xr3:uid="{CC24BD4F-9110-479F-AE19-8003F56623DB}" name="Column8916"/>
    <tableColumn id="8917" xr3:uid="{B88BB9DC-3897-4364-BAE9-4EEF75CB68BA}" name="Column8917"/>
    <tableColumn id="8918" xr3:uid="{8358B9CF-7CF8-43DA-9EE1-A90EEBDA6D50}" name="Column8918"/>
    <tableColumn id="8919" xr3:uid="{6FEE619D-DE46-4B9E-900A-9FEDDE9E80BD}" name="Column8919"/>
    <tableColumn id="8920" xr3:uid="{48811164-E601-4D7E-B7E1-F598B86C2286}" name="Column8920"/>
    <tableColumn id="8921" xr3:uid="{09E072BC-C7AE-4A9B-A803-B4CC75CACD17}" name="Column8921"/>
    <tableColumn id="8922" xr3:uid="{03068188-3C44-4212-A6F9-1A080A373751}" name="Column8922"/>
    <tableColumn id="8923" xr3:uid="{1F1D6026-B81D-42A6-9FEB-ED4D8D8ED171}" name="Column8923"/>
    <tableColumn id="8924" xr3:uid="{92435564-95DA-4A27-A415-FD57822E33AB}" name="Column8924"/>
    <tableColumn id="8925" xr3:uid="{578C3EF9-D763-4EAD-80BB-EBDD0115E5A9}" name="Column8925"/>
    <tableColumn id="8926" xr3:uid="{30AEA949-769C-457C-B731-E385CC5511F3}" name="Column8926"/>
    <tableColumn id="8927" xr3:uid="{9FF39F5F-44EC-4011-947B-AD0108468A2B}" name="Column8927"/>
    <tableColumn id="8928" xr3:uid="{57D72E4C-D3F5-4F7C-BBC1-18CFAFAE4105}" name="Column8928"/>
    <tableColumn id="8929" xr3:uid="{ABF44E03-D9A4-412C-87D9-E22B5B0D34AA}" name="Column8929"/>
    <tableColumn id="8930" xr3:uid="{483F4D12-95FB-46ED-8B32-B2CC431D583A}" name="Column8930"/>
    <tableColumn id="8931" xr3:uid="{9965B51E-E754-49E9-8FAB-2FA6F159BA09}" name="Column8931"/>
    <tableColumn id="8932" xr3:uid="{0AC14641-A9FF-4A71-8153-AF2057123259}" name="Column8932"/>
    <tableColumn id="8933" xr3:uid="{F9E7CDF3-9FD0-4076-99F6-415142B4BC0E}" name="Column8933"/>
    <tableColumn id="8934" xr3:uid="{020C6B33-3C01-4125-827E-32A3D5030BA8}" name="Column8934"/>
    <tableColumn id="8935" xr3:uid="{3A07C679-081A-4631-B5CC-1D2DCB19C6B2}" name="Column8935"/>
    <tableColumn id="8936" xr3:uid="{0A56FA63-7AC9-4C89-B731-2797DEB51C8A}" name="Column8936"/>
    <tableColumn id="8937" xr3:uid="{0449324E-07BA-4BF5-81A0-88D58AE003B3}" name="Column8937"/>
    <tableColumn id="8938" xr3:uid="{E7954E56-4CF7-43EA-8C9F-3E03B501F38F}" name="Column8938"/>
    <tableColumn id="8939" xr3:uid="{DA28E2D9-97BF-4C02-9032-BC3A8C5A9CAD}" name="Column8939"/>
    <tableColumn id="8940" xr3:uid="{002F9E89-3224-47A5-93CA-A0E95035A0D2}" name="Column8940"/>
    <tableColumn id="8941" xr3:uid="{69D481E6-DD7B-44CA-A39D-BE815F3C509A}" name="Column8941"/>
    <tableColumn id="8942" xr3:uid="{76C66A0E-D3F9-4E13-8A57-86BCE19386D7}" name="Column8942"/>
    <tableColumn id="8943" xr3:uid="{0D15F0CF-B393-4027-B3D0-50CA3664959D}" name="Column8943"/>
    <tableColumn id="8944" xr3:uid="{C369D43D-C037-4E15-B887-DC0EE614C8A9}" name="Column8944"/>
    <tableColumn id="8945" xr3:uid="{D158D2F9-5390-4FC6-AE66-C162D1B25385}" name="Column8945"/>
    <tableColumn id="8946" xr3:uid="{08736E28-FCD3-4814-BF4F-630D199F5996}" name="Column8946"/>
    <tableColumn id="8947" xr3:uid="{5BDF7560-7376-4488-BAB7-A2EE9C59B519}" name="Column8947"/>
    <tableColumn id="8948" xr3:uid="{816CC27D-431A-4872-9AAA-F4BC80B06D32}" name="Column8948"/>
    <tableColumn id="8949" xr3:uid="{ECAEBD74-AC0B-4B09-A029-6168C3168868}" name="Column8949"/>
    <tableColumn id="8950" xr3:uid="{B92BF840-474E-4B77-9094-4279D335EC10}" name="Column8950"/>
    <tableColumn id="8951" xr3:uid="{E5EAEB26-BBEB-40B5-894B-2944EF5E4BE9}" name="Column8951"/>
    <tableColumn id="8952" xr3:uid="{24F5D63E-A552-4F55-9843-0B3F8E6E9FC0}" name="Column8952"/>
    <tableColumn id="8953" xr3:uid="{DC48BC8F-ADDD-434C-BBD9-1A7B85EE5322}" name="Column8953"/>
    <tableColumn id="8954" xr3:uid="{07310A28-6DE5-4707-B3BD-DCD8B0D65565}" name="Column8954"/>
    <tableColumn id="8955" xr3:uid="{D35D38B1-0851-4E71-A35E-EB844952CE58}" name="Column8955"/>
    <tableColumn id="8956" xr3:uid="{ABEDEEA6-C980-4F2C-9602-E18142475D38}" name="Column8956"/>
    <tableColumn id="8957" xr3:uid="{D1C59931-6339-4C0A-86C4-D4C158776DBC}" name="Column8957"/>
    <tableColumn id="8958" xr3:uid="{9752FF9D-411B-4FB9-B6D9-EE1AEA9C96E3}" name="Column8958"/>
    <tableColumn id="8959" xr3:uid="{0B790A76-D15F-4BB9-A8D9-AFF5918BCDBC}" name="Column8959"/>
    <tableColumn id="8960" xr3:uid="{763DD629-A1D7-403E-B6CF-825C0FAE22CF}" name="Column8960"/>
    <tableColumn id="8961" xr3:uid="{020FC458-23EA-4E36-86D3-DFEF7EC3397E}" name="Column8961"/>
    <tableColumn id="8962" xr3:uid="{838BF9A5-4B44-4987-B10C-41143E9BCD5E}" name="Column8962"/>
    <tableColumn id="8963" xr3:uid="{4ED1AED1-563D-4589-B4C0-64237D239298}" name="Column8963"/>
    <tableColumn id="8964" xr3:uid="{81BC0911-9776-48FA-9164-E1DAC72EEE6C}" name="Column8964"/>
    <tableColumn id="8965" xr3:uid="{7583299B-5171-453A-96CC-2B2F6042047E}" name="Column8965"/>
    <tableColumn id="8966" xr3:uid="{8911A600-AEB0-4696-86A0-326052B760D9}" name="Column8966"/>
    <tableColumn id="8967" xr3:uid="{EFA2606E-D7D6-4524-B759-8C350FB5B9EE}" name="Column8967"/>
    <tableColumn id="8968" xr3:uid="{75012E17-45AE-45C3-9AC9-E459018E3191}" name="Column8968"/>
    <tableColumn id="8969" xr3:uid="{C919730B-B898-4F3E-A9F3-9B0083B752C3}" name="Column8969"/>
    <tableColumn id="8970" xr3:uid="{6869B67D-0A20-4D9E-A54E-04F69D35ABB0}" name="Column8970"/>
    <tableColumn id="8971" xr3:uid="{806E4C5C-1623-4A32-A220-9AF25F0BD09A}" name="Column8971"/>
    <tableColumn id="8972" xr3:uid="{F0E11A2A-F439-4B91-8397-BAC2E3ED675F}" name="Column8972"/>
    <tableColumn id="8973" xr3:uid="{BB570A35-3F72-4936-B8AF-EAEEB3928300}" name="Column8973"/>
    <tableColumn id="8974" xr3:uid="{58DE9CC6-E1B8-4B8C-B462-BCFB6C1A05F2}" name="Column8974"/>
    <tableColumn id="8975" xr3:uid="{5457476C-FD13-4412-A03C-C1CC8F426A4E}" name="Column8975"/>
    <tableColumn id="8976" xr3:uid="{4AF22DF6-EDD9-4208-9C74-CFFCE04EE17F}" name="Column8976"/>
    <tableColumn id="8977" xr3:uid="{2D55F137-DAF1-448E-B88B-C6DF48A0DAF4}" name="Column8977"/>
    <tableColumn id="8978" xr3:uid="{078B2665-2F0C-46D6-ABC3-85F3F4881024}" name="Column8978"/>
    <tableColumn id="8979" xr3:uid="{23DE9086-7224-4495-B015-71D7E0682B7F}" name="Column8979"/>
    <tableColumn id="8980" xr3:uid="{32049BCD-3C3B-42A9-8444-89B2CF54F04F}" name="Column8980"/>
    <tableColumn id="8981" xr3:uid="{50937C8B-DE7B-476E-8C4E-4116EE161DED}" name="Column8981"/>
    <tableColumn id="8982" xr3:uid="{5AE8CDDD-B12D-44DF-A2F4-7717DEAF55C7}" name="Column8982"/>
    <tableColumn id="8983" xr3:uid="{E680D3BA-97E2-4D39-BC27-ED857D01B457}" name="Column8983"/>
    <tableColumn id="8984" xr3:uid="{A3FB8CAE-5C7F-47E1-899F-EA8CA1B90E93}" name="Column8984"/>
    <tableColumn id="8985" xr3:uid="{0CD98131-246E-4F0F-AC94-D6CFC6D70F5F}" name="Column8985"/>
    <tableColumn id="8986" xr3:uid="{34FCD9BB-9C64-44A0-B08D-A49D6687A020}" name="Column8986"/>
    <tableColumn id="8987" xr3:uid="{254931C4-6976-4DC1-AEFD-629C59EE3905}" name="Column8987"/>
    <tableColumn id="8988" xr3:uid="{C2CBECF4-0BD6-4639-8B88-59EC7C2F11F0}" name="Column8988"/>
    <tableColumn id="8989" xr3:uid="{477E5783-CDAA-4AF6-A89A-75BD512921B8}" name="Column8989"/>
    <tableColumn id="8990" xr3:uid="{64CD3F56-4D54-41CF-9D16-8D0D3D723B1A}" name="Column8990"/>
    <tableColumn id="8991" xr3:uid="{21DF8AC2-66A8-43E5-9140-A90A3BA3D841}" name="Column8991"/>
    <tableColumn id="8992" xr3:uid="{9566B23B-978F-4D81-BF0F-084FF1967677}" name="Column8992"/>
    <tableColumn id="8993" xr3:uid="{BE3F4F9D-A798-43C5-A612-A84A44B6A492}" name="Column8993"/>
    <tableColumn id="8994" xr3:uid="{27016C19-5291-457B-97A1-5D0F9C00BE40}" name="Column8994"/>
    <tableColumn id="8995" xr3:uid="{9FCCEF2D-9923-4CC5-8F97-B0B230BEACE0}" name="Column8995"/>
    <tableColumn id="8996" xr3:uid="{D47773A3-93B3-4E08-A8AD-DB081AF749A1}" name="Column8996"/>
    <tableColumn id="8997" xr3:uid="{C726B8F4-F3BC-4B1D-B2A7-52F32871B443}" name="Column8997"/>
    <tableColumn id="8998" xr3:uid="{504A932E-763C-4FF6-9DDA-A0F4DEE67EE0}" name="Column8998"/>
    <tableColumn id="8999" xr3:uid="{A1F49CB1-ACC7-424C-A784-C5E1A74CF64A}" name="Column8999"/>
    <tableColumn id="9000" xr3:uid="{188E11C2-036A-48FF-B988-C78726952325}" name="Column9000"/>
    <tableColumn id="9001" xr3:uid="{EF86B837-0AD4-4299-8C7B-42C2EEF4B8DC}" name="Column9001"/>
    <tableColumn id="9002" xr3:uid="{01CE5F60-3F7F-4857-9B73-065E57131704}" name="Column9002"/>
    <tableColumn id="9003" xr3:uid="{90416E99-6A8A-4ECF-9A95-877C1CD94DDC}" name="Column9003"/>
    <tableColumn id="9004" xr3:uid="{44DA2944-8D39-412D-A1DA-9D6DF09C2329}" name="Column9004"/>
    <tableColumn id="9005" xr3:uid="{9C7B9B46-F1AC-4690-A3C8-E7B5030D5E15}" name="Column9005"/>
    <tableColumn id="9006" xr3:uid="{D60ACF25-7882-44E6-9D95-89FC335102A2}" name="Column9006"/>
    <tableColumn id="9007" xr3:uid="{B5DA15B7-BCEF-4277-BB4E-F7B961BFF55C}" name="Column9007"/>
    <tableColumn id="9008" xr3:uid="{64EB62A0-D244-443F-8E6A-9A063E700A25}" name="Column9008"/>
    <tableColumn id="9009" xr3:uid="{2AC21EA4-F5B6-4AD3-A75A-14B0B301942D}" name="Column9009"/>
    <tableColumn id="9010" xr3:uid="{9B7E7F77-4272-473F-A1ED-296EA91B3094}" name="Column9010"/>
    <tableColumn id="9011" xr3:uid="{39751AFF-8AF5-435D-B002-21B760752FB6}" name="Column9011"/>
    <tableColumn id="9012" xr3:uid="{75F69E03-F623-4BE1-809D-88226C96EAA5}" name="Column9012"/>
    <tableColumn id="9013" xr3:uid="{4403B076-00D9-4763-8DA6-81B011DDED21}" name="Column9013"/>
    <tableColumn id="9014" xr3:uid="{92313F74-E668-455C-99E5-903F9C203753}" name="Column9014"/>
    <tableColumn id="9015" xr3:uid="{4C9A8F86-8B87-458C-9730-16C1054EECB6}" name="Column9015"/>
    <tableColumn id="9016" xr3:uid="{9AF211EE-0E61-4116-B085-E2CC0CA905ED}" name="Column9016"/>
    <tableColumn id="9017" xr3:uid="{8E21549E-6917-4317-9A57-651C9BF6E614}" name="Column9017"/>
    <tableColumn id="9018" xr3:uid="{1408FEC8-8045-4C50-800A-606B90E19E06}" name="Column9018"/>
    <tableColumn id="9019" xr3:uid="{D8B8E691-6D28-48DD-B1B6-B1A1512FEBA0}" name="Column9019"/>
    <tableColumn id="9020" xr3:uid="{FB72A1E2-1F6F-4771-9469-1E44CA60B502}" name="Column9020"/>
    <tableColumn id="9021" xr3:uid="{D0B4A595-C1F0-4DF4-BD58-553C24CEC696}" name="Column9021"/>
    <tableColumn id="9022" xr3:uid="{4811D80E-E48F-484A-8588-97FAE3EC411E}" name="Column9022"/>
    <tableColumn id="9023" xr3:uid="{E1AFACCD-6EE8-4241-96C9-190EDF480BA6}" name="Column9023"/>
    <tableColumn id="9024" xr3:uid="{18EEF8FF-663F-462D-BD1C-098E9B63879D}" name="Column9024"/>
    <tableColumn id="9025" xr3:uid="{6CB42E70-55F5-49AA-88BB-78512B40CCCA}" name="Column9025"/>
    <tableColumn id="9026" xr3:uid="{EFC7F6B1-7158-42DE-B9EA-AEF08DBD310D}" name="Column9026"/>
    <tableColumn id="9027" xr3:uid="{CF9CFA0F-6241-4465-93A2-0587AEB54D14}" name="Column9027"/>
    <tableColumn id="9028" xr3:uid="{D45873FC-1784-4385-BFCB-B8325E89BC9E}" name="Column9028"/>
    <tableColumn id="9029" xr3:uid="{723B2C4B-EE3C-4C55-86CA-B2860654C76C}" name="Column9029"/>
    <tableColumn id="9030" xr3:uid="{7CF94FF5-0215-445E-8FD2-9999003AD824}" name="Column9030"/>
    <tableColumn id="9031" xr3:uid="{AE1C441C-C476-4280-85B0-960E4C5172CE}" name="Column9031"/>
    <tableColumn id="9032" xr3:uid="{1A907E33-C3F9-47A2-A8F4-E039DDEA9A29}" name="Column9032"/>
    <tableColumn id="9033" xr3:uid="{0E1E7F4D-64B8-4D02-BA6B-AFEEC5CE0237}" name="Column9033"/>
    <tableColumn id="9034" xr3:uid="{8E47FD15-05B6-4EE5-953C-EC56B9C4A8BB}" name="Column9034"/>
    <tableColumn id="9035" xr3:uid="{A58AEEA6-62DA-4523-AE3C-8CCA39521970}" name="Column9035"/>
    <tableColumn id="9036" xr3:uid="{F07041E9-B68D-4FED-ABE7-6A8247798E69}" name="Column9036"/>
    <tableColumn id="9037" xr3:uid="{C645BCA0-6507-499C-B532-820E26D4DA85}" name="Column9037"/>
    <tableColumn id="9038" xr3:uid="{C73F970C-5581-449F-8A12-45E4E628C81A}" name="Column9038"/>
    <tableColumn id="9039" xr3:uid="{2E10F649-89AA-4B23-9F63-8FAB758EB494}" name="Column9039"/>
    <tableColumn id="9040" xr3:uid="{B207A510-C511-4A6E-BEB8-92FF02B7FA5B}" name="Column9040"/>
    <tableColumn id="9041" xr3:uid="{1AF9D3E6-7A40-4DD8-AC9D-F6A2C4FF1BB2}" name="Column9041"/>
    <tableColumn id="9042" xr3:uid="{45B98F53-B134-4898-BC63-7186AE8E2015}" name="Column9042"/>
    <tableColumn id="9043" xr3:uid="{ABB7DA73-D4AD-4B55-BFFA-208839BE9DF9}" name="Column9043"/>
    <tableColumn id="9044" xr3:uid="{C0F350EA-2D18-44DE-BE72-1D2E6AE3E177}" name="Column9044"/>
    <tableColumn id="9045" xr3:uid="{BC07070F-B6AF-4D6C-8725-C5E053DFD37A}" name="Column9045"/>
    <tableColumn id="9046" xr3:uid="{061BFB2D-C925-4A68-A211-9AA4DE35466C}" name="Column9046"/>
    <tableColumn id="9047" xr3:uid="{F26CDDF1-1124-4937-A004-3ADA947F1A11}" name="Column9047"/>
    <tableColumn id="9048" xr3:uid="{3B8240A1-4D80-4F00-B6AE-82C39695100E}" name="Column9048"/>
    <tableColumn id="9049" xr3:uid="{89C5F94B-EAC5-4C4D-935D-C390C4056049}" name="Column9049"/>
    <tableColumn id="9050" xr3:uid="{63E0B30E-ABA0-4A4F-A736-6E0EBF809402}" name="Column9050"/>
    <tableColumn id="9051" xr3:uid="{EDCA5054-B1D7-4F64-A514-31668A306850}" name="Column9051"/>
    <tableColumn id="9052" xr3:uid="{F6826BB7-3152-42ED-A814-C2CFE0765501}" name="Column9052"/>
    <tableColumn id="9053" xr3:uid="{FEF5F6EF-2A6D-4571-B39C-C6929BBA22EF}" name="Column9053"/>
    <tableColumn id="9054" xr3:uid="{8B68480F-14CA-4C06-92DD-BEC4107EA362}" name="Column9054"/>
    <tableColumn id="9055" xr3:uid="{F57D6F96-1D95-4BCD-831D-FD687DCA5F4F}" name="Column9055"/>
    <tableColumn id="9056" xr3:uid="{DB34BDE6-DBCF-43E3-B969-EE9A216913EC}" name="Column9056"/>
    <tableColumn id="9057" xr3:uid="{DBFF69E2-1D08-4D3D-A0B3-2370D21AB7EE}" name="Column9057"/>
    <tableColumn id="9058" xr3:uid="{90599D6C-BC9F-4ABC-8C9C-A6E5E933224E}" name="Column9058"/>
    <tableColumn id="9059" xr3:uid="{EA6D5E6F-7CD6-4FCF-BC0A-22A18ABE89EE}" name="Column9059"/>
    <tableColumn id="9060" xr3:uid="{094A2DB3-C11E-4D1A-BA42-7F02C23F977D}" name="Column9060"/>
    <tableColumn id="9061" xr3:uid="{A5F0885D-CB2C-422E-86F2-41008F6DB846}" name="Column9061"/>
    <tableColumn id="9062" xr3:uid="{C706F2B5-FD3C-43D6-A42C-AF392454B448}" name="Column9062"/>
    <tableColumn id="9063" xr3:uid="{6B50F7E7-3380-439E-B747-AC1F18859807}" name="Column9063"/>
    <tableColumn id="9064" xr3:uid="{BD721F6D-6098-4A07-AB04-F8ECA60CA71F}" name="Column9064"/>
    <tableColumn id="9065" xr3:uid="{CDFE95A6-5D74-4EE2-9E8F-C3FAD4798537}" name="Column9065"/>
    <tableColumn id="9066" xr3:uid="{C3A1ED97-7FFB-4D62-A32A-29440FB2A1C6}" name="Column9066"/>
    <tableColumn id="9067" xr3:uid="{34D0B076-C700-4EEB-905B-B035288152AC}" name="Column9067"/>
    <tableColumn id="9068" xr3:uid="{76780737-4684-4514-B8A1-0C0FF12F87F4}" name="Column9068"/>
    <tableColumn id="9069" xr3:uid="{3BEFA4ED-7ADC-4255-BC01-18FEBA8ACC4F}" name="Column9069"/>
    <tableColumn id="9070" xr3:uid="{D7900405-9104-4C6F-9301-C30A1CFAA7C6}" name="Column9070"/>
    <tableColumn id="9071" xr3:uid="{78651524-CE08-41EF-BB43-1E6A85744EE1}" name="Column9071"/>
    <tableColumn id="9072" xr3:uid="{3D10A6EE-A4D4-4056-8D9D-40E6D696E708}" name="Column9072"/>
    <tableColumn id="9073" xr3:uid="{E1823407-6AE5-48E4-A34C-8F91B371A8D6}" name="Column9073"/>
    <tableColumn id="9074" xr3:uid="{89BAE982-0A74-4BC7-B8F4-15571D50C311}" name="Column9074"/>
    <tableColumn id="9075" xr3:uid="{0A5FAD2B-DE58-468B-9D91-3A371DE043DE}" name="Column9075"/>
    <tableColumn id="9076" xr3:uid="{EED3ACDC-9FF9-4BE4-BE23-7C96A43CDF3D}" name="Column9076"/>
    <tableColumn id="9077" xr3:uid="{A9366061-39DD-4023-893A-A1698396DDFC}" name="Column9077"/>
    <tableColumn id="9078" xr3:uid="{C790098E-6DD3-411B-A669-FD7F84F3FE19}" name="Column9078"/>
    <tableColumn id="9079" xr3:uid="{58BCB69B-DC9E-42EE-A688-669308447D7A}" name="Column9079"/>
    <tableColumn id="9080" xr3:uid="{BFD1B389-E8BD-4DE7-9036-97CE000CF2E0}" name="Column9080"/>
    <tableColumn id="9081" xr3:uid="{F63581D5-1185-4F31-A16A-A22E659EA441}" name="Column9081"/>
    <tableColumn id="9082" xr3:uid="{537618EA-4DC4-49BD-8B0C-F2761BCB0BED}" name="Column9082"/>
    <tableColumn id="9083" xr3:uid="{6C2D1D3F-DF6D-4C9D-8E6D-73511B55B9E0}" name="Column9083"/>
    <tableColumn id="9084" xr3:uid="{A448D63F-5B9B-4F6D-A9E6-9D76967732BA}" name="Column9084"/>
    <tableColumn id="9085" xr3:uid="{45FFBC3E-4003-43E6-A184-141ED382ED32}" name="Column9085"/>
    <tableColumn id="9086" xr3:uid="{322347EA-59F2-40A6-AFF0-A001885EE89A}" name="Column9086"/>
    <tableColumn id="9087" xr3:uid="{F014170D-25C6-4371-A9FF-CBF21DAE4ACE}" name="Column9087"/>
    <tableColumn id="9088" xr3:uid="{EA8C7EA4-0AE8-4FC4-B9DB-A5E2AD9C625A}" name="Column9088"/>
    <tableColumn id="9089" xr3:uid="{7D2D92C7-352C-42CB-B296-5939EADE94B9}" name="Column9089"/>
    <tableColumn id="9090" xr3:uid="{9938F090-A744-41B8-ABCA-22454BA83F01}" name="Column9090"/>
    <tableColumn id="9091" xr3:uid="{41773A61-E507-4429-B4C8-E76EE39565B4}" name="Column9091"/>
    <tableColumn id="9092" xr3:uid="{2D9AD48B-9874-4122-9700-32AE7D96E761}" name="Column9092"/>
    <tableColumn id="9093" xr3:uid="{44F0F899-CA61-4DB2-B7AD-29E6E18A3563}" name="Column9093"/>
    <tableColumn id="9094" xr3:uid="{7ABB1366-47F6-4D79-9AFB-F254F11E3C95}" name="Column9094"/>
    <tableColumn id="9095" xr3:uid="{6F25C6C6-3755-4AF7-9386-02D90FA785AB}" name="Column9095"/>
    <tableColumn id="9096" xr3:uid="{A8B3D3B2-6C16-4E5A-AC85-9E8A6E69CEE2}" name="Column9096"/>
    <tableColumn id="9097" xr3:uid="{53058EA3-6A0D-4A2C-9FA8-8E8FA34885A1}" name="Column9097"/>
    <tableColumn id="9098" xr3:uid="{68C98C02-17F6-4DBB-A90C-D7F8ED3A2371}" name="Column9098"/>
    <tableColumn id="9099" xr3:uid="{39EDDA5B-75CC-45B0-9DB8-73CB935FF662}" name="Column9099"/>
    <tableColumn id="9100" xr3:uid="{26221C7F-9A0B-4218-A682-54D2770326B5}" name="Column9100"/>
    <tableColumn id="9101" xr3:uid="{48DAEB66-D915-40B5-A3BA-9DFFF22FC3E2}" name="Column9101"/>
    <tableColumn id="9102" xr3:uid="{C349AAD0-405C-4053-BB01-6F8170289D0B}" name="Column9102"/>
    <tableColumn id="9103" xr3:uid="{4AD9E2CB-6360-46CA-963C-1801B1FFEBB8}" name="Column9103"/>
    <tableColumn id="9104" xr3:uid="{B6259FC5-0C63-408B-A839-E48863587A23}" name="Column9104"/>
    <tableColumn id="9105" xr3:uid="{EFE9509D-3C22-4C86-A58F-D860F86A72A3}" name="Column9105"/>
    <tableColumn id="9106" xr3:uid="{C0BB9FBF-29EC-4ED5-A9EC-2480D7AFBBAC}" name="Column9106"/>
    <tableColumn id="9107" xr3:uid="{12301D6D-7450-4DF5-809C-6EB3197E7957}" name="Column9107"/>
    <tableColumn id="9108" xr3:uid="{DF394F60-3C57-4A86-B707-4045568C05D3}" name="Column9108"/>
    <tableColumn id="9109" xr3:uid="{74E94754-8A90-41E9-91C0-D0009F7D1CF3}" name="Column9109"/>
    <tableColumn id="9110" xr3:uid="{52C18357-35FB-4627-B769-34CC9167EEB0}" name="Column9110"/>
    <tableColumn id="9111" xr3:uid="{56950F6B-F585-44EC-AB02-BC6BF9887A81}" name="Column9111"/>
    <tableColumn id="9112" xr3:uid="{0C0F0B72-51C5-4A00-9A2D-E10025AAB1A2}" name="Column9112"/>
    <tableColumn id="9113" xr3:uid="{BA36DD9F-1CAA-48B5-A0C2-C7BFE93E7113}" name="Column9113"/>
    <tableColumn id="9114" xr3:uid="{4A7E6C04-7E8B-4AC1-AADD-655EC06DC947}" name="Column9114"/>
    <tableColumn id="9115" xr3:uid="{0C0EDE9B-5141-49F9-86A4-3096A94FADB6}" name="Column9115"/>
    <tableColumn id="9116" xr3:uid="{3B7CAE7B-BE71-4A55-99F3-D90DE72FEBA0}" name="Column9116"/>
    <tableColumn id="9117" xr3:uid="{F96B96AD-25B0-43E7-92FC-DF5F89B77A34}" name="Column9117"/>
    <tableColumn id="9118" xr3:uid="{E78EDE9F-FCE2-4BEA-A892-E8D1A98CD00E}" name="Column9118"/>
    <tableColumn id="9119" xr3:uid="{B4160A40-401A-41F5-BADB-78A59EB95F2D}" name="Column9119"/>
    <tableColumn id="9120" xr3:uid="{A1F477CC-627F-4AA3-BE9D-B0916BDB725B}" name="Column9120"/>
    <tableColumn id="9121" xr3:uid="{7C88CD67-CAA8-49E3-B2DA-84BFEB92E892}" name="Column9121"/>
    <tableColumn id="9122" xr3:uid="{A8C79246-2304-4386-91AD-09E9C79D7C1A}" name="Column9122"/>
    <tableColumn id="9123" xr3:uid="{7C24202B-31E6-4B72-AABF-B6EAEF8B972E}" name="Column9123"/>
    <tableColumn id="9124" xr3:uid="{52FB1EF9-0450-4ADE-9B60-0C81CA9564B4}" name="Column9124"/>
    <tableColumn id="9125" xr3:uid="{A35D56CB-3344-4813-B95B-47753639CC6A}" name="Column9125"/>
    <tableColumn id="9126" xr3:uid="{7C8D681F-E77E-4C3F-8E54-200349210F2A}" name="Column9126"/>
    <tableColumn id="9127" xr3:uid="{36144607-B1E9-49B5-8C9F-B031AEBBEF5D}" name="Column9127"/>
    <tableColumn id="9128" xr3:uid="{B462457F-955D-437B-BEBB-4CC974A583E2}" name="Column9128"/>
    <tableColumn id="9129" xr3:uid="{9746B720-E455-4567-AF42-A785299FD1DD}" name="Column9129"/>
    <tableColumn id="9130" xr3:uid="{243AAE60-A499-4E4F-A6B5-F19FE33F168D}" name="Column9130"/>
    <tableColumn id="9131" xr3:uid="{46EFC55D-C41D-41FA-A59F-B970F6750C4F}" name="Column9131"/>
    <tableColumn id="9132" xr3:uid="{E14E7040-4B4D-42E3-AE31-061946ECFB99}" name="Column9132"/>
    <tableColumn id="9133" xr3:uid="{607700D1-4088-4704-A8E7-0276C8011408}" name="Column9133"/>
    <tableColumn id="9134" xr3:uid="{03F57952-8F13-466C-9FB0-C6B8A43ECA2A}" name="Column9134"/>
    <tableColumn id="9135" xr3:uid="{B2DC3D35-E91E-4E47-BDB0-214B43720822}" name="Column9135"/>
    <tableColumn id="9136" xr3:uid="{D518AE4B-495E-4B26-9C4A-6B262BC2879D}" name="Column9136"/>
    <tableColumn id="9137" xr3:uid="{B82453C5-3EBA-49DE-B4B1-4282B637448A}" name="Column9137"/>
    <tableColumn id="9138" xr3:uid="{0B70D720-A77B-4453-8398-72BD8DF01201}" name="Column9138"/>
    <tableColumn id="9139" xr3:uid="{BF3E2430-0364-43FA-AF80-6A2548EFFEC4}" name="Column9139"/>
    <tableColumn id="9140" xr3:uid="{64C4C7CB-2DE7-4A0B-9455-223DDFAA7CDC}" name="Column9140"/>
    <tableColumn id="9141" xr3:uid="{CB297822-BCCD-418E-9114-71FE41728DC5}" name="Column9141"/>
    <tableColumn id="9142" xr3:uid="{4AE38F35-03AA-45D6-AE5E-847AB58620B7}" name="Column9142"/>
    <tableColumn id="9143" xr3:uid="{E28116C1-BECA-4CE3-A4C4-A9A7C620661F}" name="Column9143"/>
    <tableColumn id="9144" xr3:uid="{47077109-70FB-453A-8A75-D808BA71A9B1}" name="Column9144"/>
    <tableColumn id="9145" xr3:uid="{3ADF4222-C427-4A2C-A79A-8B35DE4D7205}" name="Column9145"/>
    <tableColumn id="9146" xr3:uid="{AA056633-2C4B-4F35-9571-4C1FDAD1D34B}" name="Column9146"/>
    <tableColumn id="9147" xr3:uid="{CD412D09-6097-4DC6-811F-982D6789C738}" name="Column9147"/>
    <tableColumn id="9148" xr3:uid="{CD691D0B-8A81-47E2-8650-5C4809393935}" name="Column9148"/>
    <tableColumn id="9149" xr3:uid="{32236DBE-1CD7-4FFF-AADA-F2194B03D704}" name="Column9149"/>
    <tableColumn id="9150" xr3:uid="{6A267A50-FAB9-46E2-A3FC-8C92DF873DDE}" name="Column9150"/>
    <tableColumn id="9151" xr3:uid="{FD4C4C33-7E83-404C-A6A3-B7B301C7C5BC}" name="Column9151"/>
    <tableColumn id="9152" xr3:uid="{683C9B92-644D-4158-A6AE-E96494EFC957}" name="Column9152"/>
    <tableColumn id="9153" xr3:uid="{667A0125-6358-4DFF-B8D0-BC313BF7BA72}" name="Column9153"/>
    <tableColumn id="9154" xr3:uid="{63F00139-E2ED-4139-AD8B-FDA3DDA8BC47}" name="Column9154"/>
    <tableColumn id="9155" xr3:uid="{73B8D6CD-8096-4A79-AE03-37FA9308DDD1}" name="Column9155"/>
    <tableColumn id="9156" xr3:uid="{C433407E-3924-4FD5-98A8-736C515AC545}" name="Column9156"/>
    <tableColumn id="9157" xr3:uid="{F6390872-1F79-446C-A442-CAA186083A3D}" name="Column9157"/>
    <tableColumn id="9158" xr3:uid="{28D3D7CC-E5E0-4BEA-BE92-E792826DA958}" name="Column9158"/>
    <tableColumn id="9159" xr3:uid="{882B954B-864F-4AB2-845F-1671925AB15E}" name="Column9159"/>
    <tableColumn id="9160" xr3:uid="{1AA0A37C-526B-40FB-AB1E-9961511C086C}" name="Column9160"/>
    <tableColumn id="9161" xr3:uid="{B96D3BB4-6CE4-4676-8E90-66075459B909}" name="Column9161"/>
    <tableColumn id="9162" xr3:uid="{DBA0E99A-2A7C-4116-B361-C66FD68C9B1F}" name="Column9162"/>
    <tableColumn id="9163" xr3:uid="{CD76BF50-19E7-4D75-B033-67E2B1E12B9D}" name="Column9163"/>
    <tableColumn id="9164" xr3:uid="{C209D233-28CD-466B-98A9-107CACBC465B}" name="Column9164"/>
    <tableColumn id="9165" xr3:uid="{25FC333D-400F-430E-B91D-8FACD985C030}" name="Column9165"/>
    <tableColumn id="9166" xr3:uid="{EA10B3A1-DE4C-42AD-AAE1-5FC031855E8D}" name="Column9166"/>
    <tableColumn id="9167" xr3:uid="{1ABCEC4D-85C6-4223-BCBE-861ADA130E1C}" name="Column9167"/>
    <tableColumn id="9168" xr3:uid="{65F6522E-C40A-4CE4-B8EB-9815AFE31E54}" name="Column9168"/>
    <tableColumn id="9169" xr3:uid="{FC40AA2A-93E9-473B-84B1-6F77F0DC70D9}" name="Column9169"/>
    <tableColumn id="9170" xr3:uid="{C85040B1-880B-4547-8057-B078EE5F472C}" name="Column9170"/>
    <tableColumn id="9171" xr3:uid="{DF8755C1-D5F2-40D6-B438-A1332A73EE77}" name="Column9171"/>
    <tableColumn id="9172" xr3:uid="{FC3BD2F0-09D6-4232-ABDF-11855AACE2C2}" name="Column9172"/>
    <tableColumn id="9173" xr3:uid="{BB605D22-A9DC-4147-8B8B-83BECDD19A05}" name="Column9173"/>
    <tableColumn id="9174" xr3:uid="{06892F4F-1D72-4876-9E56-2FB623CB78D6}" name="Column9174"/>
    <tableColumn id="9175" xr3:uid="{807BC0E6-69FC-4DD0-BEA7-2CCE871F877E}" name="Column9175"/>
    <tableColumn id="9176" xr3:uid="{A5AF3467-A288-452B-9E0F-32EC973615E0}" name="Column9176"/>
    <tableColumn id="9177" xr3:uid="{22F69E9A-13A3-4684-960E-1E665CDF0679}" name="Column9177"/>
    <tableColumn id="9178" xr3:uid="{3824B6DA-862A-4907-83B5-528CA550D1D6}" name="Column9178"/>
    <tableColumn id="9179" xr3:uid="{E5C3B8F6-42F1-46E2-B2B7-E46C7F2B4B08}" name="Column9179"/>
    <tableColumn id="9180" xr3:uid="{DA7E0A63-3E8E-4F6A-9583-B3735FDD5899}" name="Column9180"/>
    <tableColumn id="9181" xr3:uid="{AC26762D-AA32-475F-95C8-1B12701F9924}" name="Column9181"/>
    <tableColumn id="9182" xr3:uid="{F0076B1F-8A2F-41B8-A187-8CA85082E18E}" name="Column9182"/>
    <tableColumn id="9183" xr3:uid="{353713FE-9E03-44CF-8CF5-5D4F9ED5E4A0}" name="Column9183"/>
    <tableColumn id="9184" xr3:uid="{27625B16-0B35-4E45-9AD7-459CCCCDF97C}" name="Column9184"/>
    <tableColumn id="9185" xr3:uid="{98046EAE-ACA7-429F-902D-CB718F610779}" name="Column9185"/>
    <tableColumn id="9186" xr3:uid="{467619CE-7FCE-4B7C-8507-4497776F4FEB}" name="Column9186"/>
    <tableColumn id="9187" xr3:uid="{212E3BAE-2183-4D7A-8D74-94314F807616}" name="Column9187"/>
    <tableColumn id="9188" xr3:uid="{1185BD14-69A5-43EF-8C98-7E0E212E38F4}" name="Column9188"/>
    <tableColumn id="9189" xr3:uid="{C725EF64-5516-44EB-BD89-46F185DF1FEE}" name="Column9189"/>
    <tableColumn id="9190" xr3:uid="{0B75ACB0-1952-4024-AFD4-4DFED3627811}" name="Column9190"/>
    <tableColumn id="9191" xr3:uid="{24497C92-0101-4DC8-9501-11CD90AB5D8B}" name="Column9191"/>
    <tableColumn id="9192" xr3:uid="{E9B52A9F-EA16-4197-94FB-C9E8FC110749}" name="Column9192"/>
    <tableColumn id="9193" xr3:uid="{E7C8160C-A8D2-4883-A521-99D58CB621BD}" name="Column9193"/>
    <tableColumn id="9194" xr3:uid="{3287A6E3-CD6A-4633-B654-61C125BE9E88}" name="Column9194"/>
    <tableColumn id="9195" xr3:uid="{4478052A-E55F-4AB9-82AB-FAF5551E9276}" name="Column9195"/>
    <tableColumn id="9196" xr3:uid="{07A3A6BF-AF3C-4E8D-85A5-72486DA7B5F9}" name="Column9196"/>
    <tableColumn id="9197" xr3:uid="{F42FAFBD-3798-410A-9733-24DF68FC9F76}" name="Column9197"/>
    <tableColumn id="9198" xr3:uid="{0BC037D1-4430-4452-91C3-E906EAF4BA25}" name="Column9198"/>
    <tableColumn id="9199" xr3:uid="{3B98D0FA-6F42-4F1E-B618-1AB877B3CC59}" name="Column9199"/>
    <tableColumn id="9200" xr3:uid="{3F178084-9B22-4936-B0A0-87E5415472B0}" name="Column9200"/>
    <tableColumn id="9201" xr3:uid="{596A05FC-028C-4BB4-892A-0E6E9C68479E}" name="Column9201"/>
    <tableColumn id="9202" xr3:uid="{B957CAD0-B797-4F7A-9CA7-ED11A66CB47F}" name="Column9202"/>
    <tableColumn id="9203" xr3:uid="{1EFEF2B8-181A-49D6-91EE-309B8A757097}" name="Column9203"/>
    <tableColumn id="9204" xr3:uid="{B43FD5B8-AB68-4DF9-934C-79B8A621EE54}" name="Column9204"/>
    <tableColumn id="9205" xr3:uid="{7C4CE9E5-8F79-4A55-AA45-3C03C3E47567}" name="Column9205"/>
    <tableColumn id="9206" xr3:uid="{9D2CEAB4-24F1-4815-BFFA-999F1DAB0479}" name="Column9206"/>
    <tableColumn id="9207" xr3:uid="{166142DA-DDE3-4CD7-BFC7-E36D791A7E82}" name="Column9207"/>
    <tableColumn id="9208" xr3:uid="{1381A20D-1286-4800-99E7-A475C1685F07}" name="Column9208"/>
    <tableColumn id="9209" xr3:uid="{D1ECD9F0-6BB4-4353-ACED-C292FC5642F1}" name="Column9209"/>
    <tableColumn id="9210" xr3:uid="{510D8AE2-8A1C-47DE-B1A5-9FE6D1E2BD67}" name="Column9210"/>
    <tableColumn id="9211" xr3:uid="{F093E308-8B87-44DD-8E0E-90845F799F19}" name="Column9211"/>
    <tableColumn id="9212" xr3:uid="{02EE0774-668C-4667-8CB6-81C37D49728C}" name="Column9212"/>
    <tableColumn id="9213" xr3:uid="{764300B2-D991-4EEA-AA42-892716F8FEAC}" name="Column9213"/>
    <tableColumn id="9214" xr3:uid="{60DF57F3-8CEA-4726-ACF1-0D3F4A8853D8}" name="Column9214"/>
    <tableColumn id="9215" xr3:uid="{0AA3A2F9-92B2-4528-8658-3A37DF097611}" name="Column9215"/>
    <tableColumn id="9216" xr3:uid="{32D2AA83-744F-45A2-8DE8-F09B4002E490}" name="Column9216"/>
    <tableColumn id="9217" xr3:uid="{8FB64772-90E9-4C3D-9897-BD3540BA2FB9}" name="Column9217"/>
    <tableColumn id="9218" xr3:uid="{F57B69CA-1323-4A74-834F-9C88C89AC0BB}" name="Column9218"/>
    <tableColumn id="9219" xr3:uid="{DB1F8331-E653-4200-961E-CC69550470E9}" name="Column9219"/>
    <tableColumn id="9220" xr3:uid="{E8CAC06C-9295-4C55-8097-A1CC4C7D88D5}" name="Column9220"/>
    <tableColumn id="9221" xr3:uid="{1881C22E-6826-43C5-8DA4-864445EE2392}" name="Column9221"/>
    <tableColumn id="9222" xr3:uid="{24D1E8B6-6112-4FA6-AC9A-471803AA509D}" name="Column9222"/>
    <tableColumn id="9223" xr3:uid="{6EE5778D-A1F2-4499-9D13-F20E00725155}" name="Column9223"/>
    <tableColumn id="9224" xr3:uid="{615924D4-2601-434F-A9B0-14FEA3EC45E8}" name="Column9224"/>
    <tableColumn id="9225" xr3:uid="{0B5A8816-7747-4958-9198-5D6F378FA34C}" name="Column9225"/>
    <tableColumn id="9226" xr3:uid="{BA53AF41-A8CA-4F6B-8833-92CA4C4E14FB}" name="Column9226"/>
    <tableColumn id="9227" xr3:uid="{78956B97-A256-41DF-96BB-5BECD839AE67}" name="Column9227"/>
    <tableColumn id="9228" xr3:uid="{E5535B84-19CA-42AD-BA6D-712FD65A91E6}" name="Column9228"/>
    <tableColumn id="9229" xr3:uid="{A8E9822E-81F8-474A-B921-3654B10B0C76}" name="Column9229"/>
    <tableColumn id="9230" xr3:uid="{4F8B0ECE-687D-4C36-8186-8127BE052C13}" name="Column9230"/>
    <tableColumn id="9231" xr3:uid="{2234AC66-B93B-49FD-B31D-6AB2D5FDD39F}" name="Column9231"/>
    <tableColumn id="9232" xr3:uid="{79CF3990-0BEB-4791-851D-87508E32E963}" name="Column9232"/>
    <tableColumn id="9233" xr3:uid="{CAD5D464-AEAC-43EA-B07F-6943065F0A3E}" name="Column9233"/>
    <tableColumn id="9234" xr3:uid="{DB240F12-1B46-4535-9D7A-7281C30A9031}" name="Column9234"/>
    <tableColumn id="9235" xr3:uid="{06133661-4421-478A-8764-65EF10B7198E}" name="Column9235"/>
    <tableColumn id="9236" xr3:uid="{8312C1DB-8FEC-4935-B9CA-282DAF2BEBA9}" name="Column9236"/>
    <tableColumn id="9237" xr3:uid="{F51CC618-657C-4BE9-8601-AF41A162BF51}" name="Column9237"/>
    <tableColumn id="9238" xr3:uid="{C8A222A1-DFB9-49D5-B7FF-C3DAF249A40C}" name="Column9238"/>
    <tableColumn id="9239" xr3:uid="{55B8DD45-1C49-4157-822B-D333C4729FEE}" name="Column9239"/>
    <tableColumn id="9240" xr3:uid="{CB501C13-D849-40AB-8C55-D773B50C1F97}" name="Column9240"/>
    <tableColumn id="9241" xr3:uid="{2F204E23-A594-4C53-B21C-2A63D0D16CA2}" name="Column9241"/>
    <tableColumn id="9242" xr3:uid="{22A1A5B7-1B5E-49F4-8C38-DA7DC4622433}" name="Column9242"/>
    <tableColumn id="9243" xr3:uid="{11C3D453-B682-44B5-9155-E5EABA8901EC}" name="Column9243"/>
    <tableColumn id="9244" xr3:uid="{AAC9F8FB-BCA6-4D43-A7A9-8A058EFEC43F}" name="Column9244"/>
    <tableColumn id="9245" xr3:uid="{529A5A83-6EF0-4583-A594-E0B72BE25A93}" name="Column9245"/>
    <tableColumn id="9246" xr3:uid="{1F18A68D-FCA2-4A57-9BDB-1EB657E16533}" name="Column9246"/>
    <tableColumn id="9247" xr3:uid="{203831A2-1BEC-4690-AFF8-D5A909C9354C}" name="Column9247"/>
    <tableColumn id="9248" xr3:uid="{E3BC47E8-0A83-47A6-8AFA-5CA22175DA4B}" name="Column9248"/>
    <tableColumn id="9249" xr3:uid="{275C3153-A1EA-4673-A8CE-CC6F090BE1EC}" name="Column9249"/>
    <tableColumn id="9250" xr3:uid="{7C0A8A88-0EF5-40A7-BC87-A593F056D676}" name="Column9250"/>
    <tableColumn id="9251" xr3:uid="{210924D5-E732-4543-B7CA-135BB326D790}" name="Column9251"/>
    <tableColumn id="9252" xr3:uid="{2BF6B638-E926-4CC0-9B88-0D1625F26057}" name="Column9252"/>
    <tableColumn id="9253" xr3:uid="{B885FDC0-14D8-4BA0-B632-82A82D0FAB9E}" name="Column9253"/>
    <tableColumn id="9254" xr3:uid="{3EAF175F-0C4A-4739-8DDE-EF7B066325F0}" name="Column9254"/>
    <tableColumn id="9255" xr3:uid="{CB5EF32F-7B48-4178-AC48-3B847E2418F0}" name="Column9255"/>
    <tableColumn id="9256" xr3:uid="{38FA3CAE-1ED1-43C4-8244-E7159B7C2375}" name="Column9256"/>
    <tableColumn id="9257" xr3:uid="{2FDDFD76-C402-4EAC-831A-2F286FB50EF7}" name="Column9257"/>
    <tableColumn id="9258" xr3:uid="{035DB29C-BCFA-4E77-8B9F-16AE5B2CB87A}" name="Column9258"/>
    <tableColumn id="9259" xr3:uid="{97F03E3D-369D-4104-8C8E-D77A6B62ED6C}" name="Column9259"/>
    <tableColumn id="9260" xr3:uid="{29F61342-448D-4F54-804A-FE27E12FB815}" name="Column9260"/>
    <tableColumn id="9261" xr3:uid="{D224B5AF-0941-42D3-8760-566B76B6463D}" name="Column9261"/>
    <tableColumn id="9262" xr3:uid="{D0570D99-F362-4E25-8E4F-6F448373B8B2}" name="Column9262"/>
    <tableColumn id="9263" xr3:uid="{C9A1A515-E0BF-478F-BE64-C9671A011A00}" name="Column9263"/>
    <tableColumn id="9264" xr3:uid="{E086E14F-2FE1-48B1-8BB0-E53CB9572267}" name="Column9264"/>
    <tableColumn id="9265" xr3:uid="{B10E78DE-078D-415D-B6A7-BD9B62BF071D}" name="Column9265"/>
    <tableColumn id="9266" xr3:uid="{439EEA41-9AE9-453C-84AE-1911940FE5D2}" name="Column9266"/>
    <tableColumn id="9267" xr3:uid="{CDB0E7C1-9937-4046-8363-83522DBE0D10}" name="Column9267"/>
    <tableColumn id="9268" xr3:uid="{22B319B0-9BAE-4F59-948D-274F83EDEF20}" name="Column9268"/>
    <tableColumn id="9269" xr3:uid="{7DD3C11F-F6AA-4866-AFAF-4F24DDC7C64B}" name="Column9269"/>
    <tableColumn id="9270" xr3:uid="{8CE5A2DD-B155-46A0-8E15-FC721ED292BF}" name="Column9270"/>
    <tableColumn id="9271" xr3:uid="{04834F86-C3D3-4DAA-AA24-51DE1EE8BAD1}" name="Column9271"/>
    <tableColumn id="9272" xr3:uid="{A4B37625-5151-4627-976F-5544FABE5C83}" name="Column9272"/>
    <tableColumn id="9273" xr3:uid="{57C224BB-01D7-4592-AFC1-9D4D932E5F36}" name="Column9273"/>
    <tableColumn id="9274" xr3:uid="{C1E7C01A-74D9-4477-9B32-39840C97863E}" name="Column9274"/>
    <tableColumn id="9275" xr3:uid="{C905B2AF-E069-40A0-9534-590DB5560715}" name="Column9275"/>
    <tableColumn id="9276" xr3:uid="{A5D8D155-3BB2-4FC8-9847-D19902912339}" name="Column9276"/>
    <tableColumn id="9277" xr3:uid="{9704B9F6-A672-49BB-8425-624317DB7166}" name="Column9277"/>
    <tableColumn id="9278" xr3:uid="{AF3AC134-325F-4016-A182-D62FF75F679C}" name="Column9278"/>
    <tableColumn id="9279" xr3:uid="{1F3C9FAD-D702-444B-B079-BEB885593253}" name="Column9279"/>
    <tableColumn id="9280" xr3:uid="{986B5B35-ADA3-4A13-88B7-13AB73208A80}" name="Column9280"/>
    <tableColumn id="9281" xr3:uid="{4073049D-FB36-4F80-8B40-F5478B53E9D1}" name="Column9281"/>
    <tableColumn id="9282" xr3:uid="{A278B58F-E703-46E4-A309-B191BE51BCC5}" name="Column9282"/>
    <tableColumn id="9283" xr3:uid="{1B27DC94-17D8-43BC-B1BF-B16D6349FE1B}" name="Column9283"/>
    <tableColumn id="9284" xr3:uid="{4FFCB003-3B3B-4721-A0C1-A6D407AB1B92}" name="Column9284"/>
    <tableColumn id="9285" xr3:uid="{415D0E8F-BB73-4D02-905C-712CB49EA901}" name="Column9285"/>
    <tableColumn id="9286" xr3:uid="{CD6F474E-C7BF-439A-B828-E6547973D8A4}" name="Column9286"/>
    <tableColumn id="9287" xr3:uid="{C7E89925-C821-43FA-AC34-D49C7B294794}" name="Column9287"/>
    <tableColumn id="9288" xr3:uid="{8FD0589A-DE9F-4BCC-8AD9-DC0F33D58812}" name="Column9288"/>
    <tableColumn id="9289" xr3:uid="{C4296FD8-DB9C-4F32-B01C-58BC36263A65}" name="Column9289"/>
    <tableColumn id="9290" xr3:uid="{79809B45-3243-4FB9-AB78-094F043F136F}" name="Column9290"/>
    <tableColumn id="9291" xr3:uid="{37671C7D-5752-458D-8CD5-1F7D55890F8D}" name="Column9291"/>
    <tableColumn id="9292" xr3:uid="{623FA302-A701-4C39-A57D-F883723BC33B}" name="Column9292"/>
    <tableColumn id="9293" xr3:uid="{FD37812C-1E8D-4416-9867-5FFF7AE5FFDE}" name="Column9293"/>
    <tableColumn id="9294" xr3:uid="{C764BF52-7EBE-44F3-ABD2-3DE67AE9DCA0}" name="Column9294"/>
    <tableColumn id="9295" xr3:uid="{7314A748-7A8D-4EFF-B805-B9FB3BC9A112}" name="Column9295"/>
    <tableColumn id="9296" xr3:uid="{7EE34D14-585D-416E-A1C9-EA2AA7997C09}" name="Column9296"/>
    <tableColumn id="9297" xr3:uid="{06819BCD-1790-40A4-830A-419D81B9C509}" name="Column9297"/>
    <tableColumn id="9298" xr3:uid="{1DFF7E4C-8310-4242-AD87-8297F8C286EC}" name="Column9298"/>
    <tableColumn id="9299" xr3:uid="{FE02FCC5-396D-4BEE-99B2-85A40E6180EF}" name="Column9299"/>
    <tableColumn id="9300" xr3:uid="{4564ABC7-1FCE-47EE-B26B-F6252365A511}" name="Column9300"/>
    <tableColumn id="9301" xr3:uid="{B9E18DBA-ED2F-441F-87C7-A92977D2D1D0}" name="Column9301"/>
    <tableColumn id="9302" xr3:uid="{2314BAC8-42E1-4644-806A-83EC44B26B47}" name="Column9302"/>
    <tableColumn id="9303" xr3:uid="{4E4CF7EF-2ECD-453E-AAD3-07929BAD1170}" name="Column9303"/>
    <tableColumn id="9304" xr3:uid="{4A7C1DA6-F9E1-4941-B71C-B2D5EA828296}" name="Column9304"/>
    <tableColumn id="9305" xr3:uid="{A97FC04C-CA3D-4C24-8AD6-F7C6A5FE33B6}" name="Column9305"/>
    <tableColumn id="9306" xr3:uid="{3F597FE0-61D7-4F4F-9B37-99F9AA5FB342}" name="Column9306"/>
    <tableColumn id="9307" xr3:uid="{BD8F9C73-D077-432F-8B47-3EEB940E6189}" name="Column9307"/>
    <tableColumn id="9308" xr3:uid="{CDF14A3C-7AE5-4C21-B559-3E645B8C523A}" name="Column9308"/>
    <tableColumn id="9309" xr3:uid="{D191C9D4-9645-45AC-A3AA-8FED6FF76307}" name="Column9309"/>
    <tableColumn id="9310" xr3:uid="{10A1BBC4-FAC6-49CE-8D69-F5F96A68E4F5}" name="Column9310"/>
    <tableColumn id="9311" xr3:uid="{C4284074-0213-4FE2-8A58-78C8B0BA4171}" name="Column9311"/>
    <tableColumn id="9312" xr3:uid="{4345A86F-2A32-40FE-AB10-6943D323DC65}" name="Column9312"/>
    <tableColumn id="9313" xr3:uid="{471BC88A-D64E-4F97-A4EF-134A1E9DA384}" name="Column9313"/>
    <tableColumn id="9314" xr3:uid="{3DC89AE4-D6C0-4B62-96B3-4752E25A49E7}" name="Column9314"/>
    <tableColumn id="9315" xr3:uid="{8FEFC1C5-21C1-4196-B3B5-56F4AF14DCAD}" name="Column9315"/>
    <tableColumn id="9316" xr3:uid="{9C19FDDD-4DFF-4A78-A50B-7B4674733B21}" name="Column9316"/>
    <tableColumn id="9317" xr3:uid="{D211DF4C-7F88-4F4B-A983-D658E735DFB3}" name="Column9317"/>
    <tableColumn id="9318" xr3:uid="{9559322B-B207-48BE-9F8C-E8E1BC8C51FA}" name="Column9318"/>
    <tableColumn id="9319" xr3:uid="{6693942E-8D0D-4865-9843-F7F92C4B1742}" name="Column9319"/>
    <tableColumn id="9320" xr3:uid="{F0929750-D2D0-4B08-BAE0-5F787CC03790}" name="Column9320"/>
    <tableColumn id="9321" xr3:uid="{4243D233-3E0D-43CA-A21E-F012A2EBBD74}" name="Column9321"/>
    <tableColumn id="9322" xr3:uid="{1CC333DE-DCD9-47F2-97D4-617B8883C873}" name="Column9322"/>
    <tableColumn id="9323" xr3:uid="{6D4AAC82-D06C-4B62-9ED5-E7F17D4D44BC}" name="Column9323"/>
    <tableColumn id="9324" xr3:uid="{AA871F33-54B8-4954-A1D4-CCDC3E70CD7C}" name="Column9324"/>
    <tableColumn id="9325" xr3:uid="{D26A684D-325D-4CC4-B8DD-A855E1D982D7}" name="Column9325"/>
    <tableColumn id="9326" xr3:uid="{559633E1-70B7-4B6B-8FB0-A004F61AC412}" name="Column9326"/>
    <tableColumn id="9327" xr3:uid="{41D6C309-6F1F-4090-9F58-A512C9BE4CDC}" name="Column9327"/>
    <tableColumn id="9328" xr3:uid="{5B028453-81DB-4759-8B27-862D40E68345}" name="Column9328"/>
    <tableColumn id="9329" xr3:uid="{4DFB4D88-CEB7-4EA0-AE72-5FD044486774}" name="Column9329"/>
    <tableColumn id="9330" xr3:uid="{DE1DFA67-250B-4FF8-B44F-3B75B7CA10DE}" name="Column9330"/>
    <tableColumn id="9331" xr3:uid="{674EDE09-8E8A-4618-BDB6-B1FBF33071CC}" name="Column9331"/>
    <tableColumn id="9332" xr3:uid="{E7DA62B1-199F-46C0-AD18-39DBF10E14DC}" name="Column9332"/>
    <tableColumn id="9333" xr3:uid="{CC2DCCE5-61AC-4639-8AB9-EDEF6BE861B2}" name="Column9333"/>
    <tableColumn id="9334" xr3:uid="{6EF8BFDB-17A9-4934-B2AC-122C09041020}" name="Column9334"/>
    <tableColumn id="9335" xr3:uid="{B47DB1CA-AE60-4A0B-8BCB-9BD27DB3271A}" name="Column9335"/>
    <tableColumn id="9336" xr3:uid="{4AF2C7FF-6EF9-4ED5-A1E8-F982E51FF047}" name="Column9336"/>
    <tableColumn id="9337" xr3:uid="{BA4FAF0D-8D5F-4893-AC5B-D0478572A6A3}" name="Column9337"/>
    <tableColumn id="9338" xr3:uid="{CDAC9430-2D5C-4B05-89E2-F3289218021E}" name="Column9338"/>
    <tableColumn id="9339" xr3:uid="{B5C6BB69-A1FE-42AD-8326-1332C0D15DBE}" name="Column9339"/>
    <tableColumn id="9340" xr3:uid="{2F2B38B5-2D39-4A91-8E78-37B19287FBB7}" name="Column9340"/>
    <tableColumn id="9341" xr3:uid="{2DF3C379-B835-4EA9-9E79-3212844A9BF6}" name="Column9341"/>
    <tableColumn id="9342" xr3:uid="{E797B1F6-827D-4FFB-A397-35AEDEA00071}" name="Column9342"/>
    <tableColumn id="9343" xr3:uid="{561713F0-157D-47E3-9902-C8F6D3305FB1}" name="Column9343"/>
    <tableColumn id="9344" xr3:uid="{E53CC3E5-3E66-418B-B6D8-B4F116F6AB46}" name="Column9344"/>
    <tableColumn id="9345" xr3:uid="{E18A649A-85E6-463D-AE22-2A769E568F49}" name="Column9345"/>
    <tableColumn id="9346" xr3:uid="{47D29864-A2FA-42AD-BA78-071FA19D90F3}" name="Column9346"/>
    <tableColumn id="9347" xr3:uid="{4C838356-D820-4FA3-B2C5-2051352FBDA6}" name="Column9347"/>
    <tableColumn id="9348" xr3:uid="{8C732C80-8C2B-4AB5-8211-9B0CD095B68A}" name="Column9348"/>
    <tableColumn id="9349" xr3:uid="{DE620CA4-F7E9-4860-8C7F-A0E5AF41CD9A}" name="Column9349"/>
    <tableColumn id="9350" xr3:uid="{A2102967-2289-42BF-BFCB-3D9BFCF8788C}" name="Column9350"/>
    <tableColumn id="9351" xr3:uid="{8134D881-CF4D-47CA-821C-60CFF3019E4F}" name="Column9351"/>
    <tableColumn id="9352" xr3:uid="{6AA373E4-D4C2-4578-A185-E82D34476EA4}" name="Column9352"/>
    <tableColumn id="9353" xr3:uid="{A7576847-ACAD-43BA-8A2C-C03ED4F5A0EB}" name="Column9353"/>
    <tableColumn id="9354" xr3:uid="{D3FF35DF-0974-4B83-91E2-10982C178F4E}" name="Column9354"/>
    <tableColumn id="9355" xr3:uid="{309D625D-6545-486E-8567-B29233601886}" name="Column9355"/>
    <tableColumn id="9356" xr3:uid="{488D4081-BC80-44B6-B154-C38F06285514}" name="Column9356"/>
    <tableColumn id="9357" xr3:uid="{FC591DD9-61EC-4478-86C8-C85C4287A962}" name="Column9357"/>
    <tableColumn id="9358" xr3:uid="{C50584EA-2BC2-4594-80B1-B12860EC1AE0}" name="Column9358"/>
    <tableColumn id="9359" xr3:uid="{CF4F04F4-F9F3-4A69-A704-7F8FE3459C09}" name="Column9359"/>
    <tableColumn id="9360" xr3:uid="{3FD09BEE-0EC3-4DB8-AAAA-6952BEF94A0C}" name="Column9360"/>
    <tableColumn id="9361" xr3:uid="{7BEE536D-9842-4945-9925-651329A7000F}" name="Column9361"/>
    <tableColumn id="9362" xr3:uid="{EE9D2BE6-B853-4DA0-BCE3-4855FD9E0005}" name="Column9362"/>
    <tableColumn id="9363" xr3:uid="{5623320A-5C24-4409-94D2-4041F816DCDD}" name="Column9363"/>
    <tableColumn id="9364" xr3:uid="{3BB9BBB0-6980-4698-9C6D-EBAAA570420C}" name="Column9364"/>
    <tableColumn id="9365" xr3:uid="{B5795E0A-DEF8-4AFF-8BAF-A32353838044}" name="Column9365"/>
    <tableColumn id="9366" xr3:uid="{C6A86E53-2A10-46B5-9DD3-111F2C125918}" name="Column9366"/>
    <tableColumn id="9367" xr3:uid="{E05D6BEB-D18E-42B8-BF4A-9DA9BDB91989}" name="Column9367"/>
    <tableColumn id="9368" xr3:uid="{F043C685-754F-4E7A-A83A-BF44867F4E32}" name="Column9368"/>
    <tableColumn id="9369" xr3:uid="{0E772112-F2D6-4112-8558-02D378531F94}" name="Column9369"/>
    <tableColumn id="9370" xr3:uid="{FEBF9707-6FE6-430A-A1FF-AFA56CC63C10}" name="Column9370"/>
    <tableColumn id="9371" xr3:uid="{5EC74942-AF1D-4329-A439-D90E06D96DB6}" name="Column9371"/>
    <tableColumn id="9372" xr3:uid="{8C6B721D-C838-4BB9-84F7-7346BEDB503F}" name="Column9372"/>
    <tableColumn id="9373" xr3:uid="{827A5065-9765-4F19-80B6-E6C6506DD8AB}" name="Column9373"/>
    <tableColumn id="9374" xr3:uid="{94979D19-81E7-4850-85C8-2A0CB2151EAE}" name="Column9374"/>
    <tableColumn id="9375" xr3:uid="{2CC95CB1-6265-42C3-B056-1C4096A9B45D}" name="Column9375"/>
    <tableColumn id="9376" xr3:uid="{1728AFF6-888E-4300-A869-006F1CA640CF}" name="Column9376"/>
    <tableColumn id="9377" xr3:uid="{48295E29-CC59-42CE-A28D-7A89EDD3AFBB}" name="Column9377"/>
    <tableColumn id="9378" xr3:uid="{5D477238-7008-45E2-A2B2-17019774A69E}" name="Column9378"/>
    <tableColumn id="9379" xr3:uid="{5BD71491-34A0-436D-BEBD-849A5BA95F1E}" name="Column9379"/>
    <tableColumn id="9380" xr3:uid="{B17892B4-CEA7-4F08-97A9-BF6D1548912A}" name="Column9380"/>
    <tableColumn id="9381" xr3:uid="{31383726-6722-4320-92F3-627BF8DD532E}" name="Column9381"/>
    <tableColumn id="9382" xr3:uid="{F1E6904F-9741-47BB-A5C6-60ACA3377393}" name="Column9382"/>
    <tableColumn id="9383" xr3:uid="{2C56F2F9-8660-4072-B18C-8ADA28DBD38D}" name="Column9383"/>
    <tableColumn id="9384" xr3:uid="{E97BF17D-A8BE-4ECB-98BF-3EEC2E7F4083}" name="Column9384"/>
    <tableColumn id="9385" xr3:uid="{95A19B71-72BB-4F27-B340-C6FF6118D33F}" name="Column9385"/>
    <tableColumn id="9386" xr3:uid="{471851A0-C87C-4C54-A638-63F2CC521295}" name="Column9386"/>
    <tableColumn id="9387" xr3:uid="{4894FC0B-824F-4252-947E-02C66A29BA74}" name="Column9387"/>
    <tableColumn id="9388" xr3:uid="{D146696C-52B3-4D19-BB1A-97167BCA4F9C}" name="Column9388"/>
    <tableColumn id="9389" xr3:uid="{B4F0A6B2-725D-47CF-9887-46BE3225961F}" name="Column9389"/>
    <tableColumn id="9390" xr3:uid="{99A5EC27-D574-41BD-8C64-73575160867E}" name="Column9390"/>
    <tableColumn id="9391" xr3:uid="{671FFE61-E96C-46DB-A5B9-A304C986A16B}" name="Column9391"/>
    <tableColumn id="9392" xr3:uid="{34BE7E43-DA07-4046-B4B0-7EE2F1B5AB55}" name="Column9392"/>
    <tableColumn id="9393" xr3:uid="{CF43EAB0-3E50-4D72-AFB4-D5C664E392E9}" name="Column9393"/>
    <tableColumn id="9394" xr3:uid="{FFBC54B8-18DE-46A8-A6A1-5AFB89E20003}" name="Column9394"/>
    <tableColumn id="9395" xr3:uid="{8CFA9828-61E0-4094-9757-690B380FAFCC}" name="Column9395"/>
    <tableColumn id="9396" xr3:uid="{4B16F875-F357-4943-B315-73AEC560FCD8}" name="Column9396"/>
    <tableColumn id="9397" xr3:uid="{7A666AEE-0BDB-4DF6-BD0B-2B69EBAAEE15}" name="Column9397"/>
    <tableColumn id="9398" xr3:uid="{ACC380CB-45B9-4C84-8185-2CEEC7F15B66}" name="Column9398"/>
    <tableColumn id="9399" xr3:uid="{3C8F14DD-8BE1-4F31-BFD3-2227578A9AA1}" name="Column9399"/>
    <tableColumn id="9400" xr3:uid="{BDB09F0F-961C-436B-86F7-F9DE3A508256}" name="Column9400"/>
    <tableColumn id="9401" xr3:uid="{289AFA31-B286-4FDA-A254-FCB50D9D23E8}" name="Column9401"/>
    <tableColumn id="9402" xr3:uid="{20D3C677-94E3-4594-90B8-18033D052FB5}" name="Column9402"/>
    <tableColumn id="9403" xr3:uid="{E8D39858-CA3C-498A-9566-AAADF57F4E9E}" name="Column9403"/>
    <tableColumn id="9404" xr3:uid="{FD5FDE31-78DA-4A4E-8FEB-EE22E8D4644A}" name="Column9404"/>
    <tableColumn id="9405" xr3:uid="{BB09E547-574E-4BE6-AEB6-F8E9E49B5607}" name="Column9405"/>
    <tableColumn id="9406" xr3:uid="{0DCDA49A-8E11-42CD-8D21-F5DB3E4000E2}" name="Column9406"/>
    <tableColumn id="9407" xr3:uid="{950C8D79-901E-4066-A9FD-5568B55306BB}" name="Column9407"/>
    <tableColumn id="9408" xr3:uid="{83CD0EDF-E9F6-4632-A580-BC62514AC814}" name="Column9408"/>
    <tableColumn id="9409" xr3:uid="{27F22495-0222-491F-B60B-2E18380D7C9B}" name="Column9409"/>
    <tableColumn id="9410" xr3:uid="{BD0B5A82-9BAC-4F9C-9C20-5C0512D8420D}" name="Column9410"/>
    <tableColumn id="9411" xr3:uid="{5A59ABF9-35F6-49AA-9DF8-2F02E6E9C72C}" name="Column9411"/>
    <tableColumn id="9412" xr3:uid="{58126AEE-E4E4-497A-84A1-B33218BAD6FA}" name="Column9412"/>
    <tableColumn id="9413" xr3:uid="{7786B1C1-8B4A-479A-8E0D-1FAECA1279B9}" name="Column9413"/>
    <tableColumn id="9414" xr3:uid="{BB0A5E5C-0D2E-450C-B8C6-8C7787D7521B}" name="Column9414"/>
    <tableColumn id="9415" xr3:uid="{5FEFF10D-7F6E-4DE0-9B03-ACDA1A9DF89D}" name="Column9415"/>
    <tableColumn id="9416" xr3:uid="{352CC55F-1A92-4432-855D-B48B59E10F6F}" name="Column9416"/>
    <tableColumn id="9417" xr3:uid="{625135F5-CDEE-44BE-AC91-20CB4AD45AB1}" name="Column9417"/>
    <tableColumn id="9418" xr3:uid="{DA1A204F-D83E-4CE2-BF11-2CD75B1F3EF1}" name="Column9418"/>
    <tableColumn id="9419" xr3:uid="{8DE4DB71-0D12-4261-A445-F3CC047B4D34}" name="Column9419"/>
    <tableColumn id="9420" xr3:uid="{455A94E8-95E9-48B8-9374-CE0FE6E28C1D}" name="Column9420"/>
    <tableColumn id="9421" xr3:uid="{483D2BC0-ABD6-44AD-943D-9F4EEBDA172C}" name="Column9421"/>
    <tableColumn id="9422" xr3:uid="{5A20E0AF-496F-4970-9720-0BDC815052FD}" name="Column9422"/>
    <tableColumn id="9423" xr3:uid="{64B89354-D2FC-4F91-8764-F212CB0ADC24}" name="Column9423"/>
    <tableColumn id="9424" xr3:uid="{C8D98E11-C4A1-4E4E-8F53-BEBDF3576A86}" name="Column9424"/>
    <tableColumn id="9425" xr3:uid="{EE74BADE-D49F-4CE9-935E-7B2117FD6D0C}" name="Column9425"/>
    <tableColumn id="9426" xr3:uid="{81A03B67-2560-4699-8287-E0538D83F535}" name="Column9426"/>
    <tableColumn id="9427" xr3:uid="{75CC6BF5-B361-4D26-A3AF-F9E27DAB54D5}" name="Column9427"/>
    <tableColumn id="9428" xr3:uid="{EFFC4580-4154-4BA3-A111-8B588358D352}" name="Column9428"/>
    <tableColumn id="9429" xr3:uid="{631036D8-63E3-4A3E-B178-E29D5F46E0B4}" name="Column9429"/>
    <tableColumn id="9430" xr3:uid="{07F16525-B2AE-427B-8D0F-4204D2D528CE}" name="Column9430"/>
    <tableColumn id="9431" xr3:uid="{DA6FD792-1678-4DD6-94A8-5FCEC88186BC}" name="Column9431"/>
    <tableColumn id="9432" xr3:uid="{2AE154AD-E8E9-468E-8B55-579BDAECB6E5}" name="Column9432"/>
    <tableColumn id="9433" xr3:uid="{8171B6A6-B833-4565-9DC3-57F9DBC62FBF}" name="Column9433"/>
    <tableColumn id="9434" xr3:uid="{30A3AECF-B1A9-4878-9080-B633AFF65FA6}" name="Column9434"/>
    <tableColumn id="9435" xr3:uid="{402590A1-15B2-4AAD-8EF4-55D1483EF919}" name="Column9435"/>
    <tableColumn id="9436" xr3:uid="{5BBBF145-2D2C-4518-BAEA-95C2ADC0E1C0}" name="Column9436"/>
    <tableColumn id="9437" xr3:uid="{8EF9CE71-C399-4916-9345-F2980CD2891A}" name="Column9437"/>
    <tableColumn id="9438" xr3:uid="{B3B63613-1475-43D9-B3A4-4155B4780BD8}" name="Column9438"/>
    <tableColumn id="9439" xr3:uid="{184ADCAB-B1FC-4654-B9F9-4699312979F1}" name="Column9439"/>
    <tableColumn id="9440" xr3:uid="{9525FEDE-D5DD-41E5-875D-631B458F23F9}" name="Column9440"/>
    <tableColumn id="9441" xr3:uid="{0A94BA72-F198-4DA9-A7E8-487AF3BDBFF5}" name="Column9441"/>
    <tableColumn id="9442" xr3:uid="{0DBE52F1-58AA-4397-8D94-F429D9A87129}" name="Column9442"/>
    <tableColumn id="9443" xr3:uid="{F7569CBC-BE86-4D62-8802-71ADC8D5CE4D}" name="Column9443"/>
    <tableColumn id="9444" xr3:uid="{CE91F98C-9F9A-4C6D-979D-9CE6F7A17759}" name="Column9444"/>
    <tableColumn id="9445" xr3:uid="{28F84D66-3937-40BD-8527-5BC8484007E6}" name="Column9445"/>
    <tableColumn id="9446" xr3:uid="{5A53D3EF-4D42-4010-9508-A9F257FD797B}" name="Column9446"/>
    <tableColumn id="9447" xr3:uid="{3DDD47BF-BB7E-4C97-B00B-7D0C213CACFC}" name="Column9447"/>
    <tableColumn id="9448" xr3:uid="{582C566B-6734-420B-9C59-56B16D54F36A}" name="Column9448"/>
    <tableColumn id="9449" xr3:uid="{E0159EA0-218C-48B9-8DD2-B0979DEA17C0}" name="Column9449"/>
    <tableColumn id="9450" xr3:uid="{E18ACBBF-0BA8-465A-814F-C9CC04D4323A}" name="Column9450"/>
    <tableColumn id="9451" xr3:uid="{88D93B50-8E98-4522-B442-A2B6B81DE84F}" name="Column9451"/>
    <tableColumn id="9452" xr3:uid="{B9F0F3D1-1FF3-44A4-89DB-2F02160DCAD1}" name="Column9452"/>
    <tableColumn id="9453" xr3:uid="{293FDBEE-0E74-4632-842C-ABAB90FD7BDB}" name="Column9453"/>
    <tableColumn id="9454" xr3:uid="{362033F7-4D36-404B-B6E4-0682C2CFE1CD}" name="Column9454"/>
    <tableColumn id="9455" xr3:uid="{E5175913-004D-40C2-B569-6E82BA709DBD}" name="Column9455"/>
    <tableColumn id="9456" xr3:uid="{23A064B7-EF8C-4ECA-8564-0CC30F2CC5D3}" name="Column9456"/>
    <tableColumn id="9457" xr3:uid="{B08FCBB9-AF31-45C2-B2CB-3B0F93DF6182}" name="Column9457"/>
    <tableColumn id="9458" xr3:uid="{A34BC508-40FC-412D-94EA-7C3BF0391612}" name="Column9458"/>
    <tableColumn id="9459" xr3:uid="{423508C0-4543-49E3-8775-7E7BEDD79818}" name="Column9459"/>
    <tableColumn id="9460" xr3:uid="{7211974A-C590-41E6-B1B7-4FFA74F66EDB}" name="Column9460"/>
    <tableColumn id="9461" xr3:uid="{CEB8B135-9678-4F69-B478-82C0C18178DA}" name="Column9461"/>
    <tableColumn id="9462" xr3:uid="{4E06CA6D-C1A1-4373-974A-E05B3947B98F}" name="Column9462"/>
    <tableColumn id="9463" xr3:uid="{24300242-F165-42EC-A3E2-88C495145CBC}" name="Column9463"/>
    <tableColumn id="9464" xr3:uid="{4A580206-DB8F-459D-B22E-8281C0550585}" name="Column9464"/>
    <tableColumn id="9465" xr3:uid="{09DFAC9F-BFA6-44B4-A174-CF6ACD26A4FB}" name="Column9465"/>
    <tableColumn id="9466" xr3:uid="{8F721035-A9BF-45D7-B69F-0FFA32EFE425}" name="Column9466"/>
    <tableColumn id="9467" xr3:uid="{DCE06D63-D4A0-45DC-B33B-E70D9BD4BA25}" name="Column9467"/>
    <tableColumn id="9468" xr3:uid="{D57A5EDC-5897-45DF-9124-0CCE01BB7676}" name="Column9468"/>
    <tableColumn id="9469" xr3:uid="{66596074-1DCF-4560-B1A2-5A0CEB1CBF36}" name="Column9469"/>
    <tableColumn id="9470" xr3:uid="{AB2AFB3A-70FF-4447-80E1-3C0C78F885B9}" name="Column9470"/>
    <tableColumn id="9471" xr3:uid="{C13457D5-2D74-4DB9-B75C-C9FC30A2B076}" name="Column9471"/>
    <tableColumn id="9472" xr3:uid="{3586DF2C-55C2-4069-AFB5-36B196688F0A}" name="Column9472"/>
    <tableColumn id="9473" xr3:uid="{DA98F36A-C09E-4D85-89B8-5DF86D13E421}" name="Column9473"/>
    <tableColumn id="9474" xr3:uid="{26CAC9DC-D917-4760-8DD5-F89FEA97E9EF}" name="Column9474"/>
    <tableColumn id="9475" xr3:uid="{7382863D-7BDB-4093-8839-85CF4A53F1E5}" name="Column9475"/>
    <tableColumn id="9476" xr3:uid="{59C23442-E966-4152-A3BD-38593FB7AD4D}" name="Column9476"/>
    <tableColumn id="9477" xr3:uid="{3B8B7C65-2D90-4EBD-8AFE-8414D3050295}" name="Column9477"/>
    <tableColumn id="9478" xr3:uid="{22F66357-D375-4749-A3A8-73069255B4AF}" name="Column9478"/>
    <tableColumn id="9479" xr3:uid="{89E50A50-5E7E-414A-8A58-B0A4331E6934}" name="Column9479"/>
    <tableColumn id="9480" xr3:uid="{3A715200-F7A9-4A7F-9460-44BC8C63D1E1}" name="Column9480"/>
    <tableColumn id="9481" xr3:uid="{1E0E1F39-D212-46DD-B197-173B67470B7E}" name="Column9481"/>
    <tableColumn id="9482" xr3:uid="{444D9CE3-C4A2-4FEB-B461-F752A4515756}" name="Column9482"/>
    <tableColumn id="9483" xr3:uid="{17345370-59F4-4506-A1AF-829757ED1F28}" name="Column9483"/>
    <tableColumn id="9484" xr3:uid="{8D2365C4-309D-4B51-8085-2633047E499A}" name="Column9484"/>
    <tableColumn id="9485" xr3:uid="{192DB330-F65C-4D24-B3A6-FFF5C269DDF4}" name="Column9485"/>
    <tableColumn id="9486" xr3:uid="{9CD6BEC7-A447-4C6D-A6A5-D97DDD02FC1E}" name="Column9486"/>
    <tableColumn id="9487" xr3:uid="{170335F6-C9E5-42FA-B1B6-969C48C3F9AC}" name="Column9487"/>
    <tableColumn id="9488" xr3:uid="{C0ED14BC-53B3-432C-A788-D9E41000EC54}" name="Column9488"/>
    <tableColumn id="9489" xr3:uid="{E02BAB8C-9C60-429E-8A8B-D8CB9309FCF0}" name="Column9489"/>
    <tableColumn id="9490" xr3:uid="{ABE86D0D-6CEF-4278-A2F7-065D37BB6E2D}" name="Column9490"/>
    <tableColumn id="9491" xr3:uid="{AA0E5CAF-2ECE-4F5C-B03F-87E7B12F4040}" name="Column9491"/>
    <tableColumn id="9492" xr3:uid="{722C3996-15F8-4FA4-B5ED-63CB7DC71B9A}" name="Column9492"/>
    <tableColumn id="9493" xr3:uid="{360F40CA-2B3B-43BC-A34C-B2EC050513FB}" name="Column9493"/>
    <tableColumn id="9494" xr3:uid="{1296643B-0FE1-4B9D-B359-4D5A86407889}" name="Column9494"/>
    <tableColumn id="9495" xr3:uid="{398B39B0-3764-47F0-BB42-1647FAA77329}" name="Column9495"/>
    <tableColumn id="9496" xr3:uid="{58EEDDF1-677F-439D-B0B2-3B3B425B4C4E}" name="Column9496"/>
    <tableColumn id="9497" xr3:uid="{FE2A58B0-47FE-4776-B581-2562CCEC119C}" name="Column9497"/>
    <tableColumn id="9498" xr3:uid="{7F8BD45E-FF03-4A6D-929E-E69CD1BC6AA5}" name="Column9498"/>
    <tableColumn id="9499" xr3:uid="{D2DE9898-579A-4829-B27A-8D79FA3618A2}" name="Column9499"/>
    <tableColumn id="9500" xr3:uid="{0DF70B2E-455F-4585-A28A-44DA37045EAA}" name="Column9500"/>
    <tableColumn id="9501" xr3:uid="{DA86A374-9F02-4778-ADE8-58B1530D389F}" name="Column9501"/>
    <tableColumn id="9502" xr3:uid="{D518BC4D-F82E-4829-99FB-E85358128778}" name="Column9502"/>
    <tableColumn id="9503" xr3:uid="{88060C33-3012-41F8-8989-21322A95C178}" name="Column9503"/>
    <tableColumn id="9504" xr3:uid="{4FC7DACF-932D-44A3-94C6-6A9889A5CF31}" name="Column9504"/>
    <tableColumn id="9505" xr3:uid="{D92607EE-949F-4969-8B0D-AD6A576324A4}" name="Column9505"/>
    <tableColumn id="9506" xr3:uid="{F92424B3-E2CF-41B2-B57F-D756CAF7933F}" name="Column9506"/>
    <tableColumn id="9507" xr3:uid="{9B335B89-48D3-41B8-98DC-61EAB8E05968}" name="Column9507"/>
    <tableColumn id="9508" xr3:uid="{1CB734F8-9A41-440A-9266-982F3E6CCF56}" name="Column9508"/>
    <tableColumn id="9509" xr3:uid="{B3CD6D41-3F73-49E2-A52D-D3D84FD183FD}" name="Column9509"/>
    <tableColumn id="9510" xr3:uid="{9E5E722C-2573-4754-A326-55012C594CBF}" name="Column9510"/>
    <tableColumn id="9511" xr3:uid="{F9DBDA5B-0D39-4A31-85B1-C28CC5C64112}" name="Column9511"/>
    <tableColumn id="9512" xr3:uid="{E89D98F9-563C-4D3E-9980-A24D19C26F66}" name="Column9512"/>
    <tableColumn id="9513" xr3:uid="{E9A720AB-DA79-4C32-A8C9-271D60495801}" name="Column9513"/>
    <tableColumn id="9514" xr3:uid="{BE06C743-FC3F-43B6-BB13-F746851F1EB4}" name="Column9514"/>
    <tableColumn id="9515" xr3:uid="{F97DFC9A-4127-4511-B285-09A2669C386A}" name="Column9515"/>
    <tableColumn id="9516" xr3:uid="{E37DBA05-CCCB-498B-B965-EC0F7C031954}" name="Column9516"/>
    <tableColumn id="9517" xr3:uid="{D4DC8062-BE80-4901-BA59-63E2CCCFF382}" name="Column9517"/>
    <tableColumn id="9518" xr3:uid="{856879FE-AF2C-47A0-B93D-D1831D65F59A}" name="Column9518"/>
    <tableColumn id="9519" xr3:uid="{FB0BFE15-A1D7-4C9D-91E9-50FA46C3E976}" name="Column9519"/>
    <tableColumn id="9520" xr3:uid="{809A7CC2-4F0B-4C2D-9A42-D8DD630D0D28}" name="Column9520"/>
    <tableColumn id="9521" xr3:uid="{88085919-41C9-4F7F-8635-2BD67B659DD3}" name="Column9521"/>
    <tableColumn id="9522" xr3:uid="{6F552978-E6A7-4666-8BC5-0E51DF921017}" name="Column9522"/>
    <tableColumn id="9523" xr3:uid="{A73E9F72-64F4-430F-8718-2A4C8D55B4BC}" name="Column9523"/>
    <tableColumn id="9524" xr3:uid="{87D8D089-3A04-4D5A-8625-C054927DDECC}" name="Column9524"/>
    <tableColumn id="9525" xr3:uid="{7C526F3C-6562-4036-B3EB-0F7D52B8524B}" name="Column9525"/>
    <tableColumn id="9526" xr3:uid="{1400A582-F8EA-4C06-9653-E841754E1628}" name="Column9526"/>
    <tableColumn id="9527" xr3:uid="{0454289D-E699-425E-86B5-848B96C2E6F0}" name="Column9527"/>
    <tableColumn id="9528" xr3:uid="{61B5E976-C46A-4F32-B91C-D1E93E973845}" name="Column9528"/>
    <tableColumn id="9529" xr3:uid="{70BC840E-6687-43B4-8DF2-F80CE08E36C0}" name="Column9529"/>
    <tableColumn id="9530" xr3:uid="{7E4FAF25-B06C-4F4E-84C6-C3104D1EBF7C}" name="Column9530"/>
    <tableColumn id="9531" xr3:uid="{2FAED2F0-1EB2-4575-B82A-747FF3DFF445}" name="Column9531"/>
    <tableColumn id="9532" xr3:uid="{00B5F4F6-E829-418E-990E-7BEB63E0D35C}" name="Column9532"/>
    <tableColumn id="9533" xr3:uid="{5BC1472E-72EA-41E0-8C71-9897C6E09D0C}" name="Column9533"/>
    <tableColumn id="9534" xr3:uid="{77EC6904-D9E5-4A01-816B-C93A694CCBE5}" name="Column9534"/>
    <tableColumn id="9535" xr3:uid="{27FB7940-63BD-4532-8FE7-4C87F44D58FF}" name="Column9535"/>
    <tableColumn id="9536" xr3:uid="{0636F83A-C727-4C78-96DE-058C12967F44}" name="Column9536"/>
    <tableColumn id="9537" xr3:uid="{699631DD-7D33-4AA8-9568-83EF687E3939}" name="Column9537"/>
    <tableColumn id="9538" xr3:uid="{45A05B39-D884-4955-858A-C9406E45DA4A}" name="Column9538"/>
    <tableColumn id="9539" xr3:uid="{96EBD4E0-F984-4578-8A56-9E09F91BC4AA}" name="Column9539"/>
    <tableColumn id="9540" xr3:uid="{D164A598-94B9-48BB-B311-21F3362BA561}" name="Column9540"/>
    <tableColumn id="9541" xr3:uid="{39B0D202-46F8-4B7A-BDF8-B36C4D474AC3}" name="Column9541"/>
    <tableColumn id="9542" xr3:uid="{AA34CEC4-4673-4BC0-96CA-585D1617A961}" name="Column9542"/>
    <tableColumn id="9543" xr3:uid="{41A8388A-5304-4037-9EE3-970AC0370615}" name="Column9543"/>
    <tableColumn id="9544" xr3:uid="{39BF8B80-8259-44A9-AF11-508F7F4597B4}" name="Column9544"/>
    <tableColumn id="9545" xr3:uid="{312D44CF-C170-4AD4-8803-4BCB8FFA8A13}" name="Column9545"/>
    <tableColumn id="9546" xr3:uid="{7674F91D-F806-406B-AF94-3974995DE568}" name="Column9546"/>
    <tableColumn id="9547" xr3:uid="{4E5B54C5-DEB5-4CDB-820B-2415305FD474}" name="Column9547"/>
    <tableColumn id="9548" xr3:uid="{300BD817-F6AB-4D28-9B82-C172D0535BED}" name="Column9548"/>
    <tableColumn id="9549" xr3:uid="{FF0DE40B-144C-43C2-8223-2A282AB0CA38}" name="Column9549"/>
    <tableColumn id="9550" xr3:uid="{335D2104-3B08-470E-A7D4-88A95A60A5A1}" name="Column9550"/>
    <tableColumn id="9551" xr3:uid="{B59A14C6-B244-4DDE-B02E-DC0928F0F0B4}" name="Column9551"/>
    <tableColumn id="9552" xr3:uid="{DD89BE85-0DE7-445A-88DE-230AFC145921}" name="Column9552"/>
    <tableColumn id="9553" xr3:uid="{BB517CBC-622F-48B2-B0E8-239AD9F22346}" name="Column9553"/>
    <tableColumn id="9554" xr3:uid="{5E943455-15B1-4144-889E-A38A114F5318}" name="Column9554"/>
    <tableColumn id="9555" xr3:uid="{987738A8-D199-4501-AF6A-30BB5ECC833D}" name="Column9555"/>
    <tableColumn id="9556" xr3:uid="{F6B53D7F-682F-408F-865A-C8D608011D8E}" name="Column9556"/>
    <tableColumn id="9557" xr3:uid="{F7E621C5-006E-4037-89F2-630FF38B8CCF}" name="Column9557"/>
    <tableColumn id="9558" xr3:uid="{B37DB0CF-8E48-41DD-A201-C0F1B99CB14D}" name="Column9558"/>
    <tableColumn id="9559" xr3:uid="{B9ECF11A-C913-431E-A26D-11520022E0FB}" name="Column9559"/>
    <tableColumn id="9560" xr3:uid="{F225A438-BC42-4AAE-B6FD-428BFEA03D0A}" name="Column9560"/>
    <tableColumn id="9561" xr3:uid="{4704A399-456C-4958-9A29-13CC2DBE29CA}" name="Column9561"/>
    <tableColumn id="9562" xr3:uid="{5CFA2861-7719-4CA7-92D0-CF2AD33D9095}" name="Column9562"/>
    <tableColumn id="9563" xr3:uid="{D26DC51E-AE23-4D49-B048-4D40CF0ECD49}" name="Column9563"/>
    <tableColumn id="9564" xr3:uid="{462BE350-8C34-4C00-AC07-06B474FBC7F4}" name="Column9564"/>
    <tableColumn id="9565" xr3:uid="{D60899CC-803B-452D-9C07-AAADBCDCEB8C}" name="Column9565"/>
    <tableColumn id="9566" xr3:uid="{2C56660E-A0EA-4405-B0E6-D743F4B7EFDB}" name="Column9566"/>
    <tableColumn id="9567" xr3:uid="{DB41F06C-1DCC-447E-9922-C26367BBD8A0}" name="Column9567"/>
    <tableColumn id="9568" xr3:uid="{24FB93DC-3DC9-48F1-82A2-3F1D06FB33A1}" name="Column9568"/>
    <tableColumn id="9569" xr3:uid="{91AD47D5-7A7E-4436-BD3A-DD0524BA42BD}" name="Column9569"/>
    <tableColumn id="9570" xr3:uid="{BD588391-7AEB-4560-B394-513ACD0DA09A}" name="Column9570"/>
    <tableColumn id="9571" xr3:uid="{4592468A-28B0-44A4-9190-5C7A26251943}" name="Column9571"/>
    <tableColumn id="9572" xr3:uid="{A5C69DC6-A6D5-40C3-BB4E-60BC451F3578}" name="Column9572"/>
    <tableColumn id="9573" xr3:uid="{BD44D43C-C1D1-4DD9-BD20-C14990C7A006}" name="Column9573"/>
    <tableColumn id="9574" xr3:uid="{3ED3776B-EB97-4B94-8F46-EF3D78DBB2A8}" name="Column9574"/>
    <tableColumn id="9575" xr3:uid="{DEAE72AB-3C17-4E0C-89AA-0E63974ED6B8}" name="Column9575"/>
    <tableColumn id="9576" xr3:uid="{8773A5EA-981F-4115-BB08-E439C5B7ED4D}" name="Column9576"/>
    <tableColumn id="9577" xr3:uid="{C1279EDF-EEBB-4D51-A5C0-117CC6629AB8}" name="Column9577"/>
    <tableColumn id="9578" xr3:uid="{9774845E-36A9-49D7-93F7-B6A2D3348C66}" name="Column9578"/>
    <tableColumn id="9579" xr3:uid="{6D4141A4-2CEA-4CE8-A8B7-05FEA3BDAEC0}" name="Column9579"/>
    <tableColumn id="9580" xr3:uid="{103B04A7-9F30-402D-ADF3-AB804A439240}" name="Column9580"/>
    <tableColumn id="9581" xr3:uid="{3F81CDFC-DDA2-4FE8-91D5-4F32E2CF7072}" name="Column9581"/>
    <tableColumn id="9582" xr3:uid="{70B385FE-4471-405A-8238-F265B53D7B99}" name="Column9582"/>
    <tableColumn id="9583" xr3:uid="{3C7F597D-89EA-4179-B98F-D8588D498433}" name="Column9583"/>
    <tableColumn id="9584" xr3:uid="{48F5E193-32B0-4E17-BFDA-7823BAC337A2}" name="Column9584"/>
    <tableColumn id="9585" xr3:uid="{ED3397B1-077B-43BA-9531-6E44DCC7D7C9}" name="Column9585"/>
    <tableColumn id="9586" xr3:uid="{A736B822-B476-422C-AA4F-8C4050F92D96}" name="Column9586"/>
    <tableColumn id="9587" xr3:uid="{F3788316-F9BC-4949-89EC-E6ED898E3625}" name="Column9587"/>
    <tableColumn id="9588" xr3:uid="{40F7AB47-324E-43E6-8808-B05CD2ED730C}" name="Column9588"/>
    <tableColumn id="9589" xr3:uid="{3822DD38-13BE-4249-9614-91288F78E039}" name="Column9589"/>
    <tableColumn id="9590" xr3:uid="{BD6604A4-F4E0-4863-8C7A-B074A4CE6A90}" name="Column9590"/>
    <tableColumn id="9591" xr3:uid="{13F2D99F-3CEB-424A-AF3D-DA809164E421}" name="Column9591"/>
    <tableColumn id="9592" xr3:uid="{6AD24B02-2162-4107-8961-BD59B74F32AC}" name="Column9592"/>
    <tableColumn id="9593" xr3:uid="{3EFBD0E2-07BB-4193-A68C-A230064F7D20}" name="Column9593"/>
    <tableColumn id="9594" xr3:uid="{967078C5-C12E-485A-868F-8F598E6FFA6A}" name="Column9594"/>
    <tableColumn id="9595" xr3:uid="{9AC445DD-E64B-4C38-9D1C-C2BD571E4695}" name="Column9595"/>
    <tableColumn id="9596" xr3:uid="{1FCDB01E-A416-436D-9C5B-DE812484A6FF}" name="Column9596"/>
    <tableColumn id="9597" xr3:uid="{2EEC12F4-FB4C-4AF2-B34D-3110470A089B}" name="Column9597"/>
    <tableColumn id="9598" xr3:uid="{203A3582-73FC-493D-BCDF-BC8B4403E9CD}" name="Column9598"/>
    <tableColumn id="9599" xr3:uid="{F6FA9017-02AB-4DA6-8798-4DCC10422460}" name="Column9599"/>
    <tableColumn id="9600" xr3:uid="{437E623D-BB43-49F9-B17B-E86C9DACB7E2}" name="Column9600"/>
    <tableColumn id="9601" xr3:uid="{DE79A88F-F0E0-4B76-9F1B-96A69AC13288}" name="Column9601"/>
    <tableColumn id="9602" xr3:uid="{BD434905-F4A9-4572-BB7D-2215ABA1C76C}" name="Column9602"/>
    <tableColumn id="9603" xr3:uid="{1CA50C84-DA8E-476C-9F7D-E960F0313729}" name="Column9603"/>
    <tableColumn id="9604" xr3:uid="{BC6B04F7-47B9-46F9-B427-CF045C357233}" name="Column9604"/>
    <tableColumn id="9605" xr3:uid="{7C770305-C6E9-4E3C-9E8F-0C35C1618477}" name="Column9605"/>
    <tableColumn id="9606" xr3:uid="{B4572829-1530-4F2A-9B90-5F1699C14175}" name="Column9606"/>
    <tableColumn id="9607" xr3:uid="{9CEF11E7-F0A2-479F-A6E2-CAE487D687A7}" name="Column9607"/>
    <tableColumn id="9608" xr3:uid="{C2711D80-038F-4D01-866C-773628560E5D}" name="Column9608"/>
    <tableColumn id="9609" xr3:uid="{D14DD641-2063-4311-98D5-528606566D22}" name="Column9609"/>
    <tableColumn id="9610" xr3:uid="{B5196409-1020-48ED-90D0-A6524185FA3F}" name="Column9610"/>
    <tableColumn id="9611" xr3:uid="{F31B6B50-81A4-4F0F-B0C9-A193144D2442}" name="Column9611"/>
    <tableColumn id="9612" xr3:uid="{FA6A0E87-BA2F-42E2-A1BD-1D692CFF265A}" name="Column9612"/>
    <tableColumn id="9613" xr3:uid="{6C05B80A-94CF-4C3C-8A17-E86DD1C3ADD5}" name="Column9613"/>
    <tableColumn id="9614" xr3:uid="{BE1C75E3-44A6-4D0E-AFF0-363C82F2ACE0}" name="Column9614"/>
    <tableColumn id="9615" xr3:uid="{63B98A91-09F3-4BD9-B796-6D370AF8841F}" name="Column9615"/>
    <tableColumn id="9616" xr3:uid="{DCA92490-D9D9-4E54-9F96-F920126B5537}" name="Column9616"/>
    <tableColumn id="9617" xr3:uid="{A8EEC92F-56A8-489A-A3D7-D1C1BD9AFDE6}" name="Column9617"/>
    <tableColumn id="9618" xr3:uid="{D99C9957-C351-4197-A5CE-220F1EF25A0A}" name="Column9618"/>
    <tableColumn id="9619" xr3:uid="{C17A7F93-7143-48F8-B7BF-363ADE5817C4}" name="Column9619"/>
    <tableColumn id="9620" xr3:uid="{4124CAAC-5BF3-41F8-9B24-CD28212D854B}" name="Column9620"/>
    <tableColumn id="9621" xr3:uid="{2D8D0275-56F7-449F-95D6-93CEBAD3EA5C}" name="Column9621"/>
    <tableColumn id="9622" xr3:uid="{C4F68A1F-2F53-4CB5-938C-B4B3616D0785}" name="Column9622"/>
    <tableColumn id="9623" xr3:uid="{B50C8CBD-59C3-4B48-8B82-1E1E10AE0F41}" name="Column9623"/>
    <tableColumn id="9624" xr3:uid="{4A32C46E-4A74-4323-97AC-4BCF39B781E7}" name="Column9624"/>
    <tableColumn id="9625" xr3:uid="{9473D51D-1C61-45AC-B60C-DECF0B0B0590}" name="Column9625"/>
    <tableColumn id="9626" xr3:uid="{A928EC6F-0E8C-489B-93C5-80C7D2E3B9F4}" name="Column9626"/>
    <tableColumn id="9627" xr3:uid="{3B0D363A-0798-487A-B3C9-5475868C2C7B}" name="Column9627"/>
    <tableColumn id="9628" xr3:uid="{2FA9A1E0-0D26-4E9D-81A8-6B664FCEEEF1}" name="Column9628"/>
    <tableColumn id="9629" xr3:uid="{AFE008F9-A831-43AF-94D6-2E35B4062438}" name="Column9629"/>
    <tableColumn id="9630" xr3:uid="{ECC45247-CF32-4251-A8F8-C03CF3564254}" name="Column9630"/>
    <tableColumn id="9631" xr3:uid="{798BBFBC-823B-430B-A9C8-5A04FB513E92}" name="Column9631"/>
    <tableColumn id="9632" xr3:uid="{B7C1925E-9BD3-49B7-840E-60B8C425D271}" name="Column9632"/>
    <tableColumn id="9633" xr3:uid="{6A065AD7-FCC0-44E0-A8AF-D1F487896223}" name="Column9633"/>
    <tableColumn id="9634" xr3:uid="{4DD1C388-1368-4FC8-91ED-9485D09B212B}" name="Column9634"/>
    <tableColumn id="9635" xr3:uid="{2CBD23C7-1D0E-45D2-A484-B5E5C557496F}" name="Column9635"/>
    <tableColumn id="9636" xr3:uid="{D79A19A2-5181-47E2-B76B-5A121C302E22}" name="Column9636"/>
    <tableColumn id="9637" xr3:uid="{97B6E29C-2DFB-4242-BD23-AC41AAC38B86}" name="Column9637"/>
    <tableColumn id="9638" xr3:uid="{F8B143CB-E3F9-4CAC-91D4-B4ED9CD327D5}" name="Column9638"/>
    <tableColumn id="9639" xr3:uid="{44FFE91F-2F2B-46E8-A447-B2E42859F94E}" name="Column9639"/>
    <tableColumn id="9640" xr3:uid="{0FCD6A6A-BA61-4418-A847-8CF853024B4C}" name="Column9640"/>
    <tableColumn id="9641" xr3:uid="{70CE8134-B47B-41B1-80C9-CB47AC5FA931}" name="Column9641"/>
    <tableColumn id="9642" xr3:uid="{658302A4-0A8B-4CF4-A069-ECBA07C12C69}" name="Column9642"/>
    <tableColumn id="9643" xr3:uid="{9E7176E7-E97D-4934-A4BE-67C98F404CC6}" name="Column9643"/>
    <tableColumn id="9644" xr3:uid="{7D4F9512-5778-4659-A33D-E0DE7742EAEA}" name="Column9644"/>
    <tableColumn id="9645" xr3:uid="{081ABC8C-5A4C-4E43-82E7-E08E3A1978AA}" name="Column9645"/>
    <tableColumn id="9646" xr3:uid="{A4452B0F-940D-49EE-A67B-FF1D39E1A347}" name="Column9646"/>
    <tableColumn id="9647" xr3:uid="{0E4D71C0-4A7C-47F9-99F0-0F99B6874531}" name="Column9647"/>
    <tableColumn id="9648" xr3:uid="{6665D2BF-55C6-4716-9942-5963A5F9FB50}" name="Column9648"/>
    <tableColumn id="9649" xr3:uid="{3431B6A6-8F37-4798-A368-1041BEF7E798}" name="Column9649"/>
    <tableColumn id="9650" xr3:uid="{8FEB807B-54B2-43B7-853F-330C45424FB1}" name="Column9650"/>
    <tableColumn id="9651" xr3:uid="{AABFB080-D76B-4626-931E-689C95A9F342}" name="Column9651"/>
    <tableColumn id="9652" xr3:uid="{D8320393-F890-4CFD-8ABA-4B7899B50C32}" name="Column9652"/>
    <tableColumn id="9653" xr3:uid="{411C9E5B-4011-4865-9FB2-ED0981A6EBE6}" name="Column9653"/>
    <tableColumn id="9654" xr3:uid="{7CBD4C46-C932-4748-A590-B80DC6348968}" name="Column9654"/>
    <tableColumn id="9655" xr3:uid="{5EEBD398-EA1F-4CFC-8FB1-1DB5066676A6}" name="Column9655"/>
    <tableColumn id="9656" xr3:uid="{7224B7A1-F6DC-4654-B2E0-B3CCCDCE573F}" name="Column9656"/>
    <tableColumn id="9657" xr3:uid="{6773A029-A53B-4F42-9633-C452AE710A52}" name="Column9657"/>
    <tableColumn id="9658" xr3:uid="{163B2163-5AA9-41F0-A37C-DBA3D402EB44}" name="Column9658"/>
    <tableColumn id="9659" xr3:uid="{1724C55A-3E59-452C-890F-86AE29F5C330}" name="Column9659"/>
    <tableColumn id="9660" xr3:uid="{C28B307E-CCEF-4F0A-A095-2CDCBB93254E}" name="Column9660"/>
    <tableColumn id="9661" xr3:uid="{A540AAA8-585A-4970-B760-87E2DA0649C6}" name="Column9661"/>
    <tableColumn id="9662" xr3:uid="{5B07042D-0840-4E10-AC1B-28A85EBEA9A6}" name="Column9662"/>
    <tableColumn id="9663" xr3:uid="{EF8EBEB6-07AE-44EA-93ED-A29FBB32E4B5}" name="Column9663"/>
    <tableColumn id="9664" xr3:uid="{88920CE3-9AFD-4675-BB63-DDDE17334EFF}" name="Column9664"/>
    <tableColumn id="9665" xr3:uid="{4ABCCB0F-BE08-4CA6-A781-CD173C103449}" name="Column9665"/>
    <tableColumn id="9666" xr3:uid="{9CDD08CF-78C7-41C6-A40F-150F038FF72F}" name="Column9666"/>
    <tableColumn id="9667" xr3:uid="{2523C0DC-C3A4-44D2-B2B5-50CE6F14D7AF}" name="Column9667"/>
    <tableColumn id="9668" xr3:uid="{1C94A5BE-621E-4F1E-9803-E9619989ED28}" name="Column9668"/>
    <tableColumn id="9669" xr3:uid="{694CE689-0E00-47B1-BD2C-88D1AD55AEF8}" name="Column9669"/>
    <tableColumn id="9670" xr3:uid="{2B7AF883-A5AD-4538-9E76-197FA86647DA}" name="Column9670"/>
    <tableColumn id="9671" xr3:uid="{B0E3A76E-37F7-455A-A142-09E9B60C6D11}" name="Column9671"/>
    <tableColumn id="9672" xr3:uid="{1B628ACB-D272-4A3D-854F-61B02B614569}" name="Column9672"/>
    <tableColumn id="9673" xr3:uid="{125F2FA1-0996-42D7-99B9-43C65556B78C}" name="Column9673"/>
    <tableColumn id="9674" xr3:uid="{2098F5E0-AC8C-4F70-95D6-D204B8ECDF39}" name="Column9674"/>
    <tableColumn id="9675" xr3:uid="{49C0276A-39BD-4126-887D-C1C89681749A}" name="Column9675"/>
    <tableColumn id="9676" xr3:uid="{E7B05140-C5C2-4904-A164-C2348D0055D2}" name="Column9676"/>
    <tableColumn id="9677" xr3:uid="{D4FBFC7F-331B-433D-9993-4B48B172834B}" name="Column9677"/>
    <tableColumn id="9678" xr3:uid="{B875E9D1-45D4-4761-942C-B081BE955416}" name="Column9678"/>
    <tableColumn id="9679" xr3:uid="{F32C496E-6E21-45C8-9A02-847D17460FEC}" name="Column9679"/>
    <tableColumn id="9680" xr3:uid="{8F97F738-E418-4742-AB0D-0BA0D1C15683}" name="Column9680"/>
    <tableColumn id="9681" xr3:uid="{8442C5C3-4B11-4D6A-A042-25D359B8C50E}" name="Column9681"/>
    <tableColumn id="9682" xr3:uid="{70707615-20EB-4BFB-99EB-E421BB8912E0}" name="Column9682"/>
    <tableColumn id="9683" xr3:uid="{1713C18B-3267-4112-9FA7-8B52D014239D}" name="Column9683"/>
    <tableColumn id="9684" xr3:uid="{D9E4B34F-18B1-4062-8BFE-A3A7F4718542}" name="Column9684"/>
    <tableColumn id="9685" xr3:uid="{9656FFAA-FFB3-47DA-99AF-1407A3A141B7}" name="Column9685"/>
    <tableColumn id="9686" xr3:uid="{E7DF8D8D-DE28-43CB-A456-EBB240F22A1A}" name="Column9686"/>
    <tableColumn id="9687" xr3:uid="{0FCE5858-09C0-432D-8D76-347BD37C7EF8}" name="Column9687"/>
    <tableColumn id="9688" xr3:uid="{A175CB9A-96D7-492A-8035-BF9F580B2C5F}" name="Column9688"/>
    <tableColumn id="9689" xr3:uid="{93F88C31-039E-486B-AA68-78600EECDD65}" name="Column9689"/>
    <tableColumn id="9690" xr3:uid="{FA168B14-35C8-4757-8954-E0B6CF70F415}" name="Column9690"/>
    <tableColumn id="9691" xr3:uid="{088E0003-0C25-4481-80A7-B1077B57493B}" name="Column9691"/>
    <tableColumn id="9692" xr3:uid="{3CF5B0F7-286A-4071-817C-22E0FB629E76}" name="Column9692"/>
    <tableColumn id="9693" xr3:uid="{ADC3A9FE-0BAC-456C-8DE4-CF47B467FFBF}" name="Column9693"/>
    <tableColumn id="9694" xr3:uid="{8DD692E1-3774-4FBB-860F-EB3B382B1435}" name="Column9694"/>
    <tableColumn id="9695" xr3:uid="{B883C830-8DCC-42F6-9317-E106D98B2434}" name="Column9695"/>
    <tableColumn id="9696" xr3:uid="{351188B8-14F5-41AA-A478-FF85D1A13CE9}" name="Column9696"/>
    <tableColumn id="9697" xr3:uid="{0FEE5A42-0FE9-4C31-B58E-281B5DCFF50F}" name="Column9697"/>
    <tableColumn id="9698" xr3:uid="{FFE9DFBC-DB57-4C0B-B312-032F66DA2490}" name="Column9698"/>
    <tableColumn id="9699" xr3:uid="{733CF3FA-67F6-4EA9-A720-3537D80AE57E}" name="Column9699"/>
    <tableColumn id="9700" xr3:uid="{B9A84ACD-EDDB-4C72-977E-0A4AF06EC474}" name="Column9700"/>
    <tableColumn id="9701" xr3:uid="{9E3B655C-F811-4796-96BD-310D69CCDCD7}" name="Column9701"/>
    <tableColumn id="9702" xr3:uid="{FF151259-97B6-441F-A538-6804FC0935D7}" name="Column9702"/>
    <tableColumn id="9703" xr3:uid="{B2F6B74A-2330-41F4-A4A7-252FC0C4F77E}" name="Column9703"/>
    <tableColumn id="9704" xr3:uid="{9B4CB4B1-0139-4BCA-9122-2F73EFA63294}" name="Column9704"/>
    <tableColumn id="9705" xr3:uid="{3371E3F7-717A-4B89-BBA1-570894320F1D}" name="Column9705"/>
    <tableColumn id="9706" xr3:uid="{433D8484-24F1-47F3-B529-FA9D5A445028}" name="Column9706"/>
    <tableColumn id="9707" xr3:uid="{431CAC71-78EC-417F-A0D5-A24AC6D6F550}" name="Column9707"/>
    <tableColumn id="9708" xr3:uid="{443FA34A-AED8-4BBE-B2E4-40BD39C0D678}" name="Column9708"/>
    <tableColumn id="9709" xr3:uid="{B2034087-5BE8-4542-983A-E53784E67B30}" name="Column9709"/>
    <tableColumn id="9710" xr3:uid="{EAB2650E-6B09-490A-A754-8F6248A51135}" name="Column9710"/>
    <tableColumn id="9711" xr3:uid="{3A52B852-CD43-4E1B-9408-EB31670A3B81}" name="Column9711"/>
    <tableColumn id="9712" xr3:uid="{9A9B9152-5362-4AC2-91EC-7FF22AB11382}" name="Column9712"/>
    <tableColumn id="9713" xr3:uid="{788911A8-AB3E-4C2B-BEA2-08033E7ED4B9}" name="Column9713"/>
    <tableColumn id="9714" xr3:uid="{0946EAD7-9336-44A6-9493-D5D8DBE4C57A}" name="Column9714"/>
    <tableColumn id="9715" xr3:uid="{1853CA0E-C928-47D2-9F68-BEFFB46E3FDE}" name="Column9715"/>
    <tableColumn id="9716" xr3:uid="{3C4A8BDD-ED92-4401-AC32-A97A620DE89B}" name="Column9716"/>
    <tableColumn id="9717" xr3:uid="{3C034252-6412-4969-A6C5-03A7908523F9}" name="Column9717"/>
    <tableColumn id="9718" xr3:uid="{B2C2C02C-9501-45C9-BDCF-69447782907B}" name="Column9718"/>
    <tableColumn id="9719" xr3:uid="{B034041F-E898-47AE-8F3F-0D119C3DC728}" name="Column9719"/>
    <tableColumn id="9720" xr3:uid="{7AA11189-4E0E-4ECC-8A45-19EF1063DCEC}" name="Column9720"/>
    <tableColumn id="9721" xr3:uid="{C3EB6E90-378C-4692-963E-B59D73C205F3}" name="Column9721"/>
    <tableColumn id="9722" xr3:uid="{2BA2C5A0-1D37-45B9-8A05-4D252F79F423}" name="Column9722"/>
    <tableColumn id="9723" xr3:uid="{1DF95C0C-A19A-4AE4-A05C-6920AC91CCB0}" name="Column9723"/>
    <tableColumn id="9724" xr3:uid="{B42EB534-E7D0-4742-8FFF-904473487740}" name="Column9724"/>
    <tableColumn id="9725" xr3:uid="{F267D522-B329-40AA-8D6C-7A8C47E00A84}" name="Column9725"/>
    <tableColumn id="9726" xr3:uid="{EB4D0D8B-9F6D-4C82-8158-52392A20B80D}" name="Column9726"/>
    <tableColumn id="9727" xr3:uid="{7D7E2E0B-0097-45D3-A07F-C56747CB3387}" name="Column9727"/>
    <tableColumn id="9728" xr3:uid="{C9763732-8B8D-4F75-B7EA-4B83CA42CEB6}" name="Column9728"/>
    <tableColumn id="9729" xr3:uid="{5D562DE0-DDBF-4D0A-A05B-D041BECB6EE4}" name="Column9729"/>
    <tableColumn id="9730" xr3:uid="{C9739E2D-5982-4026-85C9-BC918FA6A3FA}" name="Column9730"/>
    <tableColumn id="9731" xr3:uid="{6B9E82F8-A7A0-42BA-80CC-28EC027816E1}" name="Column9731"/>
    <tableColumn id="9732" xr3:uid="{F3801B6E-08B8-49B1-9E6B-ABB94A3B9C54}" name="Column9732"/>
    <tableColumn id="9733" xr3:uid="{66A2FC93-D4A3-4C84-95BE-9BD18D0FF387}" name="Column9733"/>
    <tableColumn id="9734" xr3:uid="{DB5594C7-EFF2-4188-84C8-123FD3F96076}" name="Column9734"/>
    <tableColumn id="9735" xr3:uid="{880B17EE-17CF-4EC8-B490-AA6CE7FCD92B}" name="Column9735"/>
    <tableColumn id="9736" xr3:uid="{1CFE98CF-AAC1-4FE3-B99B-5972649BF31B}" name="Column9736"/>
    <tableColumn id="9737" xr3:uid="{A6EE302E-5498-46BC-8F64-A5C5B6CBB01A}" name="Column9737"/>
    <tableColumn id="9738" xr3:uid="{CAEA7439-76B3-451A-88FE-3E98A057B77C}" name="Column9738"/>
    <tableColumn id="9739" xr3:uid="{4E5995B1-9626-4B9A-A042-38B304C8B0F0}" name="Column9739"/>
    <tableColumn id="9740" xr3:uid="{C87281B9-4769-4AA7-943E-1439DA1649AE}" name="Column9740"/>
    <tableColumn id="9741" xr3:uid="{E8767308-03DB-4C17-8201-A8F701697C2D}" name="Column9741"/>
    <tableColumn id="9742" xr3:uid="{16C90095-0F66-411B-84A0-CD9328CC59FE}" name="Column9742"/>
    <tableColumn id="9743" xr3:uid="{F74E9993-D0CD-4B4A-BA55-0557763D24DF}" name="Column9743"/>
    <tableColumn id="9744" xr3:uid="{3FE37F9D-0CA4-4221-B5EE-0314ECD3EA9E}" name="Column9744"/>
    <tableColumn id="9745" xr3:uid="{898F1C4F-557A-4EB4-8DFC-D8BEFFFCE2A1}" name="Column9745"/>
    <tableColumn id="9746" xr3:uid="{9178A757-19CE-4628-9999-ABCCF6D32A45}" name="Column9746"/>
    <tableColumn id="9747" xr3:uid="{9B3682C6-0D25-4A4B-87CB-ABA37F106805}" name="Column9747"/>
    <tableColumn id="9748" xr3:uid="{399E79DB-1CFE-4200-9385-BB3BDAA2A5E7}" name="Column9748"/>
    <tableColumn id="9749" xr3:uid="{F0915259-172D-4375-B73B-5F26608990A9}" name="Column9749"/>
    <tableColumn id="9750" xr3:uid="{6302D578-DC97-43DB-84A8-8DA3F03E7D73}" name="Column9750"/>
    <tableColumn id="9751" xr3:uid="{FC63FEE7-2F76-4703-A781-837B2EFC013E}" name="Column9751"/>
    <tableColumn id="9752" xr3:uid="{58D98207-4F04-4844-B8F4-4D185F1ECB60}" name="Column9752"/>
    <tableColumn id="9753" xr3:uid="{97B7DAA0-624C-4CB5-AB83-FB122E00A9DC}" name="Column9753"/>
    <tableColumn id="9754" xr3:uid="{24EA9683-346F-4E0C-8985-10B7E22D7F46}" name="Column9754"/>
    <tableColumn id="9755" xr3:uid="{FDC2E093-A92E-456F-A420-B0F2C98C21EF}" name="Column9755"/>
    <tableColumn id="9756" xr3:uid="{44C2B54E-C2B5-4749-B7EF-C06E66927F2E}" name="Column9756"/>
    <tableColumn id="9757" xr3:uid="{C4E8769B-7D5D-4FA9-BD34-99CEA6260CFF}" name="Column9757"/>
    <tableColumn id="9758" xr3:uid="{746C419F-AAD9-41F2-97FF-4D9427455536}" name="Column9758"/>
    <tableColumn id="9759" xr3:uid="{FC33DCE0-7E35-4838-A825-3CB8EA2ADC27}" name="Column9759"/>
    <tableColumn id="9760" xr3:uid="{8727B73A-2F97-4E88-BEDA-EBC7413A08FA}" name="Column9760"/>
    <tableColumn id="9761" xr3:uid="{893907D1-DEC4-434B-BFDC-4B652255E1A4}" name="Column9761"/>
    <tableColumn id="9762" xr3:uid="{48F91595-958F-4FE3-966D-2114357090EE}" name="Column9762"/>
    <tableColumn id="9763" xr3:uid="{942E1694-A1B3-4EF2-AE16-B39DB7EC588A}" name="Column9763"/>
    <tableColumn id="9764" xr3:uid="{E38E3885-38A5-426D-974D-DCD1EFF025F1}" name="Column9764"/>
    <tableColumn id="9765" xr3:uid="{E3F5BB71-6FD7-4552-B3BA-BA8462900CBB}" name="Column9765"/>
    <tableColumn id="9766" xr3:uid="{D46D5886-666D-462E-93FC-0FA36622019C}" name="Column9766"/>
    <tableColumn id="9767" xr3:uid="{864B76E5-297F-4E20-86F3-C5096E04FA8B}" name="Column9767"/>
    <tableColumn id="9768" xr3:uid="{AB171F0E-09D7-46D3-BCB9-2899FDB33342}" name="Column9768"/>
    <tableColumn id="9769" xr3:uid="{EBF2338E-A62B-4F8F-B9F5-02A27D827943}" name="Column9769"/>
    <tableColumn id="9770" xr3:uid="{9DCD20B5-631A-4DC8-B47A-4F2E65E35C51}" name="Column9770"/>
    <tableColumn id="9771" xr3:uid="{65DCFEBD-674C-4C40-BE32-0FD1A8E2378C}" name="Column9771"/>
    <tableColumn id="9772" xr3:uid="{C6507D4E-A715-4658-83F9-942889846685}" name="Column9772"/>
    <tableColumn id="9773" xr3:uid="{D656A400-E541-431C-ACCF-A1DCC75A628E}" name="Column9773"/>
    <tableColumn id="9774" xr3:uid="{9031204C-BD63-4A27-AF1C-718810A7692B}" name="Column9774"/>
    <tableColumn id="9775" xr3:uid="{3CEDA1E4-DB11-47A6-A364-06510F848632}" name="Column9775"/>
    <tableColumn id="9776" xr3:uid="{D836DAA2-88A1-4551-9348-2695C8AA3CAB}" name="Column9776"/>
    <tableColumn id="9777" xr3:uid="{B8DCFBE3-96E6-4E53-ABF5-607C0BA3F96B}" name="Column9777"/>
    <tableColumn id="9778" xr3:uid="{BEEFFDF5-D5CF-45B5-A480-9445CF81C409}" name="Column9778"/>
    <tableColumn id="9779" xr3:uid="{5132E394-B4D0-4329-AF99-BE0CEFBF0006}" name="Column9779"/>
    <tableColumn id="9780" xr3:uid="{E35B126F-0F6F-409F-8D17-9A6639FA2FCE}" name="Column9780"/>
    <tableColumn id="9781" xr3:uid="{F989E1B6-97AF-4118-9201-23DBBC363076}" name="Column9781"/>
    <tableColumn id="9782" xr3:uid="{EE582A6D-3ED4-4AE5-B87A-49EC87EBEA48}" name="Column9782"/>
    <tableColumn id="9783" xr3:uid="{E1F0759A-7254-4D43-859E-118C70D1261A}" name="Column9783"/>
    <tableColumn id="9784" xr3:uid="{2FDDA005-26C4-4435-A8D5-EA25F0D95639}" name="Column9784"/>
    <tableColumn id="9785" xr3:uid="{DBCF7E1C-05FD-4DA9-9E04-FD7C8988437D}" name="Column9785"/>
    <tableColumn id="9786" xr3:uid="{EC444AC8-51C7-456B-8D53-AD11B10E5768}" name="Column9786"/>
    <tableColumn id="9787" xr3:uid="{8708606C-D766-4E8E-B578-45ACBA3D8B91}" name="Column9787"/>
    <tableColumn id="9788" xr3:uid="{0AA57BE9-7488-4747-8587-4EB443C069B1}" name="Column9788"/>
    <tableColumn id="9789" xr3:uid="{EDA67C9A-5847-4A19-A3E0-C41826E8CC15}" name="Column9789"/>
    <tableColumn id="9790" xr3:uid="{56F87CDC-98DB-46CD-BABF-90263DE5DA9F}" name="Column9790"/>
    <tableColumn id="9791" xr3:uid="{1F28C7E3-D73C-45D3-81B7-38E7F49DFB73}" name="Column9791"/>
    <tableColumn id="9792" xr3:uid="{D511C1CA-796E-46B6-BA5E-7CF0166863CB}" name="Column9792"/>
    <tableColumn id="9793" xr3:uid="{C1307B35-3E8C-44FE-ADBA-668B5430F448}" name="Column9793"/>
    <tableColumn id="9794" xr3:uid="{413B4FA0-A6A0-46C2-8413-D243D9DBCBF0}" name="Column9794"/>
    <tableColumn id="9795" xr3:uid="{F1F77756-7394-4A71-8F21-CB8D12333B7F}" name="Column9795"/>
    <tableColumn id="9796" xr3:uid="{2DE2AA71-D5E1-49D5-9A64-43EA1F58C73F}" name="Column9796"/>
    <tableColumn id="9797" xr3:uid="{1782BD99-BC74-4805-808C-28B30548A9FD}" name="Column9797"/>
    <tableColumn id="9798" xr3:uid="{F991D648-32E2-44EE-84ED-68F5903449B1}" name="Column9798"/>
    <tableColumn id="9799" xr3:uid="{22A12DD0-A59E-42AB-BE80-1FDE32AE2255}" name="Column9799"/>
    <tableColumn id="9800" xr3:uid="{84849DBE-11F7-430C-9EE3-9AF6AADEF500}" name="Column9800"/>
    <tableColumn id="9801" xr3:uid="{6F6E43E5-E7DA-4B79-AB5B-FB00C7EAB47F}" name="Column9801"/>
    <tableColumn id="9802" xr3:uid="{36291B48-06F1-4FFA-B70A-31B6D360F6F1}" name="Column9802"/>
    <tableColumn id="9803" xr3:uid="{E77EB515-8BCB-4322-82F3-79DF5BC2A879}" name="Column9803"/>
    <tableColumn id="9804" xr3:uid="{AD6A8243-20FC-4BBC-8EF2-C0C4D7C44EE9}" name="Column9804"/>
    <tableColumn id="9805" xr3:uid="{0B419630-DD03-409E-8B26-F02B4C48C685}" name="Column9805"/>
    <tableColumn id="9806" xr3:uid="{2B7AE1E7-38A8-49B9-AC3C-83A7CC4E3A21}" name="Column9806"/>
    <tableColumn id="9807" xr3:uid="{F63572B8-9EB2-4292-818A-E24AA64B5B0E}" name="Column9807"/>
    <tableColumn id="9808" xr3:uid="{DC84EF19-4B3E-4965-A805-228B759734C1}" name="Column9808"/>
    <tableColumn id="9809" xr3:uid="{5BBD9937-BFDD-4099-8BD7-3904C30A2A97}" name="Column9809"/>
    <tableColumn id="9810" xr3:uid="{2C1AE452-9E16-4D6A-BDB0-20DCE67D32D4}" name="Column9810"/>
    <tableColumn id="9811" xr3:uid="{B6B2A0D0-9B92-4B46-A9C8-9B6EBC9AE6CF}" name="Column9811"/>
    <tableColumn id="9812" xr3:uid="{4A4362A0-7D11-4C42-9AFF-1BF8BC7599F6}" name="Column9812"/>
    <tableColumn id="9813" xr3:uid="{66833635-F1A3-4330-9262-1646D7238147}" name="Column9813"/>
    <tableColumn id="9814" xr3:uid="{35E53FCD-C35E-4EF3-8008-E72488C9DF6F}" name="Column9814"/>
    <tableColumn id="9815" xr3:uid="{CF4C64C9-9FC6-4D60-8904-E79C330B8EA4}" name="Column9815"/>
    <tableColumn id="9816" xr3:uid="{0129EEB9-AEC9-4B04-952D-FDA872119C7A}" name="Column9816"/>
    <tableColumn id="9817" xr3:uid="{623A9294-5F7E-4E44-BC7C-82A4D825A3FC}" name="Column9817"/>
    <tableColumn id="9818" xr3:uid="{25D41294-267A-43D5-B7A1-FDC66EAE0F54}" name="Column9818"/>
    <tableColumn id="9819" xr3:uid="{E18CE7C4-F751-4117-96FE-40E36860F48B}" name="Column9819"/>
    <tableColumn id="9820" xr3:uid="{1E6C9023-9FFB-4CBA-A829-91FAD22E2710}" name="Column9820"/>
    <tableColumn id="9821" xr3:uid="{3FD3D9E1-8045-4747-8130-DAACAD622652}" name="Column9821"/>
    <tableColumn id="9822" xr3:uid="{1A8CB0C1-7E0C-44D8-8D5F-8BBB698A0388}" name="Column9822"/>
    <tableColumn id="9823" xr3:uid="{EE7426F0-1029-4185-9275-470EB1C798B9}" name="Column9823"/>
    <tableColumn id="9824" xr3:uid="{630AB7D8-0E13-447B-8C1D-0416B6BB9ACE}" name="Column9824"/>
    <tableColumn id="9825" xr3:uid="{8BE6E93C-4297-4B58-91E7-2F3D1AB011EA}" name="Column9825"/>
    <tableColumn id="9826" xr3:uid="{367FD9F6-0870-4E9D-9553-6C8BF5F82E85}" name="Column9826"/>
    <tableColumn id="9827" xr3:uid="{A03B15A2-4AD1-4EAB-8998-0433F04A4523}" name="Column9827"/>
    <tableColumn id="9828" xr3:uid="{F98A5C35-0B13-43F3-B303-EC6D9DCCB390}" name="Column9828"/>
    <tableColumn id="9829" xr3:uid="{9A76E547-8466-4C4B-8525-78EF7246FD51}" name="Column9829"/>
    <tableColumn id="9830" xr3:uid="{34F86AD7-D1F0-4612-B758-271D6858DB7B}" name="Column9830"/>
    <tableColumn id="9831" xr3:uid="{B5439D1D-5100-4BD0-B6B6-9484F570ADF5}" name="Column9831"/>
    <tableColumn id="9832" xr3:uid="{4943C489-7D59-4929-BAAB-5DBDA7DD0147}" name="Column9832"/>
    <tableColumn id="9833" xr3:uid="{CC1A56AB-1B90-4FD4-99C4-7A5F2F2DF0D1}" name="Column9833"/>
    <tableColumn id="9834" xr3:uid="{D09E2F6D-CDF9-411C-899E-F0A9DD5E146E}" name="Column9834"/>
    <tableColumn id="9835" xr3:uid="{19DA977A-B52A-47A3-9B4A-8B5E45DB83C5}" name="Column9835"/>
    <tableColumn id="9836" xr3:uid="{D28F0297-1B5C-4750-87BA-F035C24503B8}" name="Column9836"/>
    <tableColumn id="9837" xr3:uid="{5D9BD550-B417-4186-B78C-7C46F12EB2C3}" name="Column9837"/>
    <tableColumn id="9838" xr3:uid="{E4B0114D-A114-4768-B227-50A80C9DDCA9}" name="Column9838"/>
    <tableColumn id="9839" xr3:uid="{9C0EE528-4FB0-4D3B-BEDF-5E85CD855ACA}" name="Column9839"/>
    <tableColumn id="9840" xr3:uid="{ED627809-102E-45FB-8F59-4ED2273A7825}" name="Column9840"/>
    <tableColumn id="9841" xr3:uid="{3136471C-1060-4BA0-8B56-4E549A240468}" name="Column9841"/>
    <tableColumn id="9842" xr3:uid="{EA8AA017-AB60-4975-AE9F-0EE6DBED4AD7}" name="Column9842"/>
    <tableColumn id="9843" xr3:uid="{DC1755CE-18F0-495D-984A-7BBFF742A173}" name="Column9843"/>
    <tableColumn id="9844" xr3:uid="{1D5A98D5-659D-43B0-96F5-DFD453A03DFE}" name="Column9844"/>
    <tableColumn id="9845" xr3:uid="{C278FAAA-0B42-4627-A22B-86AD5FB6448B}" name="Column9845"/>
    <tableColumn id="9846" xr3:uid="{DF315786-AE9C-4F7A-B157-C7DAADF9F96B}" name="Column9846"/>
    <tableColumn id="9847" xr3:uid="{8241D324-D6D1-4DCD-9A44-664B5918C2C5}" name="Column9847"/>
    <tableColumn id="9848" xr3:uid="{1F856107-0C6C-4031-B3B7-4FAACBA10E8E}" name="Column9848"/>
    <tableColumn id="9849" xr3:uid="{0CC101AF-3325-47A5-B54B-67F99176BD17}" name="Column9849"/>
    <tableColumn id="9850" xr3:uid="{4EF2030C-431A-4408-B72A-F0779D506F55}" name="Column9850"/>
    <tableColumn id="9851" xr3:uid="{EE9BEEAC-4EB6-4B63-A172-3C8A092D6167}" name="Column9851"/>
    <tableColumn id="9852" xr3:uid="{9D53344D-B5DC-443E-BEFE-9ABC0CE156DC}" name="Column9852"/>
    <tableColumn id="9853" xr3:uid="{95CECDC3-4567-4193-9BF1-0FED0757AED2}" name="Column9853"/>
    <tableColumn id="9854" xr3:uid="{EC46BE7F-19F9-4D58-9961-CB79D6BD5483}" name="Column9854"/>
    <tableColumn id="9855" xr3:uid="{5559A027-8E0F-429D-8C51-38EEFE9BC252}" name="Column9855"/>
    <tableColumn id="9856" xr3:uid="{B2FDCD76-3406-4A6F-A40D-8DF0523B67EB}" name="Column9856"/>
    <tableColumn id="9857" xr3:uid="{489DBA82-D962-4B97-B53F-E7F4239655EF}" name="Column9857"/>
    <tableColumn id="9858" xr3:uid="{FDE92389-8C59-430F-BE0B-421FA3EF29E1}" name="Column9858"/>
    <tableColumn id="9859" xr3:uid="{3464C0A1-0150-4A87-81C5-596E3C548BBA}" name="Column9859"/>
    <tableColumn id="9860" xr3:uid="{6E5416D7-9A10-48E0-AC0C-509B13C0CEB6}" name="Column9860"/>
    <tableColumn id="9861" xr3:uid="{DAE9AC9C-0355-428B-B409-3FD3076034B7}" name="Column9861"/>
    <tableColumn id="9862" xr3:uid="{3FD22C89-6D10-4401-B31B-1DC1CF06D662}" name="Column9862"/>
    <tableColumn id="9863" xr3:uid="{9F9D717F-2A3E-4ED9-B00F-A78033490A79}" name="Column9863"/>
    <tableColumn id="9864" xr3:uid="{2D6B7AB0-4C24-4621-99F8-30AEB5BE9E08}" name="Column9864"/>
    <tableColumn id="9865" xr3:uid="{C6EECCBB-4462-49B6-9A27-33A7D0020217}" name="Column9865"/>
    <tableColumn id="9866" xr3:uid="{20F2E099-74B5-42CD-8BE3-5E38290EE3D3}" name="Column9866"/>
    <tableColumn id="9867" xr3:uid="{01F1C3DD-56EF-4260-8395-8F7F4B8206DA}" name="Column9867"/>
    <tableColumn id="9868" xr3:uid="{74039353-97C5-4D58-B60E-D41722BE818B}" name="Column9868"/>
    <tableColumn id="9869" xr3:uid="{CE3062C3-71B5-4ED6-8073-6CF5B8DDD03A}" name="Column9869"/>
    <tableColumn id="9870" xr3:uid="{3883DB0E-820F-4A9E-9EA3-00D6715A9866}" name="Column9870"/>
    <tableColumn id="9871" xr3:uid="{91185A48-1CB2-4642-BC3E-E14901A0389C}" name="Column9871"/>
    <tableColumn id="9872" xr3:uid="{A5EB4430-7DE2-4715-9235-4811C4DFCA7F}" name="Column9872"/>
    <tableColumn id="9873" xr3:uid="{608FFD6B-F670-4458-9613-3CCC21B66C92}" name="Column9873"/>
    <tableColumn id="9874" xr3:uid="{1A51037E-59CA-4A7C-B699-A6CA9BE7AAB5}" name="Column9874"/>
    <tableColumn id="9875" xr3:uid="{BB380B1C-2F63-4AD3-AFAB-79440E53F407}" name="Column9875"/>
    <tableColumn id="9876" xr3:uid="{E0DCD0F0-0085-4E19-85FC-C782B39DE93E}" name="Column9876"/>
    <tableColumn id="9877" xr3:uid="{F7E04FD7-9833-4B75-A838-AF882BFB071A}" name="Column9877"/>
    <tableColumn id="9878" xr3:uid="{ADAF15EA-0754-4E8E-B993-93AEC847B514}" name="Column9878"/>
    <tableColumn id="9879" xr3:uid="{0A1CFF3F-CF63-4FC9-8334-AA5518EEB41A}" name="Column9879"/>
    <tableColumn id="9880" xr3:uid="{724EC110-C0F8-47A3-B082-FEF4B7BCA23A}" name="Column9880"/>
    <tableColumn id="9881" xr3:uid="{4D9DCC71-0B1E-4118-8561-90F5CC30E8FB}" name="Column9881"/>
    <tableColumn id="9882" xr3:uid="{D585DEDA-5944-426E-9354-9C9B049DB1B4}" name="Column9882"/>
    <tableColumn id="9883" xr3:uid="{64DB349D-5AB7-4C55-A8F4-CE14E041FCC0}" name="Column9883"/>
    <tableColumn id="9884" xr3:uid="{13B829B6-8D32-4C92-B604-8277FBC5915C}" name="Column9884"/>
    <tableColumn id="9885" xr3:uid="{49262F71-653E-4535-ACAA-5E10FD818CA6}" name="Column9885"/>
    <tableColumn id="9886" xr3:uid="{DAAF27F0-6755-406D-9703-D30CD9C29038}" name="Column9886"/>
    <tableColumn id="9887" xr3:uid="{E7D99BBD-763F-4FEF-9F49-A6F36567D40A}" name="Column9887"/>
    <tableColumn id="9888" xr3:uid="{A1069991-22D3-4621-95DE-50CE25DD607B}" name="Column9888"/>
    <tableColumn id="9889" xr3:uid="{BF649D03-0F6A-4CF3-A106-CC9C7ACD638C}" name="Column9889"/>
    <tableColumn id="9890" xr3:uid="{0A2237F2-2CDF-4380-9501-B56731557E2B}" name="Column9890"/>
    <tableColumn id="9891" xr3:uid="{B9328D17-DEA1-415A-84F9-024F6CA04535}" name="Column9891"/>
    <tableColumn id="9892" xr3:uid="{D076656F-C061-424A-AA5E-F7D6FD749BDC}" name="Column9892"/>
    <tableColumn id="9893" xr3:uid="{5F086342-2817-4B33-B0D1-19432C52B58C}" name="Column9893"/>
    <tableColumn id="9894" xr3:uid="{A2A46847-8771-4453-AF29-6A8467006FA9}" name="Column9894"/>
    <tableColumn id="9895" xr3:uid="{96D3B264-A0C2-4DD6-9B43-C47A0A636B71}" name="Column9895"/>
    <tableColumn id="9896" xr3:uid="{E56BFA5B-DDEE-492A-9411-F798B1FF4DB1}" name="Column9896"/>
    <tableColumn id="9897" xr3:uid="{4DE642D1-CF1A-432E-8885-A7433B55D3DD}" name="Column9897"/>
    <tableColumn id="9898" xr3:uid="{44CF4A1A-F0B4-4A1D-9E3D-82641B97924E}" name="Column9898"/>
    <tableColumn id="9899" xr3:uid="{0B1457EF-E786-4A20-B3B0-0F3082B5245B}" name="Column9899"/>
    <tableColumn id="9900" xr3:uid="{89E4C3C0-C63A-46A9-9D9C-7F3EEE29E567}" name="Column9900"/>
    <tableColumn id="9901" xr3:uid="{667EE939-C28D-42B7-A301-6FAF8BF253D1}" name="Column9901"/>
    <tableColumn id="9902" xr3:uid="{6CED78EB-7F06-4609-BCBC-7D200685AD4B}" name="Column9902"/>
    <tableColumn id="9903" xr3:uid="{2F33F76A-0E2A-4934-97CA-14B4F46154A5}" name="Column9903"/>
    <tableColumn id="9904" xr3:uid="{828426A8-E92F-4A6C-8012-C65CACD092BD}" name="Column9904"/>
    <tableColumn id="9905" xr3:uid="{A3FB6E27-F70B-4465-8DA3-ACEC6E209851}" name="Column9905"/>
    <tableColumn id="9906" xr3:uid="{7E9E4BF0-BFCA-4147-9E3F-9B93626E7CB8}" name="Column9906"/>
    <tableColumn id="9907" xr3:uid="{323961E1-FB20-42EF-B18F-7C46AF90F716}" name="Column9907"/>
    <tableColumn id="9908" xr3:uid="{CD0533CC-8A29-4309-825F-CD30D355C2A5}" name="Column9908"/>
    <tableColumn id="9909" xr3:uid="{E68A0719-A42A-47BF-AF47-D9BC63484785}" name="Column9909"/>
    <tableColumn id="9910" xr3:uid="{26587F49-413F-490C-BCE2-13DE493B742F}" name="Column9910"/>
    <tableColumn id="9911" xr3:uid="{677FD7EB-7A9B-4F75-91E3-589FFE43F766}" name="Column9911"/>
    <tableColumn id="9912" xr3:uid="{81E658D9-7D8B-4C37-B843-A13F5B8889BC}" name="Column9912"/>
    <tableColumn id="9913" xr3:uid="{85852228-33FB-4156-BA61-A7ED96389C07}" name="Column9913"/>
    <tableColumn id="9914" xr3:uid="{156380EF-7121-4797-BCB5-CE27B07D8C2D}" name="Column9914"/>
    <tableColumn id="9915" xr3:uid="{6F044FD4-10E2-400F-A823-D5DE1A9164CC}" name="Column9915"/>
    <tableColumn id="9916" xr3:uid="{14C70272-F386-4320-8F37-C07526A8A9E8}" name="Column9916"/>
    <tableColumn id="9917" xr3:uid="{81BBC7EA-05E2-43AE-9795-38FC459CD012}" name="Column9917"/>
    <tableColumn id="9918" xr3:uid="{7C03DF39-C1DF-4EB6-99BF-1F7354C806DF}" name="Column9918"/>
    <tableColumn id="9919" xr3:uid="{5664977C-AD20-4334-9C64-61EE9FE786C1}" name="Column9919"/>
    <tableColumn id="9920" xr3:uid="{53BD8EA2-B603-489E-B856-BB94E4AE76AF}" name="Column9920"/>
    <tableColumn id="9921" xr3:uid="{F68F951C-CAEA-4982-9701-3B20FFFE3566}" name="Column9921"/>
    <tableColumn id="9922" xr3:uid="{05047164-2970-4EE0-AFC6-F9A21E9E65AC}" name="Column9922"/>
    <tableColumn id="9923" xr3:uid="{38FE5227-E2A6-42FB-8FE0-1710AC9C8FB4}" name="Column9923"/>
    <tableColumn id="9924" xr3:uid="{F3CE74F0-34CF-4F3F-891E-C5B63FD049FD}" name="Column9924"/>
    <tableColumn id="9925" xr3:uid="{290C3B59-8DEE-40A0-825E-C1B97A7F6059}" name="Column9925"/>
    <tableColumn id="9926" xr3:uid="{EA505C5A-AE50-4B22-8CA3-AD72FCF416B5}" name="Column9926"/>
    <tableColumn id="9927" xr3:uid="{B2342212-3DD8-4F71-BA60-676034FF1AED}" name="Column9927"/>
    <tableColumn id="9928" xr3:uid="{275BACE6-74CA-49E7-95CC-16E2029F44A1}" name="Column9928"/>
    <tableColumn id="9929" xr3:uid="{2C31F143-135A-4873-BBB6-514FAC04E5E4}" name="Column9929"/>
    <tableColumn id="9930" xr3:uid="{F91C9446-AC39-4355-8F91-1A44E5453644}" name="Column9930"/>
    <tableColumn id="9931" xr3:uid="{9C1E8919-7496-4D44-B4CE-66F6B38519A3}" name="Column9931"/>
    <tableColumn id="9932" xr3:uid="{D8F4959A-9902-4185-93F3-4BEF181ECA50}" name="Column9932"/>
    <tableColumn id="9933" xr3:uid="{BF7C37B1-0F2E-49EA-A283-D29808FD6F55}" name="Column9933"/>
    <tableColumn id="9934" xr3:uid="{A6F8122A-8219-4492-A136-4827869F6A6A}" name="Column9934"/>
    <tableColumn id="9935" xr3:uid="{29557B3C-275E-40DE-958E-A7AAF77CFEBC}" name="Column9935"/>
    <tableColumn id="9936" xr3:uid="{75D5437F-BCB9-448F-8000-695666F1F1C2}" name="Column9936"/>
    <tableColumn id="9937" xr3:uid="{747A2E43-2493-4E21-9318-9ACCA2A9EBB8}" name="Column9937"/>
    <tableColumn id="9938" xr3:uid="{49EBA172-8271-4C14-B950-B3532DFE70BE}" name="Column9938"/>
    <tableColumn id="9939" xr3:uid="{DD1092F9-0CB5-4F36-9C32-8F5B1ED2FA93}" name="Column9939"/>
    <tableColumn id="9940" xr3:uid="{38F94B16-D9D8-443F-BAE0-3BA662DB0882}" name="Column9940"/>
    <tableColumn id="9941" xr3:uid="{D5894B17-63D3-4C62-9CCA-A7BED86700D0}" name="Column9941"/>
    <tableColumn id="9942" xr3:uid="{CE212167-8E58-4559-B5CF-ADA23A62EA91}" name="Column9942"/>
    <tableColumn id="9943" xr3:uid="{6D56C97E-38D2-4699-9AD3-BF478B925626}" name="Column9943"/>
    <tableColumn id="9944" xr3:uid="{BD0E8886-8E60-40FB-80FC-0B18E2B23C8E}" name="Column9944"/>
    <tableColumn id="9945" xr3:uid="{87067C3B-7D61-462C-ADF0-31ECECE46071}" name="Column9945"/>
    <tableColumn id="9946" xr3:uid="{BECFDFB8-ABC2-4075-AA22-E2F239FB6AF3}" name="Column9946"/>
    <tableColumn id="9947" xr3:uid="{5676D65D-56BB-4880-A16D-F5A9B6D92119}" name="Column9947"/>
    <tableColumn id="9948" xr3:uid="{01EC8D60-723A-4854-ADA6-A62CD283D7BD}" name="Column9948"/>
    <tableColumn id="9949" xr3:uid="{FD822BFC-7454-4573-81D9-29495C703E5B}" name="Column9949"/>
    <tableColumn id="9950" xr3:uid="{C52AEC72-960D-4CA5-AEAC-A977D2D5576F}" name="Column9950"/>
    <tableColumn id="9951" xr3:uid="{B7CECA22-7D93-4DEB-ADDC-3D1FFC88B147}" name="Column9951"/>
    <tableColumn id="9952" xr3:uid="{66435109-F5DE-4D2E-95D5-993C11CFCBE7}" name="Column9952"/>
    <tableColumn id="9953" xr3:uid="{700ADEDB-9905-4C51-BD47-EB06B8F65825}" name="Column9953"/>
    <tableColumn id="9954" xr3:uid="{A9EC4983-26AA-4D3A-9B91-22EAACB50AFA}" name="Column9954"/>
    <tableColumn id="9955" xr3:uid="{7E06E960-08F9-40BB-A8D5-B7795D210F63}" name="Column9955"/>
    <tableColumn id="9956" xr3:uid="{6A5B538B-91D4-4B46-9090-EDB2815452D9}" name="Column9956"/>
    <tableColumn id="9957" xr3:uid="{C9BCB915-A5EB-4E73-95CF-C9B36AC6774C}" name="Column9957"/>
    <tableColumn id="9958" xr3:uid="{76CCABA4-0F7C-46DD-8281-F643F4073C14}" name="Column9958"/>
    <tableColumn id="9959" xr3:uid="{FF8C1F4F-D10B-4AD0-8BCF-781C77AACE32}" name="Column9959"/>
    <tableColumn id="9960" xr3:uid="{C15B500F-9E2B-447C-86AB-F899C3374912}" name="Column9960"/>
    <tableColumn id="9961" xr3:uid="{30A1CE50-4754-473B-91AC-A8ED94F91198}" name="Column9961"/>
    <tableColumn id="9962" xr3:uid="{7A8E13E3-22CD-468D-9135-163879D09F24}" name="Column9962"/>
    <tableColumn id="9963" xr3:uid="{2B36F588-B761-4FE1-B0E9-835F814AFBA1}" name="Column9963"/>
    <tableColumn id="9964" xr3:uid="{863940E3-3EFB-4512-93EB-F5AC00473CFF}" name="Column9964"/>
    <tableColumn id="9965" xr3:uid="{5AA97638-C75D-4825-BBEA-D2F78C11F1B4}" name="Column9965"/>
    <tableColumn id="9966" xr3:uid="{408C8508-E9B6-48E1-9DFE-D5D30233F91C}" name="Column9966"/>
    <tableColumn id="9967" xr3:uid="{4721F119-2CB4-4A25-B986-68EAC6C710D9}" name="Column9967"/>
    <tableColumn id="9968" xr3:uid="{0CCAA54D-C77E-47E8-BDAC-8E4491515FB8}" name="Column9968"/>
    <tableColumn id="9969" xr3:uid="{F9C29635-99E1-47C8-A93E-4F13B7B6F1C8}" name="Column9969"/>
    <tableColumn id="9970" xr3:uid="{F6D550D0-F930-438B-A077-1160DC1B48B8}" name="Column9970"/>
    <tableColumn id="9971" xr3:uid="{8D3E0800-8369-4560-98B2-BBC505EBC1FF}" name="Column9971"/>
    <tableColumn id="9972" xr3:uid="{525DB28C-5B37-4AE2-8B08-5F8E47AC7850}" name="Column9972"/>
    <tableColumn id="9973" xr3:uid="{16A6E21D-1244-43EE-9C97-D7F97E4DB76F}" name="Column9973"/>
    <tableColumn id="9974" xr3:uid="{A16DB4AF-F422-4848-9DF4-49998605E8E1}" name="Column9974"/>
    <tableColumn id="9975" xr3:uid="{40986AA6-2E47-49C5-8506-2DAF4F52539C}" name="Column9975"/>
    <tableColumn id="9976" xr3:uid="{D6EAE983-A374-42C6-867E-718A1BEEB681}" name="Column9976"/>
    <tableColumn id="9977" xr3:uid="{2F95A150-B3AD-4F8A-B71F-0B6D5D5B490A}" name="Column9977"/>
    <tableColumn id="9978" xr3:uid="{E9E27939-3546-4E4D-8038-870D573CC08C}" name="Column9978"/>
    <tableColumn id="9979" xr3:uid="{AC10DFCD-2A8F-4BAC-8FB6-DC5DE6819029}" name="Column9979"/>
    <tableColumn id="9980" xr3:uid="{882030BD-969E-4860-BD71-0BDD7068C9EA}" name="Column9980"/>
    <tableColumn id="9981" xr3:uid="{948B2AA2-3750-4C9E-9736-A6506B0599F4}" name="Column9981"/>
    <tableColumn id="9982" xr3:uid="{96949497-BA87-493D-8AC3-A0CBA3AA7BA0}" name="Column9982"/>
    <tableColumn id="9983" xr3:uid="{6EE0AC18-2666-466F-97D1-EE6D765065D4}" name="Column9983"/>
    <tableColumn id="9984" xr3:uid="{45D42C41-6E7B-4122-92F2-95F2CE7CFCC1}" name="Column9984"/>
    <tableColumn id="9985" xr3:uid="{5230B4CD-4388-443B-AB2B-46B435B04645}" name="Column9985"/>
    <tableColumn id="9986" xr3:uid="{6E9013A1-10CB-4C3D-BEE1-0D535394B0A8}" name="Column9986"/>
    <tableColumn id="9987" xr3:uid="{FCD9C4E2-0296-4085-8011-FF4E5145E5F2}" name="Column9987"/>
    <tableColumn id="9988" xr3:uid="{AA60F0D1-65EA-4172-A754-9D72B7E00DEF}" name="Column9988"/>
    <tableColumn id="9989" xr3:uid="{442E4AEC-7411-4CD3-9328-BD5477067D0F}" name="Column9989"/>
    <tableColumn id="9990" xr3:uid="{526B117D-674E-4997-8F31-20316498B8B3}" name="Column9990"/>
    <tableColumn id="9991" xr3:uid="{1E612CD6-C4D5-416C-8547-F397CF9B313C}" name="Column9991"/>
    <tableColumn id="9992" xr3:uid="{3029435D-B0DB-49F6-A6BB-5457E40EF6F5}" name="Column9992"/>
    <tableColumn id="9993" xr3:uid="{E7ABE701-F15B-4A0F-9055-E8CC44474672}" name="Column9993"/>
    <tableColumn id="9994" xr3:uid="{40EB445B-A696-4C63-99BF-E65BAEBCD940}" name="Column9994"/>
    <tableColumn id="9995" xr3:uid="{ECAF553E-3D55-4B3E-84A0-D66CA834B6FC}" name="Column9995"/>
    <tableColumn id="9996" xr3:uid="{EC04DA19-35D7-4E6E-A0B1-61C34DCE858C}" name="Column9996"/>
    <tableColumn id="9997" xr3:uid="{5544A0E8-33DF-48C5-BC06-207D60A5D060}" name="Column9997"/>
    <tableColumn id="9998" xr3:uid="{8C21010B-9C7D-4825-9062-999411279DF0}" name="Column9998"/>
    <tableColumn id="9999" xr3:uid="{ED400197-1680-43AF-B2B2-4020949B50B1}" name="Column9999"/>
    <tableColumn id="10000" xr3:uid="{294C5895-5B52-416A-8CF1-6891842B5794}" name="Column10000"/>
    <tableColumn id="10001" xr3:uid="{BF3D6E2F-1BF7-4454-9276-D941BD7A0CD9}" name="Column10001"/>
    <tableColumn id="10002" xr3:uid="{5D641629-5F98-4853-B82B-3A8F311A02D3}" name="Column10002"/>
    <tableColumn id="10003" xr3:uid="{4BFFAB67-E7C9-4E23-853A-354AD69B3D57}" name="Column10003"/>
    <tableColumn id="10004" xr3:uid="{23F2D88D-EDF8-48DD-AC05-DEF9F2FE1B99}" name="Column10004"/>
    <tableColumn id="10005" xr3:uid="{4F78E03A-1326-4B85-9204-706BEE0B357D}" name="Column10005"/>
    <tableColumn id="10006" xr3:uid="{F97B8783-A3A0-4AC4-9EDA-8615E050387B}" name="Column10006"/>
    <tableColumn id="10007" xr3:uid="{D31280F2-E78D-4F7D-B150-48E081B2FAC7}" name="Column10007"/>
    <tableColumn id="10008" xr3:uid="{E0E0F44B-5B02-4DDF-BD23-D9607A8CA118}" name="Column10008"/>
    <tableColumn id="10009" xr3:uid="{91EDC258-2AB0-4277-A12D-C273BF7367EE}" name="Column10009"/>
    <tableColumn id="10010" xr3:uid="{4BC7BABF-C547-4E7B-AD76-49C08FBE0EA8}" name="Column10010"/>
    <tableColumn id="10011" xr3:uid="{753A69FB-1804-40F4-BEF1-B94A848833A7}" name="Column10011"/>
    <tableColumn id="10012" xr3:uid="{9F632C5F-37A5-4098-8CBB-64909DABFBAE}" name="Column10012"/>
    <tableColumn id="10013" xr3:uid="{B8E27E09-B069-4E8D-831B-1BFC6D67DC03}" name="Column10013"/>
    <tableColumn id="10014" xr3:uid="{8BE9B409-0D0C-49CD-997A-C8D6B25B9B24}" name="Column10014"/>
    <tableColumn id="10015" xr3:uid="{5071240F-A4A5-4BF5-ABDA-5C3BED52FFB9}" name="Column10015"/>
    <tableColumn id="10016" xr3:uid="{84CB3275-5938-45BF-BBB1-A544D5B7C557}" name="Column10016"/>
    <tableColumn id="10017" xr3:uid="{7A3D7C9B-F1FA-49CA-8B66-EBB1AD49C802}" name="Column10017"/>
    <tableColumn id="10018" xr3:uid="{B0542A73-13EE-48D4-B817-235D0901E524}" name="Column10018"/>
    <tableColumn id="10019" xr3:uid="{5ACEC279-F3CD-4023-A5B2-CE4B487A6EBF}" name="Column10019"/>
    <tableColumn id="10020" xr3:uid="{DD3F1EE3-9E15-4A3A-909C-3EF430E72682}" name="Column10020"/>
    <tableColumn id="10021" xr3:uid="{BA709A1B-2E9F-4310-8ACB-5E4DE2A41656}" name="Column10021"/>
    <tableColumn id="10022" xr3:uid="{CBF39604-D916-483B-84F6-9D48722E412A}" name="Column10022"/>
    <tableColumn id="10023" xr3:uid="{BE8678F2-2CEA-4DE2-A1F7-171F911CCE8C}" name="Column10023"/>
    <tableColumn id="10024" xr3:uid="{A6802942-A29C-4809-A3F2-1204B1181EEB}" name="Column10024"/>
    <tableColumn id="10025" xr3:uid="{73E6FA97-4185-4F35-854B-928ADECEC327}" name="Column10025"/>
    <tableColumn id="10026" xr3:uid="{0695D859-6AA1-4EB3-9785-CA418F264D6D}" name="Column10026"/>
    <tableColumn id="10027" xr3:uid="{6AE9C3B2-5BA4-4C0D-8D27-ED8CDB893385}" name="Column10027"/>
    <tableColumn id="10028" xr3:uid="{48662547-F79F-421A-A896-7733C58C9553}" name="Column10028"/>
    <tableColumn id="10029" xr3:uid="{D0AF7B1A-3E36-4932-849A-1D8CE108E203}" name="Column10029"/>
    <tableColumn id="10030" xr3:uid="{550E94F2-ADEB-4904-A58B-E0AA41C27FCE}" name="Column10030"/>
    <tableColumn id="10031" xr3:uid="{8A3DCE2C-DE89-44A2-BA80-86EECE7426CF}" name="Column10031"/>
    <tableColumn id="10032" xr3:uid="{57D1C1F6-FA26-419C-AFD5-50F753054D41}" name="Column10032"/>
    <tableColumn id="10033" xr3:uid="{63219D5A-6E95-4055-9BDD-24EB25989F09}" name="Column10033"/>
    <tableColumn id="10034" xr3:uid="{1BEB2211-16AA-4EE6-92F3-E77D3B3843F2}" name="Column10034"/>
    <tableColumn id="10035" xr3:uid="{1D48BCEB-CC5D-46A2-BBFB-3D9B4859D7F8}" name="Column10035"/>
    <tableColumn id="10036" xr3:uid="{04A3CDFE-37FF-4AD7-A099-416B794EEE25}" name="Column10036"/>
    <tableColumn id="10037" xr3:uid="{C4FDD27D-9612-4699-96AF-3F2DFD9578FC}" name="Column10037"/>
    <tableColumn id="10038" xr3:uid="{DD37D159-F8D2-411F-A3CC-7F1C0D63B6F5}" name="Column10038"/>
    <tableColumn id="10039" xr3:uid="{AAF39384-82FD-468F-962B-CDE76A98BF97}" name="Column10039"/>
    <tableColumn id="10040" xr3:uid="{1F8C08B4-A0D1-48F0-80D2-461EEB59A829}" name="Column10040"/>
    <tableColumn id="10041" xr3:uid="{D3C7DA83-CFDB-46D8-BD7C-E3CF86D39D4C}" name="Column10041"/>
    <tableColumn id="10042" xr3:uid="{6CDC9288-275E-44B2-8DD3-D3DF07A6C461}" name="Column10042"/>
    <tableColumn id="10043" xr3:uid="{BD9A6EB1-C43F-4C14-8511-0B9A70B641B1}" name="Column10043"/>
    <tableColumn id="10044" xr3:uid="{0345EF24-9B3A-41E9-8B90-697A438309B5}" name="Column10044"/>
    <tableColumn id="10045" xr3:uid="{116FD83D-3912-4B52-A2E0-B8559D1D9BD3}" name="Column10045"/>
    <tableColumn id="10046" xr3:uid="{9E994768-09A4-46F7-8A2A-C05D0C37FB66}" name="Column10046"/>
    <tableColumn id="10047" xr3:uid="{F1B6DE57-8241-4D9E-84F2-14B0360C976C}" name="Column10047"/>
    <tableColumn id="10048" xr3:uid="{A1331206-64A7-449E-8823-E6178CB1C6C2}" name="Column10048"/>
    <tableColumn id="10049" xr3:uid="{AC7A5B73-4794-4267-A74B-4DC00721B6EF}" name="Column10049"/>
    <tableColumn id="10050" xr3:uid="{03030D71-6523-43E4-92C7-F7E3EEA2455C}" name="Column10050"/>
    <tableColumn id="10051" xr3:uid="{CD0D7659-69D4-4120-8F55-370B714B2D34}" name="Column10051"/>
    <tableColumn id="10052" xr3:uid="{674030D9-4DBC-4FEE-930C-90D92028433A}" name="Column10052"/>
    <tableColumn id="10053" xr3:uid="{9ABE2BC8-CDEF-496A-A2CB-0321133D5A02}" name="Column10053"/>
    <tableColumn id="10054" xr3:uid="{CFA192E7-4191-48AD-9D16-FBF4EB11FBF3}" name="Column10054"/>
    <tableColumn id="10055" xr3:uid="{4FE94808-D969-4F8C-B96B-466E36783C28}" name="Column10055"/>
    <tableColumn id="10056" xr3:uid="{8372D7AA-D7C7-45B2-8E8C-85CE8E157334}" name="Column10056"/>
    <tableColumn id="10057" xr3:uid="{F7516DAF-218E-49F1-84BD-00E448131DAD}" name="Column10057"/>
    <tableColumn id="10058" xr3:uid="{2ACB9150-4437-4CAE-AC20-17C78DD44E7A}" name="Column10058"/>
    <tableColumn id="10059" xr3:uid="{9E251968-648D-4890-8634-1D6216E68B74}" name="Column10059"/>
    <tableColumn id="10060" xr3:uid="{AF46F606-D1A3-4E06-A483-30D38B2E622A}" name="Column10060"/>
    <tableColumn id="10061" xr3:uid="{687B6694-BABA-4BD7-8D15-12B3D7762697}" name="Column10061"/>
    <tableColumn id="10062" xr3:uid="{70E718D4-BB9A-4AD2-83B0-561608DED6C8}" name="Column10062"/>
    <tableColumn id="10063" xr3:uid="{A902CC3C-4FDF-4C99-A289-9FE69E247049}" name="Column10063"/>
    <tableColumn id="10064" xr3:uid="{43D49F50-C811-4855-8670-CB9489D29A7E}" name="Column10064"/>
    <tableColumn id="10065" xr3:uid="{84F318F8-E31D-4DB7-BE16-56539A253C6E}" name="Column10065"/>
    <tableColumn id="10066" xr3:uid="{74FFB07A-7D72-46A8-BECB-3F6A88791C79}" name="Column10066"/>
    <tableColumn id="10067" xr3:uid="{0E4862B7-A9F2-4FE2-A1BC-88474540AD81}" name="Column10067"/>
    <tableColumn id="10068" xr3:uid="{161C933A-7A64-4BC6-AFBB-1D141657E46A}" name="Column10068"/>
    <tableColumn id="10069" xr3:uid="{8558E7C1-1FD5-4E04-9A52-0FBE2FFFC271}" name="Column10069"/>
    <tableColumn id="10070" xr3:uid="{33F1C38E-07EF-4A12-9547-E64E9E0C577D}" name="Column10070"/>
    <tableColumn id="10071" xr3:uid="{0915E65B-8FA5-4706-832E-06B79362D3A8}" name="Column10071"/>
    <tableColumn id="10072" xr3:uid="{65A34BD8-31A8-4BB2-A964-95C9C814DF98}" name="Column10072"/>
    <tableColumn id="10073" xr3:uid="{DD765577-51B5-4DA6-9673-AC395085B260}" name="Column10073"/>
    <tableColumn id="10074" xr3:uid="{3393AB9C-C58A-4021-8229-B9E401A4368F}" name="Column10074"/>
    <tableColumn id="10075" xr3:uid="{F2897A31-395A-4B9C-9E10-0E63C3862F28}" name="Column10075"/>
    <tableColumn id="10076" xr3:uid="{03F4337E-2411-48F1-899F-C74BC3847E13}" name="Column10076"/>
    <tableColumn id="10077" xr3:uid="{1CCD1359-91AA-4B30-8D2F-C18D359FD031}" name="Column10077"/>
    <tableColumn id="10078" xr3:uid="{D0F3F406-518D-4938-BC8C-E68A064706B9}" name="Column10078"/>
    <tableColumn id="10079" xr3:uid="{01FC03D5-7455-46FB-991A-E0A097597E62}" name="Column10079"/>
    <tableColumn id="10080" xr3:uid="{375878E7-F9FA-453C-8478-9D67A50AE69A}" name="Column10080"/>
    <tableColumn id="10081" xr3:uid="{B473F236-6798-4475-B6A4-131B09641A5E}" name="Column10081"/>
    <tableColumn id="10082" xr3:uid="{A62FF3C3-34EA-4297-AEAD-25F63ABD0FCA}" name="Column10082"/>
    <tableColumn id="10083" xr3:uid="{7438F24D-061A-4327-80EB-879643B9B7FF}" name="Column10083"/>
    <tableColumn id="10084" xr3:uid="{E7CC6622-56AC-4103-AD81-AC69B4DA12C4}" name="Column10084"/>
    <tableColumn id="10085" xr3:uid="{8297FC7B-9B7C-48BD-871E-0FE76CC92CC4}" name="Column10085"/>
    <tableColumn id="10086" xr3:uid="{71A0A602-C630-4468-9208-3FEB6433908C}" name="Column10086"/>
    <tableColumn id="10087" xr3:uid="{32EA6B14-92D7-433C-A99E-924D3DC0DB87}" name="Column10087"/>
    <tableColumn id="10088" xr3:uid="{77F26C7A-594F-486B-AEFE-A2D4457584FA}" name="Column10088"/>
    <tableColumn id="10089" xr3:uid="{F7ED4324-61F3-49C3-AE69-492380EA15CA}" name="Column10089"/>
    <tableColumn id="10090" xr3:uid="{6803DA5F-E87C-413E-874C-B726AD869DE6}" name="Column10090"/>
    <tableColumn id="10091" xr3:uid="{10B73D3B-18D4-42E8-93F8-57B7FFDCC792}" name="Column10091"/>
    <tableColumn id="10092" xr3:uid="{806D4D0A-7637-44B1-A0A8-F5B57ECA8F69}" name="Column10092"/>
    <tableColumn id="10093" xr3:uid="{CEE2E78F-4FD4-4C92-A71D-4474CC2D1CAC}" name="Column10093"/>
    <tableColumn id="10094" xr3:uid="{E23C569A-622E-413E-8B40-E32FE859A48F}" name="Column10094"/>
    <tableColumn id="10095" xr3:uid="{9A14CB67-DC28-4BE4-AFE6-B2957EAA4D3E}" name="Column10095"/>
    <tableColumn id="10096" xr3:uid="{D257D073-5FB3-4AEF-A38A-B3A14DBE9A4C}" name="Column10096"/>
    <tableColumn id="10097" xr3:uid="{2F1E63DB-C422-4940-88A7-7CC439A26AE7}" name="Column10097"/>
    <tableColumn id="10098" xr3:uid="{9C7FCE2E-43B4-489F-B5A0-BE6C021AE979}" name="Column10098"/>
    <tableColumn id="10099" xr3:uid="{F7D2EFB6-BF21-44BF-A527-75A05918047F}" name="Column10099"/>
    <tableColumn id="10100" xr3:uid="{DBF44F9B-2DA4-4629-91EA-6188B57FC246}" name="Column10100"/>
    <tableColumn id="10101" xr3:uid="{7EA3380A-3689-490B-A0F1-20FB64FC056B}" name="Column10101"/>
    <tableColumn id="10102" xr3:uid="{FDBD21D1-0578-4EA0-819C-D6A1604D2A77}" name="Column10102"/>
    <tableColumn id="10103" xr3:uid="{A7AFF158-24BC-4E13-BE14-38E8F68594C3}" name="Column10103"/>
    <tableColumn id="10104" xr3:uid="{ACDD2FBF-3CF3-42B1-91EE-AD98D52FBE49}" name="Column10104"/>
    <tableColumn id="10105" xr3:uid="{44E58805-4573-4E67-AB17-7486BCF19581}" name="Column10105"/>
    <tableColumn id="10106" xr3:uid="{1A6C4F62-0ACB-4138-A870-442E0E220418}" name="Column10106"/>
    <tableColumn id="10107" xr3:uid="{979C0836-A036-4FE9-9E24-C85F07BDAA70}" name="Column10107"/>
    <tableColumn id="10108" xr3:uid="{88C2035E-ED8F-447B-9E58-5312E02278B7}" name="Column10108"/>
    <tableColumn id="10109" xr3:uid="{DD9EC280-0283-4D44-AB79-E161C9C9AD0A}" name="Column10109"/>
    <tableColumn id="10110" xr3:uid="{A0AE0140-4EB1-4B74-A4AD-03E2709B1A04}" name="Column10110"/>
    <tableColumn id="10111" xr3:uid="{1C38D3E8-6CF3-45A6-9F85-495521832EDC}" name="Column10111"/>
    <tableColumn id="10112" xr3:uid="{63031018-9E22-4ACF-9B9D-BBAAE17FAF79}" name="Column10112"/>
    <tableColumn id="10113" xr3:uid="{C0E93630-6CDF-450B-9EDC-DD6D9332F93B}" name="Column10113"/>
    <tableColumn id="10114" xr3:uid="{BCD2D051-E644-44FF-ACEE-9A5B589E2BFD}" name="Column10114"/>
    <tableColumn id="10115" xr3:uid="{CA023803-0046-4D60-A6E9-3C796A8CB887}" name="Column10115"/>
    <tableColumn id="10116" xr3:uid="{AD82033B-BD96-44BF-BEFA-AB2046E5D490}" name="Column10116"/>
    <tableColumn id="10117" xr3:uid="{FD7DA71C-5A8F-4254-AE10-73E1C7F44DEF}" name="Column10117"/>
    <tableColumn id="10118" xr3:uid="{FE2559F4-237C-4517-9CFD-BF3C2283AFD3}" name="Column10118"/>
    <tableColumn id="10119" xr3:uid="{C1EFEE70-27B9-40AB-BE92-0192B30DBB4E}" name="Column10119"/>
    <tableColumn id="10120" xr3:uid="{2699993D-BB44-4A79-9161-3E438C28E4FB}" name="Column10120"/>
    <tableColumn id="10121" xr3:uid="{75431D62-DBB4-4622-AD24-39E4D85DEF94}" name="Column10121"/>
    <tableColumn id="10122" xr3:uid="{4903C865-138E-4EE5-865E-0C8F191655CD}" name="Column10122"/>
    <tableColumn id="10123" xr3:uid="{54A75D79-6061-4789-9D12-F0C363CB1F0A}" name="Column10123"/>
    <tableColumn id="10124" xr3:uid="{A049C828-0870-49DE-8065-2904A80D22A3}" name="Column10124"/>
    <tableColumn id="10125" xr3:uid="{B4F43025-8644-4082-A39E-CC7991A0A8F6}" name="Column10125"/>
    <tableColumn id="10126" xr3:uid="{4D14FEFA-CDAC-448A-858A-0496DB0DB9CE}" name="Column10126"/>
    <tableColumn id="10127" xr3:uid="{1BAB03E3-3296-4413-BE26-6020C162A936}" name="Column10127"/>
    <tableColumn id="10128" xr3:uid="{39A97E48-B083-4B31-9FFB-A1B15D325D80}" name="Column10128"/>
    <tableColumn id="10129" xr3:uid="{B6379E7E-4BE7-4A80-A53A-915865B20EFB}" name="Column10129"/>
    <tableColumn id="10130" xr3:uid="{9973F4B6-4C57-40EA-8E3E-FD61DD009089}" name="Column10130"/>
    <tableColumn id="10131" xr3:uid="{89F3671B-6865-49F5-B023-F81E76F73372}" name="Column10131"/>
    <tableColumn id="10132" xr3:uid="{E46887DE-80A3-415B-81C5-9D5BA08D38C6}" name="Column10132"/>
    <tableColumn id="10133" xr3:uid="{7B6B1851-AB9D-49E2-BA9A-23E1FBE786BA}" name="Column10133"/>
    <tableColumn id="10134" xr3:uid="{2E9E5292-3EE7-4D16-B6DF-28BF99E12A49}" name="Column10134"/>
    <tableColumn id="10135" xr3:uid="{41B13867-97ED-4B97-B0D5-EB471F123CF7}" name="Column10135"/>
    <tableColumn id="10136" xr3:uid="{5326A5FD-6406-43E9-8F97-5FF661AB653F}" name="Column10136"/>
    <tableColumn id="10137" xr3:uid="{F54AA6CA-7C26-4D11-A8CF-F52A106ABD36}" name="Column10137"/>
    <tableColumn id="10138" xr3:uid="{B5FBFF65-B6B7-403F-B5EC-DA5DE9A76407}" name="Column10138"/>
    <tableColumn id="10139" xr3:uid="{4547733C-6397-4B3C-81D3-5BEBAC820AF1}" name="Column10139"/>
    <tableColumn id="10140" xr3:uid="{5C4801B4-122B-439A-8C67-9129CCFE7B98}" name="Column10140"/>
    <tableColumn id="10141" xr3:uid="{EAFBB7C2-52FD-45CE-BE7C-59A2887E6749}" name="Column10141"/>
    <tableColumn id="10142" xr3:uid="{C6D40C39-D103-40F3-BBC2-CCE72A805FC8}" name="Column10142"/>
    <tableColumn id="10143" xr3:uid="{A6317C42-DF06-4B66-8D2A-A7A0EFB255CC}" name="Column10143"/>
    <tableColumn id="10144" xr3:uid="{A6C684F0-85A1-4033-9089-3E4BC810278C}" name="Column10144"/>
    <tableColumn id="10145" xr3:uid="{ABF3D748-8CC1-4C8E-9611-42DFA48FD8A3}" name="Column10145"/>
    <tableColumn id="10146" xr3:uid="{AD471EA9-EF46-4A5E-8A26-FD087C61DA94}" name="Column10146"/>
    <tableColumn id="10147" xr3:uid="{2D53CC9D-54A2-4652-8D27-FBAAC2EEB8C2}" name="Column10147"/>
    <tableColumn id="10148" xr3:uid="{1A2F2EEE-933A-4635-9EFF-34CFEF9E989C}" name="Column10148"/>
    <tableColumn id="10149" xr3:uid="{04C9FECE-6BE6-467B-A2B3-7EF21A7B350F}" name="Column10149"/>
    <tableColumn id="10150" xr3:uid="{DB6C28FE-77E9-4FF3-907B-07E1FBE64CB0}" name="Column10150"/>
    <tableColumn id="10151" xr3:uid="{12F67C54-D5DB-4D3D-A922-FA67F89A6DAA}" name="Column10151"/>
    <tableColumn id="10152" xr3:uid="{F85D9912-07FB-4D35-B7FD-9BAEF1E5D238}" name="Column10152"/>
    <tableColumn id="10153" xr3:uid="{99182476-5864-4F39-B6A4-59A3AE683EBD}" name="Column10153"/>
    <tableColumn id="10154" xr3:uid="{D0919FE4-1FCE-46F4-8E58-3DDEF709502F}" name="Column10154"/>
    <tableColumn id="10155" xr3:uid="{4C99B435-405C-402E-9343-41BFF7967D2C}" name="Column10155"/>
    <tableColumn id="10156" xr3:uid="{F8D5A875-5C95-4BBC-BC82-9F60CDD6B623}" name="Column10156"/>
    <tableColumn id="10157" xr3:uid="{9986B7E1-DF55-48C8-B606-6200C9E85B63}" name="Column10157"/>
    <tableColumn id="10158" xr3:uid="{6555FD66-E6EE-48C0-8D19-7EC1840A8F39}" name="Column10158"/>
    <tableColumn id="10159" xr3:uid="{CA8B9E7F-9D93-43E0-8ACA-03FC0F612E61}" name="Column10159"/>
    <tableColumn id="10160" xr3:uid="{7E55451C-1006-488B-BE02-EE4D2FC91D34}" name="Column10160"/>
    <tableColumn id="10161" xr3:uid="{4C208296-C8B1-49FE-974A-D429B7838612}" name="Column10161"/>
    <tableColumn id="10162" xr3:uid="{A6D4202C-6397-4BF1-BAAF-7CB44AEDB82C}" name="Column10162"/>
    <tableColumn id="10163" xr3:uid="{B7E173A2-FCED-401F-AB86-CF32EA7B2308}" name="Column10163"/>
    <tableColumn id="10164" xr3:uid="{BA1E381C-E1CE-45E5-8BF7-BAF3A15D46CE}" name="Column10164"/>
    <tableColumn id="10165" xr3:uid="{3C73211E-1B08-44B7-AD2A-7D78E7F13ADF}" name="Column10165"/>
    <tableColumn id="10166" xr3:uid="{894D2DE3-52D3-4714-BA7F-702C6B890E2F}" name="Column10166"/>
    <tableColumn id="10167" xr3:uid="{5C22ADA3-36A6-411B-A1A9-00B8FFE1E302}" name="Column10167"/>
    <tableColumn id="10168" xr3:uid="{8CF575B2-2F5D-4830-93EB-7E7975FF7803}" name="Column10168"/>
    <tableColumn id="10169" xr3:uid="{C676C853-44FE-4757-AE28-23A975D6BA46}" name="Column10169"/>
    <tableColumn id="10170" xr3:uid="{FDA2AC77-81F1-4A3F-9AE5-9A131DA7A6B5}" name="Column10170"/>
    <tableColumn id="10171" xr3:uid="{8A9E3F7D-2023-40DE-92EB-DF2A18A1E0DE}" name="Column10171"/>
    <tableColumn id="10172" xr3:uid="{BA1EC6DE-6FF3-49A6-A7BB-BB806FEBE0EF}" name="Column10172"/>
    <tableColumn id="10173" xr3:uid="{15188E3B-2493-4AAF-97AF-94015808F9B0}" name="Column10173"/>
    <tableColumn id="10174" xr3:uid="{4B7F9DB1-799A-4A22-A004-6C6B268D0A30}" name="Column10174"/>
    <tableColumn id="10175" xr3:uid="{518BBA88-C0D5-4E86-9D40-CE5C7C14F695}" name="Column10175"/>
    <tableColumn id="10176" xr3:uid="{4A2A17D5-EC8A-4267-A16F-1C50DAE62A63}" name="Column10176"/>
    <tableColumn id="10177" xr3:uid="{115CDD0C-F278-4861-A5BD-59F1268F1DBB}" name="Column10177"/>
    <tableColumn id="10178" xr3:uid="{B1ACDFDE-D16B-4FD8-B745-724A0D220970}" name="Column10178"/>
    <tableColumn id="10179" xr3:uid="{B99D881D-A112-4A86-840B-8FE4479ED718}" name="Column10179"/>
    <tableColumn id="10180" xr3:uid="{861BE168-A67D-42CB-B424-2BB5F1F5296F}" name="Column10180"/>
    <tableColumn id="10181" xr3:uid="{3FC2945C-A80C-4C62-88A8-4D3EACACB85B}" name="Column10181"/>
    <tableColumn id="10182" xr3:uid="{3A199BEA-121F-40F8-9176-A428F4FAA3A0}" name="Column10182"/>
    <tableColumn id="10183" xr3:uid="{C608568B-91A1-4EF1-A477-07A2D144A94A}" name="Column10183"/>
    <tableColumn id="10184" xr3:uid="{C5463A9A-AE1A-43F8-96F7-83CAA254BC5F}" name="Column10184"/>
    <tableColumn id="10185" xr3:uid="{743718A8-1AD4-417B-B0DB-69CF3027B073}" name="Column10185"/>
    <tableColumn id="10186" xr3:uid="{B18567A2-8AFB-4FEB-8241-1066DC4823C1}" name="Column10186"/>
    <tableColumn id="10187" xr3:uid="{7F5E90BE-7002-4E29-9B9B-E88CCB1548A2}" name="Column10187"/>
    <tableColumn id="10188" xr3:uid="{65D6E2CA-C714-4FEF-8CAA-C50EAE82D627}" name="Column10188"/>
    <tableColumn id="10189" xr3:uid="{056DAE66-9716-4D16-82A3-5AD09A2BBB80}" name="Column10189"/>
    <tableColumn id="10190" xr3:uid="{7E5FFA46-86DF-42E7-8838-7CC97754E874}" name="Column10190"/>
    <tableColumn id="10191" xr3:uid="{45D43F9D-7708-40CB-A7FD-90A67867D1BB}" name="Column10191"/>
    <tableColumn id="10192" xr3:uid="{DF352004-98E5-4BF4-83C1-D9A07B493903}" name="Column10192"/>
    <tableColumn id="10193" xr3:uid="{8364A061-B576-46FF-8E5E-BF874E9736E9}" name="Column10193"/>
    <tableColumn id="10194" xr3:uid="{64245E48-28F4-4270-A369-92E9D3BBB62F}" name="Column10194"/>
    <tableColumn id="10195" xr3:uid="{9C6EAFEE-13E4-4A23-8E70-C332C752B7F3}" name="Column10195"/>
    <tableColumn id="10196" xr3:uid="{F1F6A8E0-D7B1-4BBB-888F-9D366291661C}" name="Column10196"/>
    <tableColumn id="10197" xr3:uid="{8C485E1E-CD5D-462F-9041-2F3B50FF0FBD}" name="Column10197"/>
    <tableColumn id="10198" xr3:uid="{C5180259-C9E8-4F55-9FC3-82673E08D289}" name="Column10198"/>
    <tableColumn id="10199" xr3:uid="{46B6B888-7E77-440F-B1D9-42A43A1003AB}" name="Column10199"/>
    <tableColumn id="10200" xr3:uid="{CC5C89EA-C070-4839-86F1-E7F5BA87A7BB}" name="Column10200"/>
    <tableColumn id="10201" xr3:uid="{0D7D55E2-C9F6-48D6-8D98-54961A6F2BBF}" name="Column10201"/>
    <tableColumn id="10202" xr3:uid="{DDFEA62B-1991-436C-9077-B0DB8C8E5EA0}" name="Column10202"/>
    <tableColumn id="10203" xr3:uid="{14E7135E-C176-4915-BAF8-F661E3D354DD}" name="Column10203"/>
    <tableColumn id="10204" xr3:uid="{5B5E0433-EDDC-4591-BF79-2B8EB189BD0C}" name="Column10204"/>
    <tableColumn id="10205" xr3:uid="{765AEC51-1329-4B1F-AE3A-0BDD91AD1945}" name="Column10205"/>
    <tableColumn id="10206" xr3:uid="{7AC7331E-6E63-42EF-AFDC-5AA39CFA200E}" name="Column10206"/>
    <tableColumn id="10207" xr3:uid="{C2B4BE07-049E-46C7-8A52-3EBEB6597D2F}" name="Column10207"/>
    <tableColumn id="10208" xr3:uid="{021E34FA-000E-4267-BB68-A6649C33A053}" name="Column10208"/>
    <tableColumn id="10209" xr3:uid="{8D00D194-14E9-4B35-B44B-91AA732B474E}" name="Column10209"/>
    <tableColumn id="10210" xr3:uid="{80B2C44C-F6AF-4E66-99ED-F538774F93F4}" name="Column10210"/>
    <tableColumn id="10211" xr3:uid="{57C4F6B2-D28A-4049-BF1E-7BF9A0A030B1}" name="Column10211"/>
    <tableColumn id="10212" xr3:uid="{603C0F5B-BFEA-445D-AB94-46B7060493E5}" name="Column10212"/>
    <tableColumn id="10213" xr3:uid="{68CEA4D5-7796-4683-BD8C-41998153CBFF}" name="Column10213"/>
    <tableColumn id="10214" xr3:uid="{FB7AE172-D982-4077-B034-CE6C5F33EA51}" name="Column10214"/>
    <tableColumn id="10215" xr3:uid="{8FABC2E7-FCFB-45FE-9F6D-511109EDD7AF}" name="Column10215"/>
    <tableColumn id="10216" xr3:uid="{C610C5B6-3B80-4975-84B2-597E80153271}" name="Column10216"/>
    <tableColumn id="10217" xr3:uid="{03B5A481-AD08-4594-8EAF-25CC52262A36}" name="Column10217"/>
    <tableColumn id="10218" xr3:uid="{6C0938E2-64D3-480E-8627-AD06CBCEA8C1}" name="Column10218"/>
    <tableColumn id="10219" xr3:uid="{600F2A7F-4316-48A6-B242-0B950AAEA99D}" name="Column10219"/>
    <tableColumn id="10220" xr3:uid="{42E96197-9C84-4FFA-825A-5B8D4B8163CD}" name="Column10220"/>
    <tableColumn id="10221" xr3:uid="{5FAA2B46-2EC3-4C88-A42B-13E615348A9A}" name="Column10221"/>
    <tableColumn id="10222" xr3:uid="{A19BD125-79CC-43C4-9F33-863AEDBB051A}" name="Column10222"/>
    <tableColumn id="10223" xr3:uid="{EADB58CE-44F4-4FDE-A16D-7B598F62AA0B}" name="Column10223"/>
    <tableColumn id="10224" xr3:uid="{A667DE88-75A3-444D-886F-48196FC503E5}" name="Column10224"/>
    <tableColumn id="10225" xr3:uid="{AEEBE5FF-AE8F-4393-B6DC-47DE7A249D37}" name="Column10225"/>
    <tableColumn id="10226" xr3:uid="{5B842852-120B-42B1-8A88-623879F9323E}" name="Column10226"/>
    <tableColumn id="10227" xr3:uid="{FC6A10A6-19A2-4979-9119-93DC0C6E28FD}" name="Column10227"/>
    <tableColumn id="10228" xr3:uid="{585C6AAE-D290-4648-9690-5D4B24EBAF3C}" name="Column10228"/>
    <tableColumn id="10229" xr3:uid="{B91C14A1-CFCD-4F4B-BE8E-439F385F4E15}" name="Column10229"/>
    <tableColumn id="10230" xr3:uid="{4EDCC583-33F5-4FD6-8301-55D4E9C23D7F}" name="Column10230"/>
    <tableColumn id="10231" xr3:uid="{7B9F467D-5985-47CA-B33D-419E8F6C0F7A}" name="Column10231"/>
    <tableColumn id="10232" xr3:uid="{09106CDF-2F0C-420B-907E-50C0F5728FCC}" name="Column10232"/>
    <tableColumn id="10233" xr3:uid="{472D871D-8AC6-486F-882F-09DCBB65C473}" name="Column10233"/>
    <tableColumn id="10234" xr3:uid="{A5A3AD35-05DE-4984-AC0A-F4031225BE13}" name="Column10234"/>
    <tableColumn id="10235" xr3:uid="{27179180-EE26-4258-9376-B059D771A8AF}" name="Column10235"/>
    <tableColumn id="10236" xr3:uid="{BB07F3B3-1BBE-4A22-948A-B54BCA96B590}" name="Column10236"/>
    <tableColumn id="10237" xr3:uid="{895B85D5-A7C8-4955-B2EC-AAC7DF91D74C}" name="Column10237"/>
    <tableColumn id="10238" xr3:uid="{44B0918B-7070-4BCD-A0E3-810BBF2232B4}" name="Column10238"/>
    <tableColumn id="10239" xr3:uid="{AD83A335-BFD1-4F94-8DDB-08B5DA63AA5C}" name="Column10239"/>
    <tableColumn id="10240" xr3:uid="{E97A551D-D528-4EDC-A25D-414D1DD10D0D}" name="Column10240"/>
    <tableColumn id="10241" xr3:uid="{B78B508F-81A3-4EF3-9F6D-969211252C00}" name="Column10241"/>
    <tableColumn id="10242" xr3:uid="{047259FE-FC17-4470-94BB-46B0DF564207}" name="Column10242"/>
    <tableColumn id="10243" xr3:uid="{EFEE3D92-8683-4A7F-9A9C-38D19F7E68D9}" name="Column10243"/>
    <tableColumn id="10244" xr3:uid="{CA5E9842-6C61-4EBA-B2E1-B7A245244FF7}" name="Column10244"/>
    <tableColumn id="10245" xr3:uid="{B08B996A-A300-4DFC-892F-239CC0D72809}" name="Column10245"/>
    <tableColumn id="10246" xr3:uid="{9C993363-5133-47FB-BAFE-3B9B3A956864}" name="Column10246"/>
    <tableColumn id="10247" xr3:uid="{87487E4A-57D9-4E4C-A91A-0BD1578CF7C5}" name="Column10247"/>
    <tableColumn id="10248" xr3:uid="{92AEB4E7-10AB-42B1-B884-6B6A906F1781}" name="Column10248"/>
    <tableColumn id="10249" xr3:uid="{5FE62F8F-0C2A-425C-AC37-AFEADD014226}" name="Column10249"/>
    <tableColumn id="10250" xr3:uid="{5A2D33B9-74B4-433E-A692-E00367BE4781}" name="Column10250"/>
    <tableColumn id="10251" xr3:uid="{EF22D45B-52E1-40E1-90E5-8E0CB644941C}" name="Column10251"/>
    <tableColumn id="10252" xr3:uid="{80B061E5-2611-4849-8CF0-9BED1802C42F}" name="Column10252"/>
    <tableColumn id="10253" xr3:uid="{2B3DDDA8-2DB1-4093-A2DE-7A5C26CC0409}" name="Column10253"/>
    <tableColumn id="10254" xr3:uid="{58EA665F-671F-4924-8545-FDDD1106BFB1}" name="Column10254"/>
    <tableColumn id="10255" xr3:uid="{D1F03564-8470-497D-86B9-4906638002FA}" name="Column10255"/>
    <tableColumn id="10256" xr3:uid="{A6FF4C9D-2E2E-4264-88EB-F1609D1679A3}" name="Column10256"/>
    <tableColumn id="10257" xr3:uid="{53EEB7C9-2E58-49EE-B767-1270B27DD37E}" name="Column10257"/>
    <tableColumn id="10258" xr3:uid="{64EAB2AB-FB37-4823-A52D-DA6A2B86E9ED}" name="Column10258"/>
    <tableColumn id="10259" xr3:uid="{3BDD2E1B-6F02-409E-8B77-38415773D926}" name="Column10259"/>
    <tableColumn id="10260" xr3:uid="{D3E69380-49FF-4911-8390-024800596E31}" name="Column10260"/>
    <tableColumn id="10261" xr3:uid="{C9748966-B0F0-43CF-A27A-1951974B33B0}" name="Column10261"/>
    <tableColumn id="10262" xr3:uid="{DA127AFE-673D-449B-B772-78B6994AEB03}" name="Column10262"/>
    <tableColumn id="10263" xr3:uid="{F98B6E2A-CF4D-4B0E-9E26-01C86F53A41F}" name="Column10263"/>
    <tableColumn id="10264" xr3:uid="{3D002169-08F6-498D-B80B-29D422D2BD47}" name="Column10264"/>
    <tableColumn id="10265" xr3:uid="{25AA9F41-3DB4-4639-B010-1C0840ABA818}" name="Column10265"/>
    <tableColumn id="10266" xr3:uid="{E9D1BF34-5A67-4603-889C-C4AC3929A3A0}" name="Column10266"/>
    <tableColumn id="10267" xr3:uid="{3C46A732-BC99-4FD3-947E-9FF0882DF098}" name="Column10267"/>
    <tableColumn id="10268" xr3:uid="{ABA4AFFB-841A-41D5-8799-BFA673E3BEBA}" name="Column10268"/>
    <tableColumn id="10269" xr3:uid="{9C832238-D61A-47A1-910B-F92F76421321}" name="Column10269"/>
    <tableColumn id="10270" xr3:uid="{D6DFA596-85C3-4E3C-BA49-C8D700F6FDE6}" name="Column10270"/>
    <tableColumn id="10271" xr3:uid="{DC37572D-FBB4-407A-996E-A2009BBAB203}" name="Column10271"/>
    <tableColumn id="10272" xr3:uid="{4454AFD3-AEE5-4ABC-BD12-0A32F697BF7B}" name="Column10272"/>
    <tableColumn id="10273" xr3:uid="{40070AAE-9952-43F0-89B6-991EB38270E3}" name="Column10273"/>
    <tableColumn id="10274" xr3:uid="{C186E59A-A57E-47D7-8D6A-5C44FF14CE9C}" name="Column10274"/>
    <tableColumn id="10275" xr3:uid="{CA727B83-F410-4B96-9C8D-232F751A4E20}" name="Column10275"/>
    <tableColumn id="10276" xr3:uid="{F3E2550B-F176-4260-B810-93F101DD4F0A}" name="Column10276"/>
    <tableColumn id="10277" xr3:uid="{FFC25F19-7630-4A3D-A51E-F30FFAC0DF44}" name="Column10277"/>
    <tableColumn id="10278" xr3:uid="{EA356556-D47B-4515-A2B1-228665A6409B}" name="Column10278"/>
    <tableColumn id="10279" xr3:uid="{89AE087E-C636-485F-816A-9849B88CD8D1}" name="Column10279"/>
    <tableColumn id="10280" xr3:uid="{F4B4ABB6-6D87-4133-AFCF-3667B5DA247D}" name="Column10280"/>
    <tableColumn id="10281" xr3:uid="{D78F7B18-849B-4A27-820E-EDE8728A9B19}" name="Column10281"/>
    <tableColumn id="10282" xr3:uid="{AE83A2BC-7009-462F-B554-018251C10FEA}" name="Column10282"/>
    <tableColumn id="10283" xr3:uid="{ED607292-4F41-4461-A7BD-F98BFFE7B046}" name="Column10283"/>
    <tableColumn id="10284" xr3:uid="{24BC2FBF-624E-4F16-BDFC-4A0079E59925}" name="Column10284"/>
    <tableColumn id="10285" xr3:uid="{7BD00166-3114-47DE-BB59-2F7466831027}" name="Column10285"/>
    <tableColumn id="10286" xr3:uid="{1A1ED17D-2E64-4C65-94E1-5B81537C0140}" name="Column10286"/>
    <tableColumn id="10287" xr3:uid="{9283A0B8-25AE-4900-834C-3B8FD447EECF}" name="Column10287"/>
    <tableColumn id="10288" xr3:uid="{A71B52AB-E747-4358-92F6-8D4FBDED451F}" name="Column10288"/>
    <tableColumn id="10289" xr3:uid="{E3B49C98-6865-4157-9298-288A6082F588}" name="Column10289"/>
    <tableColumn id="10290" xr3:uid="{DEF6EE09-9A55-4DB0-9A0E-76EE7094F577}" name="Column10290"/>
    <tableColumn id="10291" xr3:uid="{A54BE27D-1E3F-4759-88E5-91A667E0D85C}" name="Column10291"/>
    <tableColumn id="10292" xr3:uid="{4AF64E99-A245-4B34-ACA7-E19CC8BCF0C4}" name="Column10292"/>
    <tableColumn id="10293" xr3:uid="{1F6F05CA-E298-41C1-981A-E5F88D4D315B}" name="Column10293"/>
    <tableColumn id="10294" xr3:uid="{632FEC58-26A7-4D6C-8F83-D0C20A818428}" name="Column10294"/>
    <tableColumn id="10295" xr3:uid="{334402BB-2466-4944-AD60-BD6D47BC4201}" name="Column10295"/>
    <tableColumn id="10296" xr3:uid="{2FF551C8-AF4C-4289-AEA9-D52376D9BFFA}" name="Column10296"/>
    <tableColumn id="10297" xr3:uid="{FF8B25B2-7B79-44C2-B9D8-3016640DF2A2}" name="Column10297"/>
    <tableColumn id="10298" xr3:uid="{5B902415-1248-4475-A2A3-266384843A70}" name="Column10298"/>
    <tableColumn id="10299" xr3:uid="{47FC41FA-EBC9-431E-AC0E-DC46F1CAA971}" name="Column10299"/>
    <tableColumn id="10300" xr3:uid="{8E31EF00-22A7-433C-A584-C6C43D4F64DB}" name="Column10300"/>
    <tableColumn id="10301" xr3:uid="{FBFAFA26-8139-4FAB-88FB-51046D7C408E}" name="Column10301"/>
    <tableColumn id="10302" xr3:uid="{9BBB6CAB-1245-480D-BB9D-3A1EED3085D8}" name="Column10302"/>
    <tableColumn id="10303" xr3:uid="{FEB732CD-C812-4155-9199-CF88A1E8FBAF}" name="Column10303"/>
    <tableColumn id="10304" xr3:uid="{6C07AB0F-8BFD-41EB-BE8C-ECA17E5E19E3}" name="Column10304"/>
    <tableColumn id="10305" xr3:uid="{026FE04E-35E9-45CC-84A2-E55FB8AB0A53}" name="Column10305"/>
    <tableColumn id="10306" xr3:uid="{F95915C8-CCA5-41FB-9D1D-65BD9BDB5753}" name="Column10306"/>
    <tableColumn id="10307" xr3:uid="{DDC15AFB-8A7B-42CB-92C2-D8CCC0ED7981}" name="Column10307"/>
    <tableColumn id="10308" xr3:uid="{4467D05B-A505-47B5-AC56-637D6631E9B3}" name="Column10308"/>
    <tableColumn id="10309" xr3:uid="{7B4C57F5-D0F6-433B-BD62-75E59120DBDF}" name="Column10309"/>
    <tableColumn id="10310" xr3:uid="{4A3F0C71-C9CC-4356-A4C0-F97B4CCE19E3}" name="Column10310"/>
    <tableColumn id="10311" xr3:uid="{F83E311D-0C64-4E38-A1F6-7BF47F331AE2}" name="Column10311"/>
    <tableColumn id="10312" xr3:uid="{CCC67752-B72E-47D8-9C2E-89BAD6F9FCA3}" name="Column10312"/>
    <tableColumn id="10313" xr3:uid="{2BF32137-7FCB-4584-8A5C-C3FD70A7FB05}" name="Column10313"/>
    <tableColumn id="10314" xr3:uid="{C69FCBD2-D25F-4D75-BC64-96819C396EA4}" name="Column10314"/>
    <tableColumn id="10315" xr3:uid="{0D11AA72-1AA7-4B71-8292-A9B19AD4772C}" name="Column10315"/>
    <tableColumn id="10316" xr3:uid="{142FDE78-2E12-410E-959C-3A0461383087}" name="Column10316"/>
    <tableColumn id="10317" xr3:uid="{C1AFA3DE-6FC3-48B2-8ABE-CCB31B396D08}" name="Column10317"/>
    <tableColumn id="10318" xr3:uid="{1CE83D72-C45C-4E0D-94C1-AA1D71EFADBB}" name="Column10318"/>
    <tableColumn id="10319" xr3:uid="{E230425F-0802-4048-A589-82BD911A13A0}" name="Column10319"/>
    <tableColumn id="10320" xr3:uid="{73E5E407-0082-4535-837F-F44EDFCE479C}" name="Column10320"/>
    <tableColumn id="10321" xr3:uid="{A9C60B5B-16A0-4774-AFE5-55A72C968B74}" name="Column10321"/>
    <tableColumn id="10322" xr3:uid="{64204E80-FD7C-4B5F-9BFC-98B667220DA6}" name="Column10322"/>
    <tableColumn id="10323" xr3:uid="{46D26E06-A6BC-46A7-8F21-D0C2C504ED43}" name="Column10323"/>
    <tableColumn id="10324" xr3:uid="{AA198DCC-3CCB-4E9E-BA1F-B39825783880}" name="Column10324"/>
    <tableColumn id="10325" xr3:uid="{0F0DA987-F24C-4DD1-A63C-9463850C71E9}" name="Column10325"/>
    <tableColumn id="10326" xr3:uid="{ACF6877D-D4C4-4020-A39E-15077C88A235}" name="Column10326"/>
    <tableColumn id="10327" xr3:uid="{78690442-65ED-4C1B-A1F1-08AE451D9FB1}" name="Column10327"/>
    <tableColumn id="10328" xr3:uid="{FA2F63ED-4A5E-4816-A701-E3FB481FF946}" name="Column10328"/>
    <tableColumn id="10329" xr3:uid="{15C1A030-4D2A-42A1-BED4-FDAB20A08D34}" name="Column10329"/>
    <tableColumn id="10330" xr3:uid="{9B98B0AF-73B2-4BC6-A4A5-A2CC39E7DB27}" name="Column10330"/>
    <tableColumn id="10331" xr3:uid="{80185929-F162-421A-A0BE-A06FA373BCCC}" name="Column10331"/>
    <tableColumn id="10332" xr3:uid="{89F99B94-FC02-4739-96D6-844793F8D672}" name="Column10332"/>
    <tableColumn id="10333" xr3:uid="{74D638FB-D1CD-4FAD-B0C0-F877E42AB7A9}" name="Column10333"/>
    <tableColumn id="10334" xr3:uid="{439A3E77-0C7B-45AD-872D-41C6151C651B}" name="Column10334"/>
    <tableColumn id="10335" xr3:uid="{47C10A84-8E67-4820-9350-A7A2ADACD160}" name="Column10335"/>
    <tableColumn id="10336" xr3:uid="{2C346BBE-6262-4C03-A1D1-1D2259A4782D}" name="Column10336"/>
    <tableColumn id="10337" xr3:uid="{D9F4FE73-F0C7-4BC6-82BC-8BCA703E4249}" name="Column10337"/>
    <tableColumn id="10338" xr3:uid="{A9359B7F-95B7-4C17-870A-1678E63F39C6}" name="Column10338"/>
    <tableColumn id="10339" xr3:uid="{3B8DC41B-DC17-4D4D-97C5-51A00A2DCC30}" name="Column10339"/>
    <tableColumn id="10340" xr3:uid="{DA650782-30E9-4029-BDEB-10332CE5B2B6}" name="Column10340"/>
    <tableColumn id="10341" xr3:uid="{BD96B4C0-F65F-4D9C-BAEE-08042135B680}" name="Column10341"/>
    <tableColumn id="10342" xr3:uid="{2682A586-BFFD-45EC-AD46-8496115CB8B9}" name="Column10342"/>
    <tableColumn id="10343" xr3:uid="{039546D2-A730-4B19-8D67-7957F3EA88B6}" name="Column10343"/>
    <tableColumn id="10344" xr3:uid="{30690166-28DA-4C5C-A8D8-05C205A0F4AC}" name="Column10344"/>
    <tableColumn id="10345" xr3:uid="{3AAD47CC-B3D4-4E0D-A1E2-1BDAB28EE9A0}" name="Column10345"/>
    <tableColumn id="10346" xr3:uid="{24DDFA12-D165-49A7-87E8-F2E01E7AE6B1}" name="Column10346"/>
    <tableColumn id="10347" xr3:uid="{AF90B763-B869-4864-B362-0A8DEE515D7F}" name="Column10347"/>
    <tableColumn id="10348" xr3:uid="{31DAC256-4B46-4919-81D8-04937A181912}" name="Column10348"/>
    <tableColumn id="10349" xr3:uid="{03B811AE-B0BC-4FED-8ECD-03B9C7E40474}" name="Column10349"/>
    <tableColumn id="10350" xr3:uid="{414A3261-3E1A-41B3-B683-1F55FCFF0CEF}" name="Column10350"/>
    <tableColumn id="10351" xr3:uid="{DDAAA69A-E2FA-4207-BCEE-C520549FB494}" name="Column10351"/>
    <tableColumn id="10352" xr3:uid="{7717C353-9DF1-46DF-8B5B-F70551E5400B}" name="Column10352"/>
    <tableColumn id="10353" xr3:uid="{36DDCC73-4C8F-4ECA-87E7-6EAA7CBD3E36}" name="Column10353"/>
    <tableColumn id="10354" xr3:uid="{ACF24408-0F88-4F1C-A7B8-B4FA34D9DD5C}" name="Column10354"/>
    <tableColumn id="10355" xr3:uid="{FD563D59-CD69-4FC8-AF44-4E175F766400}" name="Column10355"/>
    <tableColumn id="10356" xr3:uid="{0935B264-8609-4BF8-9ED5-6F137367491B}" name="Column10356"/>
    <tableColumn id="10357" xr3:uid="{FB6BB96E-BF13-40DF-AC9A-BBB6D7FD88D2}" name="Column10357"/>
    <tableColumn id="10358" xr3:uid="{F4C3C02A-95EB-4E69-B586-D3FEB3D3E6FF}" name="Column10358"/>
    <tableColumn id="10359" xr3:uid="{64562BD3-54C9-4E62-AD1C-01256B03223C}" name="Column10359"/>
    <tableColumn id="10360" xr3:uid="{8583F299-5A09-45F7-80A0-BB62CE411270}" name="Column10360"/>
    <tableColumn id="10361" xr3:uid="{5E7A7B53-86DB-4DFE-B571-C17E0A02243A}" name="Column10361"/>
    <tableColumn id="10362" xr3:uid="{EA41DD5F-7E20-4F37-A3BE-0D4DBDC33BD3}" name="Column10362"/>
    <tableColumn id="10363" xr3:uid="{6EA64A70-48A9-46C4-AF60-E575DA3B3972}" name="Column10363"/>
    <tableColumn id="10364" xr3:uid="{95051C3A-5577-4A1A-83D7-F7DFCB25CB36}" name="Column10364"/>
    <tableColumn id="10365" xr3:uid="{A3FBE1C6-3017-41B8-9F2C-6A961006B6A8}" name="Column10365"/>
    <tableColumn id="10366" xr3:uid="{84852448-1A76-40A9-A501-DE407A5A6F57}" name="Column10366"/>
    <tableColumn id="10367" xr3:uid="{6E142FD2-0B0A-4CDD-9E3A-2630B63D9B30}" name="Column10367"/>
    <tableColumn id="10368" xr3:uid="{A87A9942-0CBC-4B50-83F8-C2C14F4E1290}" name="Column10368"/>
    <tableColumn id="10369" xr3:uid="{1C3314BF-A05E-4A98-8CCD-D1682349A326}" name="Column10369"/>
    <tableColumn id="10370" xr3:uid="{EC808C85-D41A-40ED-83BB-06ED0A1D197C}" name="Column10370"/>
    <tableColumn id="10371" xr3:uid="{72EEEC88-B1C7-4FC8-BD0E-24C9B6D5C77B}" name="Column10371"/>
    <tableColumn id="10372" xr3:uid="{483204A6-3C21-44BD-ACB3-31B834808DCE}" name="Column10372"/>
    <tableColumn id="10373" xr3:uid="{BA2EDEBF-45C2-445A-B567-535AF6A86376}" name="Column10373"/>
    <tableColumn id="10374" xr3:uid="{B7AC4B54-D6CD-4988-8F1E-6F6023E6E336}" name="Column10374"/>
    <tableColumn id="10375" xr3:uid="{74274CB5-9546-4432-8823-2C45047B14F9}" name="Column10375"/>
    <tableColumn id="10376" xr3:uid="{4CC03D23-72A3-48B3-B2C0-F446C2E5992D}" name="Column10376"/>
    <tableColumn id="10377" xr3:uid="{A6FAD14E-C818-4DE9-B8D4-1F391FA9CB41}" name="Column10377"/>
    <tableColumn id="10378" xr3:uid="{0E418CED-80CF-4649-8C54-F41C0D97C902}" name="Column10378"/>
    <tableColumn id="10379" xr3:uid="{04C9A61E-665A-4AD5-BDE1-BC00519D736D}" name="Column10379"/>
    <tableColumn id="10380" xr3:uid="{D9C4F201-0688-41EA-A59B-1E9583EC045B}" name="Column10380"/>
    <tableColumn id="10381" xr3:uid="{5D732373-6D21-4835-B445-F8E9F80F68BD}" name="Column10381"/>
    <tableColumn id="10382" xr3:uid="{01D04D22-9D53-45AE-BF60-D696EDF750AD}" name="Column10382"/>
    <tableColumn id="10383" xr3:uid="{1BC6ECAE-6EC6-4789-AC03-129C66A5849C}" name="Column10383"/>
    <tableColumn id="10384" xr3:uid="{4EBB57CC-E9A5-41B8-8E8B-C8B837DE8522}" name="Column10384"/>
    <tableColumn id="10385" xr3:uid="{B65A0C92-3D32-4086-AABA-66948FC8207B}" name="Column10385"/>
    <tableColumn id="10386" xr3:uid="{1427FA27-B71C-444F-8D5E-A6A467F2AB60}" name="Column10386"/>
    <tableColumn id="10387" xr3:uid="{07FD8561-E8CC-4041-9004-0067D583C69F}" name="Column10387"/>
    <tableColumn id="10388" xr3:uid="{59D5CC33-EB0F-4A1F-AF18-984E42EDF95D}" name="Column10388"/>
    <tableColumn id="10389" xr3:uid="{3DA11186-2049-4BED-9B75-821EFF43D5FB}" name="Column10389"/>
    <tableColumn id="10390" xr3:uid="{9861FBFE-CA51-4560-9A2D-5B6BAE1DEA4F}" name="Column10390"/>
    <tableColumn id="10391" xr3:uid="{18791992-2793-45BE-84E7-A6B57CB1B0EF}" name="Column10391"/>
    <tableColumn id="10392" xr3:uid="{4D1F3FCE-387C-4866-8262-31AF987D50E0}" name="Column10392"/>
    <tableColumn id="10393" xr3:uid="{2AA9FB00-D8A0-4BB9-B519-58628C01B10B}" name="Column10393"/>
    <tableColumn id="10394" xr3:uid="{2FE4A161-59EE-4C9D-8C14-2C89447C4B15}" name="Column10394"/>
    <tableColumn id="10395" xr3:uid="{C2403170-E92D-4524-B517-F4C509EB355F}" name="Column10395"/>
    <tableColumn id="10396" xr3:uid="{1EBB4FC6-295F-41B2-8720-BC977B3A4225}" name="Column10396"/>
    <tableColumn id="10397" xr3:uid="{6287E694-FCA0-4DB4-A6B6-C46A6C9C4AA0}" name="Column10397"/>
    <tableColumn id="10398" xr3:uid="{63EB5698-0D43-4182-8A88-EADCD9A1D84F}" name="Column10398"/>
    <tableColumn id="10399" xr3:uid="{544EA7A3-7F91-42E8-8262-B33BF4212585}" name="Column10399"/>
    <tableColumn id="10400" xr3:uid="{9BF86E4F-DD4C-4996-809B-C41A2D4701C8}" name="Column10400"/>
    <tableColumn id="10401" xr3:uid="{90A54E0B-7BA5-40F0-AD5D-78263CD450E8}" name="Column10401"/>
    <tableColumn id="10402" xr3:uid="{F726F8AA-CF48-4960-B5B2-6E351080F121}" name="Column10402"/>
    <tableColumn id="10403" xr3:uid="{133E8E83-D4B5-4725-97FC-B9BA8DA5110F}" name="Column10403"/>
    <tableColumn id="10404" xr3:uid="{4ECF4E0E-AB6D-42D4-A9E3-AF07DD7EB3FD}" name="Column10404"/>
    <tableColumn id="10405" xr3:uid="{B37788FF-C5E1-4212-9F68-FD3748EC0E38}" name="Column10405"/>
    <tableColumn id="10406" xr3:uid="{58C338A0-D7B6-4766-82D8-D107ECD69E4E}" name="Column10406"/>
    <tableColumn id="10407" xr3:uid="{EAEC398F-C16D-41BF-86F1-C31AFF47BA3F}" name="Column10407"/>
    <tableColumn id="10408" xr3:uid="{9B2A0DCA-2C55-4FCB-A935-40CE729EB153}" name="Column10408"/>
    <tableColumn id="10409" xr3:uid="{128E3216-5609-4EB8-AB37-EE466C457D3C}" name="Column10409"/>
    <tableColumn id="10410" xr3:uid="{D0CC8299-A7D3-458D-A524-31097B8A3B49}" name="Column10410"/>
    <tableColumn id="10411" xr3:uid="{048DAE9E-FF9C-4782-BD0D-9471EF336A55}" name="Column10411"/>
    <tableColumn id="10412" xr3:uid="{75539611-EAA9-45AF-B092-484F93A9F1F2}" name="Column10412"/>
    <tableColumn id="10413" xr3:uid="{8DFADC04-C912-4DA5-8D2F-53FE635B5C6C}" name="Column10413"/>
    <tableColumn id="10414" xr3:uid="{B328645F-F4C9-4ACE-8B31-007D1C51CA29}" name="Column10414"/>
    <tableColumn id="10415" xr3:uid="{9B6248CB-1391-4E18-8C50-D53356336400}" name="Column10415"/>
    <tableColumn id="10416" xr3:uid="{66DAEA05-9A6D-4605-BEA0-9175C968DA4D}" name="Column10416"/>
    <tableColumn id="10417" xr3:uid="{B434E161-C767-4E17-9E20-A34776297881}" name="Column10417"/>
    <tableColumn id="10418" xr3:uid="{38A044CB-8123-45E2-AECC-0ABF070F1A39}" name="Column10418"/>
    <tableColumn id="10419" xr3:uid="{0F3D7425-B120-403E-8F1C-DC3959FDA08F}" name="Column10419"/>
    <tableColumn id="10420" xr3:uid="{76F9BBAE-B993-44D1-A71B-CD5B9851D0FD}" name="Column10420"/>
    <tableColumn id="10421" xr3:uid="{54C64F81-3404-4DFE-B8FF-AFCAD377F431}" name="Column10421"/>
    <tableColumn id="10422" xr3:uid="{07B2ED20-C8B0-43B4-8A96-56116DCD574E}" name="Column10422"/>
    <tableColumn id="10423" xr3:uid="{060771AF-4AE3-4695-9688-E062853C8FCD}" name="Column10423"/>
    <tableColumn id="10424" xr3:uid="{ACD3BAF7-438A-4CF6-B700-9C117DA2381F}" name="Column10424"/>
    <tableColumn id="10425" xr3:uid="{1D2A52B2-4E10-4B37-9D22-D9E3E510141A}" name="Column10425"/>
    <tableColumn id="10426" xr3:uid="{9A3A5519-D88F-4FB2-B747-A2D1A714F9A4}" name="Column10426"/>
    <tableColumn id="10427" xr3:uid="{ADE2CF36-71E1-43E2-B2D4-354078835C0A}" name="Column10427"/>
    <tableColumn id="10428" xr3:uid="{88DDBC33-2403-4D08-9F07-6A7F3CC2EC61}" name="Column10428"/>
    <tableColumn id="10429" xr3:uid="{A0C44A44-3077-43F0-9D0B-ABCF5BD9B006}" name="Column10429"/>
    <tableColumn id="10430" xr3:uid="{59245BBE-3209-4700-B175-B953F45C0901}" name="Column10430"/>
    <tableColumn id="10431" xr3:uid="{D7D3DDCC-91B6-487B-A860-0680D82831F6}" name="Column10431"/>
    <tableColumn id="10432" xr3:uid="{11E3D86E-1277-4284-8DB4-BE107A7A93DD}" name="Column10432"/>
    <tableColumn id="10433" xr3:uid="{9A61E1E0-1EA7-4C8B-94E2-93141C1766FA}" name="Column10433"/>
    <tableColumn id="10434" xr3:uid="{30E6F3E1-EB2E-453D-A3BB-169EB8BDA553}" name="Column10434"/>
    <tableColumn id="10435" xr3:uid="{A7844929-6CBD-49D3-BA0B-B6DC94028016}" name="Column10435"/>
    <tableColumn id="10436" xr3:uid="{2C3234D1-D4C4-4875-AD5C-170E78C11771}" name="Column10436"/>
    <tableColumn id="10437" xr3:uid="{348F0B54-3206-4FBC-93E7-D4BC59C43AD9}" name="Column10437"/>
    <tableColumn id="10438" xr3:uid="{FE3C5109-5B89-4089-B1D3-F26CFA9C3DFE}" name="Column10438"/>
    <tableColumn id="10439" xr3:uid="{907D2FE6-4AAB-4147-9BB3-B5A0A83C2EAB}" name="Column10439"/>
    <tableColumn id="10440" xr3:uid="{1FAB3B0E-6905-48CA-9699-C4742C969FD8}" name="Column10440"/>
    <tableColumn id="10441" xr3:uid="{45F772A0-0A4A-4CA0-8C72-699B5FA483A0}" name="Column10441"/>
    <tableColumn id="10442" xr3:uid="{9A46F158-BDF4-42A9-AF2B-B89EA9F75AFC}" name="Column10442"/>
    <tableColumn id="10443" xr3:uid="{17B57151-7363-4FE3-937C-04BF821EB9E8}" name="Column10443"/>
    <tableColumn id="10444" xr3:uid="{9645DEB7-8951-449D-802C-A62B339A2199}" name="Column10444"/>
    <tableColumn id="10445" xr3:uid="{9CF33BB5-F160-420D-8922-B2D652280A78}" name="Column10445"/>
    <tableColumn id="10446" xr3:uid="{05A9D432-10C1-4886-9AB8-E7788B9CC3CA}" name="Column10446"/>
    <tableColumn id="10447" xr3:uid="{098680B0-80A9-4142-A4B9-C3BB71ED0854}" name="Column10447"/>
    <tableColumn id="10448" xr3:uid="{38D293DC-879C-418C-A5E5-5FEEEABA2DF2}" name="Column10448"/>
    <tableColumn id="10449" xr3:uid="{98C92FCB-4120-491A-ABFB-15674B0B6138}" name="Column10449"/>
    <tableColumn id="10450" xr3:uid="{E296E4F7-19E3-49C3-9B8C-34168124CDA4}" name="Column10450"/>
    <tableColumn id="10451" xr3:uid="{26488C77-A3DA-4500-A9B8-97F7BA80D8F9}" name="Column10451"/>
    <tableColumn id="10452" xr3:uid="{7BDF70CD-09D9-4B7D-A3F2-6CC0E7A30230}" name="Column10452"/>
    <tableColumn id="10453" xr3:uid="{E3266F0B-72D0-470E-9DD8-B6F8B5C54BF1}" name="Column10453"/>
    <tableColumn id="10454" xr3:uid="{52451DE0-0D5B-438B-A8E9-E4587B7F78B9}" name="Column10454"/>
    <tableColumn id="10455" xr3:uid="{7C9FB75E-A871-4145-84AA-97CE91B0F352}" name="Column10455"/>
    <tableColumn id="10456" xr3:uid="{CBC8D83A-2C25-4D02-BC92-B8D166373427}" name="Column10456"/>
    <tableColumn id="10457" xr3:uid="{119D2CC1-9726-4285-97EC-6AE066B9C2D6}" name="Column10457"/>
    <tableColumn id="10458" xr3:uid="{534765B4-D6FB-453E-B6C7-5A4BBA28887A}" name="Column10458"/>
    <tableColumn id="10459" xr3:uid="{C445B1F6-89A3-43E0-8A56-9FF823503190}" name="Column10459"/>
    <tableColumn id="10460" xr3:uid="{8F4CADBC-4008-4592-85C9-E6294A1C7B3F}" name="Column10460"/>
    <tableColumn id="10461" xr3:uid="{5EF5C4A4-125D-4865-A79E-D03A6D9B7982}" name="Column10461"/>
    <tableColumn id="10462" xr3:uid="{C6BE741A-CFB5-4274-9016-424A63AC209B}" name="Column10462"/>
    <tableColumn id="10463" xr3:uid="{801443F9-57CC-478F-B2E8-D70BE9F175B9}" name="Column10463"/>
    <tableColumn id="10464" xr3:uid="{201F709B-D20D-4DA4-85BE-5370488F18FA}" name="Column10464"/>
    <tableColumn id="10465" xr3:uid="{3E14305C-E785-449A-ADEA-14ED7E32CC2D}" name="Column10465"/>
    <tableColumn id="10466" xr3:uid="{67ECD8D5-899E-430F-9BD3-2AFEA51572EA}" name="Column10466"/>
    <tableColumn id="10467" xr3:uid="{6535879F-42B3-40FE-9392-1F85E7ABBEA8}" name="Column10467"/>
    <tableColumn id="10468" xr3:uid="{D615C5AC-EDC0-437B-A33E-1A5C96C8735F}" name="Column10468"/>
    <tableColumn id="10469" xr3:uid="{AC6D7CCC-F1EB-4102-9479-6F579FF4BEA7}" name="Column10469"/>
    <tableColumn id="10470" xr3:uid="{0D863D09-2E0A-4FF5-AD35-983C5BA028AF}" name="Column10470"/>
    <tableColumn id="10471" xr3:uid="{08F54D5E-9CAE-4B1B-BAB5-F58B15868D16}" name="Column10471"/>
    <tableColumn id="10472" xr3:uid="{3292AE2C-A0DD-413D-A21C-C5643B71B157}" name="Column10472"/>
    <tableColumn id="10473" xr3:uid="{4692479D-4DAD-4C07-B9F5-9BEA48E59DE5}" name="Column10473"/>
    <tableColumn id="10474" xr3:uid="{F91198F5-3B79-48D4-B487-A980B6C29C69}" name="Column10474"/>
    <tableColumn id="10475" xr3:uid="{2490CE06-A4F6-45D8-8009-7C44E5F8C381}" name="Column10475"/>
    <tableColumn id="10476" xr3:uid="{7123FAE8-67C8-4149-A1B8-3904599885EA}" name="Column10476"/>
    <tableColumn id="10477" xr3:uid="{839F5258-69F3-443F-8FB5-169389C9E5C6}" name="Column10477"/>
    <tableColumn id="10478" xr3:uid="{EB0FC6A2-F8BE-46E7-8EA8-9EF9B59E46F7}" name="Column10478"/>
    <tableColumn id="10479" xr3:uid="{1DF70DAE-3AC5-44DB-A04B-70AB8321F97D}" name="Column10479"/>
    <tableColumn id="10480" xr3:uid="{CCB9B02A-06C4-44AF-B1F4-A5031FEB4119}" name="Column10480"/>
    <tableColumn id="10481" xr3:uid="{F54CE6A0-CBEE-4317-BD79-3910125D0D3C}" name="Column10481"/>
    <tableColumn id="10482" xr3:uid="{ABCE5581-D2A5-4D85-AD29-09AE020CAAC7}" name="Column10482"/>
    <tableColumn id="10483" xr3:uid="{0B2146A2-019D-45A4-8FF7-565859DE2BEA}" name="Column10483"/>
    <tableColumn id="10484" xr3:uid="{FA638CFA-F152-4453-BEDA-DE8B338CCC37}" name="Column10484"/>
    <tableColumn id="10485" xr3:uid="{77976573-3189-4DA0-A8CC-5D2AE9DE6909}" name="Column10485"/>
    <tableColumn id="10486" xr3:uid="{79757D0A-A165-4A7A-976C-A7079A21C44A}" name="Column10486"/>
    <tableColumn id="10487" xr3:uid="{D5E90393-FCA3-4439-B982-51FAD4022D8F}" name="Column10487"/>
    <tableColumn id="10488" xr3:uid="{1A5CBE4B-1511-4648-AF29-FD621E207B47}" name="Column10488"/>
    <tableColumn id="10489" xr3:uid="{E09CD1F8-79E3-4FA9-9417-14F62A1834CE}" name="Column10489"/>
    <tableColumn id="10490" xr3:uid="{8F98EB4D-B0E5-4CC1-985B-465BF479E3C8}" name="Column10490"/>
    <tableColumn id="10491" xr3:uid="{7D8C66B0-4BDB-48DD-A305-CF41401C81AB}" name="Column10491"/>
    <tableColumn id="10492" xr3:uid="{C320ADDF-1733-4BD3-802E-4F032CA6062B}" name="Column10492"/>
    <tableColumn id="10493" xr3:uid="{C87E04A6-BCB2-47A6-8D2D-1B0277AF361B}" name="Column10493"/>
    <tableColumn id="10494" xr3:uid="{72677FFB-D55F-4F93-9578-8E6CD2A80B87}" name="Column10494"/>
    <tableColumn id="10495" xr3:uid="{FA244577-1791-473D-B010-4612F9792752}" name="Column10495"/>
    <tableColumn id="10496" xr3:uid="{34C25AD7-8AB3-4D82-9A39-AC0BCDEDAE25}" name="Column10496"/>
    <tableColumn id="10497" xr3:uid="{3A93C62B-63A4-46C2-95C6-F37E0D34846A}" name="Column10497"/>
    <tableColumn id="10498" xr3:uid="{7E487677-39DD-4467-9DB1-FFCA1F5B6AAF}" name="Column10498"/>
    <tableColumn id="10499" xr3:uid="{09813740-C93F-44BE-97CE-201D5183A2D7}" name="Column10499"/>
    <tableColumn id="10500" xr3:uid="{53936B1B-C68D-4A90-B6E0-9A0A37BD8F4D}" name="Column10500"/>
    <tableColumn id="10501" xr3:uid="{82749062-4271-4895-A093-2D132C8D28B7}" name="Column10501"/>
    <tableColumn id="10502" xr3:uid="{43E98A43-5ACA-4255-8E57-2B68B7CA7D89}" name="Column10502"/>
    <tableColumn id="10503" xr3:uid="{63C2000A-6970-4A05-828D-CFEA26D70691}" name="Column10503"/>
    <tableColumn id="10504" xr3:uid="{E1B46806-8C4E-4DAE-BF79-41CDBA9A8654}" name="Column10504"/>
    <tableColumn id="10505" xr3:uid="{96D24864-5088-40E5-B028-C49266A4DC0B}" name="Column10505"/>
    <tableColumn id="10506" xr3:uid="{8AF006F8-47D2-413F-B023-F7D7772EEFE4}" name="Column10506"/>
    <tableColumn id="10507" xr3:uid="{043347DF-5B39-4CF0-AEE5-4E198357E710}" name="Column10507"/>
    <tableColumn id="10508" xr3:uid="{FC06E1E7-62D8-4D28-B956-397F2D95B958}" name="Column10508"/>
    <tableColumn id="10509" xr3:uid="{53B870AA-2990-4826-A960-0123F6EF7D1E}" name="Column10509"/>
    <tableColumn id="10510" xr3:uid="{8A39AC23-AA3B-418D-A3D1-EA21750772AD}" name="Column10510"/>
    <tableColumn id="10511" xr3:uid="{D4A8ED3E-90F1-4023-9FB8-A7D29D132FC5}" name="Column10511"/>
    <tableColumn id="10512" xr3:uid="{1867B5DB-C90E-4BF9-97D1-3A423098A5AF}" name="Column10512"/>
    <tableColumn id="10513" xr3:uid="{5960E8EE-82DF-470B-BCC1-88C6B13FFB3C}" name="Column10513"/>
    <tableColumn id="10514" xr3:uid="{55FE09A2-DE91-433D-B28F-49D187A90A38}" name="Column10514"/>
    <tableColumn id="10515" xr3:uid="{6E3043A2-66CF-4C51-BF27-4FC793721A0F}" name="Column10515"/>
    <tableColumn id="10516" xr3:uid="{FAC6C999-2B8F-4585-90CE-83B27AA216C6}" name="Column10516"/>
    <tableColumn id="10517" xr3:uid="{2F07570C-7FDA-4805-85A3-B4F5634B8B26}" name="Column10517"/>
    <tableColumn id="10518" xr3:uid="{A71D298F-F923-40C4-A13B-A31CFF5C7A7B}" name="Column10518"/>
    <tableColumn id="10519" xr3:uid="{0220FCB0-6961-4CA6-B294-DAA441BF563F}" name="Column10519"/>
    <tableColumn id="10520" xr3:uid="{39F66F1A-113F-43BE-9D4A-10496080198B}" name="Column10520"/>
    <tableColumn id="10521" xr3:uid="{32EEED84-FAAA-4B9F-9B13-C0CF12EBB0B0}" name="Column10521"/>
    <tableColumn id="10522" xr3:uid="{331DBBA2-0D79-430A-B784-F2CD79EC588D}" name="Column10522"/>
    <tableColumn id="10523" xr3:uid="{70599F63-69E1-49C8-A701-E167BCA0E3C4}" name="Column10523"/>
    <tableColumn id="10524" xr3:uid="{B75A6C73-581B-4BB4-A69C-7E15B7D8366F}" name="Column10524"/>
    <tableColumn id="10525" xr3:uid="{9D447AE8-3F8E-4DDD-8ED2-391B68DBBFC1}" name="Column10525"/>
    <tableColumn id="10526" xr3:uid="{B22DA639-771B-4D9C-9FA2-224AC8ED2648}" name="Column10526"/>
    <tableColumn id="10527" xr3:uid="{507FD275-02E5-4C0C-A831-64465BD35775}" name="Column10527"/>
    <tableColumn id="10528" xr3:uid="{C001CE61-85DC-4CC3-BE92-98EC0FABE870}" name="Column10528"/>
    <tableColumn id="10529" xr3:uid="{6353E6AA-2F01-4D23-91A7-63E9ECD299EB}" name="Column10529"/>
    <tableColumn id="10530" xr3:uid="{A2E5E7CB-5D9A-4E9E-931B-AC97CE59551F}" name="Column10530"/>
    <tableColumn id="10531" xr3:uid="{242C4CFA-B54C-4ECE-A450-279494550C24}" name="Column10531"/>
    <tableColumn id="10532" xr3:uid="{A0FBC50B-BAF1-4A38-98AB-D77FA786C65A}" name="Column10532"/>
    <tableColumn id="10533" xr3:uid="{47DDC5DA-C52C-4019-822A-AEE2B07BD081}" name="Column10533"/>
    <tableColumn id="10534" xr3:uid="{6D2C235F-BA97-4783-95E3-54872FB08CE1}" name="Column10534"/>
    <tableColumn id="10535" xr3:uid="{A1761357-6AEB-43D1-9C4F-FF71D80C6372}" name="Column10535"/>
    <tableColumn id="10536" xr3:uid="{89F8746B-2985-4EB2-B238-DC5662C5F204}" name="Column10536"/>
    <tableColumn id="10537" xr3:uid="{2EF65FC7-31D5-44FE-846C-44EB23D869A7}" name="Column10537"/>
    <tableColumn id="10538" xr3:uid="{744D7E1D-5792-49A9-BEF1-051C407EB05E}" name="Column10538"/>
    <tableColumn id="10539" xr3:uid="{87935E01-6E4E-479F-853E-329F084529A9}" name="Column10539"/>
    <tableColumn id="10540" xr3:uid="{5F67F15A-37D3-44EE-9A3A-4AD9BC7F4E88}" name="Column10540"/>
    <tableColumn id="10541" xr3:uid="{92FF54F8-131B-4E88-AD2D-64892ECE9742}" name="Column10541"/>
    <tableColumn id="10542" xr3:uid="{3ADBF314-5673-4827-979E-29E990ECAF1B}" name="Column10542"/>
    <tableColumn id="10543" xr3:uid="{EA65E0DC-8090-4771-A6FC-D3B253B0E672}" name="Column10543"/>
    <tableColumn id="10544" xr3:uid="{A8F99C5A-C304-4009-AAB0-E4837D1E6E2E}" name="Column10544"/>
    <tableColumn id="10545" xr3:uid="{56F1B340-D98D-4326-952E-EED211DEFB3E}" name="Column10545"/>
    <tableColumn id="10546" xr3:uid="{5EBC21E0-B189-44AE-B4CA-C85D765CFB27}" name="Column10546"/>
    <tableColumn id="10547" xr3:uid="{95B53C87-B583-4AD2-973F-FBC7DABECD3D}" name="Column10547"/>
    <tableColumn id="10548" xr3:uid="{6E0721A2-42C8-44D5-A196-463D1660FDD5}" name="Column10548"/>
    <tableColumn id="10549" xr3:uid="{B13ED76C-C307-4072-ABB1-714B00606C82}" name="Column10549"/>
    <tableColumn id="10550" xr3:uid="{31BEE975-2B0C-4A67-8E07-E6E711207D16}" name="Column10550"/>
    <tableColumn id="10551" xr3:uid="{37BE24E4-18E7-435A-A27D-98703E1A3744}" name="Column10551"/>
    <tableColumn id="10552" xr3:uid="{9AE4DC3E-EEB6-430A-AC68-259EC6023EEA}" name="Column10552"/>
    <tableColumn id="10553" xr3:uid="{276DAD9F-1D6C-4B06-8C7B-D5C291D110D3}" name="Column10553"/>
    <tableColumn id="10554" xr3:uid="{5CFA22B4-6AE0-4898-B2B7-5DC68D62865B}" name="Column10554"/>
    <tableColumn id="10555" xr3:uid="{4CC802EF-2B57-43C7-ABB5-A07328929D0E}" name="Column10555"/>
    <tableColumn id="10556" xr3:uid="{A628C70D-9A3D-4ECE-96A7-52D67141C505}" name="Column10556"/>
    <tableColumn id="10557" xr3:uid="{891852A1-D21A-42AF-A473-8ECE83EAAB58}" name="Column10557"/>
    <tableColumn id="10558" xr3:uid="{761A5BBB-22E6-429D-BBBE-B8742425973E}" name="Column10558"/>
    <tableColumn id="10559" xr3:uid="{DDA718F5-BB39-4DF0-91B9-DB3F614572B8}" name="Column10559"/>
    <tableColumn id="10560" xr3:uid="{F10036B4-64DA-4306-AA92-ECA672C1A64F}" name="Column10560"/>
    <tableColumn id="10561" xr3:uid="{BCB5DC77-3E81-4DB2-895E-8EECAD475AA5}" name="Column10561"/>
    <tableColumn id="10562" xr3:uid="{E5EEF6B5-C44E-406A-BF31-989B848ECCC5}" name="Column10562"/>
    <tableColumn id="10563" xr3:uid="{D30AB381-46B0-4BD7-8384-9E41A629B0D6}" name="Column10563"/>
    <tableColumn id="10564" xr3:uid="{88139B05-4864-4332-8833-1F7B05C21665}" name="Column10564"/>
    <tableColumn id="10565" xr3:uid="{5188DBFF-F1C5-4044-845C-3BB1ADDC96A6}" name="Column10565"/>
    <tableColumn id="10566" xr3:uid="{B7035630-2E08-483C-9752-4720FFA55C54}" name="Column10566"/>
    <tableColumn id="10567" xr3:uid="{3C7AFEB0-F8BB-4E5C-803F-52F918B60271}" name="Column10567"/>
    <tableColumn id="10568" xr3:uid="{6BEA445D-E5B1-4042-815A-89C1A1EDDD92}" name="Column10568"/>
    <tableColumn id="10569" xr3:uid="{C92CC05E-DCDB-410E-B8B6-A11124632C4B}" name="Column10569"/>
    <tableColumn id="10570" xr3:uid="{ABC374B8-DFCC-44B2-BFD1-76ADCFF1013A}" name="Column10570"/>
    <tableColumn id="10571" xr3:uid="{7901F344-B8C7-4246-AE01-9B77F7092DF1}" name="Column10571"/>
    <tableColumn id="10572" xr3:uid="{BE0571C6-A8BB-40BD-BA75-DFB368D61B7A}" name="Column10572"/>
    <tableColumn id="10573" xr3:uid="{1943EBFD-B674-44AD-8D43-773B2E9C83CF}" name="Column10573"/>
    <tableColumn id="10574" xr3:uid="{4D0A9EA5-D81A-4911-9165-6EEB865249C5}" name="Column10574"/>
    <tableColumn id="10575" xr3:uid="{4C12FD3F-6D61-48F1-BA17-6179FE29221C}" name="Column10575"/>
    <tableColumn id="10576" xr3:uid="{788B4533-6076-4A6F-AF7F-98DA02513E9E}" name="Column10576"/>
    <tableColumn id="10577" xr3:uid="{F73C2C60-90CD-43CD-B65F-37A1F7215BA2}" name="Column10577"/>
    <tableColumn id="10578" xr3:uid="{529D9178-9F57-43C6-87B1-BF921AA701D3}" name="Column10578"/>
    <tableColumn id="10579" xr3:uid="{81502BF6-7F58-420D-AD8A-01B6C1B35A46}" name="Column10579"/>
    <tableColumn id="10580" xr3:uid="{AFC91D10-1E07-4929-880F-7DDBE7E26735}" name="Column10580"/>
    <tableColumn id="10581" xr3:uid="{1698A7B0-FF16-40C4-BE43-AA447A1170FD}" name="Column10581"/>
    <tableColumn id="10582" xr3:uid="{3A3AF43F-B4C5-4147-A53A-B57B6AC8C7F7}" name="Column10582"/>
    <tableColumn id="10583" xr3:uid="{7A0EF4D0-AF69-4DBB-9C58-37FF6CFFF4A3}" name="Column10583"/>
    <tableColumn id="10584" xr3:uid="{A4F902B1-5A24-4979-B1CC-2B69FA9A4A8B}" name="Column10584"/>
    <tableColumn id="10585" xr3:uid="{C549F125-8232-4ACD-8C38-3C768DA41825}" name="Column10585"/>
    <tableColumn id="10586" xr3:uid="{05AFCF27-FE27-4A41-A620-7418E8D5080A}" name="Column10586"/>
    <tableColumn id="10587" xr3:uid="{FF9AD50C-C4D4-48A8-94EF-62F1014DFB83}" name="Column10587"/>
    <tableColumn id="10588" xr3:uid="{65226150-0F5D-4992-9AC1-135A9D168BE2}" name="Column10588"/>
    <tableColumn id="10589" xr3:uid="{BF1C9979-024B-4F83-A65F-65B7F84F3B9C}" name="Column10589"/>
    <tableColumn id="10590" xr3:uid="{2C6A7F6E-EDF5-4C46-B9BF-DD68E393BA76}" name="Column10590"/>
    <tableColumn id="10591" xr3:uid="{34817FA1-74AC-478C-8B68-8ACB5451060A}" name="Column10591"/>
    <tableColumn id="10592" xr3:uid="{BAAB46E1-D3CC-41D8-81DD-FE5365C986FC}" name="Column10592"/>
    <tableColumn id="10593" xr3:uid="{A64C17ED-8D42-4A6C-AF02-10CC4CE43D88}" name="Column10593"/>
    <tableColumn id="10594" xr3:uid="{5097E82E-B9C9-4E25-83E2-80421197A6AC}" name="Column10594"/>
    <tableColumn id="10595" xr3:uid="{3103530A-3631-4D83-9D3C-D6E6C9CB9FE9}" name="Column10595"/>
    <tableColumn id="10596" xr3:uid="{3231558B-5CDE-4D4F-A0CF-60328922B9EE}" name="Column10596"/>
    <tableColumn id="10597" xr3:uid="{B38775BF-E074-4FE6-90CF-60DC7DC15705}" name="Column10597"/>
    <tableColumn id="10598" xr3:uid="{50CCA256-E98C-42D3-8B74-1282A05B7E76}" name="Column10598"/>
    <tableColumn id="10599" xr3:uid="{28D8E7DA-B909-43C1-84C0-5CCF7ED17639}" name="Column10599"/>
    <tableColumn id="10600" xr3:uid="{081B0C85-1340-4798-BAFF-C7DD66AF63E1}" name="Column10600"/>
    <tableColumn id="10601" xr3:uid="{C1A17AF8-43B9-4E7A-87CD-01BA1F1DE497}" name="Column10601"/>
    <tableColumn id="10602" xr3:uid="{95B9EE82-7E67-415A-A4A5-EE67562089E9}" name="Column10602"/>
    <tableColumn id="10603" xr3:uid="{D28E6A47-30B3-444C-8E23-9475FCD0D939}" name="Column10603"/>
    <tableColumn id="10604" xr3:uid="{A91EE590-50F0-44AA-917C-A20B2F6E3E8B}" name="Column10604"/>
    <tableColumn id="10605" xr3:uid="{D21F0624-A30F-44FF-BEC6-CDA5BB1F803C}" name="Column10605"/>
    <tableColumn id="10606" xr3:uid="{48B87406-D780-45EC-A85E-D40142D02839}" name="Column10606"/>
    <tableColumn id="10607" xr3:uid="{5E285872-4F26-4FC6-8694-ADFDFEE79B44}" name="Column10607"/>
    <tableColumn id="10608" xr3:uid="{06FA1268-C749-487C-911E-A5F0A57A66AC}" name="Column10608"/>
    <tableColumn id="10609" xr3:uid="{71774357-A7DE-46A3-9C3B-D853E4C03EF7}" name="Column10609"/>
    <tableColumn id="10610" xr3:uid="{D84F7582-12AF-44E1-A3F5-B26ED378D56C}" name="Column10610"/>
    <tableColumn id="10611" xr3:uid="{88582F78-618E-4687-B10E-70B9380D9250}" name="Column10611"/>
    <tableColumn id="10612" xr3:uid="{0F786EE3-964D-405F-A2EC-43747D5C3BF4}" name="Column10612"/>
    <tableColumn id="10613" xr3:uid="{A7511EAD-7B0F-49B9-B5EA-81D6594C733D}" name="Column10613"/>
    <tableColumn id="10614" xr3:uid="{E0928264-D9EE-4BE2-B784-F2779B5EB179}" name="Column10614"/>
    <tableColumn id="10615" xr3:uid="{FE07D6D5-D99A-4628-B6E9-40D677F319AE}" name="Column10615"/>
    <tableColumn id="10616" xr3:uid="{5B4E7643-13E6-49DD-BCE5-AE01209FEA0A}" name="Column10616"/>
    <tableColumn id="10617" xr3:uid="{D2FD280E-BFEE-4A8F-90E2-FF96EEEDAF1A}" name="Column10617"/>
    <tableColumn id="10618" xr3:uid="{9F1CDA8A-FAF8-4A3C-A78C-796B70330594}" name="Column10618"/>
    <tableColumn id="10619" xr3:uid="{4F5E2027-7136-4045-9B51-468BE1983883}" name="Column10619"/>
    <tableColumn id="10620" xr3:uid="{5B5CCD71-FFA0-4B8B-B46C-52021D4111FB}" name="Column10620"/>
    <tableColumn id="10621" xr3:uid="{84F29627-E1AA-45CF-9BEB-CD2C4C417C77}" name="Column10621"/>
    <tableColumn id="10622" xr3:uid="{FE02201F-0176-4CB9-8C21-0181A2BB2F63}" name="Column10622"/>
    <tableColumn id="10623" xr3:uid="{FE3CD987-25DB-4DBB-AD17-4312F4CC9441}" name="Column10623"/>
    <tableColumn id="10624" xr3:uid="{4ECB8909-27F8-4F28-8D78-D94CB24DC84D}" name="Column10624"/>
    <tableColumn id="10625" xr3:uid="{A7D0C1EF-4551-4CE8-AB70-7604794B6C00}" name="Column10625"/>
    <tableColumn id="10626" xr3:uid="{A5DF9639-5F7D-4C78-9F47-82FC37C35FE2}" name="Column10626"/>
    <tableColumn id="10627" xr3:uid="{D4BF1F02-8719-442A-920A-13C50B593E41}" name="Column10627"/>
    <tableColumn id="10628" xr3:uid="{3FE84D5A-63B6-4823-A6D3-E47BF40F05C2}" name="Column10628"/>
    <tableColumn id="10629" xr3:uid="{17D4CB4A-F186-42A9-B0F1-21F292E3788B}" name="Column10629"/>
    <tableColumn id="10630" xr3:uid="{6F06F2B7-83B0-4BB7-9AC1-2A9284E31719}" name="Column10630"/>
    <tableColumn id="10631" xr3:uid="{186379F5-5B7C-4D8A-909D-F320E04D2633}" name="Column10631"/>
    <tableColumn id="10632" xr3:uid="{2127DDEA-6BC8-4843-B021-ADA7166C1B39}" name="Column10632"/>
    <tableColumn id="10633" xr3:uid="{5190B2E5-6EAD-456B-8E06-16890FE91CA8}" name="Column10633"/>
    <tableColumn id="10634" xr3:uid="{D47880D8-D5D9-4FE0-8E5D-C9CDC715AAA0}" name="Column10634"/>
    <tableColumn id="10635" xr3:uid="{C65A8705-760A-4248-BD22-CC576BAE9272}" name="Column10635"/>
    <tableColumn id="10636" xr3:uid="{EDAD1D1A-DA17-40A4-8FB7-1426BEB95060}" name="Column10636"/>
    <tableColumn id="10637" xr3:uid="{24596FFA-0F0B-4C47-A36F-608A7E721881}" name="Column10637"/>
    <tableColumn id="10638" xr3:uid="{A5B95535-4139-4912-8375-FC2948BC09FE}" name="Column10638"/>
    <tableColumn id="10639" xr3:uid="{0E8B0F39-674D-430D-BAEB-E548A10630B4}" name="Column10639"/>
    <tableColumn id="10640" xr3:uid="{BA3FF2EC-A4F1-4FEF-9DAB-155EE6B2EFF4}" name="Column10640"/>
    <tableColumn id="10641" xr3:uid="{1D2B5F45-779C-43B3-A0FB-AC7904E7532C}" name="Column10641"/>
    <tableColumn id="10642" xr3:uid="{87C1C96C-DA0D-4545-AE19-64270591F1EC}" name="Column10642"/>
    <tableColumn id="10643" xr3:uid="{0EA35037-88B5-45A7-A630-08DC7509E8CB}" name="Column10643"/>
    <tableColumn id="10644" xr3:uid="{3CFA1C96-88F2-48C3-A89C-5BDA1CD0C321}" name="Column10644"/>
    <tableColumn id="10645" xr3:uid="{B7B649F2-06F8-4322-809F-F4836944C4AB}" name="Column10645"/>
    <tableColumn id="10646" xr3:uid="{3956964A-B15C-4A30-91AD-B55985CDAE9D}" name="Column10646"/>
    <tableColumn id="10647" xr3:uid="{D3C86A31-7521-4916-BDF3-83AD0BAF40A1}" name="Column10647"/>
    <tableColumn id="10648" xr3:uid="{7B77D887-E79B-427C-9489-A3B17A98E631}" name="Column10648"/>
    <tableColumn id="10649" xr3:uid="{CC4AB501-93C7-4D95-A568-6DAEE5B5FACD}" name="Column10649"/>
    <tableColumn id="10650" xr3:uid="{153A28BA-97F5-4D05-B0AF-D325C5799906}" name="Column10650"/>
    <tableColumn id="10651" xr3:uid="{BB5556A8-3B94-4458-A679-FADDE2982E8E}" name="Column10651"/>
    <tableColumn id="10652" xr3:uid="{E0F9C0A9-68EB-4B9E-93ED-A52BD6449306}" name="Column10652"/>
    <tableColumn id="10653" xr3:uid="{867E1A35-DE0C-4109-849E-A9F28348C548}" name="Column10653"/>
    <tableColumn id="10654" xr3:uid="{9B317F4C-C92A-40A7-AC62-C9EDB9C9B1CC}" name="Column10654"/>
    <tableColumn id="10655" xr3:uid="{4DBC29B0-78AF-4549-A615-D5815D71085A}" name="Column10655"/>
    <tableColumn id="10656" xr3:uid="{724A525E-1623-4631-BDAF-1156C187645A}" name="Column10656"/>
    <tableColumn id="10657" xr3:uid="{8F68BC35-4E39-434E-9465-9BD1DF818FE0}" name="Column10657"/>
    <tableColumn id="10658" xr3:uid="{6BBE5DAD-1C3B-48F3-9479-98CC8F90E4B6}" name="Column10658"/>
    <tableColumn id="10659" xr3:uid="{5975B5A0-9FD7-49E6-956C-1953DD7656CE}" name="Column10659"/>
    <tableColumn id="10660" xr3:uid="{6AF2B83A-597D-4648-A33B-3FCA82C04DBB}" name="Column10660"/>
    <tableColumn id="10661" xr3:uid="{700194E6-C2A4-4125-93B4-5C18C76B441B}" name="Column10661"/>
    <tableColumn id="10662" xr3:uid="{1CCEB3CB-68E6-49E0-956C-2F1F7E00F131}" name="Column10662"/>
    <tableColumn id="10663" xr3:uid="{432D8C4E-4D65-4397-8309-28577EB10366}" name="Column10663"/>
    <tableColumn id="10664" xr3:uid="{7D69830A-662B-4899-8899-6624A0E83A5E}" name="Column10664"/>
    <tableColumn id="10665" xr3:uid="{115944B1-007F-4B82-B3E9-6F723F3E4882}" name="Column10665"/>
    <tableColumn id="10666" xr3:uid="{5B97C4C0-2953-4AB2-B623-F3ED3410A11E}" name="Column10666"/>
    <tableColumn id="10667" xr3:uid="{DB4FF17A-915B-41D8-9735-5FAB0E7598F7}" name="Column10667"/>
    <tableColumn id="10668" xr3:uid="{053E0FE9-4EB0-4238-AA20-CED9A8A0714D}" name="Column10668"/>
    <tableColumn id="10669" xr3:uid="{7E191988-4BF0-4453-B5DD-CB1E2200E73C}" name="Column10669"/>
    <tableColumn id="10670" xr3:uid="{7BE5DE2F-13D0-416B-997D-83C82D637ACC}" name="Column10670"/>
    <tableColumn id="10671" xr3:uid="{AE72CC48-8443-4852-9374-4C77FB8B7BB8}" name="Column10671"/>
    <tableColumn id="10672" xr3:uid="{9F809209-D54A-43CF-A3EC-5228533EBD29}" name="Column10672"/>
    <tableColumn id="10673" xr3:uid="{2CBE1F27-5873-4BCD-99A9-A1642A5A189D}" name="Column10673"/>
    <tableColumn id="10674" xr3:uid="{7E7F810C-7C41-47F3-AA15-515C2B340E48}" name="Column10674"/>
    <tableColumn id="10675" xr3:uid="{055A3F4C-D33C-4A6F-AC39-D67E35F5B217}" name="Column10675"/>
    <tableColumn id="10676" xr3:uid="{60575FF7-85F4-4B70-95B1-9FFA55E03961}" name="Column10676"/>
    <tableColumn id="10677" xr3:uid="{AE5F30FE-5102-4B4F-A93D-5135D27E3C0A}" name="Column10677"/>
    <tableColumn id="10678" xr3:uid="{D41551E9-D430-496D-BED5-9EF8231860FD}" name="Column10678"/>
    <tableColumn id="10679" xr3:uid="{96E33282-A8F9-46F7-BC76-2557777FFCA5}" name="Column10679"/>
    <tableColumn id="10680" xr3:uid="{778B13DC-5743-4977-9431-BB32E1E79898}" name="Column10680"/>
    <tableColumn id="10681" xr3:uid="{A5F39004-4F75-42EF-9EB2-E10257850711}" name="Column10681"/>
    <tableColumn id="10682" xr3:uid="{1966639D-4A63-4353-A67A-635660718D86}" name="Column10682"/>
    <tableColumn id="10683" xr3:uid="{9352A3BB-F69A-4853-8675-AF03C9AAB79A}" name="Column10683"/>
    <tableColumn id="10684" xr3:uid="{E11136D6-7D2F-49F2-B0DA-B1A8A1FE7EAF}" name="Column10684"/>
    <tableColumn id="10685" xr3:uid="{FBAC7643-A516-49EC-81C0-E301204DAC6D}" name="Column10685"/>
    <tableColumn id="10686" xr3:uid="{D83E4644-74AA-4632-8959-B0DFD4FF6A4F}" name="Column10686"/>
    <tableColumn id="10687" xr3:uid="{034EFE9E-4C29-4B5D-BC85-DFB7F1A647E6}" name="Column10687"/>
    <tableColumn id="10688" xr3:uid="{2BF41E52-CAA8-424D-BDBD-826808D4DAC8}" name="Column10688"/>
    <tableColumn id="10689" xr3:uid="{A73E69EF-5D8D-456A-BD3C-606C19A8295A}" name="Column10689"/>
    <tableColumn id="10690" xr3:uid="{87CD7F83-3751-4473-82DC-A9CDA662AD6C}" name="Column10690"/>
    <tableColumn id="10691" xr3:uid="{4F53F686-CEE7-4124-BC61-7ED3EBD5241E}" name="Column10691"/>
    <tableColumn id="10692" xr3:uid="{B0FC2584-D7B8-41B5-BA70-FD0A30A9A066}" name="Column10692"/>
    <tableColumn id="10693" xr3:uid="{5DFB8BD3-34DD-4870-B42C-29CF18878D81}" name="Column10693"/>
    <tableColumn id="10694" xr3:uid="{F25C961D-B541-46E1-A093-D839AA64C92D}" name="Column10694"/>
    <tableColumn id="10695" xr3:uid="{D7CD6890-6B96-4A4D-A200-4A56CE3E23F5}" name="Column10695"/>
    <tableColumn id="10696" xr3:uid="{EE440BEA-7A4C-480B-B673-0B35BC6B0636}" name="Column10696"/>
    <tableColumn id="10697" xr3:uid="{66A094F1-AA31-428B-8DD9-4B0935F63B20}" name="Column10697"/>
    <tableColumn id="10698" xr3:uid="{9EAA931E-703F-431D-B24A-04B6BF2A3D51}" name="Column10698"/>
    <tableColumn id="10699" xr3:uid="{3BF9CA66-4757-4A57-AFA9-9A0CA0FD60D5}" name="Column10699"/>
    <tableColumn id="10700" xr3:uid="{9C78CC22-5B55-45A3-AA25-1401CF1064E3}" name="Column10700"/>
    <tableColumn id="10701" xr3:uid="{46FD9A25-2C42-4651-A619-AB012FED3C3C}" name="Column10701"/>
    <tableColumn id="10702" xr3:uid="{AD4BE67F-8037-4A5C-B7A9-7D7CAF411C9E}" name="Column10702"/>
    <tableColumn id="10703" xr3:uid="{1C0A68D0-6EA7-4A00-AE2C-EB6FAE8312B3}" name="Column10703"/>
    <tableColumn id="10704" xr3:uid="{76D216DE-2D7D-4252-87A9-AF141D5C31AA}" name="Column10704"/>
    <tableColumn id="10705" xr3:uid="{A54A96AE-845D-4586-A1D1-1B841A772EC7}" name="Column10705"/>
    <tableColumn id="10706" xr3:uid="{EA6677AE-98E0-4D94-BD5B-948AB6281DE6}" name="Column10706"/>
    <tableColumn id="10707" xr3:uid="{EA9A43AE-37B4-4B60-A06D-DBF663A90BAA}" name="Column10707"/>
    <tableColumn id="10708" xr3:uid="{E05E38D9-15E1-4249-A337-0AC94007B25D}" name="Column10708"/>
    <tableColumn id="10709" xr3:uid="{96BAAD62-2A80-412C-AF30-DDEFFB47A7C9}" name="Column10709"/>
    <tableColumn id="10710" xr3:uid="{23969C39-586D-4E3D-A9C0-A11B965BBE77}" name="Column10710"/>
    <tableColumn id="10711" xr3:uid="{7AE5D3F8-DF3E-4E45-87D8-3A5D4A218BA4}" name="Column10711"/>
    <tableColumn id="10712" xr3:uid="{53483017-0996-4198-A503-015C6A280F9B}" name="Column10712"/>
    <tableColumn id="10713" xr3:uid="{9EE0B0E5-BFD6-4CB4-ACE0-2B92A2EF5568}" name="Column10713"/>
    <tableColumn id="10714" xr3:uid="{FD4E3428-038F-4AF7-9F45-10968CCE196B}" name="Column10714"/>
    <tableColumn id="10715" xr3:uid="{6F181BB8-8A7F-4E55-8649-D81CF819B18D}" name="Column10715"/>
    <tableColumn id="10716" xr3:uid="{6D2A7BE5-D999-459D-9806-71E3A80A3B3F}" name="Column10716"/>
    <tableColumn id="10717" xr3:uid="{C7847DEE-C4DC-4B0E-B8C2-960E4CE2D43E}" name="Column10717"/>
    <tableColumn id="10718" xr3:uid="{EAE553FA-F297-45C9-AB07-BF0F3DD527AA}" name="Column10718"/>
    <tableColumn id="10719" xr3:uid="{80BCE217-1C88-45B8-9241-494C0B43EF85}" name="Column10719"/>
    <tableColumn id="10720" xr3:uid="{DD1C2625-21E7-4994-A5DE-A84C7DFC4E63}" name="Column10720"/>
    <tableColumn id="10721" xr3:uid="{2FB0F4BB-365A-4B5D-9388-A8F2C2505CDC}" name="Column10721"/>
    <tableColumn id="10722" xr3:uid="{E2DF6D19-F7EE-45E3-8850-DD580E157B41}" name="Column10722"/>
    <tableColumn id="10723" xr3:uid="{FE711A8C-2971-4FB2-84CC-ADAEBD9CFC5E}" name="Column10723"/>
    <tableColumn id="10724" xr3:uid="{E26C6060-1435-42EB-B8F1-FD46548087E7}" name="Column10724"/>
    <tableColumn id="10725" xr3:uid="{D670992C-D8C2-40E9-8B9B-4C6282B84EB5}" name="Column10725"/>
    <tableColumn id="10726" xr3:uid="{D6A9AF26-FDAF-4DA7-98E8-47DD17F1232D}" name="Column10726"/>
    <tableColumn id="10727" xr3:uid="{CF7A4FB0-1501-43A7-A0F2-23FA6645F76F}" name="Column10727"/>
    <tableColumn id="10728" xr3:uid="{BEAF0AB7-27DF-47B3-AA59-01D005422D80}" name="Column10728"/>
    <tableColumn id="10729" xr3:uid="{21C2CFA6-9C3C-4385-BE03-064D4B299E76}" name="Column10729"/>
    <tableColumn id="10730" xr3:uid="{598A8DCA-6914-464B-8C14-3FEDD66A6ABC}" name="Column10730"/>
    <tableColumn id="10731" xr3:uid="{193B8073-375C-4960-962A-365D8E49549E}" name="Column10731"/>
    <tableColumn id="10732" xr3:uid="{903FB92C-0C20-423A-9624-EC39A9065C7A}" name="Column10732"/>
    <tableColumn id="10733" xr3:uid="{ECA9208D-8C9C-4B2A-840E-323F597A7853}" name="Column10733"/>
    <tableColumn id="10734" xr3:uid="{13086178-1C33-4840-9AAF-B31C25541457}" name="Column10734"/>
    <tableColumn id="10735" xr3:uid="{28A1BFD2-E31D-4C6F-A45C-F095C55060D3}" name="Column10735"/>
    <tableColumn id="10736" xr3:uid="{4A8205C6-F800-4661-9863-A19D6C94F4CC}" name="Column10736"/>
    <tableColumn id="10737" xr3:uid="{AC911660-620A-41E1-AE6D-2CDEFEFCC259}" name="Column10737"/>
    <tableColumn id="10738" xr3:uid="{C002CFCC-C130-4B4D-841C-48E1DE3D2945}" name="Column10738"/>
    <tableColumn id="10739" xr3:uid="{5B04E8CB-439C-4A6B-834C-CF03F490C49F}" name="Column10739"/>
    <tableColumn id="10740" xr3:uid="{598183A1-8076-4139-8C87-D4001E4F2C29}" name="Column10740"/>
    <tableColumn id="10741" xr3:uid="{51A8AF04-A0EB-48FF-B027-39DD2D8A5B4E}" name="Column10741"/>
    <tableColumn id="10742" xr3:uid="{849CDA93-0F95-47E1-B4CA-52747A95C043}" name="Column10742"/>
    <tableColumn id="10743" xr3:uid="{2EE8D49B-1E4A-4EB5-A773-E4C4EBBD9ED1}" name="Column10743"/>
    <tableColumn id="10744" xr3:uid="{4BB81545-EC1F-4DF1-A1BF-CD4ECA6066A9}" name="Column10744"/>
    <tableColumn id="10745" xr3:uid="{625DEEF0-33FC-46C5-8AB1-6F47D3612E2E}" name="Column10745"/>
    <tableColumn id="10746" xr3:uid="{4104FBDB-BBC0-4B93-A528-750669F70F12}" name="Column10746"/>
    <tableColumn id="10747" xr3:uid="{90F3D39F-BA1B-4C45-B40A-B4BB73F2E81B}" name="Column10747"/>
    <tableColumn id="10748" xr3:uid="{C2DFD91F-4954-4AED-B32B-AC7510B02CBE}" name="Column10748"/>
    <tableColumn id="10749" xr3:uid="{55CEBF35-F60C-4964-B708-86735BFE9E0B}" name="Column10749"/>
    <tableColumn id="10750" xr3:uid="{8FE684BD-4BC1-42F0-9D6B-3CBCC8BD7805}" name="Column10750"/>
    <tableColumn id="10751" xr3:uid="{64A587A5-EF5F-4B89-B56A-FF7020F152CE}" name="Column10751"/>
    <tableColumn id="10752" xr3:uid="{B674E134-1D72-48ED-BADC-DB0FB13AD2A0}" name="Column10752"/>
    <tableColumn id="10753" xr3:uid="{7894FA48-6756-482E-ADED-68CDA20C30C3}" name="Column10753"/>
    <tableColumn id="10754" xr3:uid="{0FA7D99D-E8A4-4047-A4E1-F3DFD6943A98}" name="Column10754"/>
    <tableColumn id="10755" xr3:uid="{BA313B41-822C-4B72-B32D-F1AA9E26663C}" name="Column10755"/>
    <tableColumn id="10756" xr3:uid="{5A6D847F-718C-4595-BD79-44AFAB34FC1F}" name="Column10756"/>
    <tableColumn id="10757" xr3:uid="{142E6589-EF7B-4A10-97E4-1D846A24450C}" name="Column10757"/>
    <tableColumn id="10758" xr3:uid="{9143CE8D-708F-478E-AF59-1C50B1AE59AE}" name="Column10758"/>
    <tableColumn id="10759" xr3:uid="{75903C94-6FC6-40FF-B064-2EDDC3F934A2}" name="Column10759"/>
    <tableColumn id="10760" xr3:uid="{4EA072BD-E81F-4C54-BB93-9F5548321A9B}" name="Column10760"/>
    <tableColumn id="10761" xr3:uid="{16454739-3DBD-4BF6-A834-317467B691B4}" name="Column10761"/>
    <tableColumn id="10762" xr3:uid="{23A4BEFD-6AB2-43B3-A0BA-E166EEB2C260}" name="Column10762"/>
    <tableColumn id="10763" xr3:uid="{7304BA21-02C5-46DB-857A-A276C0B573A6}" name="Column10763"/>
    <tableColumn id="10764" xr3:uid="{38AC21ED-C860-487A-83D9-7E5CEC261316}" name="Column10764"/>
    <tableColumn id="10765" xr3:uid="{2FF92CCC-35D2-4EEA-B21B-90549BD29D03}" name="Column10765"/>
    <tableColumn id="10766" xr3:uid="{0B065ADF-87C9-45C7-B663-33F1A1991F75}" name="Column10766"/>
    <tableColumn id="10767" xr3:uid="{A4C4E00D-F02A-4D23-8BEE-1C6C38BD2956}" name="Column10767"/>
    <tableColumn id="10768" xr3:uid="{0CF6091C-884E-44A8-84BD-DB51FEEB1F5A}" name="Column10768"/>
    <tableColumn id="10769" xr3:uid="{4D55E11B-02EF-44E2-BFC2-1A493CF56F9F}" name="Column10769"/>
    <tableColumn id="10770" xr3:uid="{76A2F10E-C86C-4E41-A3C4-07406F167322}" name="Column10770"/>
    <tableColumn id="10771" xr3:uid="{8AD21566-3EC4-4A2F-B550-3684BE6D33DD}" name="Column10771"/>
    <tableColumn id="10772" xr3:uid="{76B284EA-E738-42EF-AE03-6BA32EDCFC84}" name="Column10772"/>
    <tableColumn id="10773" xr3:uid="{DB4224F9-C458-44E1-A969-3B9EDACB4B0F}" name="Column10773"/>
    <tableColumn id="10774" xr3:uid="{86544AE6-B51B-4499-A5A1-9AFFA1FD8632}" name="Column10774"/>
    <tableColumn id="10775" xr3:uid="{0AD4549E-D1E9-4315-A03E-605A0038D0A0}" name="Column10775"/>
    <tableColumn id="10776" xr3:uid="{B6CB7DF2-DB62-47D4-96AE-631FAD8ECA64}" name="Column10776"/>
    <tableColumn id="10777" xr3:uid="{D8447B42-8FE1-40B7-8759-434C8CA9757C}" name="Column10777"/>
    <tableColumn id="10778" xr3:uid="{450BB6F5-03E6-4BAE-9622-A47F8DF29919}" name="Column10778"/>
    <tableColumn id="10779" xr3:uid="{BBAE13B3-AA10-4B21-B923-3C4DACC2A058}" name="Column10779"/>
    <tableColumn id="10780" xr3:uid="{EBC2CC33-8EDE-45F3-BC1B-108C07FCBA59}" name="Column10780"/>
    <tableColumn id="10781" xr3:uid="{1BC301AA-0D27-4818-9611-6CF76B1E13E1}" name="Column10781"/>
    <tableColumn id="10782" xr3:uid="{A21257A2-666E-40BB-92B4-032008273652}" name="Column10782"/>
    <tableColumn id="10783" xr3:uid="{FA08CE02-2107-455A-8395-DD62DC56259E}" name="Column10783"/>
    <tableColumn id="10784" xr3:uid="{25CE5EF8-3B9B-4819-9C2A-012B3D49F5AC}" name="Column10784"/>
    <tableColumn id="10785" xr3:uid="{EF2FE76F-09A1-4E38-8693-37F6BECE4718}" name="Column10785"/>
    <tableColumn id="10786" xr3:uid="{2B619017-EDDE-4E50-A1BC-203DA4357C35}" name="Column10786"/>
    <tableColumn id="10787" xr3:uid="{1B58DDF4-3FE9-4383-918C-5DFBF15F7E99}" name="Column10787"/>
    <tableColumn id="10788" xr3:uid="{8E2B29C9-3ABE-445A-97FA-459265AEB276}" name="Column10788"/>
    <tableColumn id="10789" xr3:uid="{CEE06E09-04EE-4363-9468-E3AD06039C12}" name="Column10789"/>
    <tableColumn id="10790" xr3:uid="{0819B0E4-569D-4043-9C04-576521728BD5}" name="Column10790"/>
    <tableColumn id="10791" xr3:uid="{094FF4D5-3EEE-4220-88CE-ABEA723F3957}" name="Column10791"/>
    <tableColumn id="10792" xr3:uid="{0FC32B20-22DE-4DED-9D77-F7D75CED22C1}" name="Column10792"/>
    <tableColumn id="10793" xr3:uid="{56B0648E-8E1B-49D4-8D03-67F66139AC05}" name="Column10793"/>
    <tableColumn id="10794" xr3:uid="{E8F323D6-D85A-4E55-BE09-0B7A9B730E7A}" name="Column10794"/>
    <tableColumn id="10795" xr3:uid="{D3A57540-6EA7-4309-B9F0-E33E4746B490}" name="Column10795"/>
    <tableColumn id="10796" xr3:uid="{F53D3082-0AEE-40A4-AEE4-2D609451AEE4}" name="Column10796"/>
    <tableColumn id="10797" xr3:uid="{F1161B20-AAB9-46AF-BFAC-008D74000579}" name="Column10797"/>
    <tableColumn id="10798" xr3:uid="{1D8B46C1-F83B-49AF-B703-E0DDE2E5B808}" name="Column10798"/>
    <tableColumn id="10799" xr3:uid="{B70EB9C6-395A-4760-9E32-FA1D0ABB7271}" name="Column10799"/>
    <tableColumn id="10800" xr3:uid="{8D5F0E6D-245D-4145-9170-3AC1B68012E2}" name="Column10800"/>
    <tableColumn id="10801" xr3:uid="{8068BCF5-52F8-47ED-9C6F-9640DED6AEF8}" name="Column10801"/>
    <tableColumn id="10802" xr3:uid="{4C0BD526-D4DE-4F11-9FC7-B87A6957D815}" name="Column10802"/>
    <tableColumn id="10803" xr3:uid="{E9EDB3B7-2F93-46A5-BF9D-3E9A25FD33DF}" name="Column10803"/>
    <tableColumn id="10804" xr3:uid="{C0EFB41F-32C3-40C6-B543-D67A75011572}" name="Column10804"/>
    <tableColumn id="10805" xr3:uid="{7BDE13BE-A42F-4624-950F-C372D1971DEB}" name="Column10805"/>
    <tableColumn id="10806" xr3:uid="{8CBC681B-94FF-4A1B-BA9A-2B1BC52E112A}" name="Column10806"/>
    <tableColumn id="10807" xr3:uid="{5F771CBA-1AC3-4B8E-AD6A-F907EC30B033}" name="Column10807"/>
    <tableColumn id="10808" xr3:uid="{203414B8-59A9-474B-8D83-7139BDC7D7F2}" name="Column10808"/>
    <tableColumn id="10809" xr3:uid="{31B1271B-C69E-40AD-981E-53446E5AB600}" name="Column10809"/>
    <tableColumn id="10810" xr3:uid="{4B3D0788-6279-4598-B9F4-A6F518D9FE5C}" name="Column10810"/>
    <tableColumn id="10811" xr3:uid="{33DB9D4D-FCE8-44E2-B1B7-335ACC283DE1}" name="Column10811"/>
    <tableColumn id="10812" xr3:uid="{4C814137-C912-4D4B-B122-61BEE4F62337}" name="Column10812"/>
    <tableColumn id="10813" xr3:uid="{BDFCA762-6CEF-46B9-A759-15D25E347CE7}" name="Column10813"/>
    <tableColumn id="10814" xr3:uid="{75D95954-C925-4C33-B76B-8562093C0D5B}" name="Column10814"/>
    <tableColumn id="10815" xr3:uid="{F333E83E-54B1-4F63-84B7-84DC4808902E}" name="Column10815"/>
    <tableColumn id="10816" xr3:uid="{49E283D5-2F47-40ED-BF30-E2F6EA022DCD}" name="Column10816"/>
    <tableColumn id="10817" xr3:uid="{F2A3E8ED-7611-4547-B551-8335F54A697C}" name="Column10817"/>
    <tableColumn id="10818" xr3:uid="{B69B30E2-3BE8-4B7E-BF05-2CD1CD69F7AA}" name="Column10818"/>
    <tableColumn id="10819" xr3:uid="{7289AC2D-1ADF-44A6-83AE-E5B2696230BF}" name="Column10819"/>
    <tableColumn id="10820" xr3:uid="{2B327583-2485-4F9E-B372-61E961FA6D78}" name="Column10820"/>
    <tableColumn id="10821" xr3:uid="{4EDA029A-6F75-4B66-9A84-F7744B101480}" name="Column10821"/>
    <tableColumn id="10822" xr3:uid="{3E59478E-8E59-47A9-B1CA-30E9454384A6}" name="Column10822"/>
    <tableColumn id="10823" xr3:uid="{F9986A54-0B21-49C0-BE15-9BF5A268F393}" name="Column10823"/>
    <tableColumn id="10824" xr3:uid="{BF9A1EA3-6B30-4BFE-962B-53149591A9D5}" name="Column10824"/>
    <tableColumn id="10825" xr3:uid="{46E92652-8352-4C84-A8F3-F1E217A2BE6B}" name="Column10825"/>
    <tableColumn id="10826" xr3:uid="{EA484665-3F59-43D0-85D3-77BF3DFD2292}" name="Column10826"/>
    <tableColumn id="10827" xr3:uid="{C2238486-3184-4077-989D-D5C3A8A46AF8}" name="Column10827"/>
    <tableColumn id="10828" xr3:uid="{CD076467-21A2-466A-9576-4A0BB7F6A767}" name="Column10828"/>
    <tableColumn id="10829" xr3:uid="{83836672-85BE-41C4-9C22-4CC6BE3775DD}" name="Column10829"/>
    <tableColumn id="10830" xr3:uid="{60D0E3C3-8D23-41F0-B081-5BFF0FDC1067}" name="Column10830"/>
    <tableColumn id="10831" xr3:uid="{461C1CB7-0926-464B-8E7C-CEB49CB9DFFE}" name="Column10831"/>
    <tableColumn id="10832" xr3:uid="{74F161C7-8D06-4E65-A7D9-6E3A94EB93D6}" name="Column10832"/>
    <tableColumn id="10833" xr3:uid="{2E62D643-8372-4756-BB47-F30087A38EB5}" name="Column10833"/>
    <tableColumn id="10834" xr3:uid="{8521CD53-B6BE-424E-919D-54420F7BE218}" name="Column10834"/>
    <tableColumn id="10835" xr3:uid="{5B164C4C-3281-404C-8D1E-7FE10AC96EA7}" name="Column10835"/>
    <tableColumn id="10836" xr3:uid="{4CCBA926-4F85-459A-A6C7-67EBED82ACE1}" name="Column10836"/>
    <tableColumn id="10837" xr3:uid="{61F4D313-FC93-4F7C-9F79-E50BB71D124F}" name="Column10837"/>
    <tableColumn id="10838" xr3:uid="{490B95F5-953E-4B31-A384-E7DA08D5B493}" name="Column10838"/>
    <tableColumn id="10839" xr3:uid="{1A184EB8-D95C-4947-99F0-DB48B3AF802D}" name="Column10839"/>
    <tableColumn id="10840" xr3:uid="{142ED82E-3E91-4157-93C5-285701EC781B}" name="Column10840"/>
    <tableColumn id="10841" xr3:uid="{FB88BEB1-8891-4E60-92B6-D8F98D30C677}" name="Column10841"/>
    <tableColumn id="10842" xr3:uid="{0BA1353E-B803-4643-82C6-AE99A0B6D4E6}" name="Column10842"/>
    <tableColumn id="10843" xr3:uid="{A6F53888-5524-407E-8ED6-61580B48BC98}" name="Column10843"/>
    <tableColumn id="10844" xr3:uid="{79B8061F-26D7-4E48-8875-8C3673D09576}" name="Column10844"/>
    <tableColumn id="10845" xr3:uid="{3DFFDD75-6261-41BE-A96B-5E6C05831EC8}" name="Column10845"/>
    <tableColumn id="10846" xr3:uid="{9B5A0097-71BA-405E-9DB0-B65E3794F010}" name="Column10846"/>
    <tableColumn id="10847" xr3:uid="{C603C65E-CAB6-46A4-8236-388FED093FDA}" name="Column10847"/>
    <tableColumn id="10848" xr3:uid="{2272127E-FCE1-4026-B3B3-4B628305D11A}" name="Column10848"/>
    <tableColumn id="10849" xr3:uid="{62D2BE10-B64C-4A3A-BEB7-F1FB26AE2A8D}" name="Column10849"/>
    <tableColumn id="10850" xr3:uid="{620D9DF9-1605-4C38-841C-AC935455376A}" name="Column10850"/>
    <tableColumn id="10851" xr3:uid="{C6CB9280-109B-427B-9459-17D4DBF6046D}" name="Column10851"/>
    <tableColumn id="10852" xr3:uid="{82D9245E-7E4E-4CBC-B4AC-4D92EFD6F8C6}" name="Column10852"/>
    <tableColumn id="10853" xr3:uid="{F378F2DD-50A7-4704-B090-DF4D4957DFD0}" name="Column10853"/>
    <tableColumn id="10854" xr3:uid="{B1C8857A-E840-411F-9B12-E631AF7D4631}" name="Column10854"/>
    <tableColumn id="10855" xr3:uid="{B4FE3030-3680-4702-A555-5731D7B1777A}" name="Column10855"/>
    <tableColumn id="10856" xr3:uid="{15B2065D-5390-4A42-B367-9A31F14F5F30}" name="Column10856"/>
    <tableColumn id="10857" xr3:uid="{8151EBCB-4E7E-47DC-938A-05E6F6E6CE0C}" name="Column10857"/>
    <tableColumn id="10858" xr3:uid="{D5998FFD-228D-4700-BC98-4781BFE842D2}" name="Column10858"/>
    <tableColumn id="10859" xr3:uid="{2DF5C453-E55C-484B-A88D-71E4E6DABD0C}" name="Column10859"/>
    <tableColumn id="10860" xr3:uid="{AC4ECD4E-2D2C-43B1-A9B6-3038AF47937B}" name="Column10860"/>
    <tableColumn id="10861" xr3:uid="{31A89A91-F42D-40D9-B685-25BA37695A5D}" name="Column10861"/>
    <tableColumn id="10862" xr3:uid="{2AFBD9BA-6D47-4016-B417-410E7E7185BE}" name="Column10862"/>
    <tableColumn id="10863" xr3:uid="{A2321CFA-157B-47A8-BD98-ED025CD2FB85}" name="Column10863"/>
    <tableColumn id="10864" xr3:uid="{529AB9E5-E7DA-4D68-94C5-6F8FC34599BF}" name="Column10864"/>
    <tableColumn id="10865" xr3:uid="{B737D729-131F-4B37-9E23-26588174F5A4}" name="Column10865"/>
    <tableColumn id="10866" xr3:uid="{1A3714AE-9051-4180-B609-7BF72F450487}" name="Column10866"/>
    <tableColumn id="10867" xr3:uid="{6635B6AD-8D43-470F-84F1-3544205F257B}" name="Column10867"/>
    <tableColumn id="10868" xr3:uid="{24DCE35D-E793-4CDE-8F01-52C8AC739A26}" name="Column10868"/>
    <tableColumn id="10869" xr3:uid="{69F1CE40-6C82-42CD-83AD-E916FE282BEB}" name="Column10869"/>
    <tableColumn id="10870" xr3:uid="{1AF0C6FF-F997-45F8-BA68-B64553ADE63B}" name="Column10870"/>
    <tableColumn id="10871" xr3:uid="{67E26356-DB3C-4A1C-B1FD-AF66EA7CDE02}" name="Column10871"/>
    <tableColumn id="10872" xr3:uid="{4E23166A-E870-4C8F-A878-1C7D2F805FA6}" name="Column10872"/>
    <tableColumn id="10873" xr3:uid="{AB86FC76-3B5E-4547-866B-616CECF27B49}" name="Column10873"/>
    <tableColumn id="10874" xr3:uid="{974E8566-9F75-4D82-900F-19D83898F66F}" name="Column10874"/>
    <tableColumn id="10875" xr3:uid="{06E44576-71F1-4C95-AF41-1CA3A1EBDD4F}" name="Column10875"/>
    <tableColumn id="10876" xr3:uid="{02106083-E73F-4925-BC28-868F569610C0}" name="Column10876"/>
    <tableColumn id="10877" xr3:uid="{67518D43-752E-4035-BC44-FC0D4FDE9A07}" name="Column10877"/>
    <tableColumn id="10878" xr3:uid="{3409655E-FF2B-4A16-B69B-09BC26016175}" name="Column10878"/>
    <tableColumn id="10879" xr3:uid="{DA6BD7B6-1994-4AB6-B556-D8375C4E8F07}" name="Column10879"/>
    <tableColumn id="10880" xr3:uid="{4E9A39BA-35FD-41A0-B50C-23DBCE56525A}" name="Column10880"/>
    <tableColumn id="10881" xr3:uid="{A6657A1C-B8C4-4564-878B-B79EE2CCA170}" name="Column10881"/>
    <tableColumn id="10882" xr3:uid="{9F3B12D8-25C3-4FC1-83E7-0712F0BBA518}" name="Column10882"/>
    <tableColumn id="10883" xr3:uid="{6E9B09AF-A63E-4466-A9A2-8990855C0F97}" name="Column10883"/>
    <tableColumn id="10884" xr3:uid="{C099E4F0-22A9-477D-B9C0-0087DE7BD501}" name="Column10884"/>
    <tableColumn id="10885" xr3:uid="{7C8217EB-167F-4EFF-B3D8-C1FB9613F7D2}" name="Column10885"/>
    <tableColumn id="10886" xr3:uid="{8939923A-A64B-474C-9199-8A71365434AA}" name="Column10886"/>
    <tableColumn id="10887" xr3:uid="{9F882118-E8B9-4C71-B83E-E945EA469BFD}" name="Column10887"/>
    <tableColumn id="10888" xr3:uid="{91C4D5DA-ADAF-4F89-8FAA-BBB81811DDC9}" name="Column10888"/>
    <tableColumn id="10889" xr3:uid="{63E35092-387F-49A4-9BD5-79FBA4C3E1F2}" name="Column10889"/>
    <tableColumn id="10890" xr3:uid="{CAE638EF-A47F-4988-8213-E254C36BF554}" name="Column10890"/>
    <tableColumn id="10891" xr3:uid="{1BD0B0BA-A26C-46AD-AB30-64D4049DF11A}" name="Column10891"/>
    <tableColumn id="10892" xr3:uid="{3C0CCFF3-145C-425D-8AEF-BC3B5277EFFB}" name="Column10892"/>
    <tableColumn id="10893" xr3:uid="{22A8156E-F808-4789-9E87-C9F695E60046}" name="Column10893"/>
    <tableColumn id="10894" xr3:uid="{3606E013-A8A7-4AE8-A4F3-007155F40BEF}" name="Column10894"/>
    <tableColumn id="10895" xr3:uid="{6422516B-6868-4B21-B6B3-B86E6C4AC3D5}" name="Column10895"/>
    <tableColumn id="10896" xr3:uid="{06BA79EF-2AB5-40E6-B254-99492AD1660F}" name="Column10896"/>
    <tableColumn id="10897" xr3:uid="{59D02FE7-B7C3-481C-BDE3-CAD6F4A8F9FB}" name="Column10897"/>
    <tableColumn id="10898" xr3:uid="{22E58EB1-278D-4053-975A-F3C796BBA9ED}" name="Column10898"/>
    <tableColumn id="10899" xr3:uid="{FF9A1269-5C67-46B7-80C8-0ABDA08C43B9}" name="Column10899"/>
    <tableColumn id="10900" xr3:uid="{AA8E71DF-3272-4943-9356-C5EE1EC79C8E}" name="Column10900"/>
    <tableColumn id="10901" xr3:uid="{914983F2-2E77-4185-AF5C-863FD92FE160}" name="Column10901"/>
    <tableColumn id="10902" xr3:uid="{1C7CCE4F-E2CD-402D-A6DD-AFD86EC9523A}" name="Column10902"/>
    <tableColumn id="10903" xr3:uid="{C6C5DE0E-0FE8-4FFA-B5B4-B03E0E3338FF}" name="Column10903"/>
    <tableColumn id="10904" xr3:uid="{27F3D55A-94C6-443E-842F-4358E03963A4}" name="Column10904"/>
    <tableColumn id="10905" xr3:uid="{8AC871A2-D265-4D99-902A-D85B8175729C}" name="Column10905"/>
    <tableColumn id="10906" xr3:uid="{296E1E8B-F4F3-42F8-8697-8FA8EB2E846D}" name="Column10906"/>
    <tableColumn id="10907" xr3:uid="{154F06D3-15F0-4387-8D0C-3415BFC8417D}" name="Column10907"/>
    <tableColumn id="10908" xr3:uid="{181540C9-1A5B-4DD0-B9C1-CBC2EB33AA52}" name="Column10908"/>
    <tableColumn id="10909" xr3:uid="{49436C65-4CED-4A73-A859-017E846F928A}" name="Column10909"/>
    <tableColumn id="10910" xr3:uid="{331987CF-89E2-4288-823C-4CB787668BCE}" name="Column10910"/>
    <tableColumn id="10911" xr3:uid="{95790274-0037-4837-99A3-6BE92BC350A5}" name="Column10911"/>
    <tableColumn id="10912" xr3:uid="{E92CBB7F-68C8-4626-B44C-F6B295A6767D}" name="Column10912"/>
    <tableColumn id="10913" xr3:uid="{D89612FA-50CE-4918-BF0B-CF77C7695EB3}" name="Column10913"/>
    <tableColumn id="10914" xr3:uid="{2BDC5A77-56EA-4197-B105-2F43E2D31457}" name="Column10914"/>
    <tableColumn id="10915" xr3:uid="{523D6E27-3B16-4389-B4CF-6BED289A3BF5}" name="Column10915"/>
    <tableColumn id="10916" xr3:uid="{69A0E184-7515-4026-9B09-2D9FBC3AC8F4}" name="Column10916"/>
    <tableColumn id="10917" xr3:uid="{CFC0CAA8-E93D-4C78-9BB8-85295225F7C0}" name="Column10917"/>
    <tableColumn id="10918" xr3:uid="{A84D6D7B-D917-467E-A28A-7B071041B1C5}" name="Column10918"/>
    <tableColumn id="10919" xr3:uid="{AEA9A6B1-C430-48CF-BF87-7C1722F8C82D}" name="Column10919"/>
    <tableColumn id="10920" xr3:uid="{AFB71FC0-A462-4226-831A-C5DD03FE9925}" name="Column10920"/>
    <tableColumn id="10921" xr3:uid="{BD0163EA-B9F1-4C5F-B010-0B62E17DC359}" name="Column10921"/>
    <tableColumn id="10922" xr3:uid="{ADF9B98F-5C50-4AF3-B9F6-8227978666D2}" name="Column10922"/>
    <tableColumn id="10923" xr3:uid="{3757715D-6C3A-44CF-A47D-2BBED8FFA137}" name="Column10923"/>
    <tableColumn id="10924" xr3:uid="{BC0B2ECF-9640-4385-BD85-DF4A95E73E9D}" name="Column10924"/>
    <tableColumn id="10925" xr3:uid="{A5DA6548-37CB-412E-B268-56BEFCC1B474}" name="Column10925"/>
    <tableColumn id="10926" xr3:uid="{03969C3B-FCE6-4578-9F65-CE361F2AC4CB}" name="Column10926"/>
    <tableColumn id="10927" xr3:uid="{AB8AF19F-50D3-46FE-AFAC-E3471828B70A}" name="Column10927"/>
    <tableColumn id="10928" xr3:uid="{4BEC8F0C-6355-4192-88ED-715F635AC6E4}" name="Column10928"/>
    <tableColumn id="10929" xr3:uid="{FDD4C6B6-55B3-4C70-BFA1-1FCB62893E9B}" name="Column10929"/>
    <tableColumn id="10930" xr3:uid="{7AC9E80B-64AB-4EBE-AAC2-4AEC59B4E8EB}" name="Column10930"/>
    <tableColumn id="10931" xr3:uid="{8A752559-2EFF-4D3C-9EDF-5FB7754E44C5}" name="Column10931"/>
    <tableColumn id="10932" xr3:uid="{FADF385C-28B8-454B-B69D-F24C78C827DE}" name="Column10932"/>
    <tableColumn id="10933" xr3:uid="{12F6D61F-5558-4F28-B410-780E192B81FB}" name="Column10933"/>
    <tableColumn id="10934" xr3:uid="{AE47FFA7-EC38-4F0C-8398-09DACFE1C198}" name="Column10934"/>
    <tableColumn id="10935" xr3:uid="{F134E076-7AE9-4BB4-8EFF-7E99AE300789}" name="Column10935"/>
    <tableColumn id="10936" xr3:uid="{60ADB894-BD0A-4379-B5B8-C7BF58756491}" name="Column10936"/>
    <tableColumn id="10937" xr3:uid="{341A88AA-85D3-4FEE-A95D-26A4EA404886}" name="Column10937"/>
    <tableColumn id="10938" xr3:uid="{9339D7C8-660A-4E42-9698-85B0654A71B9}" name="Column10938"/>
    <tableColumn id="10939" xr3:uid="{EB86C8A4-5AFD-4B23-8578-562C7A87D630}" name="Column10939"/>
    <tableColumn id="10940" xr3:uid="{EAF3F272-1B31-46E4-9459-C13B305DDFDC}" name="Column10940"/>
    <tableColumn id="10941" xr3:uid="{25F4CA21-2C90-407D-B74B-6B896A9EB807}" name="Column10941"/>
    <tableColumn id="10942" xr3:uid="{70D5BFBD-5563-465B-8CE7-21E756A0648C}" name="Column10942"/>
    <tableColumn id="10943" xr3:uid="{8A36A9DB-BAEE-4D04-81B4-52F87D410EE2}" name="Column10943"/>
    <tableColumn id="10944" xr3:uid="{603307AB-9298-46E5-8389-EE67ACCBC928}" name="Column10944"/>
    <tableColumn id="10945" xr3:uid="{E6BA10AE-886A-4EEE-9CE3-DD38D7376CBC}" name="Column10945"/>
    <tableColumn id="10946" xr3:uid="{6729FCE8-4245-4D55-B465-9E1B4C44357D}" name="Column10946"/>
    <tableColumn id="10947" xr3:uid="{72A477F5-9074-4412-97C6-15E622FBA3EF}" name="Column10947"/>
    <tableColumn id="10948" xr3:uid="{195C4577-531C-49A6-BC87-42E216E8447A}" name="Column10948"/>
    <tableColumn id="10949" xr3:uid="{9B8299DF-C452-44FB-9D65-F4FF97D3EEC3}" name="Column10949"/>
    <tableColumn id="10950" xr3:uid="{9BC992EB-B50B-4B78-AC56-47AE1E18C042}" name="Column10950"/>
    <tableColumn id="10951" xr3:uid="{E7DC50A8-8093-4F55-A51B-0D37FC429274}" name="Column10951"/>
    <tableColumn id="10952" xr3:uid="{9179FE85-5F7D-4DC6-94BA-DD93BEC97B01}" name="Column10952"/>
    <tableColumn id="10953" xr3:uid="{DC1927B2-B71E-43EF-B298-F955666ECD3D}" name="Column10953"/>
    <tableColumn id="10954" xr3:uid="{9950E6F9-45E7-4109-BF0E-9B38F684253C}" name="Column10954"/>
    <tableColumn id="10955" xr3:uid="{7F5B71FC-5E13-4134-B2F3-4668D0FD8B85}" name="Column10955"/>
    <tableColumn id="10956" xr3:uid="{3E052313-D085-44CF-86D8-167EF4293A6E}" name="Column10956"/>
    <tableColumn id="10957" xr3:uid="{07C99D3E-FF2B-49A2-BD9C-9952B2312EE9}" name="Column10957"/>
    <tableColumn id="10958" xr3:uid="{7F85D18D-DB51-4147-8DF7-550DA6C086B0}" name="Column10958"/>
    <tableColumn id="10959" xr3:uid="{325D9474-7B38-4115-83B4-39E5D90C2049}" name="Column10959"/>
    <tableColumn id="10960" xr3:uid="{404835A2-D18A-4271-A81A-FEF4BF336897}" name="Column10960"/>
    <tableColumn id="10961" xr3:uid="{BC242A04-8278-4FB1-8C2C-97065721295A}" name="Column10961"/>
    <tableColumn id="10962" xr3:uid="{A9EC3857-E70F-45E2-A8B1-50B97C33C097}" name="Column10962"/>
    <tableColumn id="10963" xr3:uid="{EF95F254-B1FC-47C8-BF28-E1472FE2543F}" name="Column10963"/>
    <tableColumn id="10964" xr3:uid="{F56F92E7-2351-4B59-86C2-AA2FFF1C4525}" name="Column10964"/>
    <tableColumn id="10965" xr3:uid="{B5995496-4A6C-4EF0-AF76-3F9BD8380ADB}" name="Column10965"/>
    <tableColumn id="10966" xr3:uid="{C9E2DB90-7F9B-42A6-ADE1-EC4269C33142}" name="Column10966"/>
    <tableColumn id="10967" xr3:uid="{B66CA849-AC4C-4D04-A337-D44BB053DAB1}" name="Column10967"/>
    <tableColumn id="10968" xr3:uid="{9B56E53C-7330-4D72-BB9D-67E22B70D205}" name="Column10968"/>
    <tableColumn id="10969" xr3:uid="{2EAF5276-FDBE-48B0-9B45-AFA159779D09}" name="Column10969"/>
    <tableColumn id="10970" xr3:uid="{7E6B98D4-F780-45FF-BD0D-199B3375904A}" name="Column10970"/>
    <tableColumn id="10971" xr3:uid="{24E7E381-914B-4ECA-B738-E0D38EE42FC3}" name="Column10971"/>
    <tableColumn id="10972" xr3:uid="{BBC1899E-CD6F-48D3-88E3-533DD9C019D0}" name="Column10972"/>
    <tableColumn id="10973" xr3:uid="{34D28FDF-565E-461D-A710-C886FC6B0F12}" name="Column10973"/>
    <tableColumn id="10974" xr3:uid="{F7B426E0-FBB2-4AAC-BF96-A0F92817D4D6}" name="Column10974"/>
    <tableColumn id="10975" xr3:uid="{B392DDC7-E70F-4818-AEF7-6CE38D9F1D4E}" name="Column10975"/>
    <tableColumn id="10976" xr3:uid="{AFCFC3D2-6AA1-466D-8D90-25498871AD06}" name="Column10976"/>
    <tableColumn id="10977" xr3:uid="{384075C8-E7B3-44FC-AB47-5327E1A3F854}" name="Column10977"/>
    <tableColumn id="10978" xr3:uid="{97D3CE89-23C7-4C09-8B4E-ECF5B07FE2E2}" name="Column10978"/>
    <tableColumn id="10979" xr3:uid="{28C2CA0C-00E5-4D94-9445-7E01EBEE187F}" name="Column10979"/>
    <tableColumn id="10980" xr3:uid="{D29AE889-973F-4C67-9AE8-A72AC92EF10D}" name="Column10980"/>
    <tableColumn id="10981" xr3:uid="{0733DEFD-77D9-4178-A39A-6B9A148DC383}" name="Column10981"/>
    <tableColumn id="10982" xr3:uid="{6E00DC14-493D-467C-8AE3-1AB3770CD697}" name="Column10982"/>
    <tableColumn id="10983" xr3:uid="{4562C058-BF98-47AA-B66D-2DB8CB23291A}" name="Column10983"/>
    <tableColumn id="10984" xr3:uid="{04224B8C-7643-4254-850B-AE8BEBB6ED04}" name="Column10984"/>
    <tableColumn id="10985" xr3:uid="{C3495FBF-543D-4EC5-97E7-72735049D40B}" name="Column10985"/>
    <tableColumn id="10986" xr3:uid="{6DCFB528-32D1-469F-8B26-C34058AA042B}" name="Column10986"/>
    <tableColumn id="10987" xr3:uid="{CD1C58BD-BC5F-42E9-875A-28D4907A2267}" name="Column10987"/>
    <tableColumn id="10988" xr3:uid="{263793A8-BDB2-4DC3-957A-EC0551811FB8}" name="Column10988"/>
    <tableColumn id="10989" xr3:uid="{1AC7F4E9-758B-489C-B126-AB23FB242D93}" name="Column10989"/>
    <tableColumn id="10990" xr3:uid="{121AAF90-53B9-4813-B326-7373C4BF51CC}" name="Column10990"/>
    <tableColumn id="10991" xr3:uid="{9F038F99-2505-47A3-B512-4ADC0FD868E4}" name="Column10991"/>
    <tableColumn id="10992" xr3:uid="{6AB9BBC0-6F7C-445B-99BF-274E1451416C}" name="Column10992"/>
    <tableColumn id="10993" xr3:uid="{41FD0F29-010D-4528-981A-179BB2634205}" name="Column10993"/>
    <tableColumn id="10994" xr3:uid="{72329C11-BFAB-407A-9787-EC93F6DCD6E4}" name="Column10994"/>
    <tableColumn id="10995" xr3:uid="{41D70D9B-52ED-483D-8CD0-BD62A154C07E}" name="Column10995"/>
    <tableColumn id="10996" xr3:uid="{A01C682B-1F43-4CC4-AAB1-F60B274096D4}" name="Column10996"/>
    <tableColumn id="10997" xr3:uid="{A6E82445-E8A3-4232-B061-1C2922DF2DD7}" name="Column10997"/>
    <tableColumn id="10998" xr3:uid="{C1643B19-321F-4438-821A-0C5C8D9016FF}" name="Column10998"/>
    <tableColumn id="10999" xr3:uid="{B67D96AF-9164-4085-A679-692E7877C799}" name="Column10999"/>
    <tableColumn id="11000" xr3:uid="{19410D1D-9B81-499D-84D8-0A8C09889172}" name="Column11000"/>
    <tableColumn id="11001" xr3:uid="{2A37940D-E726-45EE-8EEE-5F614AB57DA1}" name="Column11001"/>
    <tableColumn id="11002" xr3:uid="{50D7A6FD-3EC6-4B07-9511-3DF2BF9B3671}" name="Column11002"/>
    <tableColumn id="11003" xr3:uid="{95120B30-A4E8-4C0F-8523-9A953DCA7C67}" name="Column11003"/>
    <tableColumn id="11004" xr3:uid="{53C8E1A5-7F9D-4E5A-9DE6-DBFC3DEDFD91}" name="Column11004"/>
    <tableColumn id="11005" xr3:uid="{C5D16D6D-E39E-45A1-83FC-B626C0969489}" name="Column11005"/>
    <tableColumn id="11006" xr3:uid="{5A4C0D67-377F-4D8F-A681-D895EFDA18AC}" name="Column11006"/>
    <tableColumn id="11007" xr3:uid="{07C08747-2B96-4C9B-820A-DDB045D09191}" name="Column11007"/>
    <tableColumn id="11008" xr3:uid="{446D3E61-7ED4-4202-BCE1-2FEBD0D477F9}" name="Column11008"/>
    <tableColumn id="11009" xr3:uid="{55CD9A75-A6AF-4214-8528-5BE43E35D025}" name="Column11009"/>
    <tableColumn id="11010" xr3:uid="{A241A60B-3DF2-4F99-AEE8-2A966D8D0B72}" name="Column11010"/>
    <tableColumn id="11011" xr3:uid="{4AAACB86-FA8B-4850-A99C-16459FBA89BB}" name="Column11011"/>
    <tableColumn id="11012" xr3:uid="{A1460C62-C4AF-4606-89B4-CCE82A903644}" name="Column11012"/>
    <tableColumn id="11013" xr3:uid="{5F641A3C-C5F1-472F-9EDC-35FDD31E7FB0}" name="Column11013"/>
    <tableColumn id="11014" xr3:uid="{24B98005-6410-4E23-B8B2-5E0886990B42}" name="Column11014"/>
    <tableColumn id="11015" xr3:uid="{55968C2E-8483-468F-AF96-57CE8B683954}" name="Column11015"/>
    <tableColumn id="11016" xr3:uid="{F7537051-550D-4768-9FF0-6505C9835C28}" name="Column11016"/>
    <tableColumn id="11017" xr3:uid="{054BDEDE-08FF-48CC-A9BE-43405F114C17}" name="Column11017"/>
    <tableColumn id="11018" xr3:uid="{BCF4184F-37C0-4BCE-8C50-D265E2FBC439}" name="Column11018"/>
    <tableColumn id="11019" xr3:uid="{4E92A7F3-FC8E-42E7-B066-4CF98CBD7173}" name="Column11019"/>
    <tableColumn id="11020" xr3:uid="{D0151074-CB0F-468E-985B-1D81CA2258FD}" name="Column11020"/>
    <tableColumn id="11021" xr3:uid="{CE89451C-6491-4663-8BC3-46D90D83B219}" name="Column11021"/>
    <tableColumn id="11022" xr3:uid="{3B042C8D-7FA0-4581-B3F3-9937724B5B7D}" name="Column11022"/>
    <tableColumn id="11023" xr3:uid="{B4C51B0D-6C3D-489B-ABFB-3279CA31CA47}" name="Column11023"/>
    <tableColumn id="11024" xr3:uid="{185D86B3-CBB8-4269-B127-9EC3DA5388B9}" name="Column11024"/>
    <tableColumn id="11025" xr3:uid="{E7B113A9-546F-420B-A680-FD502B94B370}" name="Column11025"/>
    <tableColumn id="11026" xr3:uid="{2732C3CF-D096-4A37-AA0A-7063332E8DDA}" name="Column11026"/>
    <tableColumn id="11027" xr3:uid="{B90111B9-B7F6-4EE8-A424-D3D0A168B998}" name="Column11027"/>
    <tableColumn id="11028" xr3:uid="{10E927C8-C4CF-4CF8-B3CE-9D26BFDD8CA9}" name="Column11028"/>
    <tableColumn id="11029" xr3:uid="{3A3F1CAD-0ABA-4863-B4A9-C0BADDC713D6}" name="Column11029"/>
    <tableColumn id="11030" xr3:uid="{8FD365E2-E0E5-4F18-A9AF-75C39A24826C}" name="Column11030"/>
    <tableColumn id="11031" xr3:uid="{894A07DB-D93E-4121-A060-47342F6880E9}" name="Column11031"/>
    <tableColumn id="11032" xr3:uid="{A4AB8177-2DAD-41F2-9AF1-E385D0D5217C}" name="Column11032"/>
    <tableColumn id="11033" xr3:uid="{D45F1603-D380-4326-A3C5-69D039C77EB3}" name="Column11033"/>
    <tableColumn id="11034" xr3:uid="{B49381B5-91E6-4C72-B752-EDDBDC91A525}" name="Column11034"/>
    <tableColumn id="11035" xr3:uid="{29759581-8F35-4A13-B91F-409D3641FBC1}" name="Column11035"/>
    <tableColumn id="11036" xr3:uid="{27060C77-A6D8-4C53-9677-01C61C1C3F6C}" name="Column11036"/>
    <tableColumn id="11037" xr3:uid="{64F44279-DD24-4EBD-977A-E7D77E4F3DE7}" name="Column11037"/>
    <tableColumn id="11038" xr3:uid="{E94AB55C-CADF-41E7-86A4-D65910C2101C}" name="Column11038"/>
    <tableColumn id="11039" xr3:uid="{95DEE102-3843-4CAC-8BC7-E78A229DB342}" name="Column11039"/>
    <tableColumn id="11040" xr3:uid="{CDE44E66-5AF3-4F82-B5CB-19C016D58DAD}" name="Column11040"/>
    <tableColumn id="11041" xr3:uid="{CCF49BD8-43FD-44CB-94E2-3BABB2A24B53}" name="Column11041"/>
    <tableColumn id="11042" xr3:uid="{0FEE28D4-C1EB-43A8-B457-6A04058379E1}" name="Column11042"/>
    <tableColumn id="11043" xr3:uid="{BB6C5AD4-D368-4506-8D78-76EB093AD922}" name="Column11043"/>
    <tableColumn id="11044" xr3:uid="{6B69BA90-8F9B-4633-8911-52F40FC84D07}" name="Column11044"/>
    <tableColumn id="11045" xr3:uid="{DCE6E47B-A43A-4538-AF4B-134E2FD2C2CA}" name="Column11045"/>
    <tableColumn id="11046" xr3:uid="{CA651698-8246-45D1-9F62-F91C0B407473}" name="Column11046"/>
    <tableColumn id="11047" xr3:uid="{97CEC74F-2750-456F-B287-83D41D416ACD}" name="Column11047"/>
    <tableColumn id="11048" xr3:uid="{8AB371BA-CBC1-4206-86E0-25AEA6418AC3}" name="Column11048"/>
    <tableColumn id="11049" xr3:uid="{6CA074D3-238C-4800-83F1-E870652DC7F7}" name="Column11049"/>
    <tableColumn id="11050" xr3:uid="{11A91723-BAC7-4815-A2A9-40CC186631CD}" name="Column11050"/>
    <tableColumn id="11051" xr3:uid="{FC3CBDEB-CF71-4484-844F-F52DF6248BA3}" name="Column11051"/>
    <tableColumn id="11052" xr3:uid="{06B2EB43-5093-41E5-80E4-C256C14A0724}" name="Column11052"/>
    <tableColumn id="11053" xr3:uid="{D288DA4E-D57E-4FEB-AFB1-8F3A4DF38F39}" name="Column11053"/>
    <tableColumn id="11054" xr3:uid="{92E94D50-97F8-438D-9E6E-70931140DE6B}" name="Column11054"/>
    <tableColumn id="11055" xr3:uid="{E2421880-3ED4-468B-BE2A-53E598303899}" name="Column11055"/>
    <tableColumn id="11056" xr3:uid="{559FF17A-B416-4DFD-8DDB-AFD9F459651A}" name="Column11056"/>
    <tableColumn id="11057" xr3:uid="{F38374D0-2A19-43ED-AB81-360E56FCF671}" name="Column11057"/>
    <tableColumn id="11058" xr3:uid="{2E02E130-945D-43ED-9078-4FA73797312E}" name="Column11058"/>
    <tableColumn id="11059" xr3:uid="{7B60ADA0-A590-44A1-B328-1836028FF7F1}" name="Column11059"/>
    <tableColumn id="11060" xr3:uid="{5013C132-69C3-4B09-A0A4-58DE661BAA86}" name="Column11060"/>
    <tableColumn id="11061" xr3:uid="{B48596B4-9E67-4A34-9F3B-C7243E1A303D}" name="Column11061"/>
    <tableColumn id="11062" xr3:uid="{D9095D9C-59CB-4B4E-8387-DBEA17A8CDE0}" name="Column11062"/>
    <tableColumn id="11063" xr3:uid="{056757AF-7E53-43F6-8D7E-B8D49BE387DA}" name="Column11063"/>
    <tableColumn id="11064" xr3:uid="{CCD9EC4B-B94B-4EB8-A05F-1AFF9FD7F1AB}" name="Column11064"/>
    <tableColumn id="11065" xr3:uid="{371D2E72-C273-42C6-9105-472BE9A05C32}" name="Column11065"/>
    <tableColumn id="11066" xr3:uid="{B928834B-AE54-4A02-B61A-0F4D9BBA3426}" name="Column11066"/>
    <tableColumn id="11067" xr3:uid="{ED0EA86B-5AE2-4893-849F-845EA68166F5}" name="Column11067"/>
    <tableColumn id="11068" xr3:uid="{1CF95CB2-0DE8-4873-AF35-6DB38C0E7D97}" name="Column11068"/>
    <tableColumn id="11069" xr3:uid="{D87C3710-B8DA-4067-A12E-6B4C90C9FDAA}" name="Column11069"/>
    <tableColumn id="11070" xr3:uid="{96CF6ED3-DF3F-4F25-9444-FACB4E3974C8}" name="Column11070"/>
    <tableColumn id="11071" xr3:uid="{109E220F-6B0E-4731-BCCE-FBD47646063D}" name="Column11071"/>
    <tableColumn id="11072" xr3:uid="{E50C4BF5-6067-414E-9767-391B10D4A7F2}" name="Column11072"/>
    <tableColumn id="11073" xr3:uid="{02882AFA-D157-4B01-A50E-23DA851015BA}" name="Column11073"/>
    <tableColumn id="11074" xr3:uid="{A2A169EC-69B1-44B3-B252-3F07D3140F90}" name="Column11074"/>
    <tableColumn id="11075" xr3:uid="{1B33154C-F18F-4D10-808C-68944371C0E8}" name="Column11075"/>
    <tableColumn id="11076" xr3:uid="{4521D9E4-0676-46B2-9E5B-2941E000FAAA}" name="Column11076"/>
    <tableColumn id="11077" xr3:uid="{70945819-A315-4186-A5C3-E9801C9B3099}" name="Column11077"/>
    <tableColumn id="11078" xr3:uid="{C94F6805-5042-484A-8FE8-3B59998FDCB2}" name="Column11078"/>
    <tableColumn id="11079" xr3:uid="{A02C44C5-B6EE-42F2-8D41-585F93FC2D02}" name="Column11079"/>
    <tableColumn id="11080" xr3:uid="{9B92FC80-0414-440F-8416-A4BAAEBB5CDB}" name="Column11080"/>
    <tableColumn id="11081" xr3:uid="{E2DFD2A1-F60C-4424-AD86-6841B36DB331}" name="Column11081"/>
    <tableColumn id="11082" xr3:uid="{FE980378-031F-4688-BBD0-1323EDC59340}" name="Column11082"/>
    <tableColumn id="11083" xr3:uid="{E7D125B0-B0A2-4F45-A1FB-68F02B128351}" name="Column11083"/>
    <tableColumn id="11084" xr3:uid="{CD072B9B-D502-4C58-B409-8D34D7DA9CE4}" name="Column11084"/>
    <tableColumn id="11085" xr3:uid="{6D3C6390-28C5-4491-B90E-DE8678FDF719}" name="Column11085"/>
    <tableColumn id="11086" xr3:uid="{45F9F1C8-4B5F-43DC-A7A9-F8628495BDD8}" name="Column11086"/>
    <tableColumn id="11087" xr3:uid="{EC85B385-9CD9-49CF-9A73-56F488D3F028}" name="Column11087"/>
    <tableColumn id="11088" xr3:uid="{A82459E8-91D0-44FF-BFBE-AEDDE505E85A}" name="Column11088"/>
    <tableColumn id="11089" xr3:uid="{9CB41ED9-6443-4D52-A867-907942C10000}" name="Column11089"/>
    <tableColumn id="11090" xr3:uid="{EE0C2ED0-09CB-4B13-A1D7-72D1E6A6ED78}" name="Column11090"/>
    <tableColumn id="11091" xr3:uid="{CE9E1FFE-8D8D-4BE4-9730-CC40CD3982EA}" name="Column11091"/>
    <tableColumn id="11092" xr3:uid="{B48E46F0-10E9-463E-88EF-4B84A36AB4CB}" name="Column11092"/>
    <tableColumn id="11093" xr3:uid="{E6190AFA-86B8-4BFD-9BE8-46CA085470EA}" name="Column11093"/>
    <tableColumn id="11094" xr3:uid="{AA7158BF-34F1-4EF8-BDC2-E644289992A4}" name="Column11094"/>
    <tableColumn id="11095" xr3:uid="{27D74959-20FF-4DA3-BA3C-4196BFE905C9}" name="Column11095"/>
    <tableColumn id="11096" xr3:uid="{9E6CFD4A-72CB-4F37-A7FB-A3298153D7C3}" name="Column11096"/>
    <tableColumn id="11097" xr3:uid="{25E2C54B-39B6-4D70-B166-588DAC076881}" name="Column11097"/>
    <tableColumn id="11098" xr3:uid="{FD4008EB-D3CF-46C4-8011-3D62EA9CB8AC}" name="Column11098"/>
    <tableColumn id="11099" xr3:uid="{CC9A9856-4560-49DA-AFE6-14232D1F3027}" name="Column11099"/>
    <tableColumn id="11100" xr3:uid="{380D4CA8-4471-4F94-A717-2A4489690742}" name="Column11100"/>
    <tableColumn id="11101" xr3:uid="{B2E9DBBE-BA30-4A2D-AD3F-118AC8D7C63A}" name="Column11101"/>
    <tableColumn id="11102" xr3:uid="{E4B70A0E-0061-433F-8B60-6E9DF034FF1D}" name="Column11102"/>
    <tableColumn id="11103" xr3:uid="{BCE95554-481C-403C-898C-5C567BC49A48}" name="Column11103"/>
    <tableColumn id="11104" xr3:uid="{92717D2A-4096-422D-9A1B-C9BD21FD7F12}" name="Column11104"/>
    <tableColumn id="11105" xr3:uid="{428CBF19-A512-4285-9F3A-024A0827AC98}" name="Column11105"/>
    <tableColumn id="11106" xr3:uid="{4A1E388A-B6D9-4624-9416-FE262231FB61}" name="Column11106"/>
    <tableColumn id="11107" xr3:uid="{5D6F4579-CB2A-4620-A911-14C68F6982F1}" name="Column11107"/>
    <tableColumn id="11108" xr3:uid="{AC0D6DDA-6E57-4441-A532-408845E3F359}" name="Column11108"/>
    <tableColumn id="11109" xr3:uid="{1C7A9A95-1CDA-4E40-9D36-C4DFD51F9F76}" name="Column11109"/>
    <tableColumn id="11110" xr3:uid="{EB68C824-7C54-41C3-B807-FD1B9CD5A0E8}" name="Column11110"/>
    <tableColumn id="11111" xr3:uid="{BDD0CB73-3CD7-4B03-ADEB-0ABF9600D6AA}" name="Column11111"/>
    <tableColumn id="11112" xr3:uid="{24539015-46F8-4911-B290-E108737DAF79}" name="Column11112"/>
    <tableColumn id="11113" xr3:uid="{667CDB03-3AE2-4270-9906-83277B949227}" name="Column11113"/>
    <tableColumn id="11114" xr3:uid="{8B07AF76-A2E0-45E1-995E-698DFB0495F0}" name="Column11114"/>
    <tableColumn id="11115" xr3:uid="{66C4A91C-684D-4EB6-9AC4-16BB86989F18}" name="Column11115"/>
    <tableColumn id="11116" xr3:uid="{E71E7A5D-FB56-4F33-9164-0B31CA0DA38A}" name="Column11116"/>
    <tableColumn id="11117" xr3:uid="{11421135-E448-498F-858F-7CE2C2B9B9E9}" name="Column11117"/>
    <tableColumn id="11118" xr3:uid="{AF6A6429-1E8A-4D10-8E85-BB7C00599E4D}" name="Column11118"/>
    <tableColumn id="11119" xr3:uid="{9C19C192-5A33-4F8B-B154-36869E838306}" name="Column11119"/>
    <tableColumn id="11120" xr3:uid="{3F4C0579-EEF5-4E7C-9C57-A598B85C8BC4}" name="Column11120"/>
    <tableColumn id="11121" xr3:uid="{31821756-D5B8-4928-A46B-3BBC64634774}" name="Column11121"/>
    <tableColumn id="11122" xr3:uid="{31534E0B-9833-4817-9DF7-5BE914EA192D}" name="Column11122"/>
    <tableColumn id="11123" xr3:uid="{8B88F7E7-6114-4D16-AC99-AA0230977B01}" name="Column11123"/>
    <tableColumn id="11124" xr3:uid="{C610F835-759C-42E0-8EBB-206BCB5B50ED}" name="Column11124"/>
    <tableColumn id="11125" xr3:uid="{76AED815-663F-4493-9CAB-8577D2C7C15F}" name="Column11125"/>
    <tableColumn id="11126" xr3:uid="{39808A06-BBB4-4321-8980-66D1D60243B7}" name="Column11126"/>
    <tableColumn id="11127" xr3:uid="{5ADF09BD-4B25-408B-8AEA-80ABAB69C216}" name="Column11127"/>
    <tableColumn id="11128" xr3:uid="{9355EE32-C170-408F-BF69-E7606C7CC89D}" name="Column11128"/>
    <tableColumn id="11129" xr3:uid="{8AC23294-0EFB-4008-9060-25C494200C37}" name="Column11129"/>
    <tableColumn id="11130" xr3:uid="{74263950-C93C-40BB-BD57-13891CD4DCBE}" name="Column11130"/>
    <tableColumn id="11131" xr3:uid="{C12188BD-E9F4-42C4-BC5B-E4123D9030CC}" name="Column11131"/>
    <tableColumn id="11132" xr3:uid="{021FCC8F-E068-45D6-94B4-482CEAD9421A}" name="Column11132"/>
    <tableColumn id="11133" xr3:uid="{2566C49C-06AA-485B-A187-F00000050050}" name="Column11133"/>
    <tableColumn id="11134" xr3:uid="{4967A196-FC90-4DD3-8C77-8903D3E69F0D}" name="Column11134"/>
    <tableColumn id="11135" xr3:uid="{C6CC20F5-AB64-4331-A629-3EDD7A5810F7}" name="Column11135"/>
    <tableColumn id="11136" xr3:uid="{6790BCA8-50CD-4A47-8A5C-E1325462458F}" name="Column11136"/>
    <tableColumn id="11137" xr3:uid="{9DD08855-5A75-4252-9C27-526457ED19F6}" name="Column11137"/>
    <tableColumn id="11138" xr3:uid="{16BDCF66-1571-4823-A7B3-B048E1C97A7E}" name="Column11138"/>
    <tableColumn id="11139" xr3:uid="{74080762-E082-498B-A8E9-0BCE3FD48FAE}" name="Column11139"/>
    <tableColumn id="11140" xr3:uid="{31506CB5-7EC0-4802-9DB7-0EE6FCA34A26}" name="Column11140"/>
    <tableColumn id="11141" xr3:uid="{330A55B1-EE59-47E7-B2CE-257F205B311D}" name="Column11141"/>
    <tableColumn id="11142" xr3:uid="{55FEBE94-FD05-4B7D-AB74-042B5E8EC71C}" name="Column11142"/>
    <tableColumn id="11143" xr3:uid="{C6FD412E-1546-4EBF-9C41-941133CC9F59}" name="Column11143"/>
    <tableColumn id="11144" xr3:uid="{A24341C7-25B8-4871-A743-BF93A8E981C7}" name="Column11144"/>
    <tableColumn id="11145" xr3:uid="{FBB84428-53A1-4288-888A-568FF75996DC}" name="Column11145"/>
    <tableColumn id="11146" xr3:uid="{773DF369-958A-41B0-B651-52E5F1FF5415}" name="Column11146"/>
    <tableColumn id="11147" xr3:uid="{97B5FE55-129B-4DF7-B9F1-4EF130FBB14E}" name="Column11147"/>
    <tableColumn id="11148" xr3:uid="{2667FC25-B71C-4041-A53D-CB63F1F7A81A}" name="Column11148"/>
    <tableColumn id="11149" xr3:uid="{DBCFC226-AB5B-4FD7-85AF-A134C49135D7}" name="Column11149"/>
    <tableColumn id="11150" xr3:uid="{3E451594-C360-44FA-89C1-607579B39FC3}" name="Column11150"/>
    <tableColumn id="11151" xr3:uid="{AE7C9F55-6E7E-4CB1-AFB4-2647884B896E}" name="Column11151"/>
    <tableColumn id="11152" xr3:uid="{66E8F33C-D214-4AD9-8885-021F80BC6E07}" name="Column11152"/>
    <tableColumn id="11153" xr3:uid="{9E9434CD-462F-4D2C-8F0E-DAE206260EDE}" name="Column11153"/>
    <tableColumn id="11154" xr3:uid="{E665FB48-EFD5-4C5D-8C25-8F806F79C949}" name="Column11154"/>
    <tableColumn id="11155" xr3:uid="{6C95DA5C-0D3D-4FB0-A989-EBBC54CC5FCC}" name="Column11155"/>
    <tableColumn id="11156" xr3:uid="{C3BEEB81-BF14-48CE-B5DD-DC3915CAFA10}" name="Column11156"/>
    <tableColumn id="11157" xr3:uid="{0D2384B1-9513-4F4E-8158-175A8E9A3955}" name="Column11157"/>
    <tableColumn id="11158" xr3:uid="{E2BB8D0F-8267-4EBB-9723-97ED906A81A6}" name="Column11158"/>
    <tableColumn id="11159" xr3:uid="{46E003E3-F681-4791-B8B1-A85248952B1A}" name="Column11159"/>
    <tableColumn id="11160" xr3:uid="{B9B017BD-F995-49D7-B4C3-B3A67F8AF62A}" name="Column11160"/>
    <tableColumn id="11161" xr3:uid="{2EA46FE1-FD73-4D3A-82FC-BC46E459B3D8}" name="Column11161"/>
    <tableColumn id="11162" xr3:uid="{D9E4386E-8645-4753-878B-32FC0908CE14}" name="Column11162"/>
    <tableColumn id="11163" xr3:uid="{23C6C735-56AA-45ED-8925-4DAB79F38566}" name="Column11163"/>
    <tableColumn id="11164" xr3:uid="{78D0CEBD-9A75-4EFD-A01C-20E1B4221F57}" name="Column11164"/>
    <tableColumn id="11165" xr3:uid="{2006028E-5ED6-4602-9040-ABEF4C1102F0}" name="Column11165"/>
    <tableColumn id="11166" xr3:uid="{80C712CF-B45F-4A7B-B491-D4BAE666481C}" name="Column11166"/>
    <tableColumn id="11167" xr3:uid="{35CBECC6-7D94-45CF-98D1-F63B2CF3D556}" name="Column11167"/>
    <tableColumn id="11168" xr3:uid="{83020E16-F336-44C9-955B-BDB18CD255B0}" name="Column11168"/>
    <tableColumn id="11169" xr3:uid="{22EE6306-3D7A-4122-8AB4-B9FFFF76DF8D}" name="Column11169"/>
    <tableColumn id="11170" xr3:uid="{3B4DA5B0-86D9-456A-8FCD-0174AB0F65CB}" name="Column11170"/>
    <tableColumn id="11171" xr3:uid="{CCE2F206-A6D7-4B29-A872-8A3338038C9C}" name="Column11171"/>
    <tableColumn id="11172" xr3:uid="{F881A594-EF2F-49FB-8C88-B13F4F0CEE26}" name="Column11172"/>
    <tableColumn id="11173" xr3:uid="{3742696D-E3BE-47B7-9024-93CA9EEB0A67}" name="Column11173"/>
    <tableColumn id="11174" xr3:uid="{1151D79B-9DC2-4CA6-A6EF-EB3F83CAD3DA}" name="Column11174"/>
    <tableColumn id="11175" xr3:uid="{9D410C2E-B452-4462-88FB-4A395B353417}" name="Column11175"/>
    <tableColumn id="11176" xr3:uid="{3730CC02-BB44-46EC-8F2C-6F3705B6A9FB}" name="Column11176"/>
    <tableColumn id="11177" xr3:uid="{5E793E00-5619-4E08-8D92-A3EF81FF4201}" name="Column11177"/>
    <tableColumn id="11178" xr3:uid="{8FD87A54-2123-45E8-8CCC-C381BF63A59E}" name="Column11178"/>
    <tableColumn id="11179" xr3:uid="{9574BDE2-3F50-4A5D-9BFF-9B98DD41A525}" name="Column11179"/>
    <tableColumn id="11180" xr3:uid="{FD2E8498-F2E3-4186-A5BB-30F6B2401FEC}" name="Column11180"/>
    <tableColumn id="11181" xr3:uid="{40DF807C-9095-4E0C-8FBD-B441D9F814A1}" name="Column11181"/>
    <tableColumn id="11182" xr3:uid="{337B6258-0230-4382-B05A-143506BA158C}" name="Column11182"/>
    <tableColumn id="11183" xr3:uid="{C93AA4EC-644A-4A7C-BB4A-4EF7C41F15DF}" name="Column11183"/>
    <tableColumn id="11184" xr3:uid="{CE4ADF8A-5066-4C58-9DA4-9325FAD65343}" name="Column11184"/>
    <tableColumn id="11185" xr3:uid="{70FDD850-11DF-4FC5-8217-68E1EFECB440}" name="Column11185"/>
    <tableColumn id="11186" xr3:uid="{7C06A44A-472E-476F-A67C-A62BD4DB5892}" name="Column11186"/>
    <tableColumn id="11187" xr3:uid="{9E9C4148-3E62-4E6D-BDB9-40995788CC5B}" name="Column11187"/>
    <tableColumn id="11188" xr3:uid="{336020EA-F47F-4A1C-ABEC-7C0E3A92C3A0}" name="Column11188"/>
    <tableColumn id="11189" xr3:uid="{B888959A-AAD1-4376-97A4-FA7096FB159C}" name="Column11189"/>
    <tableColumn id="11190" xr3:uid="{D40D5E38-FCC4-4967-A4F3-E35ACF125C3F}" name="Column11190"/>
    <tableColumn id="11191" xr3:uid="{433B5B18-E3A5-4A90-8FF2-200076E589AC}" name="Column11191"/>
    <tableColumn id="11192" xr3:uid="{9960519F-9849-4601-9EF9-BC11039022DC}" name="Column11192"/>
    <tableColumn id="11193" xr3:uid="{5D497473-3C80-4518-80FE-516692153EBA}" name="Column11193"/>
    <tableColumn id="11194" xr3:uid="{A98ABEFB-F927-4CB8-823A-E3AA7270D03B}" name="Column11194"/>
    <tableColumn id="11195" xr3:uid="{479F1348-7232-4C66-9590-213772739B41}" name="Column11195"/>
    <tableColumn id="11196" xr3:uid="{46F002B7-6F58-4A33-8F76-BBE289D4208A}" name="Column11196"/>
    <tableColumn id="11197" xr3:uid="{6F18CF0D-C3D8-4DEB-90C1-35B7E79A7D12}" name="Column11197"/>
    <tableColumn id="11198" xr3:uid="{1AD275A4-9DDF-423C-A6D0-BA7E85BC0071}" name="Column11198"/>
    <tableColumn id="11199" xr3:uid="{48BC8108-877B-4F24-99DA-E49CDA5EBB13}" name="Column11199"/>
    <tableColumn id="11200" xr3:uid="{6DF80CB1-9E3D-44DE-99B4-17621C4F9ED6}" name="Column11200"/>
    <tableColumn id="11201" xr3:uid="{974C3487-7F92-486C-BDD5-0DB8A29727CD}" name="Column11201"/>
    <tableColumn id="11202" xr3:uid="{52E727DA-DED1-4B4D-9579-00C4D13D3DD0}" name="Column11202"/>
    <tableColumn id="11203" xr3:uid="{76A9DD88-FC5F-4448-83BC-32446A932C92}" name="Column11203"/>
    <tableColumn id="11204" xr3:uid="{AACD7392-199F-4FC8-B1F6-993F797E3518}" name="Column11204"/>
    <tableColumn id="11205" xr3:uid="{4DEC8424-BA29-4A55-B56D-FB06ABF8C62D}" name="Column11205"/>
    <tableColumn id="11206" xr3:uid="{84B03E3A-6DF0-47CA-8043-F8BD517AE26F}" name="Column11206"/>
    <tableColumn id="11207" xr3:uid="{9FA69AFC-8D52-4846-89E9-CFAADE1B39A3}" name="Column11207"/>
    <tableColumn id="11208" xr3:uid="{18139CF4-B225-4FB6-8FA1-9C84505F56E1}" name="Column11208"/>
    <tableColumn id="11209" xr3:uid="{D2986098-53D9-4336-9A0C-65D4F21CFCDA}" name="Column11209"/>
    <tableColumn id="11210" xr3:uid="{E78AD26D-B9CB-4C79-A7D5-59F08D123FD4}" name="Column11210"/>
    <tableColumn id="11211" xr3:uid="{84DE5E4D-DB10-4299-BD2E-68D541FE90FA}" name="Column11211"/>
    <tableColumn id="11212" xr3:uid="{42FC8869-B706-487C-954E-25EA3B2BB8AD}" name="Column11212"/>
    <tableColumn id="11213" xr3:uid="{C7A5676E-0421-4FBF-9DE4-37D1EDD86DE9}" name="Column11213"/>
    <tableColumn id="11214" xr3:uid="{9D398F72-06F5-4AB5-B29C-DD862BC7F5FA}" name="Column11214"/>
    <tableColumn id="11215" xr3:uid="{3A2EC137-7E18-4A7F-8F84-79EC0EA26B34}" name="Column11215"/>
    <tableColumn id="11216" xr3:uid="{F242B659-DF18-4244-B584-F5C843420784}" name="Column11216"/>
    <tableColumn id="11217" xr3:uid="{4A7B67EA-B287-4401-8C8F-4D7C8C6505D6}" name="Column11217"/>
    <tableColumn id="11218" xr3:uid="{D169D2C7-F553-4B5E-B60F-F9746B95BF78}" name="Column11218"/>
    <tableColumn id="11219" xr3:uid="{F14345EC-7103-4087-AF5F-4DF3DE81DE17}" name="Column11219"/>
    <tableColumn id="11220" xr3:uid="{C06AC8B9-DDDE-46E3-9435-5223017AE7DE}" name="Column11220"/>
    <tableColumn id="11221" xr3:uid="{485E5435-BE1F-4E2C-978A-93872CE49AC5}" name="Column11221"/>
    <tableColumn id="11222" xr3:uid="{265FEEF0-5A74-485C-8367-26B33F8A25DD}" name="Column11222"/>
    <tableColumn id="11223" xr3:uid="{29623E80-8D8C-4A0B-A219-93FD2B44FD63}" name="Column11223"/>
    <tableColumn id="11224" xr3:uid="{A6075019-A58F-46D9-BA30-5F5E4E68AAE9}" name="Column11224"/>
    <tableColumn id="11225" xr3:uid="{ACF9ABE4-9BDB-4339-8AA8-97B5A39E79FE}" name="Column11225"/>
    <tableColumn id="11226" xr3:uid="{40301FA6-EBE4-4038-A924-C68FEBB38C4F}" name="Column11226"/>
    <tableColumn id="11227" xr3:uid="{6CEB38BD-31C5-496A-9C16-5A2168BFB786}" name="Column11227"/>
    <tableColumn id="11228" xr3:uid="{A09F4A67-8FBA-4886-BA14-0E2FAA85E1DB}" name="Column11228"/>
    <tableColumn id="11229" xr3:uid="{C6C9ED22-C389-4752-A03E-FA574AC426C4}" name="Column11229"/>
    <tableColumn id="11230" xr3:uid="{D6095CF9-1333-4838-859D-0F903FDB24EB}" name="Column11230"/>
    <tableColumn id="11231" xr3:uid="{949C63D4-909A-4C41-B707-4F376DB5CA2E}" name="Column11231"/>
    <tableColumn id="11232" xr3:uid="{6904B903-4C2A-4155-B6C3-CE74B7A8241B}" name="Column11232"/>
    <tableColumn id="11233" xr3:uid="{5564C1BD-4E28-4EFF-92DD-BC14AE8058F2}" name="Column11233"/>
    <tableColumn id="11234" xr3:uid="{A6C8E5DD-2B69-4B50-B034-E5AF2FDED2AB}" name="Column11234"/>
    <tableColumn id="11235" xr3:uid="{020A2229-6582-443F-8A4D-AA68F4BADE82}" name="Column11235"/>
    <tableColumn id="11236" xr3:uid="{01C89A19-D7EE-4333-8C33-0A5FB74DD92A}" name="Column11236"/>
    <tableColumn id="11237" xr3:uid="{429E0A97-E5A2-4D18-8C44-1390E44C5EE5}" name="Column11237"/>
    <tableColumn id="11238" xr3:uid="{74F2D6EE-C3A4-4839-9AC8-291A61D04327}" name="Column11238"/>
    <tableColumn id="11239" xr3:uid="{F0FE896E-D5EF-4344-A04C-6161FE75898E}" name="Column11239"/>
    <tableColumn id="11240" xr3:uid="{2B00A26B-0E0C-49F3-8678-7C5208B938B5}" name="Column11240"/>
    <tableColumn id="11241" xr3:uid="{96E4B124-1D2B-4EAE-A613-449A1ECE2376}" name="Column11241"/>
    <tableColumn id="11242" xr3:uid="{AF6DCC75-8E3B-479B-B2C4-C0702083CF2E}" name="Column11242"/>
    <tableColumn id="11243" xr3:uid="{30626D6D-DA99-48D3-B3A7-5C75281E9208}" name="Column11243"/>
    <tableColumn id="11244" xr3:uid="{D48653C7-D97E-4DD0-981E-FA41B7BD4435}" name="Column11244"/>
    <tableColumn id="11245" xr3:uid="{C2AC1DE1-0D2A-4282-A29D-E2CF14C3355C}" name="Column11245"/>
    <tableColumn id="11246" xr3:uid="{22A66DAF-5C0D-4C2F-92C0-BA718183D727}" name="Column11246"/>
    <tableColumn id="11247" xr3:uid="{EDC5729F-B76C-48A7-9312-8C475C0113C3}" name="Column11247"/>
    <tableColumn id="11248" xr3:uid="{0414CD57-66AE-4232-AB34-18460EB81260}" name="Column11248"/>
    <tableColumn id="11249" xr3:uid="{34075AD9-9699-44FC-925E-D99327BD7EFE}" name="Column11249"/>
    <tableColumn id="11250" xr3:uid="{1B78B1AD-AA39-4E8F-9092-A0D04AA25F66}" name="Column11250"/>
    <tableColumn id="11251" xr3:uid="{7D1BE557-A424-44A8-BA10-EDFE9B49839D}" name="Column11251"/>
    <tableColumn id="11252" xr3:uid="{A9DE0099-CBB3-400A-AC54-E5D24278D2BF}" name="Column11252"/>
    <tableColumn id="11253" xr3:uid="{66CE84B6-3B01-4B2A-BC09-42FBB40E90BE}" name="Column11253"/>
    <tableColumn id="11254" xr3:uid="{AFC4BD32-C77A-4450-ABE5-A768195921C3}" name="Column11254"/>
    <tableColumn id="11255" xr3:uid="{ED81169E-C9A3-405F-A8EA-4D4E4FB88327}" name="Column11255"/>
    <tableColumn id="11256" xr3:uid="{9DA28F25-7E18-480E-97D9-2A3398C03DA8}" name="Column11256"/>
    <tableColumn id="11257" xr3:uid="{3DCFE0B4-E74C-41B8-874C-C0815B4E0B5C}" name="Column11257"/>
    <tableColumn id="11258" xr3:uid="{73114E00-C4FE-4547-A532-79BC355C0385}" name="Column11258"/>
    <tableColumn id="11259" xr3:uid="{F610132B-2F38-48E6-9C20-9B5820223188}" name="Column11259"/>
    <tableColumn id="11260" xr3:uid="{8A16C5B0-FB15-4E50-8FE9-497D1864DB27}" name="Column11260"/>
    <tableColumn id="11261" xr3:uid="{CC8B8BEC-07C7-44D8-A30C-7734A2AE75B6}" name="Column11261"/>
    <tableColumn id="11262" xr3:uid="{DDEEB148-CB94-469A-9945-28F9A76E94C1}" name="Column11262"/>
    <tableColumn id="11263" xr3:uid="{C62799D6-C72F-4E0C-A904-1D48FB67867F}" name="Column11263"/>
    <tableColumn id="11264" xr3:uid="{3777B587-CA9D-4DAD-9B64-EE8D5960A1C3}" name="Column11264"/>
    <tableColumn id="11265" xr3:uid="{00AE4E5A-27EF-4BBD-B219-935F657B6EC1}" name="Column11265"/>
    <tableColumn id="11266" xr3:uid="{7A7A4AE3-69D9-46D3-95D2-A52506B6CBE5}" name="Column11266"/>
    <tableColumn id="11267" xr3:uid="{577A8E8E-2AE9-4892-861C-55C0A33D6C98}" name="Column11267"/>
    <tableColumn id="11268" xr3:uid="{18FB46C9-E657-44FF-AB9D-54600D1B933B}" name="Column11268"/>
    <tableColumn id="11269" xr3:uid="{BFC47146-4D25-4B96-924D-6E67B1BFF7B5}" name="Column11269"/>
    <tableColumn id="11270" xr3:uid="{737326E2-80BB-4F3C-803C-9C14893ED290}" name="Column11270"/>
    <tableColumn id="11271" xr3:uid="{C358959F-9461-4092-B813-B29D54DCC9E5}" name="Column11271"/>
    <tableColumn id="11272" xr3:uid="{A7607C1E-6C9E-4FE6-B597-18115CC12611}" name="Column11272"/>
    <tableColumn id="11273" xr3:uid="{C1D837A6-132D-44D7-B64B-E459B4BE2339}" name="Column11273"/>
    <tableColumn id="11274" xr3:uid="{4B2B8A73-1B76-4A67-A4B6-CF2475F8EE47}" name="Column11274"/>
    <tableColumn id="11275" xr3:uid="{ADF58EB4-2F88-462C-A707-153992835362}" name="Column11275"/>
    <tableColumn id="11276" xr3:uid="{5AD2955E-81FD-4068-970F-1C5F62CBD61A}" name="Column11276"/>
    <tableColumn id="11277" xr3:uid="{4104D871-9ACE-4FE4-8BC5-C3E9CAEEE9BD}" name="Column11277"/>
    <tableColumn id="11278" xr3:uid="{EF244E59-ED6D-4E5C-9565-D348E30E7FC7}" name="Column11278"/>
    <tableColumn id="11279" xr3:uid="{561EFBBC-ACF2-4B1F-A9E5-2898DFB69507}" name="Column11279"/>
    <tableColumn id="11280" xr3:uid="{4DCA6AD3-3CE4-4606-A661-9F4B20DAD67D}" name="Column11280"/>
    <tableColumn id="11281" xr3:uid="{72233846-548A-46E9-A710-4E837E07E2CE}" name="Column11281"/>
    <tableColumn id="11282" xr3:uid="{0CB83636-BF21-4B76-BB0C-1DDA5DE2228A}" name="Column11282"/>
    <tableColumn id="11283" xr3:uid="{0E2D8C63-0AF9-43FD-8BF5-D304A9998ED2}" name="Column11283"/>
    <tableColumn id="11284" xr3:uid="{FA7B045E-09EF-47CA-967F-73987B4C59DC}" name="Column11284"/>
    <tableColumn id="11285" xr3:uid="{8DF0F9CC-2666-40B6-904D-B4CDD9E5AED8}" name="Column11285"/>
    <tableColumn id="11286" xr3:uid="{0E1C7AFF-4AB7-4A63-BF10-9E21BB971142}" name="Column11286"/>
    <tableColumn id="11287" xr3:uid="{35D2C7D8-78F4-4619-88BF-5DBBEABD1869}" name="Column11287"/>
    <tableColumn id="11288" xr3:uid="{8B6E94A2-5483-4D4E-B771-0D282BB1E712}" name="Column11288"/>
    <tableColumn id="11289" xr3:uid="{75345B42-FF08-4372-B8E3-AD6287C2A8CF}" name="Column11289"/>
    <tableColumn id="11290" xr3:uid="{F0CAE611-CD31-4D24-A8A7-FCD45941886D}" name="Column11290"/>
    <tableColumn id="11291" xr3:uid="{09B7E329-496A-4C1D-88C5-55AE2B880CF0}" name="Column11291"/>
    <tableColumn id="11292" xr3:uid="{E78EA0CB-801C-41EE-B798-50E33AC00D0F}" name="Column11292"/>
    <tableColumn id="11293" xr3:uid="{69354AF0-FC1D-4DD8-894E-15C18224AC13}" name="Column11293"/>
    <tableColumn id="11294" xr3:uid="{1A09AF2D-C8ED-4DF9-A5F3-9DB6203206D0}" name="Column11294"/>
    <tableColumn id="11295" xr3:uid="{9D6E7187-836E-43FB-964C-A55968BC4E14}" name="Column11295"/>
    <tableColumn id="11296" xr3:uid="{E2C2D0E7-AC50-4A79-A278-DCEAEA903E7C}" name="Column11296"/>
    <tableColumn id="11297" xr3:uid="{DD47CDD8-B603-484C-A7DB-22F76C43C09E}" name="Column11297"/>
    <tableColumn id="11298" xr3:uid="{FF3A72A0-FBD1-4322-AFC5-D5BB11FD8583}" name="Column11298"/>
    <tableColumn id="11299" xr3:uid="{205D06E2-69D5-42CE-8B66-F1B230D1AA18}" name="Column11299"/>
    <tableColumn id="11300" xr3:uid="{3B09BA2F-57D1-4E41-BE65-A23CAA67F5A4}" name="Column11300"/>
    <tableColumn id="11301" xr3:uid="{DDDB1438-0EBA-46D6-8F26-7F9DB8EB4306}" name="Column11301"/>
    <tableColumn id="11302" xr3:uid="{68E65B32-763C-4375-8106-19E8471DDD10}" name="Column11302"/>
    <tableColumn id="11303" xr3:uid="{061177A5-EB14-49F5-8B5A-9742AC38AF81}" name="Column11303"/>
    <tableColumn id="11304" xr3:uid="{00C89D0D-651E-4433-8F4E-C9B803512672}" name="Column11304"/>
    <tableColumn id="11305" xr3:uid="{64182D9D-5597-4D1A-A827-679BEC229F47}" name="Column11305"/>
    <tableColumn id="11306" xr3:uid="{17FD06F8-CF73-4212-9F74-A5179CDAD57E}" name="Column11306"/>
    <tableColumn id="11307" xr3:uid="{CC6F7E0E-945F-4999-B54A-66BB8A1606EF}" name="Column11307"/>
    <tableColumn id="11308" xr3:uid="{7791BF21-6878-4375-B864-12F6E6514A6A}" name="Column11308"/>
    <tableColumn id="11309" xr3:uid="{2592241B-027B-4CF9-871E-FB4247080445}" name="Column11309"/>
    <tableColumn id="11310" xr3:uid="{8D75EF65-68A9-4604-9AA6-1E12C8EC6B1B}" name="Column11310"/>
    <tableColumn id="11311" xr3:uid="{618D7D41-4A15-4501-A20C-A8461D22A736}" name="Column11311"/>
    <tableColumn id="11312" xr3:uid="{A7253819-B425-409D-80F1-7B70212FAA64}" name="Column11312"/>
    <tableColumn id="11313" xr3:uid="{A2B8F904-FF7A-43C3-9A4E-C2F04E6ADA5C}" name="Column11313"/>
    <tableColumn id="11314" xr3:uid="{12F773A4-F30B-4C30-9129-6B7741BD15CD}" name="Column11314"/>
    <tableColumn id="11315" xr3:uid="{2CF5AE0A-630F-4314-9CEB-661559902F85}" name="Column11315"/>
    <tableColumn id="11316" xr3:uid="{8E5D53F9-140A-499B-8BF8-301B870B953B}" name="Column11316"/>
    <tableColumn id="11317" xr3:uid="{F8F92395-390C-4F02-BD10-73C76CAF9CEB}" name="Column11317"/>
    <tableColumn id="11318" xr3:uid="{43AA915D-86F5-4AC4-BFAA-1BB0263484E9}" name="Column11318"/>
    <tableColumn id="11319" xr3:uid="{9C22291D-B4F2-4E5B-8E29-9258EF450D48}" name="Column11319"/>
    <tableColumn id="11320" xr3:uid="{A796329D-8BE2-407B-AD9A-39C8ED1FC0A1}" name="Column11320"/>
    <tableColumn id="11321" xr3:uid="{D4EE775E-0033-4040-AB69-522E3DC61BDF}" name="Column11321"/>
    <tableColumn id="11322" xr3:uid="{9A3F8E8F-4CDE-44CE-9664-51828F53CBF1}" name="Column11322"/>
    <tableColumn id="11323" xr3:uid="{53B87481-6F91-493B-9B3E-5B871AFD4991}" name="Column11323"/>
    <tableColumn id="11324" xr3:uid="{0C5926B2-95D6-462F-882F-64039575B98C}" name="Column11324"/>
    <tableColumn id="11325" xr3:uid="{C557005F-011D-42A0-8EC2-110DD6B926B3}" name="Column11325"/>
    <tableColumn id="11326" xr3:uid="{E96075D4-8803-4AD7-9600-BB74BC55297E}" name="Column11326"/>
    <tableColumn id="11327" xr3:uid="{596F89BD-AF8E-44FD-962E-6F0A2DAEDAAD}" name="Column11327"/>
    <tableColumn id="11328" xr3:uid="{31B33818-C813-43DF-874E-84057BFE401A}" name="Column11328"/>
    <tableColumn id="11329" xr3:uid="{9F33698C-DDC8-41F5-A280-9AE391909A16}" name="Column11329"/>
    <tableColumn id="11330" xr3:uid="{D6B0412D-7E95-4510-BECD-E3AB2C2DC10F}" name="Column11330"/>
    <tableColumn id="11331" xr3:uid="{C1C9C5C5-A526-4E30-B8BB-B9C240F41CBD}" name="Column11331"/>
    <tableColumn id="11332" xr3:uid="{879C61DF-55AD-4C6A-9868-8D2ACC3B33E8}" name="Column11332"/>
    <tableColumn id="11333" xr3:uid="{F8B47CD1-2AB2-45A1-AA5A-0702FA3035F5}" name="Column11333"/>
    <tableColumn id="11334" xr3:uid="{38B4951D-6055-4C01-8195-3DB5FAF1971F}" name="Column11334"/>
    <tableColumn id="11335" xr3:uid="{BC24FB4F-041F-45CA-B0CE-3357E6BE32B7}" name="Column11335"/>
    <tableColumn id="11336" xr3:uid="{042BB56D-E643-4F42-B056-8EF02C2EA824}" name="Column11336"/>
    <tableColumn id="11337" xr3:uid="{27D10B8C-0837-49A3-B3F9-11C5771A6E10}" name="Column11337"/>
    <tableColumn id="11338" xr3:uid="{1BB5FE7C-297F-4523-A94B-6F58D0238842}" name="Column11338"/>
    <tableColumn id="11339" xr3:uid="{5B0A2CB9-52E3-4AE3-87F0-0898227168CE}" name="Column11339"/>
    <tableColumn id="11340" xr3:uid="{486EAE06-7538-4147-8569-5BDF99A75B80}" name="Column11340"/>
    <tableColumn id="11341" xr3:uid="{079759D8-00D5-4C74-9EA1-D1B06359CAB2}" name="Column11341"/>
    <tableColumn id="11342" xr3:uid="{35E0E641-1D5D-4812-816A-527F64D359F0}" name="Column11342"/>
    <tableColumn id="11343" xr3:uid="{CB83B890-0074-4697-9EB6-AF47CF5BC695}" name="Column11343"/>
    <tableColumn id="11344" xr3:uid="{3F28A1BF-6B95-4B31-AAC7-426E23409D7A}" name="Column11344"/>
    <tableColumn id="11345" xr3:uid="{370F9080-CA95-4B06-95AD-59FFC8A35DA8}" name="Column11345"/>
    <tableColumn id="11346" xr3:uid="{CCAFB7F9-30B0-4D28-9DD7-F40EB48ED46A}" name="Column11346"/>
    <tableColumn id="11347" xr3:uid="{188F84C7-4077-480E-8DA8-95F26A08CC04}" name="Column11347"/>
    <tableColumn id="11348" xr3:uid="{89463CCA-602A-430F-A343-F2C72A41E7E2}" name="Column11348"/>
    <tableColumn id="11349" xr3:uid="{B227C4CD-9107-4AC5-93D4-EA174C79310F}" name="Column11349"/>
    <tableColumn id="11350" xr3:uid="{940B36BF-4965-4162-BB34-B135A4C23E82}" name="Column11350"/>
    <tableColumn id="11351" xr3:uid="{726A86CA-1DEB-4382-8C94-0D72A469F9AE}" name="Column11351"/>
    <tableColumn id="11352" xr3:uid="{89BFB303-CC2D-44EB-95B8-E99B39B5F186}" name="Column11352"/>
    <tableColumn id="11353" xr3:uid="{CECC4AA8-DF7E-4A44-8E6D-C729856D09F4}" name="Column11353"/>
    <tableColumn id="11354" xr3:uid="{033D9350-3505-4A24-8FFE-CCC738D4F31B}" name="Column11354"/>
    <tableColumn id="11355" xr3:uid="{DDDBECAD-402B-4981-AB7D-09D52704D9C0}" name="Column11355"/>
    <tableColumn id="11356" xr3:uid="{1B0DBE89-B398-4822-ADEA-9340518D25BC}" name="Column11356"/>
    <tableColumn id="11357" xr3:uid="{28757785-1BCF-4363-A8EE-738EF5FABF58}" name="Column11357"/>
    <tableColumn id="11358" xr3:uid="{D457BFE6-D973-441F-BFCD-B94AFD5735C6}" name="Column11358"/>
    <tableColumn id="11359" xr3:uid="{ED7D2D07-9124-4555-B83A-124E92E1FAEE}" name="Column11359"/>
    <tableColumn id="11360" xr3:uid="{04CC10A1-982B-47E3-9378-C5D29C6339B0}" name="Column11360"/>
    <tableColumn id="11361" xr3:uid="{67C172D1-F136-4813-A8A2-E3618EBC4795}" name="Column11361"/>
    <tableColumn id="11362" xr3:uid="{312DF6AF-E4C6-4841-9433-01455022E358}" name="Column11362"/>
    <tableColumn id="11363" xr3:uid="{C790A30C-4E9C-4B83-9C1D-9B643995EDA6}" name="Column11363"/>
    <tableColumn id="11364" xr3:uid="{8B0A2A24-DCC1-49CF-907E-CDB26CFD7BA2}" name="Column11364"/>
    <tableColumn id="11365" xr3:uid="{43BA03F9-5BC4-4DDE-A754-0C67A0852BD3}" name="Column11365"/>
    <tableColumn id="11366" xr3:uid="{6968944A-D4A0-41DC-9618-3FB251FD13C2}" name="Column11366"/>
    <tableColumn id="11367" xr3:uid="{5B137B95-56E1-4224-8760-DBE0D61EFBA2}" name="Column11367"/>
    <tableColumn id="11368" xr3:uid="{ED47998F-3D71-4A72-A511-4BDAEFE92E9A}" name="Column11368"/>
    <tableColumn id="11369" xr3:uid="{54C0676D-857D-484B-A37B-A3B5687C2662}" name="Column11369"/>
    <tableColumn id="11370" xr3:uid="{2A0BDCB8-A992-4315-8A7E-69C12E15C4BD}" name="Column11370"/>
    <tableColumn id="11371" xr3:uid="{C578EF35-025F-43A0-82F8-28FF6EF146FC}" name="Column11371"/>
    <tableColumn id="11372" xr3:uid="{D58BF529-456B-4A3B-B1B2-5298487E2EBD}" name="Column11372"/>
    <tableColumn id="11373" xr3:uid="{638C4BE1-C63A-4559-8E6D-CDF2FB77AE7F}" name="Column11373"/>
    <tableColumn id="11374" xr3:uid="{7F94AEDF-C497-4121-B811-7811B1DE221A}" name="Column11374"/>
    <tableColumn id="11375" xr3:uid="{6DCD4B64-4287-462C-8F65-0CA3D93F3865}" name="Column11375"/>
    <tableColumn id="11376" xr3:uid="{1FB92BC5-608A-4ECA-96D6-2C5CA5CA6B6C}" name="Column11376"/>
    <tableColumn id="11377" xr3:uid="{6B609A2D-68B9-45E2-9064-71B407998923}" name="Column11377"/>
    <tableColumn id="11378" xr3:uid="{21F4669C-3DD1-44E4-B177-BC4EC4D9712A}" name="Column11378"/>
    <tableColumn id="11379" xr3:uid="{8B209C15-B61F-4071-9682-EEAB09E8603D}" name="Column11379"/>
    <tableColumn id="11380" xr3:uid="{0B4E361B-76E5-48FF-8413-24AB4EBA95C5}" name="Column11380"/>
    <tableColumn id="11381" xr3:uid="{E14CEB0D-E4A6-4C23-8FD3-6EBFF02E1D25}" name="Column11381"/>
    <tableColumn id="11382" xr3:uid="{5A1B7096-2DB4-492F-8B3F-C9BA2E31DD76}" name="Column11382"/>
    <tableColumn id="11383" xr3:uid="{714CD419-D8BE-4AE2-B99B-F431D0CB9C08}" name="Column11383"/>
    <tableColumn id="11384" xr3:uid="{ABF8DD05-33DC-4618-AF1D-A180CC7019A7}" name="Column11384"/>
    <tableColumn id="11385" xr3:uid="{8F14CEFE-7BB5-4DC3-902D-A489172FD3CA}" name="Column11385"/>
    <tableColumn id="11386" xr3:uid="{6062F374-C1E9-4AED-BD80-76F205ECD042}" name="Column11386"/>
    <tableColumn id="11387" xr3:uid="{DF30DC41-4C2D-43AE-9FF3-7BE65DF65E86}" name="Column11387"/>
    <tableColumn id="11388" xr3:uid="{3AA399BD-675F-4873-918C-4A36D60491EF}" name="Column11388"/>
    <tableColumn id="11389" xr3:uid="{FC2EB5FF-7582-4202-B05F-D318570F954F}" name="Column11389"/>
    <tableColumn id="11390" xr3:uid="{C2C66104-C462-4989-935F-E3D4C13DD56D}" name="Column11390"/>
    <tableColumn id="11391" xr3:uid="{D157C023-E28F-4B0A-AEA1-6CA40A738E74}" name="Column11391"/>
    <tableColumn id="11392" xr3:uid="{02DA1408-BA8B-4F71-BACA-60E49B871AD6}" name="Column11392"/>
    <tableColumn id="11393" xr3:uid="{58B07485-AF21-4913-9DCA-605D6912367E}" name="Column11393"/>
    <tableColumn id="11394" xr3:uid="{088600F9-AE61-4325-8540-F355629A3514}" name="Column11394"/>
    <tableColumn id="11395" xr3:uid="{7BC32A72-C2C7-4178-881A-B3E959C7C331}" name="Column11395"/>
    <tableColumn id="11396" xr3:uid="{DA3D86C0-A4B1-4BB7-BE65-3C0A31EEE789}" name="Column11396"/>
    <tableColumn id="11397" xr3:uid="{FECF732A-2DDC-40BF-BD27-46DBCF871517}" name="Column11397"/>
    <tableColumn id="11398" xr3:uid="{458145F9-285F-4818-84F8-E2F8EB341A8E}" name="Column11398"/>
    <tableColumn id="11399" xr3:uid="{6434B57D-9FF6-4584-9266-49A1C7AA91F5}" name="Column11399"/>
    <tableColumn id="11400" xr3:uid="{CE1E207E-EB66-4716-BE32-7CFB03FBF0E7}" name="Column11400"/>
    <tableColumn id="11401" xr3:uid="{FBE71F3C-0E10-4623-A9CC-9546EC072F5D}" name="Column11401"/>
    <tableColumn id="11402" xr3:uid="{BB48FDC2-F8D4-4C2F-A936-C7FDB75BD883}" name="Column11402"/>
    <tableColumn id="11403" xr3:uid="{5696ECA3-321F-4CEF-B10B-D5AB76D59E4B}" name="Column11403"/>
    <tableColumn id="11404" xr3:uid="{E3562408-9EB4-473F-84C4-D9CB2E2C0D95}" name="Column11404"/>
    <tableColumn id="11405" xr3:uid="{4D194225-E3A7-47DF-BA52-CD8E32B9B3E1}" name="Column11405"/>
    <tableColumn id="11406" xr3:uid="{99C61970-F37A-4AA7-A808-F730025244D3}" name="Column11406"/>
    <tableColumn id="11407" xr3:uid="{E4DBFBEC-AC90-4AD0-A3E0-D0CE327428F4}" name="Column11407"/>
    <tableColumn id="11408" xr3:uid="{B3B99453-52D8-4BE1-8B8B-D6AA9A40A244}" name="Column11408"/>
    <tableColumn id="11409" xr3:uid="{C2C20032-BCE9-4BE3-9025-399AE174CE3B}" name="Column11409"/>
    <tableColumn id="11410" xr3:uid="{5D531ABC-AF8D-4748-9002-6EBDE2FBAAE0}" name="Column11410"/>
    <tableColumn id="11411" xr3:uid="{711A64F7-88FC-4CC6-B200-3A3AFF8DC6D0}" name="Column11411"/>
    <tableColumn id="11412" xr3:uid="{BFF0D102-8B51-4240-AB0E-793BC89D17E0}" name="Column11412"/>
    <tableColumn id="11413" xr3:uid="{84B04BA3-1C7B-42B8-B2A0-4EA6F1F645AD}" name="Column11413"/>
    <tableColumn id="11414" xr3:uid="{8747AFEA-0432-4E98-9EE3-6BFF482C87CC}" name="Column11414"/>
    <tableColumn id="11415" xr3:uid="{06370D6E-46E9-4479-9418-9943F2CA7F40}" name="Column11415"/>
    <tableColumn id="11416" xr3:uid="{9866535B-EA28-462B-9968-73D93A814F54}" name="Column11416"/>
    <tableColumn id="11417" xr3:uid="{664BB387-EF86-496D-BFB2-8F8E50562358}" name="Column11417"/>
    <tableColumn id="11418" xr3:uid="{7E12AD75-7CF0-47A0-8C8C-89DD64EE402A}" name="Column11418"/>
    <tableColumn id="11419" xr3:uid="{93FD7D72-EAB7-4884-A4D1-E525F72619C6}" name="Column11419"/>
    <tableColumn id="11420" xr3:uid="{359B7A84-426A-4E8D-A3B2-C31696653396}" name="Column11420"/>
    <tableColumn id="11421" xr3:uid="{3172EC47-BE2C-47EB-BB81-AD450668FF39}" name="Column11421"/>
    <tableColumn id="11422" xr3:uid="{3C09C259-1DB2-4282-B320-784D8CD12947}" name="Column11422"/>
    <tableColumn id="11423" xr3:uid="{EB44FBF8-8A9A-4766-983D-A98993CD3440}" name="Column11423"/>
    <tableColumn id="11424" xr3:uid="{0871AE0A-0614-42FC-B6EF-B7F1F03999C7}" name="Column11424"/>
    <tableColumn id="11425" xr3:uid="{4A77FEFE-8D4D-41DE-9B0D-0BFDA80AFDBC}" name="Column11425"/>
    <tableColumn id="11426" xr3:uid="{D5F2EAD3-A504-401C-9203-7841A8540B47}" name="Column11426"/>
    <tableColumn id="11427" xr3:uid="{48C30E7B-481A-41CF-A0B0-4EB9A66E3C4B}" name="Column11427"/>
    <tableColumn id="11428" xr3:uid="{9F396D5F-DFFC-4914-8694-6BBA8B8C672A}" name="Column11428"/>
    <tableColumn id="11429" xr3:uid="{0130FA95-AE3D-40CD-B97B-287A7D6692E6}" name="Column11429"/>
    <tableColumn id="11430" xr3:uid="{150CAE9E-3F3F-4863-BA17-9E66516A5A89}" name="Column11430"/>
    <tableColumn id="11431" xr3:uid="{7A4BBD48-146E-47F3-B5D5-85EC28F41D43}" name="Column11431"/>
    <tableColumn id="11432" xr3:uid="{03BB15BD-CD8A-45B6-B265-5221EDE22104}" name="Column11432"/>
    <tableColumn id="11433" xr3:uid="{07EB549D-A10C-404C-BD71-DAA54BF0CF58}" name="Column11433"/>
    <tableColumn id="11434" xr3:uid="{7C4D9B43-42EF-48BA-851A-0DF15EC16EA8}" name="Column11434"/>
    <tableColumn id="11435" xr3:uid="{46BCCD1E-F081-49E9-8E59-A4774700F45C}" name="Column11435"/>
    <tableColumn id="11436" xr3:uid="{5B369A57-44A5-427E-AEAF-7E3BD0E8DEA3}" name="Column11436"/>
    <tableColumn id="11437" xr3:uid="{78C9AF40-842B-41B7-B2EC-9EAEF5B59A70}" name="Column11437"/>
    <tableColumn id="11438" xr3:uid="{908C1F48-FB43-48CE-883C-EAC590552581}" name="Column11438"/>
    <tableColumn id="11439" xr3:uid="{4DC27B5C-32F5-435E-A37B-F0D9F89689BD}" name="Column11439"/>
    <tableColumn id="11440" xr3:uid="{B766C97A-E997-4956-89B1-0F02538A9B2C}" name="Column11440"/>
    <tableColumn id="11441" xr3:uid="{7CADEA58-91B9-4367-8E7F-EA04B7121C9F}" name="Column11441"/>
    <tableColumn id="11442" xr3:uid="{AB23A439-8C44-4277-8712-3A83E298CF7A}" name="Column11442"/>
    <tableColumn id="11443" xr3:uid="{AFE626C8-DC63-40CC-B19F-FC0D56B45B3A}" name="Column11443"/>
    <tableColumn id="11444" xr3:uid="{405B734B-943C-497E-8B10-4303F02F15FC}" name="Column11444"/>
    <tableColumn id="11445" xr3:uid="{A39FD31B-9FC9-4656-BE34-A944338B82DA}" name="Column11445"/>
    <tableColumn id="11446" xr3:uid="{DE7440D1-EAF1-4523-B3BE-1F9B11982A82}" name="Column11446"/>
    <tableColumn id="11447" xr3:uid="{715C54B8-4D1C-486E-8282-483D19DE61BD}" name="Column11447"/>
    <tableColumn id="11448" xr3:uid="{0D3D95F4-D74E-4A62-A38B-20CFD37518A4}" name="Column11448"/>
    <tableColumn id="11449" xr3:uid="{4B2F0945-FEEC-4066-913D-9E8D80B10086}" name="Column11449"/>
    <tableColumn id="11450" xr3:uid="{630AE684-0E29-4E87-8236-B75E7802630F}" name="Column11450"/>
    <tableColumn id="11451" xr3:uid="{59837982-B3E8-4FD1-BAA9-6476E6B35A33}" name="Column11451"/>
    <tableColumn id="11452" xr3:uid="{76C5F4D1-C902-4BAD-AD48-1279F0976855}" name="Column11452"/>
    <tableColumn id="11453" xr3:uid="{291FA197-689C-41B7-A82B-D4AF1A24E966}" name="Column11453"/>
    <tableColumn id="11454" xr3:uid="{AC05A858-36C3-4F55-88BB-CB812DCB44E8}" name="Column11454"/>
    <tableColumn id="11455" xr3:uid="{E00A09B9-E28D-43AE-B2EE-3D7524BDDB24}" name="Column11455"/>
    <tableColumn id="11456" xr3:uid="{4B0CC1F4-4C06-4403-BFAF-9B4AA84521E2}" name="Column11456"/>
    <tableColumn id="11457" xr3:uid="{84DDD141-2E0C-45EC-A164-31859691978E}" name="Column11457"/>
    <tableColumn id="11458" xr3:uid="{7FC117E3-C4D5-4E90-9C45-E070BD7D1A66}" name="Column11458"/>
    <tableColumn id="11459" xr3:uid="{80EFC92D-5510-4C9F-9EC6-DA267B72609A}" name="Column11459"/>
    <tableColumn id="11460" xr3:uid="{89DC2FB4-940F-4B81-ADFF-1A19F8BD4818}" name="Column11460"/>
    <tableColumn id="11461" xr3:uid="{0434B0D3-D740-473C-9053-310115AE4712}" name="Column11461"/>
    <tableColumn id="11462" xr3:uid="{5B292611-1A10-4530-BA2B-00FEE1994D8F}" name="Column11462"/>
    <tableColumn id="11463" xr3:uid="{F1697E38-39AF-446D-9F04-0DDD50CEC688}" name="Column11463"/>
    <tableColumn id="11464" xr3:uid="{F6AB769C-9B3A-4A52-A75D-DDC79AB4ACAF}" name="Column11464"/>
    <tableColumn id="11465" xr3:uid="{FB9426B0-A3AC-4736-AB63-8261D4D76292}" name="Column11465"/>
    <tableColumn id="11466" xr3:uid="{B04C3E14-C20B-40E2-8652-056658C35C94}" name="Column11466"/>
    <tableColumn id="11467" xr3:uid="{F741DC8C-1F4B-4D26-ACEE-FFF89EC7FF49}" name="Column11467"/>
    <tableColumn id="11468" xr3:uid="{3BFCC38B-13CB-44F7-B4CE-FCB9A3FB98CC}" name="Column11468"/>
    <tableColumn id="11469" xr3:uid="{C9BADA64-3BF1-4427-8F4F-6CF254487AC9}" name="Column11469"/>
    <tableColumn id="11470" xr3:uid="{CEA557E5-4207-4310-AF86-40599A110239}" name="Column11470"/>
    <tableColumn id="11471" xr3:uid="{C47D5F2C-EAF5-4A26-A9A7-BA8A32A98762}" name="Column11471"/>
    <tableColumn id="11472" xr3:uid="{13263D04-19B5-4A4F-B835-07A17C667045}" name="Column11472"/>
    <tableColumn id="11473" xr3:uid="{B88E95FE-7E6B-47B6-9620-8DE8B0C8E1E1}" name="Column11473"/>
    <tableColumn id="11474" xr3:uid="{CA1051C8-AA44-4B0D-AB44-35134FF032DE}" name="Column11474"/>
    <tableColumn id="11475" xr3:uid="{9C757ED9-3E4F-4B6F-AFCB-168498D814C9}" name="Column11475"/>
    <tableColumn id="11476" xr3:uid="{2B0C9F3C-4E2C-40FA-B8E8-6E37E7A5A394}" name="Column11476"/>
    <tableColumn id="11477" xr3:uid="{FF5EF5AA-D1B3-4387-8710-7165E6D75640}" name="Column11477"/>
    <tableColumn id="11478" xr3:uid="{14EA99B0-8063-47E4-A6C0-8C0B0B9C0F83}" name="Column11478"/>
    <tableColumn id="11479" xr3:uid="{3B51CEEE-9EA5-427A-89AC-E7F36DBF73E3}" name="Column11479"/>
    <tableColumn id="11480" xr3:uid="{9D44D0F5-6850-41C5-84E5-D9AD2A5F4DAD}" name="Column11480"/>
    <tableColumn id="11481" xr3:uid="{ECDA77C3-69F0-45A2-A436-B25309C0CD3C}" name="Column11481"/>
    <tableColumn id="11482" xr3:uid="{63CBD1AD-C331-482A-A432-010678E79C9C}" name="Column11482"/>
    <tableColumn id="11483" xr3:uid="{8AA93500-732C-4C30-8D3D-7A323A4BA99F}" name="Column11483"/>
    <tableColumn id="11484" xr3:uid="{8E25C8C7-75B7-482B-948B-B3B4AAFF0D3A}" name="Column11484"/>
    <tableColumn id="11485" xr3:uid="{30671367-6E1E-4E79-A1C2-EA46A3628752}" name="Column11485"/>
    <tableColumn id="11486" xr3:uid="{BFD2516A-597A-4D5C-86E6-D5F7DE4A7D8C}" name="Column11486"/>
    <tableColumn id="11487" xr3:uid="{63F8EC3A-38C9-4FB1-82C1-8F0D0AA9F80E}" name="Column11487"/>
    <tableColumn id="11488" xr3:uid="{C4AB537C-BD15-47A3-B2A8-59A08793E095}" name="Column11488"/>
    <tableColumn id="11489" xr3:uid="{066BB54F-0C4B-4D0C-B2C2-C1548270FFEB}" name="Column11489"/>
    <tableColumn id="11490" xr3:uid="{17968137-C610-45F7-B5F0-7A15BE834D6F}" name="Column11490"/>
    <tableColumn id="11491" xr3:uid="{06CF78DB-3729-4790-9D52-A5563DA7F1B6}" name="Column11491"/>
    <tableColumn id="11492" xr3:uid="{68571ECC-6F0E-46CA-A907-1F48F0849A30}" name="Column11492"/>
    <tableColumn id="11493" xr3:uid="{AF5F7205-4BA9-4A38-9155-0CF935D9340B}" name="Column11493"/>
    <tableColumn id="11494" xr3:uid="{2C6B8FCC-6C69-4A5F-88B2-6FE741D39EF0}" name="Column11494"/>
    <tableColumn id="11495" xr3:uid="{48CAC102-218B-45B5-8CDB-107C07F24D18}" name="Column11495"/>
    <tableColumn id="11496" xr3:uid="{FF8B7295-6576-4026-A091-C0965BD2A89C}" name="Column11496"/>
    <tableColumn id="11497" xr3:uid="{A04A2E20-B064-4CAA-A571-8CE64765A468}" name="Column11497"/>
    <tableColumn id="11498" xr3:uid="{A4F8FEBF-D906-48EB-B5A8-1C03031D1EF1}" name="Column11498"/>
    <tableColumn id="11499" xr3:uid="{C0615358-7706-41EC-903E-A8FCF52D7938}" name="Column11499"/>
    <tableColumn id="11500" xr3:uid="{B0189616-018B-4066-98AF-A591E426D393}" name="Column11500"/>
    <tableColumn id="11501" xr3:uid="{2E524DB0-CB2F-4872-863F-7695720CC66A}" name="Column11501"/>
    <tableColumn id="11502" xr3:uid="{6E923E0F-8901-4922-9B8C-4BC90D8F0CB0}" name="Column11502"/>
    <tableColumn id="11503" xr3:uid="{2762CD7E-F69E-4017-96F9-3FA612D4E520}" name="Column11503"/>
    <tableColumn id="11504" xr3:uid="{4D5730B4-ADBC-47D1-B800-58A17CDA6CFF}" name="Column11504"/>
    <tableColumn id="11505" xr3:uid="{741DDC06-9776-4E57-8304-B109EC5BDAAF}" name="Column11505"/>
    <tableColumn id="11506" xr3:uid="{EE042FE2-7408-4962-842E-63D4D7D67276}" name="Column11506"/>
    <tableColumn id="11507" xr3:uid="{ECDC223C-AFA0-44B9-862F-1C5B1E6EB6B1}" name="Column11507"/>
    <tableColumn id="11508" xr3:uid="{08584BE1-DC27-42A0-B2F3-394398D60DB8}" name="Column11508"/>
    <tableColumn id="11509" xr3:uid="{854E18B9-69F6-4E22-ADFF-48C789D8241F}" name="Column11509"/>
    <tableColumn id="11510" xr3:uid="{CB9D24D7-C138-46C4-B27C-C211812BE14A}" name="Column11510"/>
    <tableColumn id="11511" xr3:uid="{CE7E4459-7275-4D1C-9F6F-1746370BECFF}" name="Column11511"/>
    <tableColumn id="11512" xr3:uid="{B509566D-80E1-4E26-BA88-F301E4BAE0B3}" name="Column11512"/>
    <tableColumn id="11513" xr3:uid="{06C64323-6FF7-4C7E-89D9-18F935B98729}" name="Column11513"/>
    <tableColumn id="11514" xr3:uid="{5A65E1E3-9ABC-417E-B670-8C1361D79271}" name="Column11514"/>
    <tableColumn id="11515" xr3:uid="{FE3BBCAA-2510-49F7-8339-6C9ABE23E6E2}" name="Column11515"/>
    <tableColumn id="11516" xr3:uid="{F14C4B3A-4C92-456E-975B-9EFC39EBBB16}" name="Column11516"/>
    <tableColumn id="11517" xr3:uid="{8AA97E36-806F-41D7-8737-4FF81AC05BE6}" name="Column11517"/>
    <tableColumn id="11518" xr3:uid="{BC38882A-6DA7-496D-A08C-CE95E1C97AFB}" name="Column11518"/>
    <tableColumn id="11519" xr3:uid="{5439FFA1-BE2E-46E5-A8B7-37C967723600}" name="Column11519"/>
    <tableColumn id="11520" xr3:uid="{54E5CAF2-6CC5-42D6-BACE-06FF8504677D}" name="Column11520"/>
    <tableColumn id="11521" xr3:uid="{71D8527A-7948-4E72-8724-DC90585F5816}" name="Column11521"/>
    <tableColumn id="11522" xr3:uid="{2847D833-2AA1-4793-B9AA-EEEBE8D5FBFD}" name="Column11522"/>
    <tableColumn id="11523" xr3:uid="{6DDCD517-37BD-46CE-AF5F-FD5304485A7E}" name="Column11523"/>
    <tableColumn id="11524" xr3:uid="{C6683E16-9DD2-4F9F-8184-76AD07272D75}" name="Column11524"/>
    <tableColumn id="11525" xr3:uid="{AE201311-B57A-4EFC-9059-4E251CBA2D89}" name="Column11525"/>
    <tableColumn id="11526" xr3:uid="{49317741-0A60-4598-942E-0977DAD5DD4E}" name="Column11526"/>
    <tableColumn id="11527" xr3:uid="{0D1E0B0D-50B1-46CB-A5BE-5BE63418451C}" name="Column11527"/>
    <tableColumn id="11528" xr3:uid="{0A824382-D0E2-457B-B533-08876A4B384F}" name="Column11528"/>
    <tableColumn id="11529" xr3:uid="{823F02EB-D889-4CAE-A99B-DA873EA8100D}" name="Column11529"/>
    <tableColumn id="11530" xr3:uid="{FF0AA9A8-6BB7-42FF-A73C-46C84C730272}" name="Column11530"/>
    <tableColumn id="11531" xr3:uid="{B01E74E7-136A-42CD-BA34-A5ABB88EBCE9}" name="Column11531"/>
    <tableColumn id="11532" xr3:uid="{C0738A38-1FEF-4563-B33D-89C22253B5DE}" name="Column11532"/>
    <tableColumn id="11533" xr3:uid="{698EF7EA-9FC1-4908-A542-B91E0DF75D4F}" name="Column11533"/>
    <tableColumn id="11534" xr3:uid="{DAEC1FC4-F61C-40B9-8F40-E7DEC1639075}" name="Column11534"/>
    <tableColumn id="11535" xr3:uid="{0A0EEE04-F411-4B08-A9EA-7CAB722CE12B}" name="Column11535"/>
    <tableColumn id="11536" xr3:uid="{CE04D635-9FCB-49B0-926C-184918D0C0EA}" name="Column11536"/>
    <tableColumn id="11537" xr3:uid="{328EF3F2-9D39-4B3A-A445-0A68BA043DDC}" name="Column11537"/>
    <tableColumn id="11538" xr3:uid="{03D6F722-F568-4E71-A129-F7AB4956168E}" name="Column11538"/>
    <tableColumn id="11539" xr3:uid="{D03CF020-85FA-422F-A51E-8A710E910283}" name="Column11539"/>
    <tableColumn id="11540" xr3:uid="{D9C9F046-F6D0-463F-BF58-42ABE05300CA}" name="Column11540"/>
    <tableColumn id="11541" xr3:uid="{E147B26B-0E9E-4FC5-8C46-ED6521ECC66E}" name="Column11541"/>
    <tableColumn id="11542" xr3:uid="{02B3441A-47D7-47EB-A64B-A261C5D68F9D}" name="Column11542"/>
    <tableColumn id="11543" xr3:uid="{F1ACE95F-0244-4BD4-B62F-E0D5C4B320C8}" name="Column11543"/>
    <tableColumn id="11544" xr3:uid="{5DF70552-512A-49C7-AB3D-05F84CCB3A8A}" name="Column11544"/>
    <tableColumn id="11545" xr3:uid="{E638D0EE-CD3D-407D-9B14-CEC338A3E814}" name="Column11545"/>
    <tableColumn id="11546" xr3:uid="{92692009-1096-4DEC-BCCE-196A72129EE8}" name="Column11546"/>
    <tableColumn id="11547" xr3:uid="{EF542B0A-3EBC-4B76-BE0F-A64EC8534676}" name="Column11547"/>
    <tableColumn id="11548" xr3:uid="{71DE4CF7-2065-4519-BA5D-3DA236B13C5C}" name="Column11548"/>
    <tableColumn id="11549" xr3:uid="{0A7EE5D2-C180-4801-9E65-1D108A0FF527}" name="Column11549"/>
    <tableColumn id="11550" xr3:uid="{DACA6FDB-40EE-4647-9CFD-4C1057EB4797}" name="Column11550"/>
    <tableColumn id="11551" xr3:uid="{6D60B14B-E4CD-4E80-8B3E-60137036B2DA}" name="Column11551"/>
    <tableColumn id="11552" xr3:uid="{B498D2A1-070F-4B8E-8B34-61283AF3E7F9}" name="Column11552"/>
    <tableColumn id="11553" xr3:uid="{8A11702A-2950-4E7C-AEDE-2FD0B787173A}" name="Column11553"/>
    <tableColumn id="11554" xr3:uid="{D8A4967D-632A-4B81-923D-06B899BFE427}" name="Column11554"/>
    <tableColumn id="11555" xr3:uid="{13E73FEF-7EC3-4222-A21B-EFFD0AA0445F}" name="Column11555"/>
    <tableColumn id="11556" xr3:uid="{E79C9BDA-483E-4542-AC4C-F12EEAF7E917}" name="Column11556"/>
    <tableColumn id="11557" xr3:uid="{E2FC51F6-2BD1-4FA9-8A0C-D7FBD8888FD0}" name="Column11557"/>
    <tableColumn id="11558" xr3:uid="{37C59928-45A8-4EE0-B80F-8AEB511F0F75}" name="Column11558"/>
    <tableColumn id="11559" xr3:uid="{7B396ED6-C4ED-48D5-A3D8-EBB76E5D73C2}" name="Column11559"/>
    <tableColumn id="11560" xr3:uid="{DF3EEDE3-8C4F-485A-8BAE-04512A1973D6}" name="Column11560"/>
    <tableColumn id="11561" xr3:uid="{DBED3A3C-66C5-4C7C-9B63-974405EE9032}" name="Column11561"/>
    <tableColumn id="11562" xr3:uid="{2F725422-FC06-4333-B9AB-B8FC0C60B295}" name="Column11562"/>
    <tableColumn id="11563" xr3:uid="{EC9AA528-0E81-443E-87E6-8FD53A457A6B}" name="Column11563"/>
    <tableColumn id="11564" xr3:uid="{963501E8-3325-47E1-8FC0-AB592B3CD9FC}" name="Column11564"/>
    <tableColumn id="11565" xr3:uid="{80EA3640-1EEC-4EE9-B4FA-4AF4A340B4F4}" name="Column11565"/>
    <tableColumn id="11566" xr3:uid="{C3770828-F40D-4C9E-A8C1-0D4E09BB51ED}" name="Column11566"/>
    <tableColumn id="11567" xr3:uid="{CAD26473-80AB-47D6-86BE-D043576D93C3}" name="Column11567"/>
    <tableColumn id="11568" xr3:uid="{EFF61960-281C-4951-803D-5E5734808802}" name="Column11568"/>
    <tableColumn id="11569" xr3:uid="{CDC6AA2D-4BEB-4EB0-ADBD-52EDE938DC83}" name="Column11569"/>
    <tableColumn id="11570" xr3:uid="{A9FF68A6-E7B2-4ACC-A5BA-0502DB28F9F0}" name="Column11570"/>
    <tableColumn id="11571" xr3:uid="{9D24D644-E232-44E5-B40F-B6B87FBC158C}" name="Column11571"/>
    <tableColumn id="11572" xr3:uid="{BC255EEE-A9BA-4BEC-A2A6-90C067766634}" name="Column11572"/>
    <tableColumn id="11573" xr3:uid="{671F25BA-7C7C-41DB-BD92-6FEF5335758E}" name="Column11573"/>
    <tableColumn id="11574" xr3:uid="{14E5A84F-8CCE-453C-9779-BEF28CFF053B}" name="Column11574"/>
    <tableColumn id="11575" xr3:uid="{EBD83EAB-A3A4-469D-B3DB-2157371F250C}" name="Column11575"/>
    <tableColumn id="11576" xr3:uid="{E5F804FA-3AF5-4DD5-8E4D-5BCB62CFF9EE}" name="Column11576"/>
    <tableColumn id="11577" xr3:uid="{0289EDC0-8CC4-4DEE-A122-4BA9F19469E7}" name="Column11577"/>
    <tableColumn id="11578" xr3:uid="{E597D371-1AE4-4F30-AE12-91CBA076FFC1}" name="Column11578"/>
    <tableColumn id="11579" xr3:uid="{88F76499-2E52-4ECC-9B04-A7B36988F50F}" name="Column11579"/>
    <tableColumn id="11580" xr3:uid="{B7C6624D-739D-47A3-88E2-B24A9C612550}" name="Column11580"/>
    <tableColumn id="11581" xr3:uid="{8E35F3C6-67E2-4F8E-889E-56B166565E6F}" name="Column11581"/>
    <tableColumn id="11582" xr3:uid="{B46F9C38-183D-4E14-AFF0-590EC58C1517}" name="Column11582"/>
    <tableColumn id="11583" xr3:uid="{5166CFF5-1B2B-4961-B578-C3372C8811F0}" name="Column11583"/>
    <tableColumn id="11584" xr3:uid="{2C2B43B4-BF29-43E9-BF01-AD9DF0A34763}" name="Column11584"/>
    <tableColumn id="11585" xr3:uid="{C81D337B-47B1-46B3-8803-9FDDF2F8FDDB}" name="Column11585"/>
    <tableColumn id="11586" xr3:uid="{D166C26C-B859-4E12-94E3-772176C8B5E3}" name="Column11586"/>
    <tableColumn id="11587" xr3:uid="{AABE68C5-71FD-4737-B743-F330DDDFDE0D}" name="Column11587"/>
    <tableColumn id="11588" xr3:uid="{6D0E3D6F-ACFB-492B-90DD-325B123CB3EC}" name="Column11588"/>
    <tableColumn id="11589" xr3:uid="{A9347156-3F45-4194-8704-B8493ADE26A8}" name="Column11589"/>
    <tableColumn id="11590" xr3:uid="{BFB69CC3-77AB-42ED-9F9A-0954F199CDA6}" name="Column11590"/>
    <tableColumn id="11591" xr3:uid="{960537FB-229D-4E0B-860B-8C00D4BDBC00}" name="Column11591"/>
    <tableColumn id="11592" xr3:uid="{9BA5F25C-2D9F-4163-AD3B-E8BC20BA2680}" name="Column11592"/>
    <tableColumn id="11593" xr3:uid="{8327A1B0-F1CA-416E-8F59-AF69A94884F5}" name="Column11593"/>
    <tableColumn id="11594" xr3:uid="{89E55A1C-9065-4B13-9FC7-48C748C271B1}" name="Column11594"/>
    <tableColumn id="11595" xr3:uid="{5FC6E032-3122-40FB-9A13-80025D515490}" name="Column11595"/>
    <tableColumn id="11596" xr3:uid="{4B366814-F016-4CDF-BA84-FA9473762D5A}" name="Column11596"/>
    <tableColumn id="11597" xr3:uid="{51A9E348-5D47-4287-9FE8-A9015CAD0F81}" name="Column11597"/>
    <tableColumn id="11598" xr3:uid="{05612C29-71C1-416E-91C5-CF3361293A48}" name="Column11598"/>
    <tableColumn id="11599" xr3:uid="{80B56798-5565-4465-B2FD-4917842FBB4E}" name="Column11599"/>
    <tableColumn id="11600" xr3:uid="{7C6C82B6-BB84-479D-B3C8-D4E2605BCBB6}" name="Column11600"/>
    <tableColumn id="11601" xr3:uid="{4DDD9BEC-3974-447A-BBB2-E4D383FD227B}" name="Column11601"/>
    <tableColumn id="11602" xr3:uid="{68483A55-C9B7-40ED-8CCF-7F9DAAA47A70}" name="Column11602"/>
    <tableColumn id="11603" xr3:uid="{084CE018-BF87-4CAD-BF50-D906E73185AA}" name="Column11603"/>
    <tableColumn id="11604" xr3:uid="{381D7A12-D55D-4385-AA5E-354021013E2B}" name="Column11604"/>
    <tableColumn id="11605" xr3:uid="{28366733-3192-4F3A-B209-430A2A08A694}" name="Column11605"/>
    <tableColumn id="11606" xr3:uid="{A787C1D0-2D32-4429-858A-F506FF79A539}" name="Column11606"/>
    <tableColumn id="11607" xr3:uid="{0CDCE7A2-FA01-43F7-AD16-6DB15F60307A}" name="Column11607"/>
    <tableColumn id="11608" xr3:uid="{18C0412E-F411-4718-9B8F-575769DEF5BE}" name="Column11608"/>
    <tableColumn id="11609" xr3:uid="{B70FD53E-9830-4CE4-9BFF-0F1022B2E3AA}" name="Column11609"/>
    <tableColumn id="11610" xr3:uid="{3B0153F6-68F6-44DF-ABD3-64E8EDBF1275}" name="Column11610"/>
    <tableColumn id="11611" xr3:uid="{D5CE910C-F6C4-425B-9730-D5936E6D196C}" name="Column11611"/>
    <tableColumn id="11612" xr3:uid="{3D3A684F-A3FF-45C8-A13C-9ED82BD2F275}" name="Column11612"/>
    <tableColumn id="11613" xr3:uid="{116649C1-B8F9-4BBC-83F1-E10C3A738408}" name="Column11613"/>
    <tableColumn id="11614" xr3:uid="{70FDFDE5-3B75-4CE0-A5C9-1B0CCA725D1F}" name="Column11614"/>
    <tableColumn id="11615" xr3:uid="{2629D5EE-AEFA-4669-98BA-081A4DB2786C}" name="Column11615"/>
    <tableColumn id="11616" xr3:uid="{937EE592-E3E9-43DD-A01C-1C70E8A8171E}" name="Column11616"/>
    <tableColumn id="11617" xr3:uid="{F559EF5B-704B-4124-BF7E-9D1015572A87}" name="Column11617"/>
    <tableColumn id="11618" xr3:uid="{08AEC4A5-09B2-4868-B27C-58EC90432A51}" name="Column11618"/>
    <tableColumn id="11619" xr3:uid="{A56BC01A-3689-44AA-BA6E-7E5A08F0EC9E}" name="Column11619"/>
    <tableColumn id="11620" xr3:uid="{DD7F9BF0-4F52-4985-A2F2-123363E4C709}" name="Column11620"/>
    <tableColumn id="11621" xr3:uid="{203C4400-2752-43F9-9B99-4D7FD6617E3A}" name="Column11621"/>
    <tableColumn id="11622" xr3:uid="{CE0D0CC2-AB22-4E05-8CB8-EAE2069AA910}" name="Column11622"/>
    <tableColumn id="11623" xr3:uid="{F4C6553E-1289-4E1C-9099-0F747AC9D92A}" name="Column11623"/>
    <tableColumn id="11624" xr3:uid="{257C66F4-D781-47C6-85A6-7FC34A001A8C}" name="Column11624"/>
    <tableColumn id="11625" xr3:uid="{66C89578-C78B-45A6-B631-115E45F0FFFF}" name="Column11625"/>
    <tableColumn id="11626" xr3:uid="{0798EF6D-6DD1-4CA2-8335-B4C8538C8BAB}" name="Column11626"/>
    <tableColumn id="11627" xr3:uid="{93504928-780A-44F1-B180-103045809BBE}" name="Column11627"/>
    <tableColumn id="11628" xr3:uid="{25AD2551-8112-4ACF-9453-59274A93507D}" name="Column11628"/>
    <tableColumn id="11629" xr3:uid="{18215C04-3A8A-4CF5-9A7A-5C9A2A9B0F4E}" name="Column11629"/>
    <tableColumn id="11630" xr3:uid="{315D30DB-A6E8-4AD6-B07E-F794CF8B9CF1}" name="Column11630"/>
    <tableColumn id="11631" xr3:uid="{1334B41F-93F9-4270-83D1-FB63DA5816AB}" name="Column11631"/>
    <tableColumn id="11632" xr3:uid="{C006C926-B49E-465E-A93F-8F75C55299BA}" name="Column11632"/>
    <tableColumn id="11633" xr3:uid="{0AE7FAF4-AC80-464A-8A77-55C51A9A3AC9}" name="Column11633"/>
    <tableColumn id="11634" xr3:uid="{A6D7B432-049F-40AD-8554-94ACC98ECDF5}" name="Column11634"/>
    <tableColumn id="11635" xr3:uid="{DC07F977-C674-45FC-9E49-E0F5C08ED6DE}" name="Column11635"/>
    <tableColumn id="11636" xr3:uid="{DE54AE15-C33E-4958-AB44-A429916A4DE1}" name="Column11636"/>
    <tableColumn id="11637" xr3:uid="{2F345D04-0B32-4055-BF79-F099263EDCA1}" name="Column11637"/>
    <tableColumn id="11638" xr3:uid="{4AE07943-C0E6-44D3-90E6-7E27DCDC6FA2}" name="Column11638"/>
    <tableColumn id="11639" xr3:uid="{CCFF072B-CAC9-420D-A6C5-B23D84085C6D}" name="Column11639"/>
    <tableColumn id="11640" xr3:uid="{1D0EDAE4-ECC5-4380-8128-0D71CFC12228}" name="Column11640"/>
    <tableColumn id="11641" xr3:uid="{BEFE2FA2-05EA-4255-B4FE-517F6DDF48BF}" name="Column11641"/>
    <tableColumn id="11642" xr3:uid="{736A738B-9F18-40F0-8EA3-E04EF89D1711}" name="Column11642"/>
    <tableColumn id="11643" xr3:uid="{8C9D94D4-8394-4A00-89D9-AA24D43528F0}" name="Column11643"/>
    <tableColumn id="11644" xr3:uid="{48D18778-4A31-44CC-9DE5-D0FFB893A171}" name="Column11644"/>
    <tableColumn id="11645" xr3:uid="{748372E7-81CD-4BA2-B0C7-92DEB66E00BD}" name="Column11645"/>
    <tableColumn id="11646" xr3:uid="{EFFDAC4D-3D56-4BE5-A392-8E36ACDDE7F5}" name="Column11646"/>
    <tableColumn id="11647" xr3:uid="{D536636B-EE06-4119-9C64-B8E91F89AEDA}" name="Column11647"/>
    <tableColumn id="11648" xr3:uid="{CF461E2E-7315-4179-8B99-B9841C406427}" name="Column11648"/>
    <tableColumn id="11649" xr3:uid="{E91F4F8C-10FC-4C63-9706-6ECE37052B65}" name="Column11649"/>
    <tableColumn id="11650" xr3:uid="{1F16C831-A9B5-4EB4-A7B1-492DCF4C1AA4}" name="Column11650"/>
    <tableColumn id="11651" xr3:uid="{EC8FB95D-B29F-43E1-8A04-52419F2EC52D}" name="Column11651"/>
    <tableColumn id="11652" xr3:uid="{DFCF7F8F-931D-4C9A-B64D-167466302403}" name="Column11652"/>
    <tableColumn id="11653" xr3:uid="{1FCE8554-1F3B-4A39-87FC-0B11F60541A2}" name="Column11653"/>
    <tableColumn id="11654" xr3:uid="{62ACF3BF-3788-4DD8-A60D-67CFF507643F}" name="Column11654"/>
    <tableColumn id="11655" xr3:uid="{DB6585A4-9700-481E-8B3C-62E678EBC6D1}" name="Column11655"/>
    <tableColumn id="11656" xr3:uid="{820E6BF4-EA89-4449-971E-95CF6D30D905}" name="Column11656"/>
    <tableColumn id="11657" xr3:uid="{7F25B4B3-8246-481D-B295-4D0E4529CFC9}" name="Column11657"/>
    <tableColumn id="11658" xr3:uid="{ED5F0274-9E57-402E-B89A-3A7E3D597EAB}" name="Column11658"/>
    <tableColumn id="11659" xr3:uid="{8951ADE3-FE42-402C-9680-7D4B768787FC}" name="Column11659"/>
    <tableColumn id="11660" xr3:uid="{323C2A71-17A8-47F9-BE96-94F8EE57600A}" name="Column11660"/>
    <tableColumn id="11661" xr3:uid="{E8571687-190B-466D-8260-D042DC6AD582}" name="Column11661"/>
    <tableColumn id="11662" xr3:uid="{04C17DC9-D51A-4965-9131-F77616A31D66}" name="Column11662"/>
    <tableColumn id="11663" xr3:uid="{21F17E9B-AAD2-4A5C-9F72-881801CE89AA}" name="Column11663"/>
    <tableColumn id="11664" xr3:uid="{B8800534-05D0-4AC6-B6F3-D8B804C310A9}" name="Column11664"/>
    <tableColumn id="11665" xr3:uid="{B96BBB2D-27C7-430E-A297-A9F4178C5E66}" name="Column11665"/>
    <tableColumn id="11666" xr3:uid="{C53DDCA6-00B5-462D-8205-A9184678B916}" name="Column11666"/>
    <tableColumn id="11667" xr3:uid="{9AD14FF6-0BCF-499B-82AE-F36213FD04AA}" name="Column11667"/>
    <tableColumn id="11668" xr3:uid="{0180CB78-F601-4A03-8F73-BC2580CA1A04}" name="Column11668"/>
    <tableColumn id="11669" xr3:uid="{77DF981F-223C-4CCF-9EC8-483FCD8C4003}" name="Column11669"/>
    <tableColumn id="11670" xr3:uid="{3BEF016E-25F4-4749-872A-C22E250F17A4}" name="Column11670"/>
    <tableColumn id="11671" xr3:uid="{9FBB6B5C-832C-49E1-BD43-D6611E366BCF}" name="Column11671"/>
    <tableColumn id="11672" xr3:uid="{D76EFB86-4E61-4EE1-9185-AAF8690D6BC0}" name="Column11672"/>
    <tableColumn id="11673" xr3:uid="{C78719B2-1630-4BA6-A630-AC9E7A9E7D29}" name="Column11673"/>
    <tableColumn id="11674" xr3:uid="{4F2255D6-C4B3-4D36-89E5-1C2861B74B66}" name="Column11674"/>
    <tableColumn id="11675" xr3:uid="{4C29FEE4-98F3-41A4-8DBF-CA7409DBAE1A}" name="Column11675"/>
    <tableColumn id="11676" xr3:uid="{0B17A1E0-F757-4501-8AE6-15F30C6719BF}" name="Column11676"/>
    <tableColumn id="11677" xr3:uid="{72EDE00F-A424-49AD-8768-A786584D9249}" name="Column11677"/>
    <tableColumn id="11678" xr3:uid="{B5359E35-97CF-40D3-BB34-A26853C6E279}" name="Column11678"/>
    <tableColumn id="11679" xr3:uid="{C426F9C9-3DBD-497C-BC75-39971B50EB27}" name="Column11679"/>
    <tableColumn id="11680" xr3:uid="{0DF878C7-A8AD-4A37-86E9-AC36DE64A188}" name="Column11680"/>
    <tableColumn id="11681" xr3:uid="{A857F8E2-B8D1-45D9-9158-F9159BEE287C}" name="Column11681"/>
    <tableColumn id="11682" xr3:uid="{DEDD5434-CCBB-4EF2-ADE2-7DD46C552E94}" name="Column11682"/>
    <tableColumn id="11683" xr3:uid="{9A346FF0-B499-40DA-905C-C5FACDFAE9FE}" name="Column11683"/>
    <tableColumn id="11684" xr3:uid="{4F3D378F-F77B-4342-8A8F-C66EA9ADBB04}" name="Column11684"/>
    <tableColumn id="11685" xr3:uid="{1263BD0F-A2FF-43C3-ABD5-E3FF325BCBEA}" name="Column11685"/>
    <tableColumn id="11686" xr3:uid="{06F80079-63CA-436C-9753-99469BF6B991}" name="Column11686"/>
    <tableColumn id="11687" xr3:uid="{B6AE207E-1921-4710-AC43-0C0592C8BC64}" name="Column11687"/>
    <tableColumn id="11688" xr3:uid="{84363E41-7F96-4E5E-9DD7-06D8A8C188B5}" name="Column11688"/>
    <tableColumn id="11689" xr3:uid="{C348D14E-D0A8-490C-8449-F9DD06B3BF51}" name="Column11689"/>
    <tableColumn id="11690" xr3:uid="{1EC9B5AB-EA12-4032-A765-2D84749719D9}" name="Column11690"/>
    <tableColumn id="11691" xr3:uid="{9E781DE9-1BE9-4215-A9E9-B186B2769AC4}" name="Column11691"/>
    <tableColumn id="11692" xr3:uid="{CA43D4AF-EA52-4090-A7BA-86B48461ED24}" name="Column11692"/>
    <tableColumn id="11693" xr3:uid="{D08AA030-5D96-4755-84F3-09FB45FAE952}" name="Column11693"/>
    <tableColumn id="11694" xr3:uid="{01E88819-A598-49F3-8A6A-83667AD85339}" name="Column11694"/>
    <tableColumn id="11695" xr3:uid="{F9221F35-524E-4699-8989-52E694546535}" name="Column11695"/>
    <tableColumn id="11696" xr3:uid="{34DA8B00-138C-4577-829F-8FB9EAF6DAA5}" name="Column11696"/>
    <tableColumn id="11697" xr3:uid="{C6AA1998-F265-4225-A931-8CD8C41C9C67}" name="Column11697"/>
    <tableColumn id="11698" xr3:uid="{8F7D71F9-EB0A-4C2D-94AB-117343D80FC5}" name="Column11698"/>
    <tableColumn id="11699" xr3:uid="{43858A5A-EFA7-4940-9421-49957074A9B5}" name="Column11699"/>
    <tableColumn id="11700" xr3:uid="{A0383108-1855-4EFB-B468-5F74D59B54FD}" name="Column11700"/>
    <tableColumn id="11701" xr3:uid="{E9F62D07-E3AA-4AD5-8347-ED7A33FF48FE}" name="Column11701"/>
    <tableColumn id="11702" xr3:uid="{A8C20C11-909F-49E8-A567-1025D9C88090}" name="Column11702"/>
    <tableColumn id="11703" xr3:uid="{C1587C83-B786-4ED8-8F2E-749B7E7DC736}" name="Column11703"/>
    <tableColumn id="11704" xr3:uid="{CF7E945D-1BA1-4601-94FC-A00B4A4FB0CB}" name="Column11704"/>
    <tableColumn id="11705" xr3:uid="{D7376E75-A2B7-436D-9449-76522C477A57}" name="Column11705"/>
    <tableColumn id="11706" xr3:uid="{DC97ADEB-23C7-48CD-A170-6A23D3504984}" name="Column11706"/>
    <tableColumn id="11707" xr3:uid="{FF7305F3-3E24-4990-AF33-481BEA7E4ADB}" name="Column11707"/>
    <tableColumn id="11708" xr3:uid="{FB5DDE1E-58BF-4120-BF2F-1C06013ADCEE}" name="Column11708"/>
    <tableColumn id="11709" xr3:uid="{A4266E86-9D84-4F76-AFFF-8FF824B968FD}" name="Column11709"/>
    <tableColumn id="11710" xr3:uid="{97F43A83-EE91-4B4A-AF6E-A07571A36DA0}" name="Column11710"/>
    <tableColumn id="11711" xr3:uid="{0BB44895-26C1-441A-BC74-7C170EE41725}" name="Column11711"/>
    <tableColumn id="11712" xr3:uid="{E4F19929-450A-4255-A2A3-413FDAD17BFD}" name="Column11712"/>
    <tableColumn id="11713" xr3:uid="{57455DFC-CC9D-4DDF-B367-A1B4BE5338B0}" name="Column11713"/>
    <tableColumn id="11714" xr3:uid="{80A859E8-EE77-4781-94B7-F1D58EF7EEFF}" name="Column11714"/>
    <tableColumn id="11715" xr3:uid="{BDCD2E9D-6A2E-4F01-9F8E-FEE66DF8BB2F}" name="Column11715"/>
    <tableColumn id="11716" xr3:uid="{21D9F812-FA2B-4B34-BBF8-AFDE687F386F}" name="Column11716"/>
    <tableColumn id="11717" xr3:uid="{224042D9-DE86-465D-86A0-FCE0C5F5DA89}" name="Column11717"/>
    <tableColumn id="11718" xr3:uid="{04738570-3258-4B10-8A16-50F5D6183599}" name="Column11718"/>
    <tableColumn id="11719" xr3:uid="{2285C86C-C676-4A4A-A1BB-6CA91A1F541E}" name="Column11719"/>
    <tableColumn id="11720" xr3:uid="{4E3C126C-22C2-4BA8-8375-A9F376DF2A10}" name="Column11720"/>
    <tableColumn id="11721" xr3:uid="{50367A01-F3FE-495A-BFF1-816CD1FC111F}" name="Column11721"/>
    <tableColumn id="11722" xr3:uid="{F016BD3E-D4CF-4B01-9A80-87AB3A7C1402}" name="Column11722"/>
    <tableColumn id="11723" xr3:uid="{C61E3111-920C-4F7B-BD02-7EF94F456F87}" name="Column11723"/>
    <tableColumn id="11724" xr3:uid="{82D044EC-9533-4615-8F47-7CDCDA05774D}" name="Column11724"/>
    <tableColumn id="11725" xr3:uid="{A07C7E6A-C07F-4C90-8D58-05DAEB2ADA95}" name="Column11725"/>
    <tableColumn id="11726" xr3:uid="{9138CD28-E628-44F5-A2B2-6FC6B51E62EC}" name="Column11726"/>
    <tableColumn id="11727" xr3:uid="{1A01442A-2EE3-457E-89FA-0CB9FA93E718}" name="Column11727"/>
    <tableColumn id="11728" xr3:uid="{C3E8C232-AAC6-474E-A013-F6BD5FC7CB15}" name="Column11728"/>
    <tableColumn id="11729" xr3:uid="{480DA717-7740-4C9F-B804-5FD2B722BAD2}" name="Column11729"/>
    <tableColumn id="11730" xr3:uid="{FA145FAF-D345-4CDE-A8DB-6E84FF174492}" name="Column11730"/>
    <tableColumn id="11731" xr3:uid="{9CE7FEFE-6816-4369-AD77-0AA73FDF0EDE}" name="Column11731"/>
    <tableColumn id="11732" xr3:uid="{977BB403-60FF-43B5-B896-A46E134900E7}" name="Column11732"/>
    <tableColumn id="11733" xr3:uid="{C1813B9E-848D-409A-90AF-7DAA4E005C3F}" name="Column11733"/>
    <tableColumn id="11734" xr3:uid="{1E0FFCA9-687A-4DFE-8999-132ECC0D5E90}" name="Column11734"/>
    <tableColumn id="11735" xr3:uid="{04C070A8-426D-4671-9A0B-A41FC5999986}" name="Column11735"/>
    <tableColumn id="11736" xr3:uid="{E7F846F5-D164-4D29-868C-EFE037275657}" name="Column11736"/>
    <tableColumn id="11737" xr3:uid="{5144E025-3AEB-43B7-B24B-3601C28A8EEB}" name="Column11737"/>
    <tableColumn id="11738" xr3:uid="{48896901-6CA2-443F-8069-6978BC33BE2B}" name="Column11738"/>
    <tableColumn id="11739" xr3:uid="{33069300-3D14-4F19-9A43-221F1F147EEA}" name="Column11739"/>
    <tableColumn id="11740" xr3:uid="{170609D7-DBBD-4FB0-B1E7-A65CC7FCE352}" name="Column11740"/>
    <tableColumn id="11741" xr3:uid="{18731203-9C28-4AD9-BFE0-7951E1AFE73D}" name="Column11741"/>
    <tableColumn id="11742" xr3:uid="{FEE3010B-E128-4ED2-8729-EE6E564E2686}" name="Column11742"/>
    <tableColumn id="11743" xr3:uid="{8D15F731-4499-4F16-A1A4-0CAEE09C42DA}" name="Column11743"/>
    <tableColumn id="11744" xr3:uid="{EAC8BE4F-5624-46A1-ADB4-DCFA196817B3}" name="Column11744"/>
    <tableColumn id="11745" xr3:uid="{C9ED58A1-14AC-4136-9398-4ADD3B83E8C7}" name="Column11745"/>
    <tableColumn id="11746" xr3:uid="{0DEB8FEB-4BD1-4073-B8A6-185CF5F79F9F}" name="Column11746"/>
    <tableColumn id="11747" xr3:uid="{0D101C89-3E94-4369-80EA-90C83E8A269B}" name="Column11747"/>
    <tableColumn id="11748" xr3:uid="{C4C02E39-AC30-445F-BF4D-A2F98B09CD70}" name="Column11748"/>
    <tableColumn id="11749" xr3:uid="{3D3DBA7F-3698-476C-AFEC-F65D0A565F58}" name="Column11749"/>
    <tableColumn id="11750" xr3:uid="{26EFC757-8BF9-42A2-828B-96025D7AD309}" name="Column11750"/>
    <tableColumn id="11751" xr3:uid="{77177E90-436E-4881-BBA4-54356E9C4D4C}" name="Column11751"/>
    <tableColumn id="11752" xr3:uid="{83D7C66B-BB93-4246-8E8D-A3E13D340D09}" name="Column11752"/>
    <tableColumn id="11753" xr3:uid="{21953F84-5D0C-4D6C-97A3-156E2554C514}" name="Column11753"/>
    <tableColumn id="11754" xr3:uid="{863E3437-A6CD-4559-A572-918C830D9C5B}" name="Column11754"/>
    <tableColumn id="11755" xr3:uid="{AC6A628B-A4F4-4EAC-8341-ACA0F6A30654}" name="Column11755"/>
    <tableColumn id="11756" xr3:uid="{2BA60F93-7A05-4CBF-9B12-351FD991BD87}" name="Column11756"/>
    <tableColumn id="11757" xr3:uid="{8EB7D18A-5EF8-4709-9A63-E897BF1D331E}" name="Column11757"/>
    <tableColumn id="11758" xr3:uid="{6459A813-EC7C-43FD-B974-433A7673C85F}" name="Column11758"/>
    <tableColumn id="11759" xr3:uid="{CCE1F7C8-C510-41FB-AAC9-1900E7ED281D}" name="Column11759"/>
    <tableColumn id="11760" xr3:uid="{D7AACEAA-99DC-4D2D-8814-66221A4324D0}" name="Column11760"/>
    <tableColumn id="11761" xr3:uid="{15EE539D-B100-4F1E-B161-12CD7BD90CFD}" name="Column11761"/>
    <tableColumn id="11762" xr3:uid="{47F44065-D122-4301-86B3-524E1BD0A55E}" name="Column11762"/>
    <tableColumn id="11763" xr3:uid="{77EDD49E-108D-44D0-A54D-EBE98108A148}" name="Column11763"/>
    <tableColumn id="11764" xr3:uid="{B15070A7-334B-49FA-B04A-6EECCC5913CE}" name="Column11764"/>
    <tableColumn id="11765" xr3:uid="{FF00C677-A685-4817-886C-0EC04E4426D8}" name="Column11765"/>
    <tableColumn id="11766" xr3:uid="{9CE086B7-3866-4992-863E-D520991E122E}" name="Column11766"/>
    <tableColumn id="11767" xr3:uid="{59A2C56D-FD68-471E-98EB-94E8782885D3}" name="Column11767"/>
    <tableColumn id="11768" xr3:uid="{B987692B-2D6C-4669-96DB-C950465E9A18}" name="Column11768"/>
    <tableColumn id="11769" xr3:uid="{210872F9-BC9D-4706-A1A9-251866BB7949}" name="Column11769"/>
    <tableColumn id="11770" xr3:uid="{3C0AFA7B-2638-4A45-9CBE-D4D8CF347BDC}" name="Column11770"/>
    <tableColumn id="11771" xr3:uid="{8C07AC38-41C4-4F81-A4B8-EFB177D9A704}" name="Column11771"/>
    <tableColumn id="11772" xr3:uid="{B2A40259-E4F4-4E2D-A894-77BD327E295C}" name="Column11772"/>
    <tableColumn id="11773" xr3:uid="{B1B488E3-8040-4BB8-951D-5B1DCE0D46F9}" name="Column11773"/>
    <tableColumn id="11774" xr3:uid="{25B33A12-6CC2-49DA-AF3C-C6765B2C1973}" name="Column11774"/>
    <tableColumn id="11775" xr3:uid="{CFF75D86-5C29-4A40-A1C9-C088BDE69682}" name="Column11775"/>
    <tableColumn id="11776" xr3:uid="{EF7BB4A7-F674-4331-B687-CA4232B86876}" name="Column11776"/>
    <tableColumn id="11777" xr3:uid="{39EE3035-66F6-40B0-B288-4496CF309138}" name="Column11777"/>
    <tableColumn id="11778" xr3:uid="{91421997-BBF5-4296-A992-F8D7BEDF0803}" name="Column11778"/>
    <tableColumn id="11779" xr3:uid="{23524A4B-5169-4AF5-A612-FE2B98E8521D}" name="Column11779"/>
    <tableColumn id="11780" xr3:uid="{964CE79B-304F-4E7A-B3E4-1049F36A05A2}" name="Column11780"/>
    <tableColumn id="11781" xr3:uid="{245A1147-4370-416E-B37E-E9604D883C8A}" name="Column11781"/>
    <tableColumn id="11782" xr3:uid="{81A90D55-B4D5-443D-9D63-5E93AAE1E4B8}" name="Column11782"/>
    <tableColumn id="11783" xr3:uid="{42544F98-FA1C-408B-9274-A4CDB45534B0}" name="Column11783"/>
    <tableColumn id="11784" xr3:uid="{3D57F5C9-3923-4245-839A-FA80DB9EFC8D}" name="Column11784"/>
    <tableColumn id="11785" xr3:uid="{53952EE7-E4A3-4DEE-A391-BDA7A7C3EA51}" name="Column11785"/>
    <tableColumn id="11786" xr3:uid="{C34D7792-704D-45C0-B48B-64A5DDA80192}" name="Column11786"/>
    <tableColumn id="11787" xr3:uid="{BBB96B2D-75BF-40F2-9FF9-D7E024AE4DD8}" name="Column11787"/>
    <tableColumn id="11788" xr3:uid="{BAE7319B-93F6-4644-9D5E-5EDB4A835DCB}" name="Column11788"/>
    <tableColumn id="11789" xr3:uid="{9DA5D629-9E71-4D86-AE4E-938B99031FE2}" name="Column11789"/>
    <tableColumn id="11790" xr3:uid="{C8DA179B-6C7F-4E6E-BD8C-21EA132D9487}" name="Column11790"/>
    <tableColumn id="11791" xr3:uid="{8EDDB1B7-D945-4C4E-BF03-B910192B1D66}" name="Column11791"/>
    <tableColumn id="11792" xr3:uid="{3FA31587-CE22-4422-A907-1AEC5D5AD213}" name="Column11792"/>
    <tableColumn id="11793" xr3:uid="{F17DE406-FF0C-49C8-B9AA-7FFCC458C8F2}" name="Column11793"/>
    <tableColumn id="11794" xr3:uid="{1586597B-6BAB-469B-A4B3-8204EC276165}" name="Column11794"/>
    <tableColumn id="11795" xr3:uid="{294F252A-426E-4875-BA5D-F535E4A83B59}" name="Column11795"/>
    <tableColumn id="11796" xr3:uid="{DDAC7EDF-69D5-4FB0-A237-651C26184AC3}" name="Column11796"/>
    <tableColumn id="11797" xr3:uid="{E744B799-EB78-4279-857E-79E91E84175E}" name="Column11797"/>
    <tableColumn id="11798" xr3:uid="{0E1F8C93-F977-42F0-8FA4-E28DBA3599A2}" name="Column11798"/>
    <tableColumn id="11799" xr3:uid="{9C2DC89E-448F-4FD9-986B-7EB0F5438917}" name="Column11799"/>
    <tableColumn id="11800" xr3:uid="{7B681F75-F2CC-4F0A-94CC-08C8FE6045E1}" name="Column11800"/>
    <tableColumn id="11801" xr3:uid="{C0D6E055-70CB-4807-B3B3-2ED1664E2A5F}" name="Column11801"/>
    <tableColumn id="11802" xr3:uid="{9D2EF51E-7E4C-434B-9DCF-DADD190F4C63}" name="Column11802"/>
    <tableColumn id="11803" xr3:uid="{62A8B329-48F3-46D4-AA9A-02E4903B98AD}" name="Column11803"/>
    <tableColumn id="11804" xr3:uid="{8DF4A0BE-8C7F-4B09-AAD4-6FCACAA6FA2C}" name="Column11804"/>
    <tableColumn id="11805" xr3:uid="{6B6E7905-8659-4ED9-AF4B-3AFD78CEE0F3}" name="Column11805"/>
    <tableColumn id="11806" xr3:uid="{28348160-148F-4CC0-B2B3-162ED351FBC5}" name="Column11806"/>
    <tableColumn id="11807" xr3:uid="{469E448D-4CCB-4DFF-B740-83E46C404DF0}" name="Column11807"/>
    <tableColumn id="11808" xr3:uid="{397FA303-32E3-4680-AFE2-E99B9C230C20}" name="Column11808"/>
    <tableColumn id="11809" xr3:uid="{83DC28C0-784F-4F86-AF7F-DF709FC9AAE6}" name="Column11809"/>
    <tableColumn id="11810" xr3:uid="{8CBBC9EB-AB10-4D78-A653-349BE699FC5C}" name="Column11810"/>
    <tableColumn id="11811" xr3:uid="{FE8E3673-17DB-47CA-8511-E2F31ADCED46}" name="Column11811"/>
    <tableColumn id="11812" xr3:uid="{E7D0F87C-BA74-4D9E-99D4-AF494140C25B}" name="Column11812"/>
    <tableColumn id="11813" xr3:uid="{E9E0536B-729A-48D8-B02F-503760E3696B}" name="Column11813"/>
    <tableColumn id="11814" xr3:uid="{32317975-8704-4EAE-AC12-3AA3388C76D4}" name="Column11814"/>
    <tableColumn id="11815" xr3:uid="{2559CB6D-76AE-4A0F-B7A6-D1F1DF79516F}" name="Column11815"/>
    <tableColumn id="11816" xr3:uid="{05242480-E609-46BD-BECF-9669F6453797}" name="Column11816"/>
    <tableColumn id="11817" xr3:uid="{97AEA953-75A8-4CD7-B4CD-9CD771FF6C29}" name="Column11817"/>
    <tableColumn id="11818" xr3:uid="{912D0E0B-74A8-4D24-AF4D-667BAB3AC0AC}" name="Column11818"/>
    <tableColumn id="11819" xr3:uid="{F9A1D22E-CCC9-41C6-B68F-80DD01AD764B}" name="Column11819"/>
    <tableColumn id="11820" xr3:uid="{1663F8EC-EFB7-4B21-B846-A1E5A6367102}" name="Column11820"/>
    <tableColumn id="11821" xr3:uid="{11A79E17-4E0F-467C-AC98-3AABD557C013}" name="Column11821"/>
    <tableColumn id="11822" xr3:uid="{6B493B35-95E9-4C8C-884A-71094AFD9996}" name="Column11822"/>
    <tableColumn id="11823" xr3:uid="{A31FB09B-8A54-45CC-9813-351718839B44}" name="Column11823"/>
    <tableColumn id="11824" xr3:uid="{34FA1499-DF56-4D89-B071-C2ACA192D25B}" name="Column11824"/>
    <tableColumn id="11825" xr3:uid="{D0E58966-B2B3-4565-8604-C45835AA6F88}" name="Column11825"/>
    <tableColumn id="11826" xr3:uid="{11877EF4-379B-484B-BE6C-ACC08D4205C2}" name="Column11826"/>
    <tableColumn id="11827" xr3:uid="{F0900AA5-E131-4DED-88DB-373B8757457F}" name="Column11827"/>
    <tableColumn id="11828" xr3:uid="{199A59C1-0FFE-4801-8113-776F43E02E0D}" name="Column11828"/>
    <tableColumn id="11829" xr3:uid="{88D35EFB-8A42-438A-B7E9-F33C0342D7D5}" name="Column11829"/>
    <tableColumn id="11830" xr3:uid="{F17578A3-1D0A-4886-8A17-08BA8608E513}" name="Column11830"/>
    <tableColumn id="11831" xr3:uid="{487A55D9-CA2F-4ACF-9EFA-AB757BF7E4BB}" name="Column11831"/>
    <tableColumn id="11832" xr3:uid="{8C7995DF-9A80-4CD5-9D72-5F281C49C24F}" name="Column11832"/>
    <tableColumn id="11833" xr3:uid="{FC74A1DC-B2DF-43C4-BAD0-9A78AC1D632F}" name="Column11833"/>
    <tableColumn id="11834" xr3:uid="{7F78C6DE-0F24-4B35-9461-B909F33598F1}" name="Column11834"/>
    <tableColumn id="11835" xr3:uid="{B631A687-2BDA-47BA-8788-3BD1B3F10573}" name="Column11835"/>
    <tableColumn id="11836" xr3:uid="{631EB095-1668-4EEE-A27A-A57D9D958588}" name="Column11836"/>
    <tableColumn id="11837" xr3:uid="{8C19515A-C7C6-4055-9317-87973D44D8DE}" name="Column11837"/>
    <tableColumn id="11838" xr3:uid="{D973A1BC-0345-4D5C-818A-3BC8D4F89CFF}" name="Column11838"/>
    <tableColumn id="11839" xr3:uid="{09388131-3027-4AF6-B3D7-279343EF5017}" name="Column11839"/>
    <tableColumn id="11840" xr3:uid="{6ADDD517-85B0-4E0E-9F5A-AB3509302C1A}" name="Column11840"/>
    <tableColumn id="11841" xr3:uid="{33DCE02C-88CF-4A1D-8246-79DAD4C65F9F}" name="Column11841"/>
    <tableColumn id="11842" xr3:uid="{E3635CFD-FADE-41D8-BE59-BBD9454405E2}" name="Column11842"/>
    <tableColumn id="11843" xr3:uid="{E4F30A15-26ED-4127-BA99-094451F8E95D}" name="Column11843"/>
    <tableColumn id="11844" xr3:uid="{164C370A-DFAF-45AC-8A99-B52B728A1A31}" name="Column11844"/>
    <tableColumn id="11845" xr3:uid="{B679CBFF-1F01-4B71-930C-127A01C8DE0B}" name="Column11845"/>
    <tableColumn id="11846" xr3:uid="{7DEDA9D4-5573-49EA-B1FA-3E9931128B6A}" name="Column11846"/>
    <tableColumn id="11847" xr3:uid="{B2DD8B5B-0EAA-4802-83F0-E0A78EAE46DE}" name="Column11847"/>
    <tableColumn id="11848" xr3:uid="{15A04C50-4BDF-431E-8D36-6E19631E0BF2}" name="Column11848"/>
    <tableColumn id="11849" xr3:uid="{F520E2DF-C16F-4056-800B-97B9E7A833CE}" name="Column11849"/>
    <tableColumn id="11850" xr3:uid="{CE290699-17C6-4AEB-90DC-20F1B4591873}" name="Column11850"/>
    <tableColumn id="11851" xr3:uid="{E5AB78B5-9ED0-48DB-BDB6-C8A62D7DF1D2}" name="Column11851"/>
    <tableColumn id="11852" xr3:uid="{A350A4CC-B1B6-47F2-8897-7D4100E0E95F}" name="Column11852"/>
    <tableColumn id="11853" xr3:uid="{B87E0039-E071-4998-864B-42E1CFFB360A}" name="Column11853"/>
    <tableColumn id="11854" xr3:uid="{8A0903B6-4E13-4381-B929-78FC9252A401}" name="Column11854"/>
    <tableColumn id="11855" xr3:uid="{179CF995-73E6-47D9-B158-4D70D8E5B340}" name="Column11855"/>
    <tableColumn id="11856" xr3:uid="{61C37D8B-C450-431F-86AB-00B31AE637DD}" name="Column11856"/>
    <tableColumn id="11857" xr3:uid="{FC70D947-B608-473B-AFE7-45E0C90CDC8B}" name="Column11857"/>
    <tableColumn id="11858" xr3:uid="{76515040-DDDE-4815-9264-8F591FBAB173}" name="Column11858"/>
    <tableColumn id="11859" xr3:uid="{F2784778-C33A-4518-A99F-C2C4B5EA6B05}" name="Column11859"/>
    <tableColumn id="11860" xr3:uid="{37D00D8F-270F-41E6-9B72-88583D7A6BE2}" name="Column11860"/>
    <tableColumn id="11861" xr3:uid="{CE2C9B05-5A4A-4D95-AEEC-54D377DD2308}" name="Column11861"/>
    <tableColumn id="11862" xr3:uid="{76E93778-E484-4E2F-BDCC-4FA93CB4230A}" name="Column11862"/>
    <tableColumn id="11863" xr3:uid="{9A035E05-BCDC-4A4F-8832-8CA3B6BA2FB8}" name="Column11863"/>
    <tableColumn id="11864" xr3:uid="{0E38553B-AC92-4CC3-B48B-DCF2D7BFD8B9}" name="Column11864"/>
    <tableColumn id="11865" xr3:uid="{CD2949B8-8EAA-4192-A9C2-43D95F8BED54}" name="Column11865"/>
    <tableColumn id="11866" xr3:uid="{1D724C9B-D2B2-496E-B2DC-AFDABC5CD1BE}" name="Column11866"/>
    <tableColumn id="11867" xr3:uid="{9D8DF0B0-34D6-4D1E-BA80-B85E366DC324}" name="Column11867"/>
    <tableColumn id="11868" xr3:uid="{B8C7C582-CAEA-495C-AEC5-49ADB2ECF683}" name="Column11868"/>
    <tableColumn id="11869" xr3:uid="{2880D802-64AF-485E-87AA-33A5EC3D37DF}" name="Column11869"/>
    <tableColumn id="11870" xr3:uid="{2D04893B-D352-457B-A8AA-CB2F77027ED1}" name="Column11870"/>
    <tableColumn id="11871" xr3:uid="{7D517BDE-DCD5-4768-9F5F-2D93A6939C8F}" name="Column11871"/>
    <tableColumn id="11872" xr3:uid="{0990591E-A991-475D-89B9-8B9C0CD3D2AD}" name="Column11872"/>
    <tableColumn id="11873" xr3:uid="{031A71A0-D49B-49E0-A53F-E75D6979F974}" name="Column11873"/>
    <tableColumn id="11874" xr3:uid="{769818AB-F745-4F45-A49B-158C9BDE22E4}" name="Column11874"/>
    <tableColumn id="11875" xr3:uid="{F4B24451-53AF-4EE0-B22C-20CFF3449105}" name="Column11875"/>
    <tableColumn id="11876" xr3:uid="{B8F73EE7-84AF-4F33-BFC0-B5C43CA75C4C}" name="Column11876"/>
    <tableColumn id="11877" xr3:uid="{910A6D02-A297-4A8D-875B-E4B5484938FB}" name="Column11877"/>
    <tableColumn id="11878" xr3:uid="{BB8E80CE-ECB7-4398-B1FA-C08ABCBB2DF3}" name="Column11878"/>
    <tableColumn id="11879" xr3:uid="{893D2C15-801D-46D8-AC43-8566837A0C80}" name="Column11879"/>
    <tableColumn id="11880" xr3:uid="{219D272A-3E9A-4DE5-9B9C-A67BE194F2CD}" name="Column11880"/>
    <tableColumn id="11881" xr3:uid="{C38B953C-30B1-40BA-922C-ABB3686704B6}" name="Column11881"/>
    <tableColumn id="11882" xr3:uid="{EFA2AA1C-1EEA-4C4C-AA64-4F17837D2005}" name="Column11882"/>
    <tableColumn id="11883" xr3:uid="{DDCD6710-6F58-43B8-933A-89ACA71CF742}" name="Column11883"/>
    <tableColumn id="11884" xr3:uid="{98E133A5-6ED7-4886-B9F4-CC00E25A37B7}" name="Column11884"/>
    <tableColumn id="11885" xr3:uid="{45EA0194-49AD-47D6-AEA7-50B8EE884EC7}" name="Column11885"/>
    <tableColumn id="11886" xr3:uid="{6A130C1E-41C9-45E0-98B4-18A6F3AA939A}" name="Column11886"/>
    <tableColumn id="11887" xr3:uid="{71F56F0D-E264-4D0D-BA9D-2E5CF2EE5B0E}" name="Column11887"/>
    <tableColumn id="11888" xr3:uid="{2990AA6F-406F-488E-9239-A9486E742E22}" name="Column11888"/>
    <tableColumn id="11889" xr3:uid="{F9E20EB9-AE6A-4C2B-A4F8-C24C2D1885EF}" name="Column11889"/>
    <tableColumn id="11890" xr3:uid="{71F189F9-A673-4C53-9232-4E50F5B5D940}" name="Column11890"/>
    <tableColumn id="11891" xr3:uid="{CC1A4548-4F3C-4D53-96E2-B4B1C5510468}" name="Column11891"/>
    <tableColumn id="11892" xr3:uid="{8EBCDB02-1B1A-4498-A58A-B94932F0EC66}" name="Column11892"/>
    <tableColumn id="11893" xr3:uid="{F98C4D7D-884A-4547-8835-EAF72989185F}" name="Column11893"/>
    <tableColumn id="11894" xr3:uid="{70B82E8B-F49F-4E86-8BED-FBD849B60B8F}" name="Column11894"/>
    <tableColumn id="11895" xr3:uid="{05073E12-5EC7-4CE2-9344-A6D2FC8B6B05}" name="Column11895"/>
    <tableColumn id="11896" xr3:uid="{EE9A1AB0-6A6E-4C14-80E7-8D045E2229E5}" name="Column11896"/>
    <tableColumn id="11897" xr3:uid="{8CA00AC4-C3B7-447D-9696-43DB188061DC}" name="Column11897"/>
    <tableColumn id="11898" xr3:uid="{D4A4EAD8-F9CA-4A92-B3CC-5E790261F61F}" name="Column11898"/>
    <tableColumn id="11899" xr3:uid="{179F9187-58D2-4C41-9357-01DF90AEE24A}" name="Column11899"/>
    <tableColumn id="11900" xr3:uid="{E685E0BF-912E-448E-A32A-B427A2490B1F}" name="Column11900"/>
    <tableColumn id="11901" xr3:uid="{BCA173D0-C948-49F1-859D-0441C25D0DC4}" name="Column11901"/>
    <tableColumn id="11902" xr3:uid="{939D3567-48DF-44D5-AAFB-54F5FFD38F6D}" name="Column11902"/>
    <tableColumn id="11903" xr3:uid="{77E5026D-AD8A-4D92-A194-452B9D308F2C}" name="Column11903"/>
    <tableColumn id="11904" xr3:uid="{1F858527-8C88-4A5F-A7F0-32DABEB4C6BD}" name="Column11904"/>
    <tableColumn id="11905" xr3:uid="{66995788-CF8B-486B-A6C0-35CBCAB3E4E1}" name="Column11905"/>
    <tableColumn id="11906" xr3:uid="{53B23A17-33D3-447C-B401-8954546055B3}" name="Column11906"/>
    <tableColumn id="11907" xr3:uid="{B21888AA-2C04-4820-B872-5163DD650582}" name="Column11907"/>
    <tableColumn id="11908" xr3:uid="{1BA02BE7-0250-42E7-87AC-E33C01CD563E}" name="Column11908"/>
    <tableColumn id="11909" xr3:uid="{B89AD89D-A084-4A34-A2D3-4B469A37B853}" name="Column11909"/>
    <tableColumn id="11910" xr3:uid="{6E8CE38C-E29A-4150-8127-02B9B1789BD0}" name="Column11910"/>
    <tableColumn id="11911" xr3:uid="{52D46722-13BB-4EB6-8B43-1874A44492B5}" name="Column11911"/>
    <tableColumn id="11912" xr3:uid="{ADEA9678-A8EC-4E19-88E5-F7D85BA438EC}" name="Column11912"/>
    <tableColumn id="11913" xr3:uid="{0F666FE8-A874-47B2-B27F-714F68972932}" name="Column11913"/>
    <tableColumn id="11914" xr3:uid="{FC7DC57C-E8E1-4E59-B644-18674F3E1C72}" name="Column11914"/>
    <tableColumn id="11915" xr3:uid="{69F79BC2-C25A-4014-A37D-A27FC6D37204}" name="Column11915"/>
    <tableColumn id="11916" xr3:uid="{C2953F86-E4EB-47E6-8D33-F0CF5289069D}" name="Column11916"/>
    <tableColumn id="11917" xr3:uid="{7B92E801-04B0-4AD2-B34A-AECBD681519E}" name="Column11917"/>
    <tableColumn id="11918" xr3:uid="{8D8EF946-C226-4669-992D-56ABB8F44E6E}" name="Column11918"/>
    <tableColumn id="11919" xr3:uid="{36F2B960-6395-4840-B9E3-4A4CB2558200}" name="Column11919"/>
    <tableColumn id="11920" xr3:uid="{669179BB-7203-4407-AF1E-92751D4B2B0F}" name="Column11920"/>
    <tableColumn id="11921" xr3:uid="{868A6927-5116-4B67-8652-4ECFFC7607BB}" name="Column11921"/>
    <tableColumn id="11922" xr3:uid="{E01B8E1D-67AA-4B92-B5CA-88A08F62A9C8}" name="Column11922"/>
    <tableColumn id="11923" xr3:uid="{F6FE160C-C4EA-4550-B26A-82666D907B78}" name="Column11923"/>
    <tableColumn id="11924" xr3:uid="{9F014F9B-378E-4EC1-9041-84FE2E743C3D}" name="Column11924"/>
    <tableColumn id="11925" xr3:uid="{253A70FD-2253-4758-A3E5-1D8B32706BE5}" name="Column11925"/>
    <tableColumn id="11926" xr3:uid="{627ADA80-DEAE-4CFF-88A4-5C56BA69D763}" name="Column11926"/>
    <tableColumn id="11927" xr3:uid="{F0E8A0A4-A79A-4341-9A99-53142A6B67DF}" name="Column11927"/>
    <tableColumn id="11928" xr3:uid="{35B219DE-AFCD-46D0-8BDF-85FD0F78F4D3}" name="Column11928"/>
    <tableColumn id="11929" xr3:uid="{21DFB657-1EB0-4DF5-A9F8-BF4E81467381}" name="Column11929"/>
    <tableColumn id="11930" xr3:uid="{C403ABB9-1E68-406E-9C81-2DF920BC044B}" name="Column11930"/>
    <tableColumn id="11931" xr3:uid="{72B6DBF5-88B0-4F8E-A5F4-953F2FE17612}" name="Column11931"/>
    <tableColumn id="11932" xr3:uid="{C6F78C96-98C4-4DD7-8213-2074AA141E3C}" name="Column11932"/>
    <tableColumn id="11933" xr3:uid="{DF4AA09A-E7AC-49DB-97F5-FDEFF4BDD589}" name="Column11933"/>
    <tableColumn id="11934" xr3:uid="{BFA71F96-1E57-4FF5-AB42-17AFAB46360E}" name="Column11934"/>
    <tableColumn id="11935" xr3:uid="{8A28580D-7CED-48FB-9538-304793963917}" name="Column11935"/>
    <tableColumn id="11936" xr3:uid="{AF6843AB-4B0F-445F-B25F-248BA89BFF79}" name="Column11936"/>
    <tableColumn id="11937" xr3:uid="{1F53FC8E-3C12-4018-A5FC-28565F0CB93D}" name="Column11937"/>
    <tableColumn id="11938" xr3:uid="{E8891FFA-DCBA-4C92-8368-A7B1B50449F2}" name="Column11938"/>
    <tableColumn id="11939" xr3:uid="{D852FF35-2618-41B2-B502-ED47E9207C80}" name="Column11939"/>
    <tableColumn id="11940" xr3:uid="{01C5BA67-0E06-4F87-853F-DEA19F790EA1}" name="Column11940"/>
    <tableColumn id="11941" xr3:uid="{4BC4BD5D-C3E5-4FE9-AE3E-445DB6CE6315}" name="Column11941"/>
    <tableColumn id="11942" xr3:uid="{BC6A8D41-06DA-461C-904A-AF69C50B2DAE}" name="Column11942"/>
    <tableColumn id="11943" xr3:uid="{C7A93343-B0A0-4EA2-9DE4-56DE0084A66B}" name="Column11943"/>
    <tableColumn id="11944" xr3:uid="{485315A9-1DE7-4360-8BF2-AF2AE72381DB}" name="Column11944"/>
    <tableColumn id="11945" xr3:uid="{531012FF-DC25-4390-B9DA-4A4EA4BB83A6}" name="Column11945"/>
    <tableColumn id="11946" xr3:uid="{FDD09001-7EC5-4FA5-8FA3-3A6953237EFC}" name="Column11946"/>
    <tableColumn id="11947" xr3:uid="{016633A0-42BF-48EC-AC84-511E218CBC07}" name="Column11947"/>
    <tableColumn id="11948" xr3:uid="{9D1B01AF-6799-43CE-821A-47AFEE8BEDD3}" name="Column11948"/>
    <tableColumn id="11949" xr3:uid="{5584A5EC-ADBB-4FB7-B9F2-62F7321BD5AF}" name="Column11949"/>
    <tableColumn id="11950" xr3:uid="{508FF8EE-A097-4B52-AB93-A9C0C17B63DD}" name="Column11950"/>
    <tableColumn id="11951" xr3:uid="{CA17A342-02D7-4B46-BF8E-474B24F69D63}" name="Column11951"/>
    <tableColumn id="11952" xr3:uid="{63E26F9A-501B-48AA-AAF8-F438F438D190}" name="Column11952"/>
    <tableColumn id="11953" xr3:uid="{9C06A7ED-15D4-4EF3-BED1-D9F7DD5D847B}" name="Column11953"/>
    <tableColumn id="11954" xr3:uid="{E77963FC-3D7A-4E8D-B0C4-B3CF63276F9B}" name="Column11954"/>
    <tableColumn id="11955" xr3:uid="{25D6CA4A-BBA2-42EF-8B23-1FC6EF017AB0}" name="Column11955"/>
    <tableColumn id="11956" xr3:uid="{8C26B5AF-D37A-4124-A860-D919A6770FD3}" name="Column11956"/>
    <tableColumn id="11957" xr3:uid="{9752E2E1-288C-451D-92E7-B9B27DF4B3BF}" name="Column11957"/>
    <tableColumn id="11958" xr3:uid="{BBCB71DE-EF36-4C43-A795-B8570E078D7C}" name="Column11958"/>
    <tableColumn id="11959" xr3:uid="{B3176ECE-5748-47FC-A868-E2FD8C4887CF}" name="Column11959"/>
    <tableColumn id="11960" xr3:uid="{B7A34704-3C16-4AE3-B3A9-A3CC11039683}" name="Column11960"/>
    <tableColumn id="11961" xr3:uid="{8D57FE0C-78BF-4F6F-9257-FA341DC46AD3}" name="Column11961"/>
    <tableColumn id="11962" xr3:uid="{D8AD5402-DC04-4EE7-BAE1-E6924625158F}" name="Column11962"/>
    <tableColumn id="11963" xr3:uid="{C8B58355-3BAC-46F1-A303-7DD077F34098}" name="Column11963"/>
    <tableColumn id="11964" xr3:uid="{A3B16DAC-41D1-43C5-9FD8-12BC5E943320}" name="Column11964"/>
    <tableColumn id="11965" xr3:uid="{159A10B1-8109-40E9-B761-A0C54128EC8A}" name="Column11965"/>
    <tableColumn id="11966" xr3:uid="{51B206E8-3261-4517-B8E2-C2F680A44A1F}" name="Column11966"/>
    <tableColumn id="11967" xr3:uid="{5244338C-BDCC-4BF6-9BDC-93F46C37D4ED}" name="Column11967"/>
    <tableColumn id="11968" xr3:uid="{3E9DD49F-6917-43EA-8FF2-E807AA3DF21D}" name="Column11968"/>
    <tableColumn id="11969" xr3:uid="{479EE09A-DD77-4C2E-A258-C55315B5B2A7}" name="Column11969"/>
    <tableColumn id="11970" xr3:uid="{38E6408C-1300-4E44-A6BA-71F1A4861B58}" name="Column11970"/>
    <tableColumn id="11971" xr3:uid="{05C16BD7-8584-4779-B205-8BB70C6ABD65}" name="Column11971"/>
    <tableColumn id="11972" xr3:uid="{E6E0F2EF-800E-452D-AB5E-77F3EACFC0EE}" name="Column11972"/>
    <tableColumn id="11973" xr3:uid="{A7A17DC5-3A81-45EC-9296-C9DE6028BD7C}" name="Column11973"/>
    <tableColumn id="11974" xr3:uid="{322FD64B-DAA8-4AD3-9710-B1F0872B7DB8}" name="Column11974"/>
    <tableColumn id="11975" xr3:uid="{08545685-B28E-4EF2-A603-D35F98C40EA5}" name="Column11975"/>
    <tableColumn id="11976" xr3:uid="{9AA580DA-1A2D-458A-9805-0C3B58F0EEE4}" name="Column11976"/>
    <tableColumn id="11977" xr3:uid="{63334E28-DC00-4203-B90B-0E25BD106AC2}" name="Column11977"/>
    <tableColumn id="11978" xr3:uid="{7C890E7F-CA79-4DF3-85E9-CCC0DF2E952C}" name="Column11978"/>
    <tableColumn id="11979" xr3:uid="{337EBC2B-0037-49A5-8BD4-A3728C3E8059}" name="Column11979"/>
    <tableColumn id="11980" xr3:uid="{2D3E034E-D180-4576-B398-253FADC74CA7}" name="Column11980"/>
    <tableColumn id="11981" xr3:uid="{AE5D8D25-D2FA-4811-BB07-F382B8253CE2}" name="Column11981"/>
    <tableColumn id="11982" xr3:uid="{D5CA3D05-C3C0-4E3A-8D14-3640E8E2A775}" name="Column11982"/>
    <tableColumn id="11983" xr3:uid="{08109990-4130-4CDE-905E-DBAC1B8A68A4}" name="Column11983"/>
    <tableColumn id="11984" xr3:uid="{0EBA7F1C-F0DE-4382-AFB1-574EBDBE27EC}" name="Column11984"/>
    <tableColumn id="11985" xr3:uid="{18509973-4DEB-441B-9670-62AFBB1BE391}" name="Column11985"/>
    <tableColumn id="11986" xr3:uid="{67CDE503-9B48-425F-9B4C-9EF5D3CBCB17}" name="Column11986"/>
    <tableColumn id="11987" xr3:uid="{77140FC2-E0AE-4A9C-B6A7-B3090179657C}" name="Column11987"/>
    <tableColumn id="11988" xr3:uid="{174BEF8B-CBD1-4D1B-9B04-8800CF45F0C4}" name="Column11988"/>
    <tableColumn id="11989" xr3:uid="{3E6B0A53-0D44-44AC-AFCF-D0A14D82370C}" name="Column11989"/>
    <tableColumn id="11990" xr3:uid="{304C4F00-28B7-4458-A48B-B4CE69895F16}" name="Column11990"/>
    <tableColumn id="11991" xr3:uid="{ECAF25F0-CFD5-4257-8A52-66AA576774CC}" name="Column11991"/>
    <tableColumn id="11992" xr3:uid="{65796AD7-95A0-4FAD-92B2-39C3049F003C}" name="Column11992"/>
    <tableColumn id="11993" xr3:uid="{3A2BC800-9DA7-441C-ABF3-8CA5DC94331F}" name="Column11993"/>
    <tableColumn id="11994" xr3:uid="{646F1ED4-6BD7-479F-B4B0-3F5AEF7226F0}" name="Column11994"/>
    <tableColumn id="11995" xr3:uid="{532343E5-C5F2-4AEC-A0DD-6D130AA314CB}" name="Column11995"/>
    <tableColumn id="11996" xr3:uid="{2FA69194-BCFC-48B6-81D1-99734029311B}" name="Column11996"/>
    <tableColumn id="11997" xr3:uid="{23BF1101-5535-43A3-9939-6995D5E39DD9}" name="Column11997"/>
    <tableColumn id="11998" xr3:uid="{4F74C09F-66D3-4601-B4DF-966D0D21E64B}" name="Column11998"/>
    <tableColumn id="11999" xr3:uid="{32FB05F3-BE23-43D6-9352-040D94FCBCF5}" name="Column11999"/>
    <tableColumn id="12000" xr3:uid="{83A6802C-6934-496A-BEC5-8DB31D8DDEC2}" name="Column12000"/>
    <tableColumn id="12001" xr3:uid="{B83633CD-FA01-4F12-B808-FE74C919BC32}" name="Column12001"/>
    <tableColumn id="12002" xr3:uid="{97A363A6-380F-4501-A8AC-979861F1AF83}" name="Column12002"/>
    <tableColumn id="12003" xr3:uid="{175E9611-2349-4413-A228-30B7EE6D92F6}" name="Column12003"/>
    <tableColumn id="12004" xr3:uid="{614B721C-0A2D-4A03-9F3F-FC4F27B0370A}" name="Column12004"/>
    <tableColumn id="12005" xr3:uid="{712C5A65-199A-4C11-8879-A0DEC5745615}" name="Column12005"/>
    <tableColumn id="12006" xr3:uid="{6D5B28CA-0829-4420-AA60-66CCA4DC08FC}" name="Column12006"/>
    <tableColumn id="12007" xr3:uid="{0115D0D3-4BA8-4558-A7B4-00AA67857896}" name="Column12007"/>
    <tableColumn id="12008" xr3:uid="{75CEFE3B-2334-45D6-B1E4-315A21401EDF}" name="Column12008"/>
    <tableColumn id="12009" xr3:uid="{92B365BE-36BE-42F4-B24D-A0CA2DA3E231}" name="Column12009"/>
    <tableColumn id="12010" xr3:uid="{128AE9A4-4C60-4DAB-AD3B-9CA9DA7AD673}" name="Column12010"/>
    <tableColumn id="12011" xr3:uid="{D26D938F-6867-4580-907A-C02C5FB2D07C}" name="Column12011"/>
    <tableColumn id="12012" xr3:uid="{51CC4A6B-B0A8-4275-BAD1-BCAE178346C6}" name="Column12012"/>
    <tableColumn id="12013" xr3:uid="{AE6C903A-091A-4275-8680-F557DDE7B1B8}" name="Column12013"/>
    <tableColumn id="12014" xr3:uid="{7756949A-1E8F-4924-BBAB-5363157E78B3}" name="Column12014"/>
    <tableColumn id="12015" xr3:uid="{509803D0-1483-4A69-A2B9-D37B41D9E485}" name="Column12015"/>
    <tableColumn id="12016" xr3:uid="{17E6BC45-687E-4F60-90AD-FD7DCB6C02F9}" name="Column12016"/>
    <tableColumn id="12017" xr3:uid="{BEC541BB-F897-4172-A632-C9478B07449B}" name="Column12017"/>
    <tableColumn id="12018" xr3:uid="{1879218B-80A7-483A-B43C-FDFE90417F8D}" name="Column12018"/>
    <tableColumn id="12019" xr3:uid="{559C1F45-1F77-4F46-9356-38E9613964F8}" name="Column12019"/>
    <tableColumn id="12020" xr3:uid="{D73952D4-CA45-4BFD-912B-E032EE0B5777}" name="Column12020"/>
    <tableColumn id="12021" xr3:uid="{FD89CA11-FA42-40AA-9288-49EA6D69A9DD}" name="Column12021"/>
    <tableColumn id="12022" xr3:uid="{58D68900-CBEF-4338-B593-350599604AE9}" name="Column12022"/>
    <tableColumn id="12023" xr3:uid="{F7EA53F4-4164-4FDA-832F-489F03DC4615}" name="Column12023"/>
    <tableColumn id="12024" xr3:uid="{EF7622E4-1A28-4766-A193-C93C5AF4C6E3}" name="Column12024"/>
    <tableColumn id="12025" xr3:uid="{B47B831A-FB76-423B-99D0-76F3C2EC0D32}" name="Column12025"/>
    <tableColumn id="12026" xr3:uid="{0141F739-2A88-4C6D-ACF4-7B44E7D37578}" name="Column12026"/>
    <tableColumn id="12027" xr3:uid="{2B646490-F95E-4529-8B73-40F62AB53CE9}" name="Column12027"/>
    <tableColumn id="12028" xr3:uid="{ABE8E6A4-320F-48C3-BBF1-77BAE747B086}" name="Column12028"/>
    <tableColumn id="12029" xr3:uid="{00F052BB-3F81-471E-B0B9-410E2735B430}" name="Column12029"/>
    <tableColumn id="12030" xr3:uid="{A96EB388-81E7-49E1-BA23-4B8B6E792798}" name="Column12030"/>
    <tableColumn id="12031" xr3:uid="{6F2180FD-22BD-433B-AC31-648D46ECAD66}" name="Column12031"/>
    <tableColumn id="12032" xr3:uid="{89B02BFC-2B5A-41C8-ACA5-4C0FF74F612C}" name="Column12032"/>
    <tableColumn id="12033" xr3:uid="{8ED86A08-EB92-4B6E-98C9-CC3F90480AF2}" name="Column12033"/>
    <tableColumn id="12034" xr3:uid="{A3D84AED-7D99-4030-ACBD-C67EC58C2EBF}" name="Column12034"/>
    <tableColumn id="12035" xr3:uid="{0E2AA614-33B6-4C8E-B3AF-5F0F40C1B125}" name="Column12035"/>
    <tableColumn id="12036" xr3:uid="{F47FF72F-85ED-4F4E-939E-7005DB66BF2B}" name="Column12036"/>
    <tableColumn id="12037" xr3:uid="{B5AE4539-829B-41C3-BF93-31509744D8E7}" name="Column12037"/>
    <tableColumn id="12038" xr3:uid="{AD55B50B-E987-42E8-A6A5-B757A28364A7}" name="Column12038"/>
    <tableColumn id="12039" xr3:uid="{76EAAC83-1EB5-4055-B0D1-70B8FD033F87}" name="Column12039"/>
    <tableColumn id="12040" xr3:uid="{9FDF753A-CCB7-4789-8E55-F47AEFB2E3DB}" name="Column12040"/>
    <tableColumn id="12041" xr3:uid="{81D869C7-58CE-4629-8213-3B600122E545}" name="Column12041"/>
    <tableColumn id="12042" xr3:uid="{62007010-4875-4582-8127-3E3694815B91}" name="Column12042"/>
    <tableColumn id="12043" xr3:uid="{2496FBB3-5975-44C8-879A-345C9E85C98D}" name="Column12043"/>
    <tableColumn id="12044" xr3:uid="{A1837C7E-D4E3-4467-AA21-4E5F68310A6E}" name="Column12044"/>
    <tableColumn id="12045" xr3:uid="{6B20B579-C616-4AF6-9E07-8DA86D3DA60A}" name="Column12045"/>
    <tableColumn id="12046" xr3:uid="{E1911630-4BAA-4760-B205-292BBE2A6827}" name="Column12046"/>
    <tableColumn id="12047" xr3:uid="{B06A7F9F-A3D1-4948-99FA-4CDA1BBA6D28}" name="Column12047"/>
    <tableColumn id="12048" xr3:uid="{2A86CA22-729F-45EB-82E8-76446E754CCA}" name="Column12048"/>
    <tableColumn id="12049" xr3:uid="{CC6BB113-4654-4869-A601-8528E0E3204C}" name="Column12049"/>
    <tableColumn id="12050" xr3:uid="{95756DFC-4C62-4761-B37F-EC939D96EDB9}" name="Column12050"/>
    <tableColumn id="12051" xr3:uid="{3E4935EA-377D-428F-AA00-DBAFF8C9D39A}" name="Column12051"/>
    <tableColumn id="12052" xr3:uid="{7554DAC6-6FFE-4CB3-AF55-B010BA280E40}" name="Column12052"/>
    <tableColumn id="12053" xr3:uid="{EA9DF6FD-AEF4-43D0-8392-49DA199A9DE6}" name="Column12053"/>
    <tableColumn id="12054" xr3:uid="{801BC165-9263-4105-8660-D01525681062}" name="Column12054"/>
    <tableColumn id="12055" xr3:uid="{DD566E0F-03A7-400F-A8A1-05A3EBF8807F}" name="Column12055"/>
    <tableColumn id="12056" xr3:uid="{34CBC7F4-C334-411E-93D5-630726AB0C3E}" name="Column12056"/>
    <tableColumn id="12057" xr3:uid="{66F7BFC0-055B-45EB-BA7B-59397EB521E2}" name="Column12057"/>
    <tableColumn id="12058" xr3:uid="{0F97CDC9-55EF-40B0-AF9F-C29C7A12D81B}" name="Column12058"/>
    <tableColumn id="12059" xr3:uid="{963F7496-E602-433F-AF56-22A306FA62C4}" name="Column12059"/>
    <tableColumn id="12060" xr3:uid="{AE9CB678-9620-4923-A02B-79BD7B2C15AD}" name="Column12060"/>
    <tableColumn id="12061" xr3:uid="{161371EE-A90B-414D-BA85-2E510784D6C0}" name="Column12061"/>
    <tableColumn id="12062" xr3:uid="{E2A82D2A-B0D1-4727-B818-FDCC180E3C51}" name="Column12062"/>
    <tableColumn id="12063" xr3:uid="{C580CF06-6F7C-4B51-ACF7-5BE39364C36C}" name="Column12063"/>
    <tableColumn id="12064" xr3:uid="{2A49289B-55A1-48AA-9160-C4ACAF744FEE}" name="Column12064"/>
    <tableColumn id="12065" xr3:uid="{6E47FAEB-CFD2-4A47-AEC0-ADEE4689243E}" name="Column12065"/>
    <tableColumn id="12066" xr3:uid="{CCE8DB2B-FD9A-4CE5-B4DD-CF5A7B1A1D43}" name="Column12066"/>
    <tableColumn id="12067" xr3:uid="{8F9A0F70-252F-4506-8DAC-F2E3B41B6E14}" name="Column12067"/>
    <tableColumn id="12068" xr3:uid="{C81CAC8E-1523-4E69-9B0D-1C31268F5BAA}" name="Column12068"/>
    <tableColumn id="12069" xr3:uid="{C4CEE04A-9A6D-42F3-81D4-FF6ADDDE5DBF}" name="Column12069"/>
    <tableColumn id="12070" xr3:uid="{FD2245F6-08F1-4627-8C15-4A319905B9FB}" name="Column12070"/>
    <tableColumn id="12071" xr3:uid="{D310E0BF-BADE-4F37-B7FE-0E70DCF14130}" name="Column12071"/>
    <tableColumn id="12072" xr3:uid="{B44B4B35-8C10-444D-B180-C2C9A5BA433C}" name="Column12072"/>
    <tableColumn id="12073" xr3:uid="{9781F61C-7334-4F8E-B1B2-2DDE19F07681}" name="Column12073"/>
    <tableColumn id="12074" xr3:uid="{CF19E1BB-0204-42C5-8C50-E7191574813C}" name="Column12074"/>
    <tableColumn id="12075" xr3:uid="{68B749CD-ADE9-4AFE-9E13-EC2C4D3562BF}" name="Column12075"/>
    <tableColumn id="12076" xr3:uid="{30B962B1-F06B-4064-A313-F795D920790A}" name="Column12076"/>
    <tableColumn id="12077" xr3:uid="{ED44DC04-5957-43AF-A1DE-F40E7122053A}" name="Column12077"/>
    <tableColumn id="12078" xr3:uid="{DCCA47A2-D853-43CA-AF47-630D4104637E}" name="Column12078"/>
    <tableColumn id="12079" xr3:uid="{FF9AED55-931F-43E5-9FBF-F46CB14FCDA3}" name="Column12079"/>
    <tableColumn id="12080" xr3:uid="{CF2E8FFF-49FA-464C-AAA3-44A5F6BA48FB}" name="Column12080"/>
    <tableColumn id="12081" xr3:uid="{FA893768-A642-4B67-89E5-29C9D8598271}" name="Column12081"/>
    <tableColumn id="12082" xr3:uid="{2CF4A1E8-DFF0-44DF-8243-E37F00E5082A}" name="Column12082"/>
    <tableColumn id="12083" xr3:uid="{9FC55DF2-619D-4A9D-84AE-F9438D3FDA87}" name="Column12083"/>
    <tableColumn id="12084" xr3:uid="{205A3EEF-1B41-4E48-84C0-60D08D2DC592}" name="Column12084"/>
    <tableColumn id="12085" xr3:uid="{9283C19B-FFED-4DF6-B82A-7D004931137A}" name="Column12085"/>
    <tableColumn id="12086" xr3:uid="{03191E3D-3924-4C10-9A1A-F2ED9C1560CF}" name="Column12086"/>
    <tableColumn id="12087" xr3:uid="{D702FBC9-79C6-4B81-8612-2A3CA9E46512}" name="Column12087"/>
    <tableColumn id="12088" xr3:uid="{28BA2DFE-D7A8-4A65-B9AD-56EC09CCC849}" name="Column12088"/>
    <tableColumn id="12089" xr3:uid="{BCCF16ED-1C3F-458C-AB74-01D2AC1CC129}" name="Column12089"/>
    <tableColumn id="12090" xr3:uid="{A93728EF-2A03-4A63-A532-F01749AA7C11}" name="Column12090"/>
    <tableColumn id="12091" xr3:uid="{6456A153-302B-4B04-BBF6-AF3850CFE073}" name="Column12091"/>
    <tableColumn id="12092" xr3:uid="{3C75E28F-686E-4CCB-8426-1EEDD92B9A40}" name="Column12092"/>
    <tableColumn id="12093" xr3:uid="{6907956E-A21E-46D2-AFD4-9738DD56DD56}" name="Column12093"/>
    <tableColumn id="12094" xr3:uid="{9873605B-E4F0-49C3-97E3-71C67CC6481D}" name="Column12094"/>
    <tableColumn id="12095" xr3:uid="{FA542A9C-C564-4444-A144-2F42275ED7B8}" name="Column12095"/>
    <tableColumn id="12096" xr3:uid="{BE7992B5-C21C-47E1-BFE4-1C2ACEBA0C40}" name="Column12096"/>
    <tableColumn id="12097" xr3:uid="{79B1348C-85C7-41A5-91BB-B15F39C326CE}" name="Column12097"/>
    <tableColumn id="12098" xr3:uid="{ABDA6C23-9E6A-4009-94E8-F9646867682F}" name="Column12098"/>
    <tableColumn id="12099" xr3:uid="{EA3A0BA2-C76B-4730-AC39-F7EE1F448BE0}" name="Column12099"/>
    <tableColumn id="12100" xr3:uid="{94322FEE-C0D1-4A4F-8DB5-CFCF08BC364C}" name="Column12100"/>
    <tableColumn id="12101" xr3:uid="{60E3B969-0F97-4870-8B34-2125076063E0}" name="Column12101"/>
    <tableColumn id="12102" xr3:uid="{F8AAAB82-5E9C-4C72-AB3C-ACFED2071525}" name="Column12102"/>
    <tableColumn id="12103" xr3:uid="{79959C8A-16A2-4BA9-AB1F-8E3DACD92749}" name="Column12103"/>
    <tableColumn id="12104" xr3:uid="{7BD2E53B-4784-4951-B069-0545B520E54B}" name="Column12104"/>
    <tableColumn id="12105" xr3:uid="{577DFA2E-06C2-4DC4-B877-201A0CB79593}" name="Column12105"/>
    <tableColumn id="12106" xr3:uid="{0E961817-1275-4C6E-9665-713468056BE6}" name="Column12106"/>
    <tableColumn id="12107" xr3:uid="{C9048325-D06A-46AE-B121-883790B25676}" name="Column12107"/>
    <tableColumn id="12108" xr3:uid="{DE333539-5E94-40BB-A19B-CD5B247BFA1D}" name="Column12108"/>
    <tableColumn id="12109" xr3:uid="{37F26985-E426-40E3-800A-60A19ED34F27}" name="Column12109"/>
    <tableColumn id="12110" xr3:uid="{241BD821-D93A-4DF6-AA4F-24DF4DF00B56}" name="Column12110"/>
    <tableColumn id="12111" xr3:uid="{298E618A-5D08-4477-80F6-AB72B9D526BC}" name="Column12111"/>
    <tableColumn id="12112" xr3:uid="{ED14290A-EE3F-44CE-ADAA-15A6C20E436C}" name="Column12112"/>
    <tableColumn id="12113" xr3:uid="{A68FCABC-6E7F-4C3C-B641-ACB85EAA9FB0}" name="Column12113"/>
    <tableColumn id="12114" xr3:uid="{60890397-5C79-4580-83EE-C10D7B33EDF8}" name="Column12114"/>
    <tableColumn id="12115" xr3:uid="{897B6857-8963-41D9-8709-C9B500D2C995}" name="Column12115"/>
    <tableColumn id="12116" xr3:uid="{36F8A974-0FE9-4E4B-9C1D-8002D17C60CA}" name="Column12116"/>
    <tableColumn id="12117" xr3:uid="{860718D2-9E7A-4B29-A31F-978B99A00D62}" name="Column12117"/>
    <tableColumn id="12118" xr3:uid="{A116C3CC-79AC-48D1-BAB3-6E533C8B876D}" name="Column12118"/>
    <tableColumn id="12119" xr3:uid="{39DD2429-F58D-41BB-B4CF-B23B6A9A19BD}" name="Column12119"/>
    <tableColumn id="12120" xr3:uid="{82AEBC55-0E75-4BFA-95DF-1583DBF6CE9E}" name="Column12120"/>
    <tableColumn id="12121" xr3:uid="{88CF3086-6786-49F9-AC8A-7A5510AADA17}" name="Column12121"/>
    <tableColumn id="12122" xr3:uid="{78DEA1AB-8656-4008-8416-D32263271128}" name="Column12122"/>
    <tableColumn id="12123" xr3:uid="{7F6BB2E1-9D47-4DCB-B1BF-2EB5A789E956}" name="Column12123"/>
    <tableColumn id="12124" xr3:uid="{4978405C-FE63-438C-8645-9073FC3F940F}" name="Column12124"/>
    <tableColumn id="12125" xr3:uid="{3B22F1C2-B31D-44BD-AFF7-8F541F7DC5BA}" name="Column12125"/>
    <tableColumn id="12126" xr3:uid="{C3452931-FA06-4BF0-883E-3D896599F956}" name="Column12126"/>
    <tableColumn id="12127" xr3:uid="{8D30053B-735B-4BA4-A07F-4E6C9C84A16A}" name="Column12127"/>
    <tableColumn id="12128" xr3:uid="{D104659C-6F97-4296-932F-F7C1DE3213AE}" name="Column12128"/>
    <tableColumn id="12129" xr3:uid="{05629691-07F7-49EB-86AF-7EC6726887AD}" name="Column12129"/>
    <tableColumn id="12130" xr3:uid="{079398A7-1D95-430D-B862-D5D1598FD781}" name="Column12130"/>
    <tableColumn id="12131" xr3:uid="{9D0E290F-713C-4EA9-8A7E-35E2405440E7}" name="Column12131"/>
    <tableColumn id="12132" xr3:uid="{3D3878B3-C2CC-4643-BF7F-FDB47262E8ED}" name="Column12132"/>
    <tableColumn id="12133" xr3:uid="{CAC6505C-4171-4CAB-9D08-9092CB03E734}" name="Column12133"/>
    <tableColumn id="12134" xr3:uid="{20249BF2-5AA7-4DC7-A8E7-F3E80B7584F5}" name="Column12134"/>
    <tableColumn id="12135" xr3:uid="{8DE0D9A2-6997-43F5-AE50-7B7858274F1A}" name="Column12135"/>
    <tableColumn id="12136" xr3:uid="{47A1E1AE-EBFD-41EB-9C19-A7B04E6619D3}" name="Column12136"/>
    <tableColumn id="12137" xr3:uid="{024D9A8C-8355-493C-BDE4-0742A404499C}" name="Column12137"/>
    <tableColumn id="12138" xr3:uid="{FF48A47F-AF47-44A4-8F37-C300216A86A0}" name="Column12138"/>
    <tableColumn id="12139" xr3:uid="{30417CD5-60F2-486A-A2F1-9FFB60E9466F}" name="Column12139"/>
    <tableColumn id="12140" xr3:uid="{8127CEEF-396C-4662-9B53-23F8F47E42DA}" name="Column12140"/>
    <tableColumn id="12141" xr3:uid="{70ECF297-3962-44C8-9FC5-9CDB6011875F}" name="Column12141"/>
    <tableColumn id="12142" xr3:uid="{AE79CB5A-5C8F-4284-8509-74A81502EC62}" name="Column12142"/>
    <tableColumn id="12143" xr3:uid="{DE72C185-32D8-4960-9EEE-7120DDF91A3F}" name="Column12143"/>
    <tableColumn id="12144" xr3:uid="{EB985D3D-3E26-4590-B725-3BC6A37050AD}" name="Column12144"/>
    <tableColumn id="12145" xr3:uid="{71739076-A208-4413-BAB2-0833E886F92A}" name="Column12145"/>
    <tableColumn id="12146" xr3:uid="{5AB536BB-ABA4-420F-84BF-5CAD51B6B165}" name="Column12146"/>
    <tableColumn id="12147" xr3:uid="{A73B7293-4534-4FDD-B3C4-1B3C693C08D9}" name="Column12147"/>
    <tableColumn id="12148" xr3:uid="{C23C6C3A-7FE4-4207-A67D-881E1CD6066F}" name="Column12148"/>
    <tableColumn id="12149" xr3:uid="{1885458D-651C-4986-987A-57284E1469E4}" name="Column12149"/>
    <tableColumn id="12150" xr3:uid="{8A1F2624-F7D8-4268-A858-64871D1645D8}" name="Column12150"/>
    <tableColumn id="12151" xr3:uid="{4B51AD16-61FC-4852-8F3F-84E69EE0F6C0}" name="Column12151"/>
    <tableColumn id="12152" xr3:uid="{218BC9F4-4218-4031-AC45-F92802F90CAB}" name="Column12152"/>
    <tableColumn id="12153" xr3:uid="{A9E2999C-3560-459F-83A8-BCEF7EA18A1C}" name="Column12153"/>
    <tableColumn id="12154" xr3:uid="{C6FB28FF-371C-46A2-B889-366FD28102F3}" name="Column12154"/>
    <tableColumn id="12155" xr3:uid="{81D8AAB7-B037-4037-BC1E-BCD574E4340F}" name="Column12155"/>
    <tableColumn id="12156" xr3:uid="{A42AC7B3-DFE6-43EF-BB3A-49A2F81FA33B}" name="Column12156"/>
    <tableColumn id="12157" xr3:uid="{E4B59EA0-1E67-4B72-B9D0-71B80E1F8EA4}" name="Column12157"/>
    <tableColumn id="12158" xr3:uid="{11E24298-FF9F-4790-87AF-D35C378F82C4}" name="Column12158"/>
    <tableColumn id="12159" xr3:uid="{F5787898-0D9E-44A5-869F-31B7CA646B89}" name="Column12159"/>
    <tableColumn id="12160" xr3:uid="{F8BBED51-E2E0-4118-B58F-5E5DDA2958B7}" name="Column12160"/>
    <tableColumn id="12161" xr3:uid="{19E450C8-D074-4F26-8CF9-D42349C8157C}" name="Column12161"/>
    <tableColumn id="12162" xr3:uid="{3C35D159-3311-4893-BC91-CF3098774FED}" name="Column12162"/>
    <tableColumn id="12163" xr3:uid="{3DC4E80B-A8A0-4487-9D32-2C07B429CC23}" name="Column12163"/>
    <tableColumn id="12164" xr3:uid="{E9C50B02-CF21-4330-8C34-15F84071DB74}" name="Column12164"/>
    <tableColumn id="12165" xr3:uid="{3A3930DE-8B2C-482E-8593-5F9BDEA4FDD6}" name="Column12165"/>
    <tableColumn id="12166" xr3:uid="{B9738AE9-AC56-4674-A72D-8864B01E02A1}" name="Column12166"/>
    <tableColumn id="12167" xr3:uid="{9825BB38-D452-4CD8-871C-E7BCB7420DC1}" name="Column12167"/>
    <tableColumn id="12168" xr3:uid="{33530D9A-E489-4B2C-90A4-8C4A3DB5B1E8}" name="Column12168"/>
    <tableColumn id="12169" xr3:uid="{8DE623A1-27F6-4D83-897C-3314B7691F94}" name="Column12169"/>
    <tableColumn id="12170" xr3:uid="{F5083A1E-7F9D-4367-91F3-427DD23B5D79}" name="Column12170"/>
    <tableColumn id="12171" xr3:uid="{172695D6-DF5B-4D53-A23F-0F497E0FDCC2}" name="Column12171"/>
    <tableColumn id="12172" xr3:uid="{26C8280A-670B-4906-A921-C1B02ED1DE6D}" name="Column12172"/>
    <tableColumn id="12173" xr3:uid="{A8B633A7-3859-4B76-B3D7-3DDD381ADBF5}" name="Column12173"/>
    <tableColumn id="12174" xr3:uid="{2CA596C0-139A-423F-BDC2-20197D9E97FB}" name="Column12174"/>
    <tableColumn id="12175" xr3:uid="{A21F2C43-2D19-4036-9837-B6AE2266B14C}" name="Column12175"/>
    <tableColumn id="12176" xr3:uid="{3F562B40-3EE0-43F2-8920-821C207D75D6}" name="Column12176"/>
    <tableColumn id="12177" xr3:uid="{CF9B7737-2F8D-48BE-92FF-59733DCAEDA1}" name="Column12177"/>
    <tableColumn id="12178" xr3:uid="{7B546220-5A8D-4B70-BC50-DC084F6ED461}" name="Column12178"/>
    <tableColumn id="12179" xr3:uid="{EB199321-8418-4B11-8621-6E909F51ED27}" name="Column12179"/>
    <tableColumn id="12180" xr3:uid="{95A9369C-8791-4C4F-8195-C8118BDA2FD5}" name="Column12180"/>
    <tableColumn id="12181" xr3:uid="{7D44AF7A-F044-43A5-80CF-E9CD58D9B51D}" name="Column12181"/>
    <tableColumn id="12182" xr3:uid="{3C3A6E0A-5681-4A50-BA98-908323D2360F}" name="Column12182"/>
    <tableColumn id="12183" xr3:uid="{6E9A23A7-C166-4FA2-9FA1-FDB31F042FA2}" name="Column12183"/>
    <tableColumn id="12184" xr3:uid="{D20D6B80-FF9A-48CB-9D9C-C1AFD367D93D}" name="Column12184"/>
    <tableColumn id="12185" xr3:uid="{7F49461D-1BF4-454C-B633-407E5FFBCA14}" name="Column12185"/>
    <tableColumn id="12186" xr3:uid="{452FDF34-050E-42E7-84AF-DD21661382F1}" name="Column12186"/>
    <tableColumn id="12187" xr3:uid="{EAE0A99F-B66B-486F-B1B3-CB276465281A}" name="Column12187"/>
    <tableColumn id="12188" xr3:uid="{A8AD3D22-BEFD-4664-AC8C-E062EE38375F}" name="Column12188"/>
    <tableColumn id="12189" xr3:uid="{015DC816-4D10-440A-8659-794EEAD260AE}" name="Column12189"/>
    <tableColumn id="12190" xr3:uid="{2FDFCAC6-4055-4F88-8605-AFE66F03752D}" name="Column12190"/>
    <tableColumn id="12191" xr3:uid="{4C3CAA9B-BDEE-469B-BCA0-75BA99B12E03}" name="Column12191"/>
    <tableColumn id="12192" xr3:uid="{E377C2FB-8DBA-433E-AF39-796BEC31D8E0}" name="Column12192"/>
    <tableColumn id="12193" xr3:uid="{D42D3B82-E83D-4913-8C61-048D1AAB3618}" name="Column12193"/>
    <tableColumn id="12194" xr3:uid="{6B1BAD81-DBCD-40EA-8E66-8202E7FA36A5}" name="Column12194"/>
    <tableColumn id="12195" xr3:uid="{AEAAD09B-38CC-4682-956B-3974D69F691B}" name="Column12195"/>
    <tableColumn id="12196" xr3:uid="{0EFA6D82-E7C4-4F58-8039-305D64FB50B1}" name="Column12196"/>
    <tableColumn id="12197" xr3:uid="{0D76872E-7EBD-4FEC-9882-C80485E332E0}" name="Column12197"/>
    <tableColumn id="12198" xr3:uid="{86030272-AF57-431C-BF23-8746D50012AF}" name="Column12198"/>
    <tableColumn id="12199" xr3:uid="{5B5FFEBB-26A0-4228-994E-51105CA753E2}" name="Column12199"/>
    <tableColumn id="12200" xr3:uid="{B4C52B7E-EB0E-4BE5-AE3F-4ED45B872EDD}" name="Column12200"/>
    <tableColumn id="12201" xr3:uid="{FBEBE30E-24E9-4788-818D-C5264A24700B}" name="Column12201"/>
    <tableColumn id="12202" xr3:uid="{D03E674D-E957-45C2-A3FD-63B0F99A9295}" name="Column12202"/>
    <tableColumn id="12203" xr3:uid="{8812E11A-91E5-4457-8243-739F5C7806A7}" name="Column12203"/>
    <tableColumn id="12204" xr3:uid="{CDD8EEA4-AC7A-429D-8786-AE19CA878B9E}" name="Column12204"/>
    <tableColumn id="12205" xr3:uid="{5594EA40-E651-4A92-ADED-91F2484BFD81}" name="Column12205"/>
    <tableColumn id="12206" xr3:uid="{4A3CBEDC-0DD8-4F7C-95B0-A1C9B3CB490F}" name="Column12206"/>
    <tableColumn id="12207" xr3:uid="{B64502F8-B1A1-4192-B8F5-6073C98B453A}" name="Column12207"/>
    <tableColumn id="12208" xr3:uid="{FD978E68-55D3-40A1-B47C-4EFD2AE254AF}" name="Column12208"/>
    <tableColumn id="12209" xr3:uid="{A3F9FBF5-47A8-42CB-926F-83DAED5BB55E}" name="Column12209"/>
    <tableColumn id="12210" xr3:uid="{6F018022-12E4-49D3-BF1F-2A846D53CCFB}" name="Column12210"/>
    <tableColumn id="12211" xr3:uid="{1A8E5348-5C5B-46D3-A368-4E768BC84F80}" name="Column12211"/>
    <tableColumn id="12212" xr3:uid="{0274B0A6-65B2-4BB8-8CB1-1FBD15A9503F}" name="Column12212"/>
    <tableColumn id="12213" xr3:uid="{358A913C-0F73-468D-84BC-06C79526E1D6}" name="Column12213"/>
    <tableColumn id="12214" xr3:uid="{0F57C118-8B2D-48A5-BBA4-97166A02281F}" name="Column12214"/>
    <tableColumn id="12215" xr3:uid="{200C18D3-887B-4B25-9C89-91DCF9ACD345}" name="Column12215"/>
    <tableColumn id="12216" xr3:uid="{D7850024-E8D5-4993-B6B8-F3829B654D6A}" name="Column12216"/>
    <tableColumn id="12217" xr3:uid="{E5EFBE5F-A5CF-4451-BC64-FC10679B804E}" name="Column12217"/>
    <tableColumn id="12218" xr3:uid="{1260574F-2F5E-4E4D-BFD1-5A4410C20EED}" name="Column12218"/>
    <tableColumn id="12219" xr3:uid="{D77F9930-53E0-4E1A-B15B-0280C113B9A8}" name="Column12219"/>
    <tableColumn id="12220" xr3:uid="{5D879CBF-8999-4F2E-B58A-752827C72C02}" name="Column12220"/>
    <tableColumn id="12221" xr3:uid="{029EAB57-95F9-4DD4-A5D9-A406C3B3F327}" name="Column12221"/>
    <tableColumn id="12222" xr3:uid="{5C4E984D-459E-419E-BE98-A25B3E3209D2}" name="Column12222"/>
    <tableColumn id="12223" xr3:uid="{69AC9A9E-4C2E-40B5-A04D-9B01D644BB4A}" name="Column12223"/>
    <tableColumn id="12224" xr3:uid="{FEBFE024-7B81-4D35-B5B3-3481039174C2}" name="Column12224"/>
    <tableColumn id="12225" xr3:uid="{B942FE3B-B50C-4436-A4EE-2580D6125C94}" name="Column12225"/>
    <tableColumn id="12226" xr3:uid="{70328AF9-F4B3-4F90-9B3B-BE494897C1CB}" name="Column12226"/>
    <tableColumn id="12227" xr3:uid="{98E6C625-B6E0-45BD-868A-445B35717685}" name="Column12227"/>
    <tableColumn id="12228" xr3:uid="{863D6E26-6D8F-413C-9FE6-725A2EC180B0}" name="Column12228"/>
    <tableColumn id="12229" xr3:uid="{972E3707-D299-43BB-9367-2516FF2ED86A}" name="Column12229"/>
    <tableColumn id="12230" xr3:uid="{3A9B4B57-3C92-4BA4-BF78-B8B2F776E687}" name="Column12230"/>
    <tableColumn id="12231" xr3:uid="{0885634B-102A-4255-8B97-03499DD63772}" name="Column12231"/>
    <tableColumn id="12232" xr3:uid="{EFCCBC71-AFA7-4F8E-8431-710E62C3777A}" name="Column12232"/>
    <tableColumn id="12233" xr3:uid="{E13E7714-A604-4F79-A650-02C2B84510D9}" name="Column12233"/>
    <tableColumn id="12234" xr3:uid="{1ACC73DF-C8FB-4F28-9074-A4055E34FF30}" name="Column12234"/>
    <tableColumn id="12235" xr3:uid="{7072030C-D68F-4A8B-84ED-29B1F78B7B84}" name="Column12235"/>
    <tableColumn id="12236" xr3:uid="{9F27A8F0-ECFA-4E17-B938-2E407FECE7E5}" name="Column12236"/>
    <tableColumn id="12237" xr3:uid="{6C83A772-F361-4793-8C7D-2C9B24961EE9}" name="Column12237"/>
    <tableColumn id="12238" xr3:uid="{5907F1E1-F74C-4B86-8F3F-83C3D621DF3F}" name="Column12238"/>
    <tableColumn id="12239" xr3:uid="{CE472E31-A75A-4AF9-BD2F-BA5DF3E8CE97}" name="Column12239"/>
    <tableColumn id="12240" xr3:uid="{A14973D1-6E0E-49BA-8A25-4D60F748AA22}" name="Column12240"/>
    <tableColumn id="12241" xr3:uid="{C27DBF59-170C-47D1-A785-61134AC45983}" name="Column12241"/>
    <tableColumn id="12242" xr3:uid="{EC0299D4-2956-465A-A945-FAFC16A37107}" name="Column12242"/>
    <tableColumn id="12243" xr3:uid="{626E509D-2874-4A16-AC09-C0359C168505}" name="Column12243"/>
    <tableColumn id="12244" xr3:uid="{EB25991D-BB5F-42D7-82DE-B28F4F2F6272}" name="Column12244"/>
    <tableColumn id="12245" xr3:uid="{3595DB00-8A52-4583-97B6-013D15E9DC46}" name="Column12245"/>
    <tableColumn id="12246" xr3:uid="{00B8CB19-E32E-4FE0-951A-9DBF04A6410E}" name="Column12246"/>
    <tableColumn id="12247" xr3:uid="{186DD75B-D688-4985-8646-416C1E1EE516}" name="Column12247"/>
    <tableColumn id="12248" xr3:uid="{4089767F-2A39-4EC2-BB13-F1BBB6A92E01}" name="Column12248"/>
    <tableColumn id="12249" xr3:uid="{29A59101-5806-4ECD-A8FD-5ADFCA0E77EE}" name="Column12249"/>
    <tableColumn id="12250" xr3:uid="{EE90C731-95C0-4A54-9867-9BF7910068D2}" name="Column12250"/>
    <tableColumn id="12251" xr3:uid="{AB9A1589-070A-45E9-A484-D7D69629ED08}" name="Column12251"/>
    <tableColumn id="12252" xr3:uid="{C10CB983-6377-4ED4-9783-8DAA825A7ACD}" name="Column12252"/>
    <tableColumn id="12253" xr3:uid="{8A1AB297-423F-40C7-A892-F460A31FEA5E}" name="Column12253"/>
    <tableColumn id="12254" xr3:uid="{6A4DEB24-1641-4614-87D0-3595D53AAEBE}" name="Column12254"/>
    <tableColumn id="12255" xr3:uid="{8E60EE46-9DCF-4EA1-A0E5-AACF50466C3F}" name="Column12255"/>
    <tableColumn id="12256" xr3:uid="{E5DF8FB4-FB5F-40CB-9162-72497AA531D6}" name="Column12256"/>
    <tableColumn id="12257" xr3:uid="{DCE9642B-28F8-4523-BF9A-F02E0B3AB2C1}" name="Column12257"/>
    <tableColumn id="12258" xr3:uid="{9AC29ED3-F4C1-4159-8551-7135E8C0ED50}" name="Column12258"/>
    <tableColumn id="12259" xr3:uid="{7013A747-B74A-45F1-BBFE-37A32DBDFCA9}" name="Column12259"/>
    <tableColumn id="12260" xr3:uid="{9C80325C-3CB3-43C6-A031-D15B086C24E8}" name="Column12260"/>
    <tableColumn id="12261" xr3:uid="{1ED89ED7-EE17-4165-A5E8-E5130AE16E5D}" name="Column12261"/>
    <tableColumn id="12262" xr3:uid="{D16DD7A5-61B2-4A41-B06F-04CD1B8F7936}" name="Column12262"/>
    <tableColumn id="12263" xr3:uid="{FEC25A3D-D27A-4D8C-97DD-06299D5EB6DF}" name="Column12263"/>
    <tableColumn id="12264" xr3:uid="{1B746C43-2510-4BBD-919D-8873E2FCE46E}" name="Column12264"/>
    <tableColumn id="12265" xr3:uid="{45DF2572-A537-4DB6-BA82-3F4CC53890C9}" name="Column12265"/>
    <tableColumn id="12266" xr3:uid="{9BCDA953-879A-4F99-9B13-7196E1C7E425}" name="Column12266"/>
    <tableColumn id="12267" xr3:uid="{D459F4FF-CBC9-4EC3-9A19-858C12A048E4}" name="Column12267"/>
    <tableColumn id="12268" xr3:uid="{DF60512C-C3F4-4AD9-B89D-4DA0ADD04AFF}" name="Column12268"/>
    <tableColumn id="12269" xr3:uid="{D167EFDD-1552-41ED-9F02-7B2CFBEF44A6}" name="Column12269"/>
    <tableColumn id="12270" xr3:uid="{F6CECE60-DB6D-4173-9D2B-69E5326BA458}" name="Column12270"/>
    <tableColumn id="12271" xr3:uid="{2D382E61-FBC2-45AC-A883-7F817F597631}" name="Column12271"/>
    <tableColumn id="12272" xr3:uid="{0ED98FC9-3D11-4771-B0F4-30A80C1B8A6F}" name="Column12272"/>
    <tableColumn id="12273" xr3:uid="{4BC814BF-5C11-4AA6-9EB2-F3AFC3B258CB}" name="Column12273"/>
    <tableColumn id="12274" xr3:uid="{74647699-3ECF-4D3F-A321-EDEE49B9CF29}" name="Column12274"/>
    <tableColumn id="12275" xr3:uid="{3497308D-9DBE-4A55-ADE8-57896ACF5A67}" name="Column12275"/>
    <tableColumn id="12276" xr3:uid="{3C182578-C17E-46F8-AB09-0637655B3A64}" name="Column12276"/>
    <tableColumn id="12277" xr3:uid="{AC8347ED-63C7-49F9-92BC-14E5814CCC31}" name="Column12277"/>
    <tableColumn id="12278" xr3:uid="{3AEB66E5-A134-4978-ACE5-7CDFAD63E03F}" name="Column12278"/>
    <tableColumn id="12279" xr3:uid="{570F07C2-C049-45E0-834A-FAABB9C15664}" name="Column12279"/>
    <tableColumn id="12280" xr3:uid="{DCA7C798-5713-4FCD-8C00-0A45558A9800}" name="Column12280"/>
    <tableColumn id="12281" xr3:uid="{1E8190FA-ABDD-40B5-B504-CEE0EC1C5DA6}" name="Column12281"/>
    <tableColumn id="12282" xr3:uid="{F24E7652-6CAF-4879-B16A-58B9651F2DF7}" name="Column12282"/>
    <tableColumn id="12283" xr3:uid="{3433F7B9-D56B-48AF-B2FE-78F1116DE945}" name="Column12283"/>
    <tableColumn id="12284" xr3:uid="{DF1F51C1-96C6-47F5-928D-128BEEF9933F}" name="Column12284"/>
    <tableColumn id="12285" xr3:uid="{68A2F44D-64C3-4574-8ECA-C0C0727FDA10}" name="Column12285"/>
    <tableColumn id="12286" xr3:uid="{0115ECB8-5CAB-4F0D-8192-B8BDF03C3CFC}" name="Column12286"/>
    <tableColumn id="12287" xr3:uid="{CC25AA98-8A20-4EBF-8167-39C7B9971EDC}" name="Column12287"/>
    <tableColumn id="12288" xr3:uid="{C834DD7B-59F5-4294-8AF3-4054EC801633}" name="Column12288"/>
    <tableColumn id="12289" xr3:uid="{33BEA0B5-0E65-4FCC-AE92-42AFEFE4F16D}" name="Column12289"/>
    <tableColumn id="12290" xr3:uid="{DAAC0B3F-66BF-478D-8A25-FEF8A962F5C4}" name="Column12290"/>
    <tableColumn id="12291" xr3:uid="{811D730C-793C-44C1-9B16-7AF1EF72CCF3}" name="Column12291"/>
    <tableColumn id="12292" xr3:uid="{07629E6D-8445-4B44-8D03-6CF9B13BCCAC}" name="Column12292"/>
    <tableColumn id="12293" xr3:uid="{89C1FBD6-6AC9-4198-85BD-6B8BB38FB1DC}" name="Column12293"/>
    <tableColumn id="12294" xr3:uid="{D3CCB43C-06AA-46A5-BEF4-AE59A1076C7B}" name="Column12294"/>
    <tableColumn id="12295" xr3:uid="{72CDC3E9-2D05-4B78-81D5-C95A2BD59D32}" name="Column12295"/>
    <tableColumn id="12296" xr3:uid="{4904BC5F-7E30-4D2A-9676-94174CE3F0F9}" name="Column12296"/>
    <tableColumn id="12297" xr3:uid="{ACE92AB1-8517-415A-A89B-72D4E4B0917F}" name="Column12297"/>
    <tableColumn id="12298" xr3:uid="{20E7F03D-4BDC-47B9-8B00-4E8BB38A391E}" name="Column12298"/>
    <tableColumn id="12299" xr3:uid="{E6C16A8B-8E44-4CE0-A68A-3DA432A139FC}" name="Column12299"/>
    <tableColumn id="12300" xr3:uid="{67768B7B-8C2F-43A8-A3E8-D0076E5EC245}" name="Column12300"/>
    <tableColumn id="12301" xr3:uid="{B55799D6-8D5F-4A7C-9096-B1FA603D2430}" name="Column12301"/>
    <tableColumn id="12302" xr3:uid="{E780B024-A4C8-4972-B6F3-7F87FFAF55BB}" name="Column12302"/>
    <tableColumn id="12303" xr3:uid="{7104CE10-A839-419C-AE8F-7B91CC70055D}" name="Column12303"/>
    <tableColumn id="12304" xr3:uid="{58D2E746-8941-4228-B63A-050571699E89}" name="Column12304"/>
    <tableColumn id="12305" xr3:uid="{CC453DBD-27AB-4C09-8730-8F6C468B2CE6}" name="Column12305"/>
    <tableColumn id="12306" xr3:uid="{72B0F4B7-FDE9-40B4-B8FF-3949E12A59C8}" name="Column12306"/>
    <tableColumn id="12307" xr3:uid="{2860DF80-33A5-4937-BA40-A1B8D785E299}" name="Column12307"/>
    <tableColumn id="12308" xr3:uid="{7C665050-E463-4612-BBD2-08CFBD48D715}" name="Column12308"/>
    <tableColumn id="12309" xr3:uid="{5D3DBF42-05F7-47C8-8718-692A3F70EC8C}" name="Column12309"/>
    <tableColumn id="12310" xr3:uid="{6BC199DB-89C7-4AF2-BB3E-0DE0259B79D8}" name="Column12310"/>
    <tableColumn id="12311" xr3:uid="{F65CDD01-8C3A-4526-BE7A-B1B0D5729091}" name="Column12311"/>
    <tableColumn id="12312" xr3:uid="{36A2E7AF-0751-4E89-B800-F3A8F1B7A7B7}" name="Column12312"/>
    <tableColumn id="12313" xr3:uid="{4F984FD4-F8E7-468D-B7DD-9720BE4F9B1B}" name="Column12313"/>
    <tableColumn id="12314" xr3:uid="{55CD13A9-6266-49EC-AC53-02337896A284}" name="Column12314"/>
    <tableColumn id="12315" xr3:uid="{2C002551-9EDF-4412-B6F8-A48F6A2396D1}" name="Column12315"/>
    <tableColumn id="12316" xr3:uid="{301CB8D9-873E-4BC8-9D87-DDDB44B8D1AB}" name="Column12316"/>
    <tableColumn id="12317" xr3:uid="{37EB88A8-644C-4C19-A924-E076E780AC46}" name="Column12317"/>
    <tableColumn id="12318" xr3:uid="{6E12B429-8B73-488E-8739-D2B6BC455D1F}" name="Column12318"/>
    <tableColumn id="12319" xr3:uid="{C0EF3FBD-021D-471F-86B9-42C93C891DE6}" name="Column12319"/>
    <tableColumn id="12320" xr3:uid="{2B7454E2-AF71-4024-8967-1F79B7F2F450}" name="Column12320"/>
    <tableColumn id="12321" xr3:uid="{E2462491-86D6-4B69-B048-7B25758E323F}" name="Column12321"/>
    <tableColumn id="12322" xr3:uid="{38824B1D-B74D-46E2-880E-6BE669224AAA}" name="Column12322"/>
    <tableColumn id="12323" xr3:uid="{2B0F154B-7D20-4EFE-BA59-09C637E49C31}" name="Column12323"/>
    <tableColumn id="12324" xr3:uid="{39B33C6C-C2E7-4193-A9BD-95FA843FAF92}" name="Column12324"/>
    <tableColumn id="12325" xr3:uid="{8C2E66FE-A5B9-4204-A7AC-6DC5F739865C}" name="Column12325"/>
    <tableColumn id="12326" xr3:uid="{F73478E2-6229-4730-B7CB-924FBE8EA4C8}" name="Column12326"/>
    <tableColumn id="12327" xr3:uid="{0A9D9D53-684F-48C0-A142-59F49BA7C6F7}" name="Column12327"/>
    <tableColumn id="12328" xr3:uid="{C6B3F401-DB5B-4511-B0E0-1D76B5D30AF6}" name="Column12328"/>
    <tableColumn id="12329" xr3:uid="{84613D7F-E0A8-4DCA-8E99-EE9FD0517D10}" name="Column12329"/>
    <tableColumn id="12330" xr3:uid="{17B24D9B-1CCB-40EE-88BC-221963589BAE}" name="Column12330"/>
    <tableColumn id="12331" xr3:uid="{95EE3A61-6C43-4193-BDDE-E74813069647}" name="Column12331"/>
    <tableColumn id="12332" xr3:uid="{8B6D6C22-9C86-4A54-B757-68A5B6D98A40}" name="Column12332"/>
    <tableColumn id="12333" xr3:uid="{56355630-383D-4739-AF30-96E9FA6FA92C}" name="Column12333"/>
    <tableColumn id="12334" xr3:uid="{0AEDD7EB-984E-4DE6-9DED-E71053C33D57}" name="Column12334"/>
    <tableColumn id="12335" xr3:uid="{B32C0FE8-3A6C-499D-985A-327476C9D7A6}" name="Column12335"/>
    <tableColumn id="12336" xr3:uid="{5EA60AFB-1D98-4442-89A5-78AA25BF361B}" name="Column12336"/>
    <tableColumn id="12337" xr3:uid="{DD3AD95F-4603-489C-8A2F-0C5F33DDAB2E}" name="Column12337"/>
    <tableColumn id="12338" xr3:uid="{AB8D4649-8632-408E-A2FE-6E05BEEE6706}" name="Column12338"/>
    <tableColumn id="12339" xr3:uid="{CB23FA01-8D98-42E1-87FB-E0C187F6E910}" name="Column12339"/>
    <tableColumn id="12340" xr3:uid="{C94D63E1-B0C3-4B29-977F-6E4537AEE953}" name="Column12340"/>
    <tableColumn id="12341" xr3:uid="{63AFA2F5-C630-486A-94FE-3A27EFE4E8A8}" name="Column12341"/>
    <tableColumn id="12342" xr3:uid="{B0F971EF-3FF9-42BF-AF9A-29BCEFF78310}" name="Column12342"/>
    <tableColumn id="12343" xr3:uid="{65D9E552-63CB-4834-8F7A-B33AEADC8FBA}" name="Column12343"/>
    <tableColumn id="12344" xr3:uid="{DD0C3269-990A-4DD4-A6B2-F699EB7A2839}" name="Column12344"/>
    <tableColumn id="12345" xr3:uid="{426197FD-6738-427B-B38A-A8E1EB553B65}" name="Column12345"/>
    <tableColumn id="12346" xr3:uid="{D047A5AA-A4AB-40AE-ACDB-9E16AF6C8874}" name="Column12346"/>
    <tableColumn id="12347" xr3:uid="{D0B8998B-9BBF-4CF7-B765-38886FFE7CCD}" name="Column12347"/>
    <tableColumn id="12348" xr3:uid="{16E43377-665C-4537-9A35-1F27D09C7DE3}" name="Column12348"/>
    <tableColumn id="12349" xr3:uid="{1445831D-6C87-414B-AA8D-C50A2B0E7F01}" name="Column12349"/>
    <tableColumn id="12350" xr3:uid="{FA4F3ED9-CF4D-46FD-8D31-44211E35010E}" name="Column12350"/>
    <tableColumn id="12351" xr3:uid="{87220ACA-F0BF-48C2-8D99-773BD36FEB4F}" name="Column12351"/>
    <tableColumn id="12352" xr3:uid="{F54128E4-FDF7-487E-AD79-62860A896476}" name="Column12352"/>
    <tableColumn id="12353" xr3:uid="{603002F9-FAE2-4C1C-9CE2-F5FD5FEB9252}" name="Column12353"/>
    <tableColumn id="12354" xr3:uid="{367288C3-B134-493A-A673-8BCB24A7ED93}" name="Column12354"/>
    <tableColumn id="12355" xr3:uid="{2334C70D-CD9F-4680-AB03-AB7895A46F4A}" name="Column12355"/>
    <tableColumn id="12356" xr3:uid="{4C3E5D04-9B8A-473E-A7DA-EC5F407F6EC7}" name="Column12356"/>
    <tableColumn id="12357" xr3:uid="{7E238A43-2C01-40E0-94D6-81C31CFB92F0}" name="Column12357"/>
    <tableColumn id="12358" xr3:uid="{E9900C47-0C27-47E0-B173-1D467BF9D934}" name="Column12358"/>
    <tableColumn id="12359" xr3:uid="{9B8F819D-85D3-4FD0-ABCC-64217907A581}" name="Column12359"/>
    <tableColumn id="12360" xr3:uid="{DC03BBF0-C57B-4678-9BCD-E243868198E7}" name="Column12360"/>
    <tableColumn id="12361" xr3:uid="{EBB4301C-2A60-401B-99F7-AE124BDA98D3}" name="Column12361"/>
    <tableColumn id="12362" xr3:uid="{B816B9EA-BA6F-4E84-A82C-771DA4CB8234}" name="Column12362"/>
    <tableColumn id="12363" xr3:uid="{E3E3E09F-9558-420E-BC83-2A259DE22C7F}" name="Column12363"/>
    <tableColumn id="12364" xr3:uid="{9AFD0013-E551-4D8B-A320-786BF7320754}" name="Column12364"/>
    <tableColumn id="12365" xr3:uid="{B7B73169-6016-495C-A1A9-08EBD0109BE5}" name="Column12365"/>
    <tableColumn id="12366" xr3:uid="{66337EA7-E63B-4CB7-B64B-E49F4A652349}" name="Column12366"/>
    <tableColumn id="12367" xr3:uid="{AB0B5D57-0A38-42F4-B9BE-772746681F50}" name="Column12367"/>
    <tableColumn id="12368" xr3:uid="{571B8E89-5E54-48B3-B1C9-CBA60DED6ED5}" name="Column12368"/>
    <tableColumn id="12369" xr3:uid="{658540A5-6CDA-477F-8766-B8642F39E178}" name="Column12369"/>
    <tableColumn id="12370" xr3:uid="{648A8DFC-5CA3-4043-8756-8E370878D611}" name="Column12370"/>
    <tableColumn id="12371" xr3:uid="{3213B464-56D2-4BDB-8867-B3454172D961}" name="Column12371"/>
    <tableColumn id="12372" xr3:uid="{D2329138-84D2-4034-B835-D13D8DC0A346}" name="Column12372"/>
    <tableColumn id="12373" xr3:uid="{44919E21-596F-4FFA-8156-E3DB2850B5B2}" name="Column12373"/>
    <tableColumn id="12374" xr3:uid="{507435F2-2DE2-4683-9AE1-2C9F213CF705}" name="Column12374"/>
    <tableColumn id="12375" xr3:uid="{65CA2A90-9DDA-4C43-BE2B-1F979BE76EEB}" name="Column12375"/>
    <tableColumn id="12376" xr3:uid="{267AC9A2-9FA8-4125-8980-7056BA15EF8D}" name="Column12376"/>
    <tableColumn id="12377" xr3:uid="{B96B9E00-C335-45F6-B8BF-12377B617CB4}" name="Column12377"/>
    <tableColumn id="12378" xr3:uid="{67402BB4-7EA7-482E-BD72-3D1C9112092A}" name="Column12378"/>
    <tableColumn id="12379" xr3:uid="{F1EA1817-3505-42F5-A9AB-A0F9D90F8DF5}" name="Column12379"/>
    <tableColumn id="12380" xr3:uid="{679152FF-EE8A-4A26-81CE-37ABA57F4822}" name="Column12380"/>
    <tableColumn id="12381" xr3:uid="{7D99EFDB-4648-42F6-ABDA-FED661471410}" name="Column12381"/>
    <tableColumn id="12382" xr3:uid="{FEA108F6-1D4B-414D-861D-A30C0870FC36}" name="Column12382"/>
    <tableColumn id="12383" xr3:uid="{FF3C35B5-7EAE-4619-842B-3D4B34E30A2C}" name="Column12383"/>
    <tableColumn id="12384" xr3:uid="{026D7203-6C65-4708-841E-785230DD1702}" name="Column12384"/>
    <tableColumn id="12385" xr3:uid="{6BFA2438-5E3E-49C0-ABFB-58AF471EFDC7}" name="Column12385"/>
    <tableColumn id="12386" xr3:uid="{4018445F-3DA1-434F-88FB-AB2AC7EE6080}" name="Column12386"/>
    <tableColumn id="12387" xr3:uid="{5A63864B-CB76-4E9D-B3D7-947F05E1EC7E}" name="Column12387"/>
    <tableColumn id="12388" xr3:uid="{59A607AC-C1AB-422D-903D-3B772B6CD919}" name="Column12388"/>
    <tableColumn id="12389" xr3:uid="{5532BF2D-129A-4E9A-9275-E3DD2863CB61}" name="Column12389"/>
    <tableColumn id="12390" xr3:uid="{BED0B476-6F44-4C79-A2EC-92711D43FEFF}" name="Column12390"/>
    <tableColumn id="12391" xr3:uid="{0F7EE5D8-CBF9-4422-BE60-F312CDA0734E}" name="Column12391"/>
    <tableColumn id="12392" xr3:uid="{73A6EBCA-ACC7-473C-845A-CA456622446C}" name="Column12392"/>
    <tableColumn id="12393" xr3:uid="{28BCF552-A1A2-43AC-AF9D-D36FEEFAEBCC}" name="Column12393"/>
    <tableColumn id="12394" xr3:uid="{C7CCE16E-9C8E-4B8E-A2CA-48B9CD308F69}" name="Column12394"/>
    <tableColumn id="12395" xr3:uid="{727E2F8F-8A19-413C-9E13-19E65870D2AB}" name="Column12395"/>
    <tableColumn id="12396" xr3:uid="{1C75C38E-E9B5-41E8-8CCD-2459C695150C}" name="Column12396"/>
    <tableColumn id="12397" xr3:uid="{0180AE78-17DC-4BCD-927B-AE28DA289317}" name="Column12397"/>
    <tableColumn id="12398" xr3:uid="{929C3E02-2911-4490-8E36-101DC8E9519B}" name="Column12398"/>
    <tableColumn id="12399" xr3:uid="{A099087F-F7DD-4004-BE15-C8C189D3CB24}" name="Column12399"/>
    <tableColumn id="12400" xr3:uid="{74975FFE-5514-447D-BB43-E801038D09DB}" name="Column12400"/>
    <tableColumn id="12401" xr3:uid="{0A4806E0-C142-4B97-8BE4-1E2C9F49E859}" name="Column12401"/>
    <tableColumn id="12402" xr3:uid="{E730D4EC-6DC1-4523-AD41-C95CB71CFFD5}" name="Column12402"/>
    <tableColumn id="12403" xr3:uid="{F8D35839-3721-44DC-8A71-18012AE35772}" name="Column12403"/>
    <tableColumn id="12404" xr3:uid="{3E1F4BE1-4079-4B9B-A295-BC242C4DE95E}" name="Column12404"/>
    <tableColumn id="12405" xr3:uid="{E4ADDE84-190E-473C-A12D-AF6D599A95C8}" name="Column12405"/>
    <tableColumn id="12406" xr3:uid="{051A8107-DD5A-4307-9FB5-ABF899AB74CA}" name="Column12406"/>
    <tableColumn id="12407" xr3:uid="{3F6EB49E-1F61-4074-9869-EA97585353E3}" name="Column12407"/>
    <tableColumn id="12408" xr3:uid="{F39E56DC-1F6D-4045-AA7E-66F520B0533E}" name="Column12408"/>
    <tableColumn id="12409" xr3:uid="{EE37FD42-07E2-4C29-AA6F-4332B17D7A26}" name="Column12409"/>
    <tableColumn id="12410" xr3:uid="{B48473BD-454D-4791-B6D2-615867D64ED1}" name="Column12410"/>
    <tableColumn id="12411" xr3:uid="{E4E59C2E-FEB8-41B6-97A8-F3ABA7419D21}" name="Column12411"/>
    <tableColumn id="12412" xr3:uid="{5571591A-4055-494B-912E-7184D480CA9A}" name="Column12412"/>
    <tableColumn id="12413" xr3:uid="{8D3F3B5A-A5CC-4B03-8352-82006F55957F}" name="Column12413"/>
    <tableColumn id="12414" xr3:uid="{F656C8A9-487E-400C-91F3-3DDF0C6021BE}" name="Column12414"/>
    <tableColumn id="12415" xr3:uid="{AFA2568E-7CC1-432A-8F58-4FD73EA1BB1E}" name="Column12415"/>
    <tableColumn id="12416" xr3:uid="{A9519120-F5C2-4DE7-94C7-98966890BFEC}" name="Column12416"/>
    <tableColumn id="12417" xr3:uid="{D7CA9CB4-F7A5-410A-9433-F150F70DAC5D}" name="Column12417"/>
    <tableColumn id="12418" xr3:uid="{DB9E82DE-E021-4D01-B96A-F4365EEEA5A5}" name="Column12418"/>
    <tableColumn id="12419" xr3:uid="{A8863714-005E-4E79-8841-FA0258F7233F}" name="Column12419"/>
    <tableColumn id="12420" xr3:uid="{78148D87-3A27-4295-A95F-E12FCD1C81D9}" name="Column12420"/>
    <tableColumn id="12421" xr3:uid="{862CFF77-6F15-4E47-84A2-E7E2FB1434C4}" name="Column12421"/>
    <tableColumn id="12422" xr3:uid="{68992FD5-C042-4585-9AC9-56549A828744}" name="Column12422"/>
    <tableColumn id="12423" xr3:uid="{527F95CD-AD5C-40C5-AA51-DB184773C830}" name="Column12423"/>
    <tableColumn id="12424" xr3:uid="{2150609D-1379-4536-BE22-5DC206B60426}" name="Column12424"/>
    <tableColumn id="12425" xr3:uid="{ACA8C893-4F6C-4D30-98A6-85D605DC21FE}" name="Column12425"/>
    <tableColumn id="12426" xr3:uid="{A5539FDE-61BB-40E4-9529-6E53708BE4FC}" name="Column12426"/>
    <tableColumn id="12427" xr3:uid="{8F24D1F1-C944-4640-BC57-C378EF46BB2E}" name="Column12427"/>
    <tableColumn id="12428" xr3:uid="{9FBA0037-D176-4A2E-8683-E9E8FA124000}" name="Column12428"/>
    <tableColumn id="12429" xr3:uid="{10744654-9BF3-49F8-ADB4-A68B24F803CC}" name="Column12429"/>
    <tableColumn id="12430" xr3:uid="{1816BB69-E553-4AA7-B7ED-0F2094DAE72D}" name="Column12430"/>
    <tableColumn id="12431" xr3:uid="{0D5500D0-0BAC-491F-A7E9-5FA942F31D85}" name="Column12431"/>
    <tableColumn id="12432" xr3:uid="{A52BDF31-45A7-4FE4-BB4A-492140A48795}" name="Column12432"/>
    <tableColumn id="12433" xr3:uid="{50386CDC-6FC3-4AE1-A5B0-EE171573FB9E}" name="Column12433"/>
    <tableColumn id="12434" xr3:uid="{D69EB196-BD15-44DA-9872-E1DBB4EEF316}" name="Column12434"/>
    <tableColumn id="12435" xr3:uid="{3B085ADA-9F2E-4896-96FB-2ED4B2B1A3C5}" name="Column12435"/>
    <tableColumn id="12436" xr3:uid="{985CC91D-EF1B-472E-BF39-3F2EE6F95FCB}" name="Column12436"/>
    <tableColumn id="12437" xr3:uid="{487C8006-1B9A-43EE-94BA-1BAA8861B851}" name="Column12437"/>
    <tableColumn id="12438" xr3:uid="{C385640E-449D-4E26-B81E-E9F689231214}" name="Column12438"/>
    <tableColumn id="12439" xr3:uid="{8957CCA2-6D1C-442B-9D15-2C335AC713B0}" name="Column12439"/>
    <tableColumn id="12440" xr3:uid="{17FF4D07-CA44-49B2-87CF-195D5803455D}" name="Column12440"/>
    <tableColumn id="12441" xr3:uid="{CB79C61A-071D-4856-A3C8-BB07560EDB7A}" name="Column12441"/>
    <tableColumn id="12442" xr3:uid="{BFD48B75-F4DB-4898-8765-19C1E26DEE5A}" name="Column12442"/>
    <tableColumn id="12443" xr3:uid="{EF6D9D42-7365-44BE-85BC-58F3FAD15C72}" name="Column12443"/>
    <tableColumn id="12444" xr3:uid="{7DE72A1C-C098-46BA-A802-E07C5353A036}" name="Column12444"/>
    <tableColumn id="12445" xr3:uid="{947D1F2F-8240-4FA0-AB63-06248EA93E11}" name="Column12445"/>
    <tableColumn id="12446" xr3:uid="{77716342-AF4A-4F58-A07C-31BC0CADB894}" name="Column12446"/>
    <tableColumn id="12447" xr3:uid="{03DDE9F3-CF43-402B-9C04-CC091C153B04}" name="Column12447"/>
    <tableColumn id="12448" xr3:uid="{F0EF9987-8E8A-4A77-B082-676DE8D796D1}" name="Column12448"/>
    <tableColumn id="12449" xr3:uid="{DF82B937-2BC1-4718-96BE-6953DFFDA17F}" name="Column12449"/>
    <tableColumn id="12450" xr3:uid="{09502B4B-5EF0-4335-ACF6-B5DCB69467E6}" name="Column12450"/>
    <tableColumn id="12451" xr3:uid="{A4860396-DB50-4A37-88C4-0BBF06A8E81C}" name="Column12451"/>
    <tableColumn id="12452" xr3:uid="{61EDF830-372F-4784-A6A7-D6189930C0E5}" name="Column12452"/>
    <tableColumn id="12453" xr3:uid="{431D9EE3-527C-405C-A942-19221FEB8125}" name="Column12453"/>
    <tableColumn id="12454" xr3:uid="{9AA30FA1-8A21-405E-93DF-C29AE4799B35}" name="Column12454"/>
    <tableColumn id="12455" xr3:uid="{A6551C5C-841A-4DCB-8CF0-FC69A77D3E3F}" name="Column12455"/>
    <tableColumn id="12456" xr3:uid="{90E31EF0-12AD-49F2-A40A-0997A16C5A53}" name="Column12456"/>
    <tableColumn id="12457" xr3:uid="{F44E7DC1-D1E9-4221-92EE-AD333454142A}" name="Column12457"/>
    <tableColumn id="12458" xr3:uid="{0CE1C24B-669C-41DC-B981-B2C8B46C3018}" name="Column12458"/>
    <tableColumn id="12459" xr3:uid="{813D638B-41BA-4F9E-8080-507334CDF7EB}" name="Column12459"/>
    <tableColumn id="12460" xr3:uid="{EFFE769D-3BAA-4883-A6C6-CB6590DC3F17}" name="Column12460"/>
    <tableColumn id="12461" xr3:uid="{A2E33404-D60C-419A-8513-07AA074BA9E9}" name="Column12461"/>
    <tableColumn id="12462" xr3:uid="{6FE6FAAE-01D1-4405-92A6-6DEB7C1EE822}" name="Column12462"/>
    <tableColumn id="12463" xr3:uid="{37416E0C-A5E8-49C7-9B84-877779D9C484}" name="Column12463"/>
    <tableColumn id="12464" xr3:uid="{C25F7AE8-BFCA-484E-9C37-FBDBAD4E5292}" name="Column12464"/>
    <tableColumn id="12465" xr3:uid="{C49A5A7A-F304-4FDB-AA4A-241811FC71C7}" name="Column12465"/>
    <tableColumn id="12466" xr3:uid="{F77693A7-ACF4-4F48-A908-A0F7D7AA9F55}" name="Column12466"/>
    <tableColumn id="12467" xr3:uid="{3EF79AE2-D94D-40F2-996E-D0AD6E7DCC34}" name="Column12467"/>
    <tableColumn id="12468" xr3:uid="{AA4BA47F-4A1B-4398-ADC0-A6C2DF16CDA7}" name="Column12468"/>
    <tableColumn id="12469" xr3:uid="{41BB474B-4D0D-4341-A034-4C4314451110}" name="Column12469"/>
    <tableColumn id="12470" xr3:uid="{95B4904D-3BBE-4598-988D-D2A4F0F48D22}" name="Column12470"/>
    <tableColumn id="12471" xr3:uid="{C878E20A-9491-44F7-8B79-A55D13BFC499}" name="Column12471"/>
    <tableColumn id="12472" xr3:uid="{AC055D76-F75F-4180-97ED-D6AA95AF8CC3}" name="Column12472"/>
    <tableColumn id="12473" xr3:uid="{BAC60707-C5E8-4E5D-B4EF-8008047DB108}" name="Column12473"/>
    <tableColumn id="12474" xr3:uid="{E5C42C85-696E-47B2-964D-3CDFFB50787B}" name="Column12474"/>
    <tableColumn id="12475" xr3:uid="{AAD32D52-5A88-4CA2-85B3-CC5C7B2515EF}" name="Column12475"/>
    <tableColumn id="12476" xr3:uid="{E41FAF71-A3EC-4118-88FB-353BBE0C63C5}" name="Column12476"/>
    <tableColumn id="12477" xr3:uid="{C64AB6A3-98CD-402B-B1FB-F41607BA7AD9}" name="Column12477"/>
    <tableColumn id="12478" xr3:uid="{5CCA363E-E95A-4A35-AE2F-14147E7C36AA}" name="Column12478"/>
    <tableColumn id="12479" xr3:uid="{6942BD3F-DF6C-4A86-9494-080723D73BC6}" name="Column12479"/>
    <tableColumn id="12480" xr3:uid="{BA1966AC-FB07-47CD-B88C-D73BC12A2F19}" name="Column12480"/>
    <tableColumn id="12481" xr3:uid="{F17F0B35-24D8-4BE5-992D-92D7E604263A}" name="Column12481"/>
    <tableColumn id="12482" xr3:uid="{1E402D27-6944-4D5F-964E-A6A0D48CA6F9}" name="Column12482"/>
    <tableColumn id="12483" xr3:uid="{9BF0DB80-152E-42E0-8AB6-4A910D44E2BD}" name="Column12483"/>
    <tableColumn id="12484" xr3:uid="{5668C6C2-C326-4AB1-9095-E7EDC26253AF}" name="Column12484"/>
    <tableColumn id="12485" xr3:uid="{277F8AB4-EF98-47E7-8AEC-6F1E97603F39}" name="Column12485"/>
    <tableColumn id="12486" xr3:uid="{0AAE0C9A-AB5F-4AF2-B4CA-B9FDB2B523F6}" name="Column12486"/>
    <tableColumn id="12487" xr3:uid="{9C1C53A6-B982-4FAA-8861-25BFED26A998}" name="Column12487"/>
    <tableColumn id="12488" xr3:uid="{C1E7334D-6CBA-45E5-892C-F0D78F7FC1F0}" name="Column12488"/>
    <tableColumn id="12489" xr3:uid="{F9D0FAB6-2FFE-439C-8F53-C7B141087F8E}" name="Column12489"/>
    <tableColumn id="12490" xr3:uid="{0457F9D9-2BB5-4CF5-BA0F-E6D2AD43653B}" name="Column12490"/>
    <tableColumn id="12491" xr3:uid="{AA5107DE-A076-49BE-8E3F-66C7F516A4F8}" name="Column12491"/>
    <tableColumn id="12492" xr3:uid="{3584D977-1670-4DBA-87BC-2C7AD861A24C}" name="Column12492"/>
    <tableColumn id="12493" xr3:uid="{282A7EC2-5D8A-4BA0-971A-2B8A343111EB}" name="Column12493"/>
    <tableColumn id="12494" xr3:uid="{037D600D-6BB1-462A-B029-5024D92BEB4A}" name="Column12494"/>
    <tableColumn id="12495" xr3:uid="{945500ED-115E-4D6C-9879-2004EB74B2F0}" name="Column12495"/>
    <tableColumn id="12496" xr3:uid="{65EFFFE8-975C-4535-8C9F-187EE4E1A80C}" name="Column12496"/>
    <tableColumn id="12497" xr3:uid="{D6F20B4B-97D8-44C6-8402-7C72DCEA081D}" name="Column12497"/>
    <tableColumn id="12498" xr3:uid="{50F81143-8917-4D91-A14E-DD2FAD587F5E}" name="Column12498"/>
    <tableColumn id="12499" xr3:uid="{22C21840-9304-4018-9809-15C8C924B18E}" name="Column12499"/>
    <tableColumn id="12500" xr3:uid="{472AE4CE-8654-4841-98B0-6D1E2DF68C0D}" name="Column12500"/>
    <tableColumn id="12501" xr3:uid="{F5D445C8-F49C-4DBA-A3DD-B5F2EE93CC0F}" name="Column12501"/>
    <tableColumn id="12502" xr3:uid="{CDCE79D2-E88C-44D8-9BC2-D3F5EF55667E}" name="Column12502"/>
    <tableColumn id="12503" xr3:uid="{2BE45E1B-251D-4896-9A02-84F0B5C5F3EC}" name="Column12503"/>
    <tableColumn id="12504" xr3:uid="{9B2FED21-5FB8-4525-A618-4939198A6ED2}" name="Column12504"/>
    <tableColumn id="12505" xr3:uid="{D6235B24-32FC-40D7-B15E-C5EE5F0B23A1}" name="Column12505"/>
    <tableColumn id="12506" xr3:uid="{5EC09F9F-8964-4042-A9D6-F46564AB2130}" name="Column12506"/>
    <tableColumn id="12507" xr3:uid="{C3F4EA0F-F2CF-4AE0-9E4D-FE9620912E34}" name="Column12507"/>
    <tableColumn id="12508" xr3:uid="{971929A9-941A-4F7F-8FFB-0AC82D265486}" name="Column12508"/>
    <tableColumn id="12509" xr3:uid="{45AC3BEE-3756-4AA2-855B-840C9CA5631C}" name="Column12509"/>
    <tableColumn id="12510" xr3:uid="{9E80ED29-C36B-49FE-823C-A8773712E97E}" name="Column12510"/>
    <tableColumn id="12511" xr3:uid="{2FFFBE40-36A3-4E08-B65E-A820122E7929}" name="Column12511"/>
    <tableColumn id="12512" xr3:uid="{D05106A2-73B0-4112-8CB0-E1231C2FB795}" name="Column12512"/>
    <tableColumn id="12513" xr3:uid="{3B068512-073E-4D36-AA5D-D47D8E9FBD27}" name="Column12513"/>
    <tableColumn id="12514" xr3:uid="{0EEB1A3A-E120-4E4D-A302-5E90C9081432}" name="Column12514"/>
    <tableColumn id="12515" xr3:uid="{088900A3-45C7-4C1B-99E7-46CD9D0B0C3B}" name="Column12515"/>
    <tableColumn id="12516" xr3:uid="{FD501C2B-17E2-4C1B-B895-3F4E80A5A3C6}" name="Column12516"/>
    <tableColumn id="12517" xr3:uid="{1B172E15-CA1F-484D-8940-F47F3BBC17F7}" name="Column12517"/>
    <tableColumn id="12518" xr3:uid="{DDAA8DB7-9CF5-4D0B-8B6F-B6D7F35001B5}" name="Column12518"/>
    <tableColumn id="12519" xr3:uid="{0A1CE876-4B2B-4B03-815E-BC1ABC25A85D}" name="Column12519"/>
    <tableColumn id="12520" xr3:uid="{EC87825A-5260-43A0-8359-BDC61AF02BB9}" name="Column12520"/>
    <tableColumn id="12521" xr3:uid="{BEE51C16-4E50-4AA2-8BC1-7ED3604EFF8E}" name="Column12521"/>
    <tableColumn id="12522" xr3:uid="{309B91D4-A29C-4AF4-9292-6D23FA8BB053}" name="Column12522"/>
    <tableColumn id="12523" xr3:uid="{B0677A05-22E5-4E75-86FA-F08CCC39DBDB}" name="Column12523"/>
    <tableColumn id="12524" xr3:uid="{46B52453-54DD-444B-8D79-07CBA085BA7E}" name="Column12524"/>
    <tableColumn id="12525" xr3:uid="{95E54092-369F-4005-B0CB-32F668BE33E7}" name="Column12525"/>
    <tableColumn id="12526" xr3:uid="{688C4B06-C456-4008-9101-A46735DEDE1C}" name="Column12526"/>
    <tableColumn id="12527" xr3:uid="{CE119D02-18D9-4329-9FB9-0DD781234F9C}" name="Column12527"/>
    <tableColumn id="12528" xr3:uid="{4D8D2CBD-BD1E-4494-8D87-6F06E16EBAFF}" name="Column12528"/>
    <tableColumn id="12529" xr3:uid="{E637F3F3-96FD-491A-86BE-47068B4BC645}" name="Column12529"/>
    <tableColumn id="12530" xr3:uid="{AD5B5FBB-43FF-4188-A932-BB80630E80FA}" name="Column12530"/>
    <tableColumn id="12531" xr3:uid="{BF8C6D36-55AC-418A-892F-CAB556D4F5B9}" name="Column12531"/>
    <tableColumn id="12532" xr3:uid="{9B553895-412A-4671-BD66-6786F64007C1}" name="Column12532"/>
    <tableColumn id="12533" xr3:uid="{3435092B-C924-43BF-9AD8-1D3948B8DEF8}" name="Column12533"/>
    <tableColumn id="12534" xr3:uid="{E8CACF58-E882-4C2F-B0C2-FAD7F47E3AB5}" name="Column12534"/>
    <tableColumn id="12535" xr3:uid="{7575DA27-EE52-4F22-9F67-AFAAB38196CA}" name="Column12535"/>
    <tableColumn id="12536" xr3:uid="{E66E2644-88C9-47D6-8424-25B0C10349B0}" name="Column12536"/>
    <tableColumn id="12537" xr3:uid="{50CC565A-8549-4D4D-9B9D-09AF546663D4}" name="Column12537"/>
    <tableColumn id="12538" xr3:uid="{6E47EF05-9F4B-47F1-A139-DE67134668F0}" name="Column12538"/>
    <tableColumn id="12539" xr3:uid="{E1DE77C4-CC82-494C-ABFE-A9E886691D48}" name="Column12539"/>
    <tableColumn id="12540" xr3:uid="{4955CE12-EE25-4F54-A680-EDB108E45EDC}" name="Column12540"/>
    <tableColumn id="12541" xr3:uid="{A1A356E4-BE61-4F6B-A6CB-35B3F37D924E}" name="Column12541"/>
    <tableColumn id="12542" xr3:uid="{D080AD52-311D-4BBA-ABB5-B552BAA548D8}" name="Column12542"/>
    <tableColumn id="12543" xr3:uid="{1AB1253E-23B2-411E-A8BF-9C4C97EB18A3}" name="Column12543"/>
    <tableColumn id="12544" xr3:uid="{3D0D6922-A988-4D63-91ED-02C1C3D0EC72}" name="Column12544"/>
    <tableColumn id="12545" xr3:uid="{73C73564-C851-4B7C-941E-A24BA2AFAB86}" name="Column12545"/>
    <tableColumn id="12546" xr3:uid="{2639C447-0972-4EA1-AD05-7C9B9F316B3F}" name="Column12546"/>
    <tableColumn id="12547" xr3:uid="{D773F515-3E25-4D78-B1B0-8F5DAF8B486C}" name="Column12547"/>
    <tableColumn id="12548" xr3:uid="{A46E44F0-B7E3-4577-BBB9-8C01234ECF6E}" name="Column12548"/>
    <tableColumn id="12549" xr3:uid="{218291DE-9D0D-4408-8C8C-2B80D16AEB20}" name="Column12549"/>
    <tableColumn id="12550" xr3:uid="{3F1B0133-AA85-4834-A3E1-0697F17D8E09}" name="Column12550"/>
    <tableColumn id="12551" xr3:uid="{6B02742A-9A79-4925-859F-5BA47249C736}" name="Column12551"/>
    <tableColumn id="12552" xr3:uid="{ECC287A0-46E4-41EE-91BC-AD8F9F8B506E}" name="Column12552"/>
    <tableColumn id="12553" xr3:uid="{41981740-103F-4F97-A375-642987309FE3}" name="Column12553"/>
    <tableColumn id="12554" xr3:uid="{065DCFBC-6377-467B-81FA-508E7F6D68CE}" name="Column12554"/>
    <tableColumn id="12555" xr3:uid="{819CF1E2-CA87-4C8B-A5D1-8109C86E4884}" name="Column12555"/>
    <tableColumn id="12556" xr3:uid="{990039FA-8A27-49E2-A47B-3AAB7B297469}" name="Column12556"/>
    <tableColumn id="12557" xr3:uid="{CC14C065-EB96-401E-83DA-A00B73D8DBE9}" name="Column12557"/>
    <tableColumn id="12558" xr3:uid="{5F06FD35-C8C1-42E4-9D9E-F77C1DE7027D}" name="Column12558"/>
    <tableColumn id="12559" xr3:uid="{1FE6CF3D-EE14-4599-BE8F-CFCD1E0A5328}" name="Column12559"/>
    <tableColumn id="12560" xr3:uid="{59322DFA-7AB9-44E1-9C6E-9AC92F6754EC}" name="Column12560"/>
    <tableColumn id="12561" xr3:uid="{5DB79593-8FCD-49C8-8DDC-FEBD31AC0E4C}" name="Column12561"/>
    <tableColumn id="12562" xr3:uid="{C0F9A394-E71E-432F-AAE8-42C94AECD9ED}" name="Column12562"/>
    <tableColumn id="12563" xr3:uid="{E35D66AA-1D5D-4B59-B2A0-200185C52BFA}" name="Column12563"/>
    <tableColumn id="12564" xr3:uid="{0D57174C-E257-4879-86F0-3B305C540A8C}" name="Column12564"/>
    <tableColumn id="12565" xr3:uid="{1B9B2E41-A1C1-4E5F-9AFE-90E1198E6EBD}" name="Column12565"/>
    <tableColumn id="12566" xr3:uid="{EC10D042-3A63-4003-A6CD-3B75CC150CC0}" name="Column12566"/>
    <tableColumn id="12567" xr3:uid="{95482A8A-070D-4010-B363-5945D3712463}" name="Column12567"/>
    <tableColumn id="12568" xr3:uid="{729E665B-2CBD-47CD-B913-6D7549D843EB}" name="Column12568"/>
    <tableColumn id="12569" xr3:uid="{391B5772-C7B9-44F9-830E-29B5103184B6}" name="Column12569"/>
    <tableColumn id="12570" xr3:uid="{2B397949-7CE2-4E9D-BC8A-CA879E19546E}" name="Column12570"/>
    <tableColumn id="12571" xr3:uid="{C2C98727-C926-455A-A2DD-E650AD2B19A5}" name="Column12571"/>
    <tableColumn id="12572" xr3:uid="{4F28134C-F85B-4C18-86D7-91924F7DED48}" name="Column12572"/>
    <tableColumn id="12573" xr3:uid="{8661BB34-6930-425C-AE4E-B8217125E5E9}" name="Column12573"/>
    <tableColumn id="12574" xr3:uid="{0EBB7814-D3C3-4EE8-89D2-8BC0DC8895B2}" name="Column12574"/>
    <tableColumn id="12575" xr3:uid="{5D6BC270-9D8D-4219-8609-EA4DBB993BA5}" name="Column12575"/>
    <tableColumn id="12576" xr3:uid="{8D3D257F-FD04-4519-AEB6-AB0F82F1ECB1}" name="Column12576"/>
    <tableColumn id="12577" xr3:uid="{8B3A652C-F8CA-4495-847E-A001ED8E6C02}" name="Column12577"/>
    <tableColumn id="12578" xr3:uid="{7644B0C8-1DED-480D-BFE5-99E2E469FFF9}" name="Column12578"/>
    <tableColumn id="12579" xr3:uid="{31D05A30-2750-48DC-B56A-2D046F1501BE}" name="Column12579"/>
    <tableColumn id="12580" xr3:uid="{8BF25B68-1998-4D71-BCF8-10BD34C0BC69}" name="Column12580"/>
    <tableColumn id="12581" xr3:uid="{9BD98EBA-33E3-4DF5-A25E-B9BF07094315}" name="Column12581"/>
    <tableColumn id="12582" xr3:uid="{30EB8873-50CA-48B3-8C44-2230E8C81E0C}" name="Column12582"/>
    <tableColumn id="12583" xr3:uid="{2EBFADB7-0D88-4DB2-AA9A-9AF264BE861A}" name="Column12583"/>
    <tableColumn id="12584" xr3:uid="{ED7CF4FA-D80E-4A3B-9AA8-A72F9126A9AA}" name="Column12584"/>
    <tableColumn id="12585" xr3:uid="{BF28BC5E-8EBA-4F3F-8F92-8AD7910592CB}" name="Column12585"/>
    <tableColumn id="12586" xr3:uid="{6AF23872-A91D-4242-9B30-730E91D3D536}" name="Column12586"/>
    <tableColumn id="12587" xr3:uid="{925A5DDE-DF07-4D86-A9E7-CEB615E340CB}" name="Column12587"/>
    <tableColumn id="12588" xr3:uid="{555C8925-41DE-470B-A6A3-735F8F0B666C}" name="Column12588"/>
    <tableColumn id="12589" xr3:uid="{226165A3-D910-468C-849B-3B0CCEB2C588}" name="Column12589"/>
    <tableColumn id="12590" xr3:uid="{A7B11DDB-565F-456A-BDD5-93EFB469BB8B}" name="Column12590"/>
    <tableColumn id="12591" xr3:uid="{2CB1A076-CBE4-42A7-8FE0-0997C569177F}" name="Column12591"/>
    <tableColumn id="12592" xr3:uid="{9659A3C9-2975-4113-A655-AF49B7D98195}" name="Column12592"/>
    <tableColumn id="12593" xr3:uid="{BC0AFAA1-42F2-4185-B48D-87B1AAAD8294}" name="Column12593"/>
    <tableColumn id="12594" xr3:uid="{E9D28634-C04B-4938-90AA-710193453B5E}" name="Column12594"/>
    <tableColumn id="12595" xr3:uid="{3611DE70-91C5-4BBA-991F-73B960F53B5B}" name="Column12595"/>
    <tableColumn id="12596" xr3:uid="{92314FEB-A1A9-4054-9E29-E6B8A2BDAC35}" name="Column12596"/>
    <tableColumn id="12597" xr3:uid="{42ADB8F9-A4AB-4BCD-BC2C-3BA2C470DC56}" name="Column12597"/>
    <tableColumn id="12598" xr3:uid="{EBFBA9BB-55CC-470C-8C42-85CFD773F5BF}" name="Column12598"/>
    <tableColumn id="12599" xr3:uid="{01856D3B-5A75-4096-9AEE-A67B24F6F51A}" name="Column12599"/>
    <tableColumn id="12600" xr3:uid="{0E50DE4B-1138-48D5-8FAE-062DD073D988}" name="Column12600"/>
    <tableColumn id="12601" xr3:uid="{765481D9-0658-4872-A8E4-1D2C5F2CDEC4}" name="Column12601"/>
    <tableColumn id="12602" xr3:uid="{A5B1E9A9-7821-44D2-A8AB-B0157581A776}" name="Column12602"/>
    <tableColumn id="12603" xr3:uid="{062960F6-158F-4FDA-AFC3-C6AF4806B8FC}" name="Column12603"/>
    <tableColumn id="12604" xr3:uid="{CFFF868B-6147-4DD0-8F6E-F52B3DE109DB}" name="Column12604"/>
    <tableColumn id="12605" xr3:uid="{54A9CE10-0D33-452E-A07E-2365BCCB1E90}" name="Column12605"/>
    <tableColumn id="12606" xr3:uid="{4F0F7A05-A83F-4012-873A-1A89D27574AE}" name="Column12606"/>
    <tableColumn id="12607" xr3:uid="{ADBFE4AB-4C58-4218-A7C7-EED18F54BDA2}" name="Column12607"/>
    <tableColumn id="12608" xr3:uid="{7C8C3F8C-AF0E-4662-97E2-96964B8FA187}" name="Column12608"/>
    <tableColumn id="12609" xr3:uid="{719F557E-0532-4DE9-B67A-3F61D43F5957}" name="Column12609"/>
    <tableColumn id="12610" xr3:uid="{62B83342-D817-49FD-8807-0ABE637C7730}" name="Column12610"/>
    <tableColumn id="12611" xr3:uid="{6DB46A7C-F67C-44F4-B5D0-91E90EAFD8A3}" name="Column12611"/>
    <tableColumn id="12612" xr3:uid="{FC343F8A-8A7A-4784-90C0-2FE668008D1B}" name="Column12612"/>
    <tableColumn id="12613" xr3:uid="{64FB87DB-8822-4374-B5E0-D57FC55B874F}" name="Column12613"/>
    <tableColumn id="12614" xr3:uid="{83E90025-1B94-4ED8-9651-8D9D3C4D57B8}" name="Column12614"/>
    <tableColumn id="12615" xr3:uid="{95AE2917-40AD-4D7B-9158-58E1722FD31E}" name="Column12615"/>
    <tableColumn id="12616" xr3:uid="{63395A70-EB71-46C8-ABFA-F98E7A7CE301}" name="Column12616"/>
    <tableColumn id="12617" xr3:uid="{B68BA924-A478-480E-85F0-F7B4B6D7544C}" name="Column12617"/>
    <tableColumn id="12618" xr3:uid="{44A7A98C-8457-4B40-951F-03704AD40D3A}" name="Column12618"/>
    <tableColumn id="12619" xr3:uid="{C53DE235-8578-4243-B052-AD9DD8E3ADFC}" name="Column12619"/>
    <tableColumn id="12620" xr3:uid="{C335E737-2191-4E34-8A62-7848A5EF384C}" name="Column12620"/>
    <tableColumn id="12621" xr3:uid="{8388EBAA-895A-4827-A5E0-6EAE8AAECF6A}" name="Column12621"/>
    <tableColumn id="12622" xr3:uid="{4236ADB7-B697-466C-9CB3-86CACD7E3AE9}" name="Column12622"/>
    <tableColumn id="12623" xr3:uid="{EA5E7CE4-61D7-4171-A304-28361038FBA8}" name="Column12623"/>
    <tableColumn id="12624" xr3:uid="{84F75512-8E0B-4503-A7FE-8AD03EF39E8E}" name="Column12624"/>
    <tableColumn id="12625" xr3:uid="{F92B545B-FE22-4383-8852-AB386E4166E1}" name="Column12625"/>
    <tableColumn id="12626" xr3:uid="{1D374292-BCE3-4045-89C0-2118DB3E36B5}" name="Column12626"/>
    <tableColumn id="12627" xr3:uid="{27B64048-F699-4CFA-8906-C195932E0C4D}" name="Column12627"/>
    <tableColumn id="12628" xr3:uid="{990D76F9-A8E3-43EF-AFB3-69D5E0754CCA}" name="Column12628"/>
    <tableColumn id="12629" xr3:uid="{5846E140-D02C-4523-8141-92B20E4E4DF0}" name="Column12629"/>
    <tableColumn id="12630" xr3:uid="{6139B448-FA27-4125-98D9-01773FC374EC}" name="Column12630"/>
    <tableColumn id="12631" xr3:uid="{2632021E-4B8F-4CB7-AB11-7605734926D4}" name="Column12631"/>
    <tableColumn id="12632" xr3:uid="{A9E40D35-916F-4710-A9FA-2AA640BAB31E}" name="Column12632"/>
    <tableColumn id="12633" xr3:uid="{08477EB5-BD2D-49E5-876E-FE8BDDD28F8C}" name="Column12633"/>
    <tableColumn id="12634" xr3:uid="{7C6DD2BF-C08C-4896-B1EF-ABA3774E4FF2}" name="Column12634"/>
    <tableColumn id="12635" xr3:uid="{63CE9977-5DD6-41F3-93D1-F0917C6B394A}" name="Column12635"/>
    <tableColumn id="12636" xr3:uid="{E0B74963-2E02-4A64-846F-8F89B058778B}" name="Column12636"/>
    <tableColumn id="12637" xr3:uid="{69FEDDCE-5A7A-46A0-A45C-F413F616FD87}" name="Column12637"/>
    <tableColumn id="12638" xr3:uid="{5B440AFC-234B-4749-B5E3-94F5CF8B6499}" name="Column12638"/>
    <tableColumn id="12639" xr3:uid="{B29DC4E5-47B1-424C-AA24-383BFB4BD3CA}" name="Column12639"/>
    <tableColumn id="12640" xr3:uid="{CF739ABA-8E34-4B1D-9D55-2BB522FABE2C}" name="Column12640"/>
    <tableColumn id="12641" xr3:uid="{47A01846-713F-4C12-BD5D-E7114952E067}" name="Column12641"/>
    <tableColumn id="12642" xr3:uid="{4E866D74-984D-481D-82DA-914F1149EE35}" name="Column12642"/>
    <tableColumn id="12643" xr3:uid="{561A6BF8-8E9C-4CB8-8BA3-697784F2EF8B}" name="Column12643"/>
    <tableColumn id="12644" xr3:uid="{7511FBF5-F33F-42F2-816F-5BA39278408E}" name="Column12644"/>
    <tableColumn id="12645" xr3:uid="{99A0BA0F-037F-4076-97D3-4A447FB7A7C6}" name="Column12645"/>
    <tableColumn id="12646" xr3:uid="{8C98346C-6D0C-4A8C-AA2B-587EAD0A9F09}" name="Column12646"/>
    <tableColumn id="12647" xr3:uid="{79BF0D1F-8610-4633-A003-8581275B648A}" name="Column12647"/>
    <tableColumn id="12648" xr3:uid="{1C5AFCE0-826C-40CD-94A5-D8F7C678FD00}" name="Column12648"/>
    <tableColumn id="12649" xr3:uid="{E88CF657-B54C-4130-90BA-D31AF4D143A7}" name="Column12649"/>
    <tableColumn id="12650" xr3:uid="{7BDFF588-DD61-449E-AE50-346E92FA2B34}" name="Column12650"/>
    <tableColumn id="12651" xr3:uid="{91A237EA-C377-42FF-A918-A06B19BF60F8}" name="Column12651"/>
    <tableColumn id="12652" xr3:uid="{1B1E2B19-B51E-4035-AC7B-88D7BD331B72}" name="Column12652"/>
    <tableColumn id="12653" xr3:uid="{1A6F9B65-8A46-4FB4-BEBD-74264BE56BFA}" name="Column12653"/>
    <tableColumn id="12654" xr3:uid="{93441E57-4B90-4FE4-8CC5-15D6649EF8E3}" name="Column12654"/>
    <tableColumn id="12655" xr3:uid="{CDE07132-16E1-4839-BC26-CE7B7CFBB417}" name="Column12655"/>
    <tableColumn id="12656" xr3:uid="{92E3D841-BB47-4A56-A373-3BA9856B8DEE}" name="Column12656"/>
    <tableColumn id="12657" xr3:uid="{F330EC38-A74C-409F-AEFE-128B41D5E62A}" name="Column12657"/>
    <tableColumn id="12658" xr3:uid="{EC856FB7-8A66-4463-BADB-FADC3DE52441}" name="Column12658"/>
    <tableColumn id="12659" xr3:uid="{D73B01CC-821E-4853-A0D4-B3133DD1DCD1}" name="Column12659"/>
    <tableColumn id="12660" xr3:uid="{A22E34FD-4346-4733-8610-D69A7F385E89}" name="Column12660"/>
    <tableColumn id="12661" xr3:uid="{55DF5C3E-4809-4E89-80EF-9B994BC646A0}" name="Column12661"/>
    <tableColumn id="12662" xr3:uid="{EBC0320D-6C32-4C23-940F-B82C3C8F0DA0}" name="Column12662"/>
    <tableColumn id="12663" xr3:uid="{A929FB2D-7519-4F26-9121-0EDECCA7A6F7}" name="Column12663"/>
    <tableColumn id="12664" xr3:uid="{958C2A7C-C2AF-4F22-9150-844678B3B7EE}" name="Column12664"/>
    <tableColumn id="12665" xr3:uid="{8DD1F0B3-B898-4FB6-943B-4C670D32E308}" name="Column12665"/>
    <tableColumn id="12666" xr3:uid="{3C590299-4116-45BA-8DB4-EEEA7C4F37B0}" name="Column12666"/>
    <tableColumn id="12667" xr3:uid="{8B18DA36-D8EA-426A-8FA9-0B6225F4ED78}" name="Column12667"/>
    <tableColumn id="12668" xr3:uid="{D9A0A6F0-3ACA-4532-9FA5-257CC6E04B50}" name="Column12668"/>
    <tableColumn id="12669" xr3:uid="{E60DF767-26FF-435E-8E79-3459B09FBF50}" name="Column12669"/>
    <tableColumn id="12670" xr3:uid="{E307FE44-C497-4FA7-AF73-BC5010ADA704}" name="Column12670"/>
    <tableColumn id="12671" xr3:uid="{627EA933-6B29-43B0-845B-064CA96E1470}" name="Column12671"/>
    <tableColumn id="12672" xr3:uid="{7DAC0F32-3722-408C-8820-545D9263BB16}" name="Column12672"/>
    <tableColumn id="12673" xr3:uid="{5AE1EF96-5BEB-4376-8449-93FA7CA2591F}" name="Column12673"/>
    <tableColumn id="12674" xr3:uid="{9E0AE7E8-0FB2-4031-BDDD-E8F7D349AEC4}" name="Column12674"/>
    <tableColumn id="12675" xr3:uid="{DD27FCBA-7520-42F9-BCDA-78B23C743EF6}" name="Column12675"/>
    <tableColumn id="12676" xr3:uid="{CA47AC1F-9EC9-4D80-B09D-B266E748C9B5}" name="Column12676"/>
    <tableColumn id="12677" xr3:uid="{1281A645-37B7-43DA-A3AF-16269D1A893F}" name="Column12677"/>
    <tableColumn id="12678" xr3:uid="{1C27D0E7-9E13-4E62-AA19-DE93DCFBAAFE}" name="Column12678"/>
    <tableColumn id="12679" xr3:uid="{69A6FC1B-7624-44AF-8D8A-A7BA8F2E926D}" name="Column12679"/>
    <tableColumn id="12680" xr3:uid="{560889A9-8BD9-4619-8928-3AED4AB560B6}" name="Column12680"/>
    <tableColumn id="12681" xr3:uid="{5CD3782A-EBDD-4E12-BE09-EFE38AD86A48}" name="Column12681"/>
    <tableColumn id="12682" xr3:uid="{439AC9D8-A743-4A79-B592-080CB583DEE1}" name="Column12682"/>
    <tableColumn id="12683" xr3:uid="{3BF421D4-25D9-41AD-9706-707DE97575A7}" name="Column12683"/>
    <tableColumn id="12684" xr3:uid="{76AEA369-A1C7-4278-9163-B45282DA7F71}" name="Column12684"/>
    <tableColumn id="12685" xr3:uid="{C255F1A7-4D1F-437F-A72D-5F6BC2DC15DB}" name="Column12685"/>
    <tableColumn id="12686" xr3:uid="{70D6A021-B538-4ADB-9A98-A752E5DB406C}" name="Column12686"/>
    <tableColumn id="12687" xr3:uid="{C0312E7A-A412-4A43-8F63-AD24E6703306}" name="Column12687"/>
    <tableColumn id="12688" xr3:uid="{2427BA25-9E6C-4326-AB4A-EFB6716C90BA}" name="Column12688"/>
    <tableColumn id="12689" xr3:uid="{06099025-23D6-48BE-9A90-80CCA88E868C}" name="Column12689"/>
    <tableColumn id="12690" xr3:uid="{28380CBD-3D6B-4BBE-ACA6-E90C5AA2A5E5}" name="Column12690"/>
    <tableColumn id="12691" xr3:uid="{EC217ACE-24C5-4BAF-AAE6-4879978F5F60}" name="Column12691"/>
    <tableColumn id="12692" xr3:uid="{E83286CC-47C2-457E-BD92-BD882C4AA13F}" name="Column12692"/>
    <tableColumn id="12693" xr3:uid="{8FBBCC57-0135-449B-B22A-26DF36586DAC}" name="Column12693"/>
    <tableColumn id="12694" xr3:uid="{02E85AD5-F3DE-4154-AD74-D0595101AA79}" name="Column12694"/>
    <tableColumn id="12695" xr3:uid="{2DBECD5F-C347-4889-8B87-8499B06CE41F}" name="Column12695"/>
    <tableColumn id="12696" xr3:uid="{2C0D651E-4182-4A7C-AF4C-8B5F8EE03E31}" name="Column12696"/>
    <tableColumn id="12697" xr3:uid="{4ACDE7C8-1FEB-40E4-AD0B-83F03F416951}" name="Column12697"/>
    <tableColumn id="12698" xr3:uid="{89D1604F-2E8D-4811-A17D-C9EF866D4A59}" name="Column12698"/>
    <tableColumn id="12699" xr3:uid="{F1719F4E-64DC-4E34-866F-52A9519BFE04}" name="Column12699"/>
    <tableColumn id="12700" xr3:uid="{2567DB2C-321E-4BCB-85B6-FAFA089F6DC6}" name="Column12700"/>
    <tableColumn id="12701" xr3:uid="{E2481F70-4BE7-4DF0-AF3E-42F7461C2EDA}" name="Column12701"/>
    <tableColumn id="12702" xr3:uid="{6EB686AC-2360-42A5-BBCE-2FB14F515517}" name="Column12702"/>
    <tableColumn id="12703" xr3:uid="{311E1447-1804-4662-B5AC-A74F185C2F27}" name="Column12703"/>
    <tableColumn id="12704" xr3:uid="{D44F340F-722E-491D-BF4A-5FD602E70BFE}" name="Column12704"/>
    <tableColumn id="12705" xr3:uid="{123838FA-756C-4E05-AD91-65098F24651E}" name="Column12705"/>
    <tableColumn id="12706" xr3:uid="{FA53E862-912E-4856-8E11-9F70E0FFDC1D}" name="Column12706"/>
    <tableColumn id="12707" xr3:uid="{8BD94B7F-00A3-4AAB-A003-F827C6680E89}" name="Column12707"/>
    <tableColumn id="12708" xr3:uid="{A10CAB6F-C48E-4BB3-B9C2-84B3459046D4}" name="Column12708"/>
    <tableColumn id="12709" xr3:uid="{B0AFC3CC-0B39-40BB-9561-82C73FEA8D6B}" name="Column12709"/>
    <tableColumn id="12710" xr3:uid="{06C196FE-A1BD-4DE6-B740-C493D5AA5CC6}" name="Column12710"/>
    <tableColumn id="12711" xr3:uid="{2339D610-1BE7-46BA-9D8D-85D93265D69B}" name="Column12711"/>
    <tableColumn id="12712" xr3:uid="{2F62E48D-B700-46EC-BD9D-1FBAB448DF04}" name="Column12712"/>
    <tableColumn id="12713" xr3:uid="{B16393AA-812C-489D-81E5-F6F0E4664B69}" name="Column12713"/>
    <tableColumn id="12714" xr3:uid="{6729DFC7-0DB2-455A-9A7C-049C034072D0}" name="Column12714"/>
    <tableColumn id="12715" xr3:uid="{49A6CEE8-956B-4DBF-B0DC-544D68370755}" name="Column12715"/>
    <tableColumn id="12716" xr3:uid="{D4CC1D5F-478D-45B7-8AB3-7E41244062FB}" name="Column12716"/>
    <tableColumn id="12717" xr3:uid="{1531CB1A-4430-402E-81A7-49C561325ED4}" name="Column12717"/>
    <tableColumn id="12718" xr3:uid="{F297AC42-DD1B-44FB-8B3D-E7C16245F66A}" name="Column12718"/>
    <tableColumn id="12719" xr3:uid="{E2700F5E-EB51-4C38-B7D8-DD02A59A76BD}" name="Column12719"/>
    <tableColumn id="12720" xr3:uid="{2285DFF7-2A26-481D-ABBB-59D46D7A1EFF}" name="Column12720"/>
    <tableColumn id="12721" xr3:uid="{51C39B5D-C26C-4BB7-BD57-9304C7CA4E9C}" name="Column12721"/>
    <tableColumn id="12722" xr3:uid="{EFA695AC-7A9E-4A78-B2C4-8F77A62216E0}" name="Column12722"/>
    <tableColumn id="12723" xr3:uid="{D62806ED-EF4E-4128-9587-34F10F873DDC}" name="Column12723"/>
    <tableColumn id="12724" xr3:uid="{3B7AAF8C-6F0D-4FD2-8CB0-215CF692E9A9}" name="Column12724"/>
    <tableColumn id="12725" xr3:uid="{3C7DA706-72C8-49FE-98EA-438A065F3E99}" name="Column12725"/>
    <tableColumn id="12726" xr3:uid="{21831B26-0370-4BC8-A9F7-B7E696C5ABB1}" name="Column12726"/>
    <tableColumn id="12727" xr3:uid="{EB358CE2-005E-4EDD-BAE8-9BF611E79CEA}" name="Column12727"/>
    <tableColumn id="12728" xr3:uid="{003A143F-4E0C-4C97-A09B-F54C5B96397B}" name="Column12728"/>
    <tableColumn id="12729" xr3:uid="{1BC62BD2-718D-4B60-AD96-DA545A6D66C0}" name="Column12729"/>
    <tableColumn id="12730" xr3:uid="{D1A3EF83-6192-49EF-9EF6-3AC86931CDE6}" name="Column12730"/>
    <tableColumn id="12731" xr3:uid="{BB354752-7367-46F3-949D-8A75D1E048AB}" name="Column12731"/>
    <tableColumn id="12732" xr3:uid="{31323090-3F3B-47BA-B876-CBEAF0217CEE}" name="Column12732"/>
    <tableColumn id="12733" xr3:uid="{09D3F6AD-8CFD-4585-9ED7-F9C744795905}" name="Column12733"/>
    <tableColumn id="12734" xr3:uid="{D79C76B0-94A6-4E7B-B255-E5628A54D241}" name="Column12734"/>
    <tableColumn id="12735" xr3:uid="{11A4E563-B657-4D7A-8BCC-930279550238}" name="Column12735"/>
    <tableColumn id="12736" xr3:uid="{76270689-D061-4553-BBEC-8B88217E01EC}" name="Column12736"/>
    <tableColumn id="12737" xr3:uid="{47876457-AB67-4705-AE2A-6016CB5661DD}" name="Column12737"/>
    <tableColumn id="12738" xr3:uid="{7C71CE64-3675-4CAE-BD6B-AA1805880186}" name="Column12738"/>
    <tableColumn id="12739" xr3:uid="{BB81E386-2AB8-4274-B450-DE257159A727}" name="Column12739"/>
    <tableColumn id="12740" xr3:uid="{55DF0CA4-1F3E-4F21-96C0-A58795B22696}" name="Column12740"/>
    <tableColumn id="12741" xr3:uid="{0FCE7466-88BE-441C-A7ED-5EBCC5E630ED}" name="Column12741"/>
    <tableColumn id="12742" xr3:uid="{0C95100A-5D89-4B67-804C-3F6688B78A54}" name="Column12742"/>
    <tableColumn id="12743" xr3:uid="{C5850743-EFF3-4B2F-9973-3C78A68869D7}" name="Column12743"/>
    <tableColumn id="12744" xr3:uid="{E198AE96-3832-4C7F-9036-49628513FECB}" name="Column12744"/>
    <tableColumn id="12745" xr3:uid="{C2D70683-0690-4B27-BB92-C11BF37B6EFB}" name="Column12745"/>
    <tableColumn id="12746" xr3:uid="{30D9052C-D4EB-436D-95F2-87CC3DC11367}" name="Column12746"/>
    <tableColumn id="12747" xr3:uid="{D808EED1-2181-4F09-B822-0056A49A9221}" name="Column12747"/>
    <tableColumn id="12748" xr3:uid="{5F61A721-E295-40E3-A620-0F01A0C593D0}" name="Column12748"/>
    <tableColumn id="12749" xr3:uid="{C6171C0D-BE9A-45D2-B4F7-1DF2EDC4D164}" name="Column12749"/>
    <tableColumn id="12750" xr3:uid="{ACE51819-931B-4B3F-988D-FD5C513609CF}" name="Column12750"/>
    <tableColumn id="12751" xr3:uid="{4D58C30D-FA8A-44E6-BDE0-3D1D71DFE6A1}" name="Column12751"/>
    <tableColumn id="12752" xr3:uid="{E51865A7-D68E-4249-A364-5FAF40DC9E34}" name="Column12752"/>
    <tableColumn id="12753" xr3:uid="{B3EE0D2C-5BAF-4231-B79F-226085CA5384}" name="Column12753"/>
    <tableColumn id="12754" xr3:uid="{10AF3D69-4D4E-4CD0-BB95-37C695BABB38}" name="Column12754"/>
    <tableColumn id="12755" xr3:uid="{11368C43-810A-4484-A630-F67355ACE9D0}" name="Column12755"/>
    <tableColumn id="12756" xr3:uid="{B0B567A4-4DDE-4B9B-ACFC-14E9741095D6}" name="Column12756"/>
    <tableColumn id="12757" xr3:uid="{CF235C93-55F2-48B9-AF4C-9D1C694A0DC7}" name="Column12757"/>
    <tableColumn id="12758" xr3:uid="{DF736FF2-1D70-4578-9E0F-C7E422D1A2B7}" name="Column12758"/>
    <tableColumn id="12759" xr3:uid="{2E655414-8409-4C3C-B6D6-0C1B4FBF4B55}" name="Column12759"/>
    <tableColumn id="12760" xr3:uid="{C4388795-A276-4F3C-BE2D-C92ECF6FDBE1}" name="Column12760"/>
    <tableColumn id="12761" xr3:uid="{360C169E-12B2-4446-BAA7-931C015676A6}" name="Column12761"/>
    <tableColumn id="12762" xr3:uid="{098D372B-73E4-4FFA-8C2A-54AAF6440A69}" name="Column12762"/>
    <tableColumn id="12763" xr3:uid="{43ACB23E-88C1-4E94-88A7-6A5AA06C00D8}" name="Column12763"/>
    <tableColumn id="12764" xr3:uid="{48A71BD7-4E02-462C-BDDB-D2CC682FDD63}" name="Column12764"/>
    <tableColumn id="12765" xr3:uid="{DD707BB9-C710-4C51-8A40-E8CF95504465}" name="Column12765"/>
    <tableColumn id="12766" xr3:uid="{6A0E7ED7-0165-440B-862C-94A5B9F38E56}" name="Column12766"/>
    <tableColumn id="12767" xr3:uid="{82B06FD9-AEE8-44C5-A093-12E8E60BD034}" name="Column12767"/>
    <tableColumn id="12768" xr3:uid="{1EB33E36-16DE-4C43-A9BD-DBBB4B2B96B4}" name="Column12768"/>
    <tableColumn id="12769" xr3:uid="{E3DA4256-3C8F-4BB7-B119-DA033D6A896D}" name="Column12769"/>
    <tableColumn id="12770" xr3:uid="{1ECACB46-39F0-4636-9611-5AA8E8C46390}" name="Column12770"/>
    <tableColumn id="12771" xr3:uid="{2B882F2E-0810-416B-A195-E8314649624C}" name="Column12771"/>
    <tableColumn id="12772" xr3:uid="{0FBDFD59-F24E-47F1-9A65-B49A4FC93F3E}" name="Column12772"/>
    <tableColumn id="12773" xr3:uid="{10744A53-4BA5-4C0C-8698-599BC78DFC46}" name="Column12773"/>
    <tableColumn id="12774" xr3:uid="{6699695F-FD89-4F22-B34B-BECB9EF9689E}" name="Column12774"/>
    <tableColumn id="12775" xr3:uid="{DA00126F-7B90-47D0-A994-120B889971B7}" name="Column12775"/>
    <tableColumn id="12776" xr3:uid="{9AA61DA1-5D80-4480-9CF3-28986006B410}" name="Column12776"/>
    <tableColumn id="12777" xr3:uid="{5658487D-52E7-4512-8D5A-9BDDBDA76B4A}" name="Column12777"/>
    <tableColumn id="12778" xr3:uid="{9210D172-EAA3-41EE-AC7C-8792C7200FFE}" name="Column12778"/>
    <tableColumn id="12779" xr3:uid="{ABD81333-8F68-4CCA-A7F6-CB2091D3666B}" name="Column12779"/>
    <tableColumn id="12780" xr3:uid="{7B058AAB-31F4-455E-B5EF-0931796E6ACB}" name="Column12780"/>
    <tableColumn id="12781" xr3:uid="{88E8A177-8651-4D3C-A2CE-338D6DB3C2ED}" name="Column12781"/>
    <tableColumn id="12782" xr3:uid="{CBB0DE4D-5680-49FC-92F6-82391BFFF15B}" name="Column12782"/>
    <tableColumn id="12783" xr3:uid="{7DF509A4-B38B-48F7-A898-3DBE330A9C4C}" name="Column12783"/>
    <tableColumn id="12784" xr3:uid="{3B42AB7F-7E02-4F0F-AA3D-AED28975BD1B}" name="Column12784"/>
    <tableColumn id="12785" xr3:uid="{C3B9C2DF-0D76-4338-911E-4CA9B2F73BA6}" name="Column12785"/>
    <tableColumn id="12786" xr3:uid="{18C4F7E0-2536-42FC-8DA0-83D6BBCC4A3B}" name="Column12786"/>
    <tableColumn id="12787" xr3:uid="{618CD200-9A9D-4AF5-920B-54A19B918920}" name="Column12787"/>
    <tableColumn id="12788" xr3:uid="{877F57BE-4F63-4F70-9976-9111FEC7ED04}" name="Column12788"/>
    <tableColumn id="12789" xr3:uid="{55AD2D43-C366-4D61-8497-1FA57D8988CA}" name="Column12789"/>
    <tableColumn id="12790" xr3:uid="{4EBCD47F-AF89-4708-8F88-8A94F118AF89}" name="Column12790"/>
    <tableColumn id="12791" xr3:uid="{B40C88C8-87B1-46D4-B52A-C0FC4486F954}" name="Column12791"/>
    <tableColumn id="12792" xr3:uid="{EF835290-D5C8-443A-AAA9-CA542CB9DF08}" name="Column12792"/>
    <tableColumn id="12793" xr3:uid="{5B4BBFCA-571A-4888-8B24-F6D7E730E3E0}" name="Column12793"/>
    <tableColumn id="12794" xr3:uid="{10ABD32A-56BE-4D27-8ECC-03184957884D}" name="Column12794"/>
    <tableColumn id="12795" xr3:uid="{55B3E927-F55B-4807-8D55-097CB8EFF36F}" name="Column12795"/>
    <tableColumn id="12796" xr3:uid="{C8D5E8AE-6B1A-4753-84F9-70DB3A2CF515}" name="Column12796"/>
    <tableColumn id="12797" xr3:uid="{DE29223D-B04E-43E8-9A20-64FA5FE2B484}" name="Column12797"/>
    <tableColumn id="12798" xr3:uid="{7DDFF4D7-E56B-435B-AD6D-6C353CF6A043}" name="Column12798"/>
    <tableColumn id="12799" xr3:uid="{BD1F66B5-C1B9-4839-9BFF-1CB7664AFCC4}" name="Column12799"/>
    <tableColumn id="12800" xr3:uid="{F20B3E65-1631-4A06-9E3F-CC233D509188}" name="Column12800"/>
    <tableColumn id="12801" xr3:uid="{6723B50F-843B-4397-8DAD-DDE8B89DF241}" name="Column12801"/>
    <tableColumn id="12802" xr3:uid="{F3CC7C58-88E3-4CCB-9115-DA42332CA923}" name="Column12802"/>
    <tableColumn id="12803" xr3:uid="{CF7D4C56-BC65-4743-8F7E-3370F0E4FADA}" name="Column12803"/>
    <tableColumn id="12804" xr3:uid="{BFE7C95A-5EA1-438C-A7BB-A89737190952}" name="Column12804"/>
    <tableColumn id="12805" xr3:uid="{FE25384D-95E0-4C8A-B4D9-825CCD10CA4E}" name="Column12805"/>
    <tableColumn id="12806" xr3:uid="{EE0973DF-AF1D-42DA-977D-8887E4566F61}" name="Column12806"/>
    <tableColumn id="12807" xr3:uid="{BF8F7138-C3F2-4638-804A-80BAB2B70112}" name="Column12807"/>
    <tableColumn id="12808" xr3:uid="{E34D64BE-909E-4860-A1EE-BB9BBC2E825D}" name="Column12808"/>
    <tableColumn id="12809" xr3:uid="{9217D1EF-D965-49D4-91C5-F7C78B7672A4}" name="Column12809"/>
    <tableColumn id="12810" xr3:uid="{02819786-50DE-4F5B-BE78-81A40006CBF0}" name="Column12810"/>
    <tableColumn id="12811" xr3:uid="{150EFB69-AB2A-486A-B697-56B87D21080C}" name="Column12811"/>
    <tableColumn id="12812" xr3:uid="{F4369C91-5C43-4A79-8C0D-31A251B7CF16}" name="Column12812"/>
    <tableColumn id="12813" xr3:uid="{11706E4C-6417-4065-90D1-AB939D9CC843}" name="Column12813"/>
    <tableColumn id="12814" xr3:uid="{F32DCC59-BBA8-4A43-9EB2-5A691CCBAAA0}" name="Column12814"/>
    <tableColumn id="12815" xr3:uid="{8BEF8ED2-EE1A-427C-AAC5-FFB92F3270BB}" name="Column12815"/>
    <tableColumn id="12816" xr3:uid="{20C8C79C-E9E1-4661-B162-19E8015CC2C7}" name="Column12816"/>
    <tableColumn id="12817" xr3:uid="{6BCD4D7D-130A-42A2-A917-72D7EB4C7ACB}" name="Column12817"/>
    <tableColumn id="12818" xr3:uid="{E051867A-655D-47EE-B849-739CBEAC497B}" name="Column12818"/>
    <tableColumn id="12819" xr3:uid="{207F0EFF-C229-4FAC-99C7-7C1F2393ADAC}" name="Column12819"/>
    <tableColumn id="12820" xr3:uid="{4E8C3CF8-BB66-46F5-A8BC-B7927B7E58FE}" name="Column12820"/>
    <tableColumn id="12821" xr3:uid="{DAF0CA97-DA55-46F9-9A04-B86DF5F2B5F2}" name="Column12821"/>
    <tableColumn id="12822" xr3:uid="{9F9752B8-8CCC-42E7-9D23-E10568B0C850}" name="Column12822"/>
    <tableColumn id="12823" xr3:uid="{9D7E992C-AE0D-4CE6-88C0-71E7FD48C505}" name="Column12823"/>
    <tableColumn id="12824" xr3:uid="{33F61749-5E1B-4F7F-B7F7-F06DEF8A145B}" name="Column12824"/>
    <tableColumn id="12825" xr3:uid="{66933F04-C6B8-430E-B2A4-A68D9F6AC34D}" name="Column12825"/>
    <tableColumn id="12826" xr3:uid="{77C6F37A-919F-42DE-B47F-FE8E9BBF7901}" name="Column12826"/>
    <tableColumn id="12827" xr3:uid="{BCFED7FA-377B-418D-9EDF-8144BBBB2E96}" name="Column12827"/>
    <tableColumn id="12828" xr3:uid="{8538CFC1-C445-4043-A2E8-4666E346C259}" name="Column12828"/>
    <tableColumn id="12829" xr3:uid="{0F5976C7-12B4-4992-8FCE-579E97AE1119}" name="Column12829"/>
    <tableColumn id="12830" xr3:uid="{13843B13-5CFA-4964-A930-6D5EFC50AA49}" name="Column12830"/>
    <tableColumn id="12831" xr3:uid="{0F748469-0E90-4E09-85EB-7D475C757EC6}" name="Column12831"/>
    <tableColumn id="12832" xr3:uid="{150EB093-CD67-492B-94AC-B10369DBE836}" name="Column12832"/>
    <tableColumn id="12833" xr3:uid="{D844FF85-63A7-417F-9502-7413C5301114}" name="Column12833"/>
    <tableColumn id="12834" xr3:uid="{6631FCE8-2078-4AF1-A93F-59E3E66F9AA5}" name="Column12834"/>
    <tableColumn id="12835" xr3:uid="{678627CE-B9E2-4025-A15B-896C12BA390A}" name="Column12835"/>
    <tableColumn id="12836" xr3:uid="{494D0C69-294C-4B9B-88B4-106E4D2C9921}" name="Column12836"/>
    <tableColumn id="12837" xr3:uid="{FDFEBC17-14A0-4F59-BF0E-7562D774308F}" name="Column12837"/>
    <tableColumn id="12838" xr3:uid="{D069E7DC-4416-4CAD-A766-AFD12FF93D96}" name="Column12838"/>
    <tableColumn id="12839" xr3:uid="{DEABBA11-18B2-447D-975D-E95A5D0AC026}" name="Column12839"/>
    <tableColumn id="12840" xr3:uid="{FC853CFE-EDC4-42ED-B3BE-9A04F6F3A1E6}" name="Column12840"/>
    <tableColumn id="12841" xr3:uid="{4E5145B3-F108-4095-892C-9B9CDCC4282F}" name="Column12841"/>
    <tableColumn id="12842" xr3:uid="{C296C5B8-C428-464A-B64F-F19B0713F254}" name="Column12842"/>
    <tableColumn id="12843" xr3:uid="{EB750425-6102-49DF-B538-8FA3D6D5EC67}" name="Column12843"/>
    <tableColumn id="12844" xr3:uid="{A6CB2371-DF26-4087-8843-C8E37E42A8B7}" name="Column12844"/>
    <tableColumn id="12845" xr3:uid="{61E7D96A-2FAD-4218-8B6A-4F86231F5BC7}" name="Column12845"/>
    <tableColumn id="12846" xr3:uid="{998532FB-45BE-4477-8744-78FA1EE1FCAC}" name="Column12846"/>
    <tableColumn id="12847" xr3:uid="{A4E4CB3E-18B7-46C5-A876-8DA256FC8485}" name="Column12847"/>
    <tableColumn id="12848" xr3:uid="{E83C7CCB-EC43-4930-BBCC-A1145BD430F7}" name="Column12848"/>
    <tableColumn id="12849" xr3:uid="{AD87822E-51AC-4F15-A38C-4AD1CC01E51E}" name="Column12849"/>
    <tableColumn id="12850" xr3:uid="{FE4BDAB3-F91D-4F90-9263-6F184574CDF1}" name="Column12850"/>
    <tableColumn id="12851" xr3:uid="{AA4F79EC-3710-4093-9700-8B0581AB377B}" name="Column12851"/>
    <tableColumn id="12852" xr3:uid="{A6A4A0C9-656F-48FF-9BD9-DA7041943090}" name="Column12852"/>
    <tableColumn id="12853" xr3:uid="{97DA3BAD-FC27-4AA5-8A2D-1D6495AF2E16}" name="Column12853"/>
    <tableColumn id="12854" xr3:uid="{2B7500C7-0264-4B02-A004-23B45541ECD6}" name="Column12854"/>
    <tableColumn id="12855" xr3:uid="{FE18B620-A1FC-4E14-8BBB-AC60013F1CC5}" name="Column12855"/>
    <tableColumn id="12856" xr3:uid="{61D3549E-2E2C-4E64-839C-078C0C1127D8}" name="Column12856"/>
    <tableColumn id="12857" xr3:uid="{6BEA07D4-5844-46D3-A0DA-2B5CE8383401}" name="Column12857"/>
    <tableColumn id="12858" xr3:uid="{F8DB069F-31CE-49D8-A6D3-EB70922604C7}" name="Column12858"/>
    <tableColumn id="12859" xr3:uid="{8EF2E751-1DA6-4A50-B1E1-340EC991C428}" name="Column12859"/>
    <tableColumn id="12860" xr3:uid="{932A3AFA-F858-452E-967B-0AC5DF0AD71C}" name="Column12860"/>
    <tableColumn id="12861" xr3:uid="{0EAE815A-9ED2-4953-A501-E2426E674387}" name="Column12861"/>
    <tableColumn id="12862" xr3:uid="{6D8A2EAB-6CA0-4C25-9B20-C117CAE9898E}" name="Column12862"/>
    <tableColumn id="12863" xr3:uid="{2777D1E0-F85C-4700-BA0D-078007626BFE}" name="Column12863"/>
    <tableColumn id="12864" xr3:uid="{E3131600-6A2D-4EC4-9EE1-81DD8F22B30D}" name="Column12864"/>
    <tableColumn id="12865" xr3:uid="{49A969E4-B538-4821-965F-D1CBA43E9F43}" name="Column12865"/>
    <tableColumn id="12866" xr3:uid="{5F1726F7-2249-4E25-98D9-8D331BE11E4F}" name="Column12866"/>
    <tableColumn id="12867" xr3:uid="{22807B34-1894-48DE-8602-29E020B8EAF9}" name="Column12867"/>
    <tableColumn id="12868" xr3:uid="{EF05B4DD-ABC7-404D-8D65-83981727F326}" name="Column12868"/>
    <tableColumn id="12869" xr3:uid="{5A1498BD-C96E-46C6-AC7A-EA333C461AA9}" name="Column12869"/>
    <tableColumn id="12870" xr3:uid="{76F2C4C1-3F62-483D-B88D-219D1C48701B}" name="Column12870"/>
    <tableColumn id="12871" xr3:uid="{525076BE-563A-4E4F-8E6C-F07AC67D546D}" name="Column12871"/>
    <tableColumn id="12872" xr3:uid="{68D8BE8E-B1BD-487A-B43D-CCB15AC2758F}" name="Column12872"/>
    <tableColumn id="12873" xr3:uid="{AA042F0C-1881-4D75-A158-ED4DA3A61F36}" name="Column12873"/>
    <tableColumn id="12874" xr3:uid="{9E29DB7B-E85D-40A0-AE84-DBBA46BEEC10}" name="Column12874"/>
    <tableColumn id="12875" xr3:uid="{CE4FEA63-44EA-45E5-B32D-7C8725A42366}" name="Column12875"/>
    <tableColumn id="12876" xr3:uid="{93FC7A5E-F83A-462B-9400-35A3EC4932BF}" name="Column12876"/>
    <tableColumn id="12877" xr3:uid="{A573D46C-F79D-4E16-B5FD-3CF07898667E}" name="Column12877"/>
    <tableColumn id="12878" xr3:uid="{B8AA64D0-FA23-4AD9-A88A-5BF908FD30E1}" name="Column12878"/>
    <tableColumn id="12879" xr3:uid="{71E42795-42EF-4DB5-8ADB-D15684CF2C73}" name="Column12879"/>
    <tableColumn id="12880" xr3:uid="{B9FD81A0-081E-43C7-85B3-E215D84784D4}" name="Column12880"/>
    <tableColumn id="12881" xr3:uid="{A187FBCB-12BF-4F24-B0B1-9287730EF26E}" name="Column12881"/>
    <tableColumn id="12882" xr3:uid="{0B3F23F7-CC8A-4F9E-91DA-3149C9E61016}" name="Column12882"/>
    <tableColumn id="12883" xr3:uid="{08D849B9-33B5-4B66-9E5A-6228E2E46851}" name="Column12883"/>
    <tableColumn id="12884" xr3:uid="{D2192796-4C42-412F-9BC2-CC2DE7B0BEB3}" name="Column12884"/>
    <tableColumn id="12885" xr3:uid="{E1E6FF8E-29C0-493D-8EBB-E82F223BA24B}" name="Column12885"/>
    <tableColumn id="12886" xr3:uid="{4A517F19-0014-4B80-9A94-064D04B49159}" name="Column12886"/>
    <tableColumn id="12887" xr3:uid="{59C0398A-5B92-4FF3-8B98-DD2FD6F8C43C}" name="Column12887"/>
    <tableColumn id="12888" xr3:uid="{6EB21E34-7C9A-4B4E-903F-7517885A1EA9}" name="Column12888"/>
    <tableColumn id="12889" xr3:uid="{CE56C588-2102-4318-B045-2704700FF238}" name="Column12889"/>
    <tableColumn id="12890" xr3:uid="{3C03B92B-1A27-4A6F-905A-B79A72D24339}" name="Column12890"/>
    <tableColumn id="12891" xr3:uid="{84109B2A-533B-4B2A-9051-904143677A81}" name="Column12891"/>
    <tableColumn id="12892" xr3:uid="{8CE0AD83-02E6-47E6-B5C7-20AE7546C249}" name="Column12892"/>
    <tableColumn id="12893" xr3:uid="{0C43D4D7-97A5-4F0D-B845-9648287F2CC6}" name="Column12893"/>
    <tableColumn id="12894" xr3:uid="{625810E7-F13C-4177-B5A5-5929690E0D36}" name="Column12894"/>
    <tableColumn id="12895" xr3:uid="{396A2B85-C793-489B-837F-0CB1ED1B7258}" name="Column12895"/>
    <tableColumn id="12896" xr3:uid="{C5A2B5C7-03C3-4EF7-B23A-C72B976D1525}" name="Column12896"/>
    <tableColumn id="12897" xr3:uid="{6CF62A76-60CD-4CCA-B3AF-82D7D01B29F4}" name="Column12897"/>
    <tableColumn id="12898" xr3:uid="{B23B0E73-99C7-4027-8C2D-479951C4F2C2}" name="Column12898"/>
    <tableColumn id="12899" xr3:uid="{F8895CFD-DFF8-4D73-9626-97E1106BE89A}" name="Column12899"/>
    <tableColumn id="12900" xr3:uid="{3AD854C5-1942-41C9-8858-5FDD0F914660}" name="Column12900"/>
    <tableColumn id="12901" xr3:uid="{60B09B6A-7BFA-4F74-B09E-2623A22405DF}" name="Column12901"/>
    <tableColumn id="12902" xr3:uid="{DE00A941-DF59-46EF-8A33-D24D2A58674E}" name="Column12902"/>
    <tableColumn id="12903" xr3:uid="{60FA1B4D-FD38-4F9B-8D7C-B30DB2D04516}" name="Column12903"/>
    <tableColumn id="12904" xr3:uid="{649EF0BB-607D-46E9-A89D-380C1186509B}" name="Column12904"/>
    <tableColumn id="12905" xr3:uid="{403F0B48-1BED-435E-A9CE-DDB0868DD2C9}" name="Column12905"/>
    <tableColumn id="12906" xr3:uid="{690AD5C6-A8BC-4BC5-AE14-D723F5DE09D8}" name="Column12906"/>
    <tableColumn id="12907" xr3:uid="{EEBA576D-CE9A-4FBB-A299-34D6CC7F4074}" name="Column12907"/>
    <tableColumn id="12908" xr3:uid="{331AF0FF-C522-4876-A758-B0985924CB1A}" name="Column12908"/>
    <tableColumn id="12909" xr3:uid="{5B49F6EF-C3AF-4745-A57D-226A8CBD5D25}" name="Column12909"/>
    <tableColumn id="12910" xr3:uid="{DB3707E2-9FB1-4F78-9B50-5249D82E9432}" name="Column12910"/>
    <tableColumn id="12911" xr3:uid="{DDEB2833-7E46-4BA0-B3BF-A2E30909A6AC}" name="Column12911"/>
    <tableColumn id="12912" xr3:uid="{CC901B6C-2FD8-4E4A-8E84-DE593FCFDA16}" name="Column12912"/>
    <tableColumn id="12913" xr3:uid="{3AEC97DA-CAD9-462C-8CA1-BB8BD41E2123}" name="Column12913"/>
    <tableColumn id="12914" xr3:uid="{C0D0605E-94C2-4374-ACFE-24A00EE66711}" name="Column12914"/>
    <tableColumn id="12915" xr3:uid="{06E6B14B-1736-4E01-A995-981FDA0D1EAD}" name="Column12915"/>
    <tableColumn id="12916" xr3:uid="{38A2975D-739C-4FDF-97B0-DDCC77CB5BF7}" name="Column12916"/>
    <tableColumn id="12917" xr3:uid="{239BCFFA-4527-4085-945B-2C66199FAABF}" name="Column12917"/>
    <tableColumn id="12918" xr3:uid="{45581F26-D122-4A1A-8FBD-4DCDC0CADBAA}" name="Column12918"/>
    <tableColumn id="12919" xr3:uid="{57BB4451-77B2-45EE-99DE-A23C6DD1C45F}" name="Column12919"/>
    <tableColumn id="12920" xr3:uid="{894EA0E3-2D7F-49A6-A1AF-0967C823D7EC}" name="Column12920"/>
    <tableColumn id="12921" xr3:uid="{356F1F2B-4920-4748-9DF2-563B173B6BB7}" name="Column12921"/>
    <tableColumn id="12922" xr3:uid="{D5D4B27D-AC45-4DE1-AABA-B42FD2C49914}" name="Column12922"/>
    <tableColumn id="12923" xr3:uid="{9522B275-FD6F-4E7B-BCEB-7CC02EB46C81}" name="Column12923"/>
    <tableColumn id="12924" xr3:uid="{0551DCDC-5DB5-4E65-A8D1-A5E22C6CEAE8}" name="Column12924"/>
    <tableColumn id="12925" xr3:uid="{76762C74-267F-4CA0-9742-4F5938BDFE41}" name="Column12925"/>
    <tableColumn id="12926" xr3:uid="{D80D88BE-899A-4B45-832C-138D73C9D625}" name="Column12926"/>
    <tableColumn id="12927" xr3:uid="{22868BD9-0EA4-4F81-872D-665376C9DCE5}" name="Column12927"/>
    <tableColumn id="12928" xr3:uid="{A3FB9CE4-DCCC-4AC2-BE92-9389C4E522EF}" name="Column12928"/>
    <tableColumn id="12929" xr3:uid="{BF9C405E-2DC5-49EF-9BAC-448F4A2F1768}" name="Column12929"/>
    <tableColumn id="12930" xr3:uid="{455FA413-DF3C-4338-9F80-4DBC73253F04}" name="Column12930"/>
    <tableColumn id="12931" xr3:uid="{7AB939B4-7CE5-490C-8F88-49D514118616}" name="Column12931"/>
    <tableColumn id="12932" xr3:uid="{8278BB10-79C4-4C94-BCA3-D13E2B600FCE}" name="Column12932"/>
    <tableColumn id="12933" xr3:uid="{EE085712-C307-4B61-8BE4-9403459C794B}" name="Column12933"/>
    <tableColumn id="12934" xr3:uid="{CFCED52D-D342-42AA-B6F3-7B4DDE1E6002}" name="Column12934"/>
    <tableColumn id="12935" xr3:uid="{0D0B875A-1083-4DAA-87D3-18B6CBF42000}" name="Column12935"/>
    <tableColumn id="12936" xr3:uid="{0D7BDF55-593E-47E2-A076-D84FA5957A03}" name="Column12936"/>
    <tableColumn id="12937" xr3:uid="{F6C30C90-1AB5-4E6B-939F-CAA5516C4480}" name="Column12937"/>
    <tableColumn id="12938" xr3:uid="{4267C14D-4D08-440A-AA86-C2F4DAEB7CB4}" name="Column12938"/>
    <tableColumn id="12939" xr3:uid="{233F7D45-64E0-45E2-9C48-61F9EF8E5382}" name="Column12939"/>
    <tableColumn id="12940" xr3:uid="{5E6A2AD4-5C0D-4A31-A318-B2731B080151}" name="Column12940"/>
    <tableColumn id="12941" xr3:uid="{A9A70933-A868-4D74-9485-950CAEA373FC}" name="Column12941"/>
    <tableColumn id="12942" xr3:uid="{FCA2270A-CFB7-4A2F-9A18-2963BD05E0A8}" name="Column12942"/>
    <tableColumn id="12943" xr3:uid="{647C827D-9BFA-4D05-84F1-AF47C0FFE26F}" name="Column12943"/>
    <tableColumn id="12944" xr3:uid="{00C415DD-503C-462D-8B96-88AE1E650F34}" name="Column12944"/>
    <tableColumn id="12945" xr3:uid="{1A734A74-D64C-4EF3-88B8-B9224E2D8183}" name="Column12945"/>
    <tableColumn id="12946" xr3:uid="{A3E5FC5F-9377-40E4-A5C4-34006DC65337}" name="Column12946"/>
    <tableColumn id="12947" xr3:uid="{9D711522-6EEA-468E-A996-2F18D1DB9E19}" name="Column12947"/>
    <tableColumn id="12948" xr3:uid="{F0E72FA3-2453-4284-A81D-A324BB944D04}" name="Column12948"/>
    <tableColumn id="12949" xr3:uid="{D9273D6A-41F9-4E40-86CF-FDAA5E5050C0}" name="Column12949"/>
    <tableColumn id="12950" xr3:uid="{DEF77FC3-137B-4E9F-B698-AFC549F3CDC2}" name="Column12950"/>
    <tableColumn id="12951" xr3:uid="{D00A1FCA-C99D-402D-8AC2-D72FFF40BDE9}" name="Column12951"/>
    <tableColumn id="12952" xr3:uid="{0A21EBAD-5B7A-485C-B3F4-65FBCE510184}" name="Column12952"/>
    <tableColumn id="12953" xr3:uid="{4FD85A02-BAC6-4BD6-B58D-D5AD90C51FB7}" name="Column12953"/>
    <tableColumn id="12954" xr3:uid="{9242F93D-E943-4E29-B5A4-B56C6BD7EB50}" name="Column12954"/>
    <tableColumn id="12955" xr3:uid="{88DF0FEE-7B58-4F14-8A08-11CDD9F3D8AF}" name="Column12955"/>
    <tableColumn id="12956" xr3:uid="{710C7487-340F-4C1C-82E5-E471319C941A}" name="Column12956"/>
    <tableColumn id="12957" xr3:uid="{26C9C62A-0FBD-4C46-B7E8-2B8F813C90D0}" name="Column12957"/>
    <tableColumn id="12958" xr3:uid="{6EEB0B0D-F980-464B-B7DE-068F538B854F}" name="Column12958"/>
    <tableColumn id="12959" xr3:uid="{FF351C10-3894-4635-9593-8D2BF1FA597C}" name="Column12959"/>
    <tableColumn id="12960" xr3:uid="{A37EB071-FA8A-4E9B-8E0E-E77FE80B6B94}" name="Column12960"/>
    <tableColumn id="12961" xr3:uid="{38EC6070-28C0-45F7-8447-E473DA5563C4}" name="Column12961"/>
    <tableColumn id="12962" xr3:uid="{E5717142-429A-402A-991C-B628FBE6AED0}" name="Column12962"/>
    <tableColumn id="12963" xr3:uid="{FD3FE0C8-5071-4A7F-B4A5-8338FD76D13B}" name="Column12963"/>
    <tableColumn id="12964" xr3:uid="{FD34E810-DAA9-450E-8EC6-25D3C5A3E950}" name="Column12964"/>
    <tableColumn id="12965" xr3:uid="{F5110787-DC6B-465C-861A-04F48BB94E42}" name="Column12965"/>
    <tableColumn id="12966" xr3:uid="{4574E96A-6642-4B89-91A7-AB4716E858B7}" name="Column12966"/>
    <tableColumn id="12967" xr3:uid="{18B7A620-B0E8-403E-8DEE-E17C63CC032B}" name="Column12967"/>
    <tableColumn id="12968" xr3:uid="{C78544D0-BF5D-4A06-BFB0-24FEC2A72F93}" name="Column12968"/>
    <tableColumn id="12969" xr3:uid="{64CB0333-7AD3-42F7-99D4-3407ECABF6A6}" name="Column12969"/>
    <tableColumn id="12970" xr3:uid="{9401B8CC-8A39-4CFE-9D1E-342B1E8DADEA}" name="Column12970"/>
    <tableColumn id="12971" xr3:uid="{FECC3008-337D-4261-BF2B-4D4ECD7F545E}" name="Column12971"/>
    <tableColumn id="12972" xr3:uid="{69EEFD52-ABF4-4AAE-A99F-D166FBCA34EA}" name="Column12972"/>
    <tableColumn id="12973" xr3:uid="{0DCD36E8-D28D-4A5A-9379-FD574AF8600F}" name="Column12973"/>
    <tableColumn id="12974" xr3:uid="{E876393A-60C0-4EC2-8072-FAE218165D25}" name="Column12974"/>
    <tableColumn id="12975" xr3:uid="{C747B287-400C-423A-89B2-4F2B9338EC85}" name="Column12975"/>
    <tableColumn id="12976" xr3:uid="{9A48C38F-752A-40D1-9236-45AE1E376CCD}" name="Column12976"/>
    <tableColumn id="12977" xr3:uid="{3DD3EA8D-A862-4842-AD1C-841358F40E74}" name="Column12977"/>
    <tableColumn id="12978" xr3:uid="{6AB244E7-1A5A-48EE-9D3B-781593FF3919}" name="Column12978"/>
    <tableColumn id="12979" xr3:uid="{92E697CB-2598-48C8-84BB-77E2C0D2C048}" name="Column12979"/>
    <tableColumn id="12980" xr3:uid="{A4AD3A05-A682-4F34-9234-37DDEBC52DFA}" name="Column12980"/>
    <tableColumn id="12981" xr3:uid="{51383301-DC0A-4D44-8E42-159A1E6C749F}" name="Column12981"/>
    <tableColumn id="12982" xr3:uid="{046561CE-A1C2-4355-9960-88E84DC3D23F}" name="Column12982"/>
    <tableColumn id="12983" xr3:uid="{D0250D9C-13F4-483D-8ADA-64799C541802}" name="Column12983"/>
    <tableColumn id="12984" xr3:uid="{D1193E80-41B3-450B-9156-8C6C05FE5983}" name="Column12984"/>
    <tableColumn id="12985" xr3:uid="{32E5BB21-82DC-48B7-946F-D83F8B42FB91}" name="Column12985"/>
    <tableColumn id="12986" xr3:uid="{0256436C-9CDF-4ED4-A509-E8910F5CCDB0}" name="Column12986"/>
    <tableColumn id="12987" xr3:uid="{C3E41A87-FC5D-4275-8804-2DEC047296F1}" name="Column12987"/>
    <tableColumn id="12988" xr3:uid="{789D189F-D9FD-49B7-ADF5-BA857590819D}" name="Column12988"/>
    <tableColumn id="12989" xr3:uid="{DC4CF5CD-14B6-4616-A2B0-673E0E320BAC}" name="Column12989"/>
    <tableColumn id="12990" xr3:uid="{503DA743-BA94-4F8C-95D4-78C15DB155AB}" name="Column12990"/>
    <tableColumn id="12991" xr3:uid="{48918792-D368-47F4-A82E-6349999D93B8}" name="Column12991"/>
    <tableColumn id="12992" xr3:uid="{1E908F2C-BC04-4B54-B5D5-C259225FA1AE}" name="Column12992"/>
    <tableColumn id="12993" xr3:uid="{4ECD21DC-5F02-4E1D-A5B1-63B67E66D137}" name="Column12993"/>
    <tableColumn id="12994" xr3:uid="{1441F769-74C2-4030-82DF-C12D0812F76D}" name="Column12994"/>
    <tableColumn id="12995" xr3:uid="{63FB5866-5639-46BF-8F09-D6C6DCD17716}" name="Column12995"/>
    <tableColumn id="12996" xr3:uid="{4DCFC3FC-00F7-4065-A666-F01FB6D883DA}" name="Column12996"/>
    <tableColumn id="12997" xr3:uid="{65E3CB6F-0301-488F-91AC-28539938CF34}" name="Column12997"/>
    <tableColumn id="12998" xr3:uid="{D4A3A6F4-209D-42D2-A297-54EC26343914}" name="Column12998"/>
    <tableColumn id="12999" xr3:uid="{B41F5B4A-8D28-4906-81F1-C4AF7936A31A}" name="Column12999"/>
    <tableColumn id="13000" xr3:uid="{00EC8FFA-63BE-4C7E-B851-4B905E653B14}" name="Column13000"/>
    <tableColumn id="13001" xr3:uid="{55AB9CD7-A8C0-46E6-96B0-77E0B54C41C3}" name="Column13001"/>
    <tableColumn id="13002" xr3:uid="{FB5FEF53-0D8F-4CC4-A324-C152156DDC73}" name="Column13002"/>
    <tableColumn id="13003" xr3:uid="{0EC1B539-C3FA-4116-9245-8D44539BD5A0}" name="Column13003"/>
    <tableColumn id="13004" xr3:uid="{7A54214F-AE52-43DE-ADDC-9E3FF8BE578A}" name="Column13004"/>
    <tableColumn id="13005" xr3:uid="{8A1223BD-581E-4DB8-93C5-B1B6BD7EA1DD}" name="Column13005"/>
    <tableColumn id="13006" xr3:uid="{16D44803-3665-4919-8143-5D9C8C696C87}" name="Column13006"/>
    <tableColumn id="13007" xr3:uid="{6F7F3F8E-F08A-441E-BA82-FCA07FF5C5B1}" name="Column13007"/>
    <tableColumn id="13008" xr3:uid="{E5BFEC5B-5C93-49FC-BA15-24E8455D3D5D}" name="Column13008"/>
    <tableColumn id="13009" xr3:uid="{4B56A79E-3C0A-496B-9883-BEEEA03D5584}" name="Column13009"/>
    <tableColumn id="13010" xr3:uid="{E0ECE514-C8B9-4C81-B4B4-E1EE70ECF312}" name="Column13010"/>
    <tableColumn id="13011" xr3:uid="{B07BD333-AA30-4707-944F-6694010A2558}" name="Column13011"/>
    <tableColumn id="13012" xr3:uid="{2A639275-9E65-4F66-A5B1-F422BCA23751}" name="Column13012"/>
    <tableColumn id="13013" xr3:uid="{6F7D5CD0-0533-4CDA-BFE7-034222355354}" name="Column13013"/>
    <tableColumn id="13014" xr3:uid="{C626C480-60D7-45CC-9F35-4B35782C85D9}" name="Column13014"/>
    <tableColumn id="13015" xr3:uid="{0F51F50C-BC63-42D4-B022-1489B74113EA}" name="Column13015"/>
    <tableColumn id="13016" xr3:uid="{65EDEDC5-8B85-4820-A4F8-10C2F5F1C94E}" name="Column13016"/>
    <tableColumn id="13017" xr3:uid="{A9A9BB35-EB5D-41D4-A34A-D09CE3A76A64}" name="Column13017"/>
    <tableColumn id="13018" xr3:uid="{998E9731-2D34-46E0-8E98-E4768C800C29}" name="Column13018"/>
    <tableColumn id="13019" xr3:uid="{916453F7-30C0-4A66-ACE6-44309651DC05}" name="Column13019"/>
    <tableColumn id="13020" xr3:uid="{F05FDCD3-86C8-4FA8-9B56-ACE3B4BFD535}" name="Column13020"/>
    <tableColumn id="13021" xr3:uid="{C599C8EF-45EE-4948-AEFB-A222DF5AFC4C}" name="Column13021"/>
    <tableColumn id="13022" xr3:uid="{4F594279-AD0A-43BA-9C4C-4CA8586837B7}" name="Column13022"/>
    <tableColumn id="13023" xr3:uid="{4E573E33-4EFC-436F-A7C5-4F5A318D25D1}" name="Column13023"/>
    <tableColumn id="13024" xr3:uid="{A115E5A8-C3AE-48C1-A564-5299ABAE9230}" name="Column13024"/>
    <tableColumn id="13025" xr3:uid="{EEC0553C-ADB2-4EE0-83D3-A3D7F3528341}" name="Column13025"/>
    <tableColumn id="13026" xr3:uid="{2C6DBDBB-6184-4F73-AE7B-2B2A3C119DE9}" name="Column13026"/>
    <tableColumn id="13027" xr3:uid="{E64D46B5-3EDF-4543-9004-1B8C522D7D72}" name="Column13027"/>
    <tableColumn id="13028" xr3:uid="{4E0888F7-9AF7-4C5B-816F-084854F79180}" name="Column13028"/>
    <tableColumn id="13029" xr3:uid="{D4D728DA-6E72-4CD3-AE3B-6FF26A840EA5}" name="Column13029"/>
    <tableColumn id="13030" xr3:uid="{7E27E049-5D72-4E46-B262-F92753662EBC}" name="Column13030"/>
    <tableColumn id="13031" xr3:uid="{D903A8DA-C706-4CBD-8BA0-64953BE150D0}" name="Column13031"/>
    <tableColumn id="13032" xr3:uid="{58FE4744-A4F7-48BD-B115-C80D898948C9}" name="Column13032"/>
    <tableColumn id="13033" xr3:uid="{57784392-DBF0-472C-8503-F38596B7C6D3}" name="Column13033"/>
    <tableColumn id="13034" xr3:uid="{29578AFA-C354-44BA-9753-004866A46F3B}" name="Column13034"/>
    <tableColumn id="13035" xr3:uid="{635B51DC-07AE-4E57-9374-0C5EF65CDED6}" name="Column13035"/>
    <tableColumn id="13036" xr3:uid="{4B61B00F-8BA5-4E39-A5DB-544D8D8F2B75}" name="Column13036"/>
    <tableColumn id="13037" xr3:uid="{613E9564-012B-4ECE-86DB-7F3E1DED5815}" name="Column13037"/>
    <tableColumn id="13038" xr3:uid="{DB1E3C41-22AC-4E22-BE08-BAE5C3BD5AED}" name="Column13038"/>
    <tableColumn id="13039" xr3:uid="{F0B90275-589D-42D0-B998-9091BFBCAA62}" name="Column13039"/>
    <tableColumn id="13040" xr3:uid="{531F1339-64BA-4378-8770-7A38D1AB4866}" name="Column13040"/>
    <tableColumn id="13041" xr3:uid="{ED5548D9-7C4F-4358-8CB5-2F3D6A3E4570}" name="Column13041"/>
    <tableColumn id="13042" xr3:uid="{0BCBFB12-8659-49C8-8F8A-E27BEA126843}" name="Column13042"/>
    <tableColumn id="13043" xr3:uid="{8AA33C2B-C5B6-47AA-9146-597F60451FB2}" name="Column13043"/>
    <tableColumn id="13044" xr3:uid="{47F3C3C3-6650-4F96-B7FF-1B19A4EF310B}" name="Column13044"/>
    <tableColumn id="13045" xr3:uid="{5FC8910F-896B-43FF-867C-FC020DE1A51E}" name="Column13045"/>
    <tableColumn id="13046" xr3:uid="{4BDD237D-47C3-46B2-BA45-3C10984BB69C}" name="Column13046"/>
    <tableColumn id="13047" xr3:uid="{E1E62A33-E6C7-489E-86D9-079ECC484817}" name="Column13047"/>
    <tableColumn id="13048" xr3:uid="{5A65A0A3-56F7-455A-A29D-983E181ECE4A}" name="Column13048"/>
    <tableColumn id="13049" xr3:uid="{FCC53A75-9151-429E-9C0B-36D03CE2F5FB}" name="Column13049"/>
    <tableColumn id="13050" xr3:uid="{65E442F5-1F5D-4AEB-8695-91570D1D39C5}" name="Column13050"/>
    <tableColumn id="13051" xr3:uid="{D37B453B-9F21-49E2-AB67-4EAA50022DE9}" name="Column13051"/>
    <tableColumn id="13052" xr3:uid="{EBC06C6F-87BC-41E0-BFD5-4F1B7F9E3667}" name="Column13052"/>
    <tableColumn id="13053" xr3:uid="{F8AAEB94-B100-48AC-8664-4163830F43E6}" name="Column13053"/>
    <tableColumn id="13054" xr3:uid="{A2D48897-6410-471B-9B3C-5811C926C78B}" name="Column13054"/>
    <tableColumn id="13055" xr3:uid="{04182DB5-4DCE-4B68-8B5B-7DB569B0A643}" name="Column13055"/>
    <tableColumn id="13056" xr3:uid="{697056D1-FD86-41C8-B2A1-FAA73C2A27A9}" name="Column13056"/>
    <tableColumn id="13057" xr3:uid="{E9D31108-7013-4F74-A888-266435170498}" name="Column13057"/>
    <tableColumn id="13058" xr3:uid="{E20DFAB2-EF51-43C6-A87B-E4562E883BCF}" name="Column13058"/>
    <tableColumn id="13059" xr3:uid="{C05E5A6B-A878-4A06-AFE1-F753792C224E}" name="Column13059"/>
    <tableColumn id="13060" xr3:uid="{401C6068-042E-4CED-A94C-CD8F4C040530}" name="Column13060"/>
    <tableColumn id="13061" xr3:uid="{1C4FB7A3-2ACF-4A72-BF03-BD28CF00C74F}" name="Column13061"/>
    <tableColumn id="13062" xr3:uid="{C200323A-13B0-4394-BCB0-4C50D1CB1388}" name="Column13062"/>
    <tableColumn id="13063" xr3:uid="{859959B9-3D2A-4C83-AA67-13E2FE6FD170}" name="Column13063"/>
    <tableColumn id="13064" xr3:uid="{743AB19C-B0FF-4003-B078-3C6E0C3B03F6}" name="Column13064"/>
    <tableColumn id="13065" xr3:uid="{4EBC6336-D3F4-43B3-B039-226AAE672D78}" name="Column13065"/>
    <tableColumn id="13066" xr3:uid="{D11F030D-B4DC-437D-B625-EAFFA450E7F6}" name="Column13066"/>
    <tableColumn id="13067" xr3:uid="{AB69A10E-C404-4077-AF3D-7ED5E1EE65F3}" name="Column13067"/>
    <tableColumn id="13068" xr3:uid="{8B8E6253-47B2-4D3D-B4A4-2B9DF5E14C3B}" name="Column13068"/>
    <tableColumn id="13069" xr3:uid="{2A113564-88D5-4B40-9A3B-732719E30B27}" name="Column13069"/>
    <tableColumn id="13070" xr3:uid="{37AF30D0-2D9B-40A8-878A-BE3C7E688426}" name="Column13070"/>
    <tableColumn id="13071" xr3:uid="{2CEC93FC-D26E-4440-8A2D-E7E1AEE3D6E1}" name="Column13071"/>
    <tableColumn id="13072" xr3:uid="{69C64D0C-E8EF-4EA1-A165-E880217F1660}" name="Column13072"/>
    <tableColumn id="13073" xr3:uid="{E171C5E7-9510-476F-A072-F5F2B3767593}" name="Column13073"/>
    <tableColumn id="13074" xr3:uid="{8A735B16-142F-4615-A95E-2CD80A3019B5}" name="Column13074"/>
    <tableColumn id="13075" xr3:uid="{AE8AE64C-04DF-4DFE-8D85-F4DA38F342DF}" name="Column13075"/>
    <tableColumn id="13076" xr3:uid="{F87FEFDE-53E3-4379-A390-EABB09566E33}" name="Column13076"/>
    <tableColumn id="13077" xr3:uid="{5781550F-4340-4399-83E0-8F9AB5484682}" name="Column13077"/>
    <tableColumn id="13078" xr3:uid="{8725DEA9-E2DB-4E5A-A9B4-14029AAD0D36}" name="Column13078"/>
    <tableColumn id="13079" xr3:uid="{854BA8E6-71B9-4CB4-A082-45A30D8C3ECC}" name="Column13079"/>
    <tableColumn id="13080" xr3:uid="{7FB0FE0E-A9D7-4A8B-88C0-E81EB070AF37}" name="Column13080"/>
    <tableColumn id="13081" xr3:uid="{75D7D48C-8D2C-4447-A699-3DB1449646E5}" name="Column13081"/>
    <tableColumn id="13082" xr3:uid="{0F754BD0-A613-4B17-8349-3F24EF6C1CCD}" name="Column13082"/>
    <tableColumn id="13083" xr3:uid="{EAF75F5D-1F88-4226-B488-47BCAB5D59CD}" name="Column13083"/>
    <tableColumn id="13084" xr3:uid="{E60C18F6-9823-4913-8D21-8F2FF50BAF90}" name="Column13084"/>
    <tableColumn id="13085" xr3:uid="{DF341230-5EF9-46B9-9593-799D1D116B93}" name="Column13085"/>
    <tableColumn id="13086" xr3:uid="{A46357CE-5CC7-41B1-8D75-0456E3EE72F0}" name="Column13086"/>
    <tableColumn id="13087" xr3:uid="{4461CEA6-7513-4934-8960-57256C439C1A}" name="Column13087"/>
    <tableColumn id="13088" xr3:uid="{EDD30FCF-E494-45E3-98A0-90CAF6C625F4}" name="Column13088"/>
    <tableColumn id="13089" xr3:uid="{2970BB0C-F7CE-435D-9F11-EFB5B266A187}" name="Column13089"/>
    <tableColumn id="13090" xr3:uid="{C657E037-CF67-48B7-9DCB-4BE29EECAA58}" name="Column13090"/>
    <tableColumn id="13091" xr3:uid="{B5694A1C-5846-40DC-BAAF-751514A2B4C7}" name="Column13091"/>
    <tableColumn id="13092" xr3:uid="{81763DC5-D807-440F-8711-39C320AEABFF}" name="Column13092"/>
    <tableColumn id="13093" xr3:uid="{3BED2E2B-10CB-4280-96C8-8A1D25ED5EEA}" name="Column13093"/>
    <tableColumn id="13094" xr3:uid="{C07F63AC-093D-4177-9AC5-7634248D86E7}" name="Column13094"/>
    <tableColumn id="13095" xr3:uid="{E72D1A8F-C1AA-4940-BBB5-58F6FD4A0C99}" name="Column13095"/>
    <tableColumn id="13096" xr3:uid="{1FFC6979-7552-4C82-8C2F-B17F7D35F0CD}" name="Column13096"/>
    <tableColumn id="13097" xr3:uid="{D9A4732F-C248-42AC-BF72-22CA2152C9D5}" name="Column13097"/>
    <tableColumn id="13098" xr3:uid="{23AE0C12-162D-4D5D-9D17-F8CC821EA835}" name="Column13098"/>
    <tableColumn id="13099" xr3:uid="{2917B24A-B4C1-449C-B028-94F5D09DBF31}" name="Column13099"/>
    <tableColumn id="13100" xr3:uid="{E4B66076-C6C4-42C4-B67B-32AA5A8C2BA1}" name="Column13100"/>
    <tableColumn id="13101" xr3:uid="{32AFDF8A-787F-4B97-B0BD-B9309EE5D530}" name="Column13101"/>
    <tableColumn id="13102" xr3:uid="{373B806F-4364-4AAC-A074-2D4569F339D8}" name="Column13102"/>
    <tableColumn id="13103" xr3:uid="{FB9F50CD-FACF-408F-B181-130A39ECA6A3}" name="Column13103"/>
    <tableColumn id="13104" xr3:uid="{EC5E8379-D6DD-4078-B9A1-ED67C259F918}" name="Column13104"/>
    <tableColumn id="13105" xr3:uid="{80183FC0-DECA-4222-B4BB-130FCC284A2C}" name="Column13105"/>
    <tableColumn id="13106" xr3:uid="{29FE5EF4-8CC0-4D78-BFF9-1BAAA46D12B7}" name="Column13106"/>
    <tableColumn id="13107" xr3:uid="{AB6D4EAD-67D4-4E0C-95B8-5D5839831157}" name="Column13107"/>
    <tableColumn id="13108" xr3:uid="{3BFA1790-479B-4C06-B978-F7EE1A9B3BAF}" name="Column13108"/>
    <tableColumn id="13109" xr3:uid="{88CF5A88-8860-417A-B159-D0625E816FD7}" name="Column13109"/>
    <tableColumn id="13110" xr3:uid="{35F42601-0909-4855-9BDC-81CE44932759}" name="Column13110"/>
    <tableColumn id="13111" xr3:uid="{149443D3-17EC-4755-8984-4D300A371630}" name="Column13111"/>
    <tableColumn id="13112" xr3:uid="{CBDFCE6B-5938-424E-BBBB-44FCF21FD26D}" name="Column13112"/>
    <tableColumn id="13113" xr3:uid="{C729CD70-4F50-4335-A650-2F23BC7CF3BE}" name="Column13113"/>
    <tableColumn id="13114" xr3:uid="{78C56D2E-B4CB-40D8-B662-51A3D910425E}" name="Column13114"/>
    <tableColumn id="13115" xr3:uid="{130939E5-1FDA-424E-B0AF-52266E317ED9}" name="Column13115"/>
    <tableColumn id="13116" xr3:uid="{95963D2F-193D-4FE4-B961-301FADF19C2D}" name="Column13116"/>
    <tableColumn id="13117" xr3:uid="{247E2F03-21FC-4924-BD0E-6F41AF83E640}" name="Column13117"/>
    <tableColumn id="13118" xr3:uid="{ACFF7886-DBAF-4938-A5FC-12DB9974DB56}" name="Column13118"/>
    <tableColumn id="13119" xr3:uid="{921D2782-F3EA-4015-A67F-6648619A6B29}" name="Column13119"/>
    <tableColumn id="13120" xr3:uid="{A0A8CC4B-B444-4649-B3CD-3E44EE4C5B3C}" name="Column13120"/>
    <tableColumn id="13121" xr3:uid="{97EF2114-0F78-4B9F-B339-08F9FC21A78D}" name="Column13121"/>
    <tableColumn id="13122" xr3:uid="{D72F1D88-BAD3-4466-B2AF-161853E990E1}" name="Column13122"/>
    <tableColumn id="13123" xr3:uid="{EA7145B0-6D61-465F-90E6-5A49AE045F73}" name="Column13123"/>
    <tableColumn id="13124" xr3:uid="{3599533B-FA77-4F24-B989-123170359AC8}" name="Column13124"/>
    <tableColumn id="13125" xr3:uid="{70049590-7B59-4B2D-8243-FC5B88F8FDE1}" name="Column13125"/>
    <tableColumn id="13126" xr3:uid="{A8820F1C-2686-45AB-9CCD-C60571889C34}" name="Column13126"/>
    <tableColumn id="13127" xr3:uid="{E0A19507-FD1E-418E-86CF-0E7430D50658}" name="Column13127"/>
    <tableColumn id="13128" xr3:uid="{3D480BE1-C87C-4BE9-AD90-A2420A067A4D}" name="Column13128"/>
    <tableColumn id="13129" xr3:uid="{29612028-367B-4483-B716-9395C17D07B6}" name="Column13129"/>
    <tableColumn id="13130" xr3:uid="{DD5A0C21-B104-4ED7-9A65-B010B4C42BD6}" name="Column13130"/>
    <tableColumn id="13131" xr3:uid="{21433AC4-7DC7-4220-9C3C-FF8ED1B23DEC}" name="Column13131"/>
    <tableColumn id="13132" xr3:uid="{7992213D-E1A5-4F8D-8E73-6FAE6248B28B}" name="Column13132"/>
    <tableColumn id="13133" xr3:uid="{D5E28237-02FD-4E1D-9BBF-C9DDEE17C18F}" name="Column13133"/>
    <tableColumn id="13134" xr3:uid="{C3B48E0B-4886-4DD7-A7B9-219C4D1FBD47}" name="Column13134"/>
    <tableColumn id="13135" xr3:uid="{A6ADB1F0-6DBD-4E40-8226-478CE19AF98E}" name="Column13135"/>
    <tableColumn id="13136" xr3:uid="{931848FE-6257-43AC-9A5E-6E3244512284}" name="Column13136"/>
    <tableColumn id="13137" xr3:uid="{0C3A8AA7-3B08-44E8-BC0C-74D7B4593C37}" name="Column13137"/>
    <tableColumn id="13138" xr3:uid="{D982812C-106E-4193-BA8D-8CC716A88729}" name="Column13138"/>
    <tableColumn id="13139" xr3:uid="{95584E01-244B-430B-8D38-17D59277419B}" name="Column13139"/>
    <tableColumn id="13140" xr3:uid="{B8556ED0-AF35-496A-95D1-029CBBB6F812}" name="Column13140"/>
    <tableColumn id="13141" xr3:uid="{9BE40AE3-5669-486E-8CBC-C8E3DFBB09D0}" name="Column13141"/>
    <tableColumn id="13142" xr3:uid="{DBFE1854-46CD-49B1-BD3E-3977D2BD45D2}" name="Column13142"/>
    <tableColumn id="13143" xr3:uid="{B3112217-3C9C-45FE-9598-B824D323EAF7}" name="Column13143"/>
    <tableColumn id="13144" xr3:uid="{45904253-4F80-4552-B8A1-2C72D275E0D3}" name="Column13144"/>
    <tableColumn id="13145" xr3:uid="{622280A4-6C30-4B7F-AD1A-5D503E734EF9}" name="Column13145"/>
    <tableColumn id="13146" xr3:uid="{9007267A-D676-49C2-B1DC-233F39299534}" name="Column13146"/>
    <tableColumn id="13147" xr3:uid="{EEAFC07A-BDBA-4C07-941D-10064BACC321}" name="Column13147"/>
    <tableColumn id="13148" xr3:uid="{139390D8-5AA9-4FBF-AC3D-28B5B0E6E7CD}" name="Column13148"/>
    <tableColumn id="13149" xr3:uid="{FD01D7EA-173A-4543-806F-B2ADA54DE75D}" name="Column13149"/>
    <tableColumn id="13150" xr3:uid="{B169503B-196E-46C0-BD07-77648B9EBE61}" name="Column13150"/>
    <tableColumn id="13151" xr3:uid="{BC9DE295-7220-47A1-ADBF-D08FA5F7CD87}" name="Column13151"/>
    <tableColumn id="13152" xr3:uid="{2D8DEF43-1514-4615-9E0E-C8FBC0FC9CEC}" name="Column13152"/>
    <tableColumn id="13153" xr3:uid="{F1B3297F-B1E4-487D-BDEA-D56A39AD677E}" name="Column13153"/>
    <tableColumn id="13154" xr3:uid="{76569BB2-6BFC-48DA-B379-8395BC494D1B}" name="Column13154"/>
    <tableColumn id="13155" xr3:uid="{438194F3-569B-40F8-8B4C-DECC82711A4B}" name="Column13155"/>
    <tableColumn id="13156" xr3:uid="{017576FD-1284-4BA7-BE4B-DC2D269A8CBA}" name="Column13156"/>
    <tableColumn id="13157" xr3:uid="{1172256D-6DD9-44A8-B03F-12749AE03D1D}" name="Column13157"/>
    <tableColumn id="13158" xr3:uid="{8CBE5293-EDC6-4ABA-A533-F3EFBEAAC768}" name="Column13158"/>
    <tableColumn id="13159" xr3:uid="{10481556-FA2A-4226-8FAB-9D0FE51B9D8A}" name="Column13159"/>
    <tableColumn id="13160" xr3:uid="{BA737C47-FEA6-4986-8708-AB24C85400E4}" name="Column13160"/>
    <tableColumn id="13161" xr3:uid="{A1D79991-10D8-4D55-A18A-E40911825734}" name="Column13161"/>
    <tableColumn id="13162" xr3:uid="{8A31BB2E-3B31-472E-91A3-B630F9B1F11C}" name="Column13162"/>
    <tableColumn id="13163" xr3:uid="{27DDE040-BA61-4C8E-BBC0-56C4AA2C9AEC}" name="Column13163"/>
    <tableColumn id="13164" xr3:uid="{9540A417-71CB-4E31-A2E6-F44F338CA376}" name="Column13164"/>
    <tableColumn id="13165" xr3:uid="{0701C142-F4A0-40B6-A591-8AC151B5BB69}" name="Column13165"/>
    <tableColumn id="13166" xr3:uid="{FAB9065C-8BB5-4CF1-9325-2F0FABBBEAFB}" name="Column13166"/>
    <tableColumn id="13167" xr3:uid="{870F1EBF-1FDD-4227-9BC5-E5D072D6BE84}" name="Column13167"/>
    <tableColumn id="13168" xr3:uid="{1B0B7950-DAB2-47D0-B5DD-69B7AF3CAD09}" name="Column13168"/>
    <tableColumn id="13169" xr3:uid="{4A73B892-EE84-47D2-BE35-3EEA2599EC9E}" name="Column13169"/>
    <tableColumn id="13170" xr3:uid="{28F9F742-4D1D-456D-9ACB-9238512A6F27}" name="Column13170"/>
    <tableColumn id="13171" xr3:uid="{3A4DF1CA-FD97-4BC7-AD30-333EFC2A2B21}" name="Column13171"/>
    <tableColumn id="13172" xr3:uid="{12C40337-4B64-4E61-9B70-C080C95FEB17}" name="Column13172"/>
    <tableColumn id="13173" xr3:uid="{F45F1EBE-590A-4969-A016-C902915A0249}" name="Column13173"/>
    <tableColumn id="13174" xr3:uid="{6970FC2E-CDB9-43D9-B90E-0B9471CBEF19}" name="Column13174"/>
    <tableColumn id="13175" xr3:uid="{104C065B-20D5-4F0B-83F7-92E5F87DBB7A}" name="Column13175"/>
    <tableColumn id="13176" xr3:uid="{CE9ACD27-EE2A-4B62-9F19-C444CD9C0F34}" name="Column13176"/>
    <tableColumn id="13177" xr3:uid="{F6B0F127-8FDF-44C1-AC4F-95FEE1EA1A89}" name="Column13177"/>
    <tableColumn id="13178" xr3:uid="{02B73CA2-6BCD-49EF-8E6E-A9F3F61BA36A}" name="Column13178"/>
    <tableColumn id="13179" xr3:uid="{1A843DB9-2F12-4AF7-85C2-C4243A09F9CD}" name="Column13179"/>
    <tableColumn id="13180" xr3:uid="{B7DCF6FF-8882-4BFC-8978-82076813BD55}" name="Column13180"/>
    <tableColumn id="13181" xr3:uid="{7B322ADE-EEA8-4AFD-99E3-72E7E5B34237}" name="Column13181"/>
    <tableColumn id="13182" xr3:uid="{7F1483B3-7FA0-47FC-BD2D-67FBE210F8D5}" name="Column13182"/>
    <tableColumn id="13183" xr3:uid="{3F80A40D-5830-4A3F-B101-3C4B92424C55}" name="Column13183"/>
    <tableColumn id="13184" xr3:uid="{3F0D6222-E122-4786-B6AE-B42CBA4BD982}" name="Column13184"/>
    <tableColumn id="13185" xr3:uid="{8AC0E520-9AA9-4815-83CD-F5942C6B5CDE}" name="Column13185"/>
    <tableColumn id="13186" xr3:uid="{4A110FD8-FDC7-448B-91E3-CD02D9720E8A}" name="Column13186"/>
    <tableColumn id="13187" xr3:uid="{1FCC5F30-088F-4F96-885C-F3D6744FE38B}" name="Column13187"/>
    <tableColumn id="13188" xr3:uid="{CE1A1A5C-FA2F-4030-B817-499F69BD53E3}" name="Column13188"/>
    <tableColumn id="13189" xr3:uid="{6E6BBB80-D9C6-46A4-9774-86ABC341E004}" name="Column13189"/>
    <tableColumn id="13190" xr3:uid="{B939DFD0-E9C1-4F44-AEAC-F99579F7C194}" name="Column13190"/>
    <tableColumn id="13191" xr3:uid="{FB99457E-1D62-40EC-913C-7D7C50E7CBF4}" name="Column13191"/>
    <tableColumn id="13192" xr3:uid="{0463F896-5F23-4ED2-9BEF-1217364AE7E6}" name="Column13192"/>
    <tableColumn id="13193" xr3:uid="{3F3DF84C-BC48-4479-A01A-80BA85FF15D9}" name="Column13193"/>
    <tableColumn id="13194" xr3:uid="{9ABF2D79-15BA-4C6E-9661-438B452301BE}" name="Column13194"/>
    <tableColumn id="13195" xr3:uid="{7A054DAC-B951-499B-BDF3-847CC8DC78D8}" name="Column13195"/>
    <tableColumn id="13196" xr3:uid="{EBCAD6CF-40F8-4337-893B-0929C20042AD}" name="Column13196"/>
    <tableColumn id="13197" xr3:uid="{05E6BE71-6653-41D0-ABE0-71ACCF476190}" name="Column13197"/>
    <tableColumn id="13198" xr3:uid="{52F51866-550B-4D9B-A8F3-8EADB6A309E1}" name="Column13198"/>
    <tableColumn id="13199" xr3:uid="{F8408DA3-8532-4262-9747-31D4C79C2D32}" name="Column13199"/>
    <tableColumn id="13200" xr3:uid="{C6C2E47C-BFAF-4F48-B6A2-F1AF1452AEE0}" name="Column13200"/>
    <tableColumn id="13201" xr3:uid="{633FE0ED-468A-4D10-B6D2-85A580DF48F7}" name="Column13201"/>
    <tableColumn id="13202" xr3:uid="{882851D1-7A5B-4FB9-AFC0-1CCC0F83B00F}" name="Column13202"/>
    <tableColumn id="13203" xr3:uid="{5BC34C06-28EE-4690-B4CF-89A7CB2B10A8}" name="Column13203"/>
    <tableColumn id="13204" xr3:uid="{29744406-96E6-4E62-B181-DA8903BD8D77}" name="Column13204"/>
    <tableColumn id="13205" xr3:uid="{F19E968B-4752-48FD-AD13-553D9505E227}" name="Column13205"/>
    <tableColumn id="13206" xr3:uid="{68A9E23C-B1F9-4E2E-86A4-36072A5052E7}" name="Column13206"/>
    <tableColumn id="13207" xr3:uid="{200F521B-5EA6-45F1-A64D-9B2F06A50792}" name="Column13207"/>
    <tableColumn id="13208" xr3:uid="{269E54FC-5DE0-4B9C-8B1A-2C84488D0949}" name="Column13208"/>
    <tableColumn id="13209" xr3:uid="{84CC9E9D-723E-461E-8B2B-F46F563FD397}" name="Column13209"/>
    <tableColumn id="13210" xr3:uid="{33B91F5F-046C-42B9-80C4-5FA5A6BB5D41}" name="Column13210"/>
    <tableColumn id="13211" xr3:uid="{C72D3F13-F9B8-4761-A93A-5D8800A663AD}" name="Column13211"/>
    <tableColumn id="13212" xr3:uid="{8F0D1F54-A9A9-4D23-B6F6-E6C676F8C421}" name="Column13212"/>
    <tableColumn id="13213" xr3:uid="{55870764-DC22-41CF-8C69-C4DF230D9482}" name="Column13213"/>
    <tableColumn id="13214" xr3:uid="{52FB14FB-9963-4768-BD8B-904C79D71CE8}" name="Column13214"/>
    <tableColumn id="13215" xr3:uid="{F054CB4C-0452-4FEE-8C5D-0FECD6A93D65}" name="Column13215"/>
    <tableColumn id="13216" xr3:uid="{A8C2F1EC-4D87-487C-ABE0-99253E18DD7E}" name="Column13216"/>
    <tableColumn id="13217" xr3:uid="{CF568AAC-6B0D-4422-9148-621E11BFFDF5}" name="Column13217"/>
    <tableColumn id="13218" xr3:uid="{1D9DB45F-D942-4467-B5FF-23574664CA65}" name="Column13218"/>
    <tableColumn id="13219" xr3:uid="{2D4DF2C1-0FDD-43F7-8458-FA7A0C6A3B21}" name="Column13219"/>
    <tableColumn id="13220" xr3:uid="{9E36EFB8-A9BE-480A-AD30-AFCEE5F95ED7}" name="Column13220"/>
    <tableColumn id="13221" xr3:uid="{3447C242-2AFE-474B-8804-C1232462B478}" name="Column13221"/>
    <tableColumn id="13222" xr3:uid="{6DCB045B-1926-4D9C-BDB2-2C3858F4937B}" name="Column13222"/>
    <tableColumn id="13223" xr3:uid="{BB17057C-D42D-4C08-B36A-82F5F90F87EF}" name="Column13223"/>
    <tableColumn id="13224" xr3:uid="{9D36FD0E-7EFE-4257-92E5-EAE995A9C041}" name="Column13224"/>
    <tableColumn id="13225" xr3:uid="{52258057-08D9-41AE-86E0-1C1C6298439E}" name="Column13225"/>
    <tableColumn id="13226" xr3:uid="{4485FF07-4297-48FC-993B-3B3299EDB8E1}" name="Column13226"/>
    <tableColumn id="13227" xr3:uid="{A89AD674-B294-4B68-85EB-56BF84BC4022}" name="Column13227"/>
    <tableColumn id="13228" xr3:uid="{DE708E1D-2EA4-4223-BB43-4B0150AB741F}" name="Column13228"/>
    <tableColumn id="13229" xr3:uid="{A65A48C3-445D-412D-A3F3-55319AC91BA3}" name="Column13229"/>
    <tableColumn id="13230" xr3:uid="{B6F5CB27-C418-4542-9158-775AADDCC972}" name="Column13230"/>
    <tableColumn id="13231" xr3:uid="{8E04BB98-D9EC-457D-91B7-BEB308E52634}" name="Column13231"/>
    <tableColumn id="13232" xr3:uid="{3AFBEA8B-A11D-4F31-B666-CCB3283B8FDC}" name="Column13232"/>
    <tableColumn id="13233" xr3:uid="{5B63B1A0-F603-48F3-9244-E1976D7A5687}" name="Column13233"/>
    <tableColumn id="13234" xr3:uid="{291E6B87-6DB1-47A9-BCDC-C3416D896E4F}" name="Column13234"/>
    <tableColumn id="13235" xr3:uid="{D1F16B9A-1342-42FA-9623-76433998ED6F}" name="Column13235"/>
    <tableColumn id="13236" xr3:uid="{1B3BD4FC-96D8-466C-B1B6-5FED95FAB921}" name="Column13236"/>
    <tableColumn id="13237" xr3:uid="{3621EDB5-C3A2-42DD-94A3-0D25AF91BBA5}" name="Column13237"/>
    <tableColumn id="13238" xr3:uid="{167E0BEB-5510-4661-A4A0-2CFF92AD1D76}" name="Column13238"/>
    <tableColumn id="13239" xr3:uid="{9A5D9408-6162-43FB-8101-107F23FECC94}" name="Column13239"/>
    <tableColumn id="13240" xr3:uid="{40C5D229-E415-4BB3-B6DE-B8051160CA44}" name="Column13240"/>
    <tableColumn id="13241" xr3:uid="{6435DDEB-3389-4376-BE7F-88D426562E09}" name="Column13241"/>
    <tableColumn id="13242" xr3:uid="{3334CB84-5BD1-4993-A6F9-86D5A2A8A3DE}" name="Column13242"/>
    <tableColumn id="13243" xr3:uid="{D6489427-E540-4F9A-A75E-7F0D8849C04C}" name="Column13243"/>
    <tableColumn id="13244" xr3:uid="{DF8D8564-7932-4069-A90D-87A5A82A1554}" name="Column13244"/>
    <tableColumn id="13245" xr3:uid="{B857D2E4-2143-495E-B692-9EEA5EA75AF1}" name="Column13245"/>
    <tableColumn id="13246" xr3:uid="{69512E13-3E4C-431A-99EE-D79D2EE4667F}" name="Column13246"/>
    <tableColumn id="13247" xr3:uid="{71D6F3E6-E915-4FEC-9559-E478F36C1527}" name="Column13247"/>
    <tableColumn id="13248" xr3:uid="{62FC1CF5-D096-4097-B8B3-829BC0DFB7AB}" name="Column13248"/>
    <tableColumn id="13249" xr3:uid="{C65CB70E-31B3-4C32-8681-094E917967C4}" name="Column13249"/>
    <tableColumn id="13250" xr3:uid="{50E8AA5F-B31E-48F3-9FE4-C085B85D2C97}" name="Column13250"/>
    <tableColumn id="13251" xr3:uid="{A67CB862-A16C-4BBC-BAF6-47FC70FE8725}" name="Column13251"/>
    <tableColumn id="13252" xr3:uid="{CF772428-2280-4858-9BF1-5ED3200BC7E1}" name="Column13252"/>
    <tableColumn id="13253" xr3:uid="{6422CE2B-C2F3-444D-A5C2-4711A48A5A19}" name="Column13253"/>
    <tableColumn id="13254" xr3:uid="{970DDA0F-61F7-415D-A03A-EB70652F83E8}" name="Column13254"/>
    <tableColumn id="13255" xr3:uid="{70FBABEA-C815-4096-AE99-5FC3CD838EC3}" name="Column13255"/>
    <tableColumn id="13256" xr3:uid="{2046ED65-3706-4CAC-8507-0538EF90E6A3}" name="Column13256"/>
    <tableColumn id="13257" xr3:uid="{4BB91E4D-899C-41D0-8E84-7928945F37A9}" name="Column13257"/>
    <tableColumn id="13258" xr3:uid="{31794BCA-1477-4F98-BF69-4D62D95761E8}" name="Column13258"/>
    <tableColumn id="13259" xr3:uid="{18A5DE40-4444-4838-98CD-7CFCF6F553A4}" name="Column13259"/>
    <tableColumn id="13260" xr3:uid="{18D495FD-53C4-4182-B8AC-6EAD3485EF04}" name="Column13260"/>
    <tableColumn id="13261" xr3:uid="{61002D78-328A-4535-9FAE-788FFEF1EE85}" name="Column13261"/>
    <tableColumn id="13262" xr3:uid="{711BE807-00EB-4D0E-A246-25693FD2C7DE}" name="Column13262"/>
    <tableColumn id="13263" xr3:uid="{D9524C2C-36C7-4EDA-8B44-F42E72A6A13D}" name="Column13263"/>
    <tableColumn id="13264" xr3:uid="{A087ABC4-2BD0-449D-AB51-A8DD04394586}" name="Column13264"/>
    <tableColumn id="13265" xr3:uid="{CCA8BD31-5B1C-4D68-949A-05D490C7F444}" name="Column13265"/>
    <tableColumn id="13266" xr3:uid="{FFD5F34A-B829-4C37-BB1E-E9F64FE98F12}" name="Column13266"/>
    <tableColumn id="13267" xr3:uid="{73BEB8CB-A47F-4753-BA30-5319CA424339}" name="Column13267"/>
    <tableColumn id="13268" xr3:uid="{5C16BAFC-E87D-4CEF-B39A-9F9B1AE112F4}" name="Column13268"/>
    <tableColumn id="13269" xr3:uid="{2DFAE78A-95D2-4A6A-9CA9-F4DB2DF3B2C3}" name="Column13269"/>
    <tableColumn id="13270" xr3:uid="{70831906-7958-42DF-81F0-504AD7409F5E}" name="Column13270"/>
    <tableColumn id="13271" xr3:uid="{8D45B229-9301-42E6-866A-2BBC4963EB0F}" name="Column13271"/>
    <tableColumn id="13272" xr3:uid="{41F6D977-490A-4F6B-8824-5A3D977C6242}" name="Column13272"/>
    <tableColumn id="13273" xr3:uid="{991C2B7D-3ECE-4699-A886-63DFA1B51ADE}" name="Column13273"/>
    <tableColumn id="13274" xr3:uid="{A619366B-82D8-4633-9E98-B12D1DF5ADAA}" name="Column13274"/>
    <tableColumn id="13275" xr3:uid="{650EF669-BACE-4493-8582-5E22008D08C2}" name="Column13275"/>
    <tableColumn id="13276" xr3:uid="{A4FB1091-47B3-456B-B08D-63CA6B49F3C5}" name="Column13276"/>
    <tableColumn id="13277" xr3:uid="{D2F4072B-2FC5-4336-AB0A-5011BAB07A20}" name="Column13277"/>
    <tableColumn id="13278" xr3:uid="{98E92DB0-0850-4DA3-AC74-3E41DD3BEFC9}" name="Column13278"/>
    <tableColumn id="13279" xr3:uid="{4DE05189-2C31-46D5-9068-8E8F1086BAAD}" name="Column13279"/>
    <tableColumn id="13280" xr3:uid="{C4B3D6CA-F96D-4905-843E-031904D96A6E}" name="Column13280"/>
    <tableColumn id="13281" xr3:uid="{96A8980C-ECE7-4A2B-8A57-824CA7F05FA1}" name="Column13281"/>
    <tableColumn id="13282" xr3:uid="{DCAC415E-9E13-4F5B-BBFD-B694FB5E3BB9}" name="Column13282"/>
    <tableColumn id="13283" xr3:uid="{C2E9CD9A-6655-4110-A699-5BF67EFA9893}" name="Column13283"/>
    <tableColumn id="13284" xr3:uid="{5C997756-90C8-4901-AA81-9C4141CEA3F3}" name="Column13284"/>
    <tableColumn id="13285" xr3:uid="{F734286B-EF82-45BC-9F4D-D4CB30DD32BD}" name="Column13285"/>
    <tableColumn id="13286" xr3:uid="{84FAE6A7-231A-4C79-A8A7-9E85FB7F4450}" name="Column13286"/>
    <tableColumn id="13287" xr3:uid="{ECA999AE-C8A5-4053-B6FE-0F1AD9C5E89C}" name="Column13287"/>
    <tableColumn id="13288" xr3:uid="{146BCD86-756E-4116-8E16-C678905DD16E}" name="Column13288"/>
    <tableColumn id="13289" xr3:uid="{C9887D5D-83D7-44FD-9038-459874EDBE91}" name="Column13289"/>
    <tableColumn id="13290" xr3:uid="{64D8A368-91E7-4C3E-8BB1-23CABC7E590C}" name="Column13290"/>
    <tableColumn id="13291" xr3:uid="{46531CB1-89F8-440E-AB76-6250F5B61613}" name="Column13291"/>
    <tableColumn id="13292" xr3:uid="{982DC10D-3BBF-4383-8D6B-C0D59878E470}" name="Column13292"/>
    <tableColumn id="13293" xr3:uid="{9067A50C-DCD3-4F86-B0FE-68F49B8A8988}" name="Column13293"/>
    <tableColumn id="13294" xr3:uid="{575351BC-B14A-469E-B871-D235E22EB571}" name="Column13294"/>
    <tableColumn id="13295" xr3:uid="{C95313B6-6BE6-4A06-83B5-70A6F0EEADED}" name="Column13295"/>
    <tableColumn id="13296" xr3:uid="{9CDCF034-008D-47F3-8F64-40D38C03CAFA}" name="Column13296"/>
    <tableColumn id="13297" xr3:uid="{D96A55E9-8AF8-45E6-8F73-286594B8BEA8}" name="Column13297"/>
    <tableColumn id="13298" xr3:uid="{6B622863-317C-4653-8AC7-0FB8C486EA3A}" name="Column13298"/>
    <tableColumn id="13299" xr3:uid="{DFA28ED6-5E51-4654-BC1C-EF183A5F7AE5}" name="Column13299"/>
    <tableColumn id="13300" xr3:uid="{E255024F-1860-43B4-8E8C-378B7543972D}" name="Column13300"/>
    <tableColumn id="13301" xr3:uid="{7343A563-4B8D-4CF4-BB52-B4AD6C02C305}" name="Column13301"/>
    <tableColumn id="13302" xr3:uid="{50366C57-F88C-4A83-B916-69C699951D06}" name="Column13302"/>
    <tableColumn id="13303" xr3:uid="{6FA16A5E-B252-4F10-9A37-B9CA21F4C96E}" name="Column13303"/>
    <tableColumn id="13304" xr3:uid="{FEA52490-A92A-48DC-83EA-B9E5E4C2501E}" name="Column13304"/>
    <tableColumn id="13305" xr3:uid="{15B1C458-14CF-48AF-98EA-9BA45CC90195}" name="Column13305"/>
    <tableColumn id="13306" xr3:uid="{3293BA97-E586-4FEA-AC11-0266544C3E01}" name="Column13306"/>
    <tableColumn id="13307" xr3:uid="{B508483C-7584-482A-912F-E9C31FC6EB40}" name="Column13307"/>
    <tableColumn id="13308" xr3:uid="{84EB0FC2-EACD-4F73-918F-44ACF7213E2A}" name="Column13308"/>
    <tableColumn id="13309" xr3:uid="{2FFFD170-5864-40B5-9F74-D1CE526B1EE7}" name="Column13309"/>
    <tableColumn id="13310" xr3:uid="{92C21A76-2067-4938-9F47-EAE7270F18F3}" name="Column13310"/>
    <tableColumn id="13311" xr3:uid="{B7453514-3633-4F9A-8FF1-5E861EEC291F}" name="Column13311"/>
    <tableColumn id="13312" xr3:uid="{D0DE5DE5-1511-42EB-AC0D-CE4651DCFACF}" name="Column13312"/>
    <tableColumn id="13313" xr3:uid="{04C8A597-5617-459B-A08F-6C5F14E50835}" name="Column13313"/>
    <tableColumn id="13314" xr3:uid="{3586E796-1DB8-4CDA-A0CD-4239F4CFD921}" name="Column13314"/>
    <tableColumn id="13315" xr3:uid="{59ADD56C-74A8-40D9-BCD3-74FC95F00AC3}" name="Column13315"/>
    <tableColumn id="13316" xr3:uid="{E5CA2B34-E08B-4A27-B6A7-5C8FA501CD22}" name="Column13316"/>
    <tableColumn id="13317" xr3:uid="{52C650B4-8C39-4118-83CB-6F6469F97072}" name="Column13317"/>
    <tableColumn id="13318" xr3:uid="{C502EE32-AFA9-43E9-8B3D-FEAA351228B9}" name="Column13318"/>
    <tableColumn id="13319" xr3:uid="{6B5E5EE0-870B-4730-96B2-19040E3EA1F3}" name="Column13319"/>
    <tableColumn id="13320" xr3:uid="{C6793220-CBF5-436F-90BC-9B4A131C3A92}" name="Column13320"/>
    <tableColumn id="13321" xr3:uid="{6F884AF3-B5CB-4AE5-9D76-1018B7254D1A}" name="Column13321"/>
    <tableColumn id="13322" xr3:uid="{9E56244D-176E-4DD1-BD69-AD5DAC38994A}" name="Column13322"/>
    <tableColumn id="13323" xr3:uid="{A8B70B69-4D64-4D9E-BE05-74669167D238}" name="Column13323"/>
    <tableColumn id="13324" xr3:uid="{F6718F6E-3FCA-478D-A739-B9086049C656}" name="Column13324"/>
    <tableColumn id="13325" xr3:uid="{1D7B4C10-DC22-4D30-A45C-7C6E06C7DBB9}" name="Column13325"/>
    <tableColumn id="13326" xr3:uid="{ADCCBFCE-F7D3-403A-8E2E-05C6FE56B2FE}" name="Column13326"/>
    <tableColumn id="13327" xr3:uid="{EC383134-D10F-423C-A0D5-68B27653A5B9}" name="Column13327"/>
    <tableColumn id="13328" xr3:uid="{D41BD76D-94C3-442B-A388-87CDDFF24EA4}" name="Column13328"/>
    <tableColumn id="13329" xr3:uid="{EB8CE696-F3B6-42D7-BDE4-46D390FC564D}" name="Column13329"/>
    <tableColumn id="13330" xr3:uid="{79F9476E-D32A-4075-8658-DD4DE33271A8}" name="Column13330"/>
    <tableColumn id="13331" xr3:uid="{6E2B87C6-EB6E-4910-A218-EA122DF73CE6}" name="Column13331"/>
    <tableColumn id="13332" xr3:uid="{1236B07E-3085-498F-89C3-4A806C735291}" name="Column13332"/>
    <tableColumn id="13333" xr3:uid="{F456754D-1C2B-44B9-AB9C-0FF63CC1B95B}" name="Column13333"/>
    <tableColumn id="13334" xr3:uid="{05ACD3A8-0CD3-45CC-98DB-F611CEFF4766}" name="Column13334"/>
    <tableColumn id="13335" xr3:uid="{E08E0ABB-6F6D-4BBC-9CB5-74EE93A7CCC2}" name="Column13335"/>
    <tableColumn id="13336" xr3:uid="{7D4931E5-AD8C-49BB-8290-1EB9AD1B8172}" name="Column13336"/>
    <tableColumn id="13337" xr3:uid="{3668004F-C29F-4239-BC37-74557FF92446}" name="Column13337"/>
    <tableColumn id="13338" xr3:uid="{26AA2375-7EA5-4640-8114-0BC3AFC8DE55}" name="Column13338"/>
    <tableColumn id="13339" xr3:uid="{C5FAAD7B-DFFE-48A8-B8BC-9775A28BBEA4}" name="Column13339"/>
    <tableColumn id="13340" xr3:uid="{92F9D441-0448-4BD9-9457-C7582CCCE0A3}" name="Column13340"/>
    <tableColumn id="13341" xr3:uid="{22FE424B-6B22-438F-969E-43D26180527B}" name="Column13341"/>
    <tableColumn id="13342" xr3:uid="{320C4A2A-B2C2-477B-9B6C-99F93A6721F5}" name="Column13342"/>
    <tableColumn id="13343" xr3:uid="{1187E251-1A2D-4F9A-8AD8-80B24A9CD03A}" name="Column13343"/>
    <tableColumn id="13344" xr3:uid="{4C5EF9EB-5432-458C-8A8F-8F8CBC8B8A7A}" name="Column13344"/>
    <tableColumn id="13345" xr3:uid="{443BF84A-E96A-43B3-AE09-CD71217E1FCE}" name="Column13345"/>
    <tableColumn id="13346" xr3:uid="{38CE7267-1F18-4AD5-8F9F-1CE61319BDDB}" name="Column13346"/>
    <tableColumn id="13347" xr3:uid="{EB5B9114-62B0-4D5F-B62F-9252EC6A9A98}" name="Column13347"/>
    <tableColumn id="13348" xr3:uid="{923A4123-4661-4C26-8BB0-2B2E3261F0AB}" name="Column13348"/>
    <tableColumn id="13349" xr3:uid="{22DE5E3D-778B-4A7D-B17C-396778F6AB86}" name="Column13349"/>
    <tableColumn id="13350" xr3:uid="{3D645B56-CD2B-4062-8785-BB4DD5618F1E}" name="Column13350"/>
    <tableColumn id="13351" xr3:uid="{3CE7D9C1-EF20-415C-837B-C46EC506CC80}" name="Column13351"/>
    <tableColumn id="13352" xr3:uid="{DB043F4B-4CE0-460C-BDE0-719618F60239}" name="Column13352"/>
    <tableColumn id="13353" xr3:uid="{8A8722D1-AB43-4695-84A1-4464764E2F31}" name="Column13353"/>
    <tableColumn id="13354" xr3:uid="{09868B8A-299B-4C9E-813B-185895DF012B}" name="Column13354"/>
    <tableColumn id="13355" xr3:uid="{E3A694FE-6F65-41C7-962C-3EC31B2264AC}" name="Column13355"/>
    <tableColumn id="13356" xr3:uid="{802AE802-E121-4FA7-B3D0-381AFAA34F0F}" name="Column13356"/>
    <tableColumn id="13357" xr3:uid="{4801BD6B-51EE-4452-9A30-403F8823479C}" name="Column13357"/>
    <tableColumn id="13358" xr3:uid="{2F1FFC04-8A3F-4C2E-9E36-EF866C406081}" name="Column13358"/>
    <tableColumn id="13359" xr3:uid="{005D40DE-7B85-41D5-9014-9B6C2A91DF29}" name="Column13359"/>
    <tableColumn id="13360" xr3:uid="{EFD4E15A-E6B7-4D3D-8454-08B821984069}" name="Column13360"/>
    <tableColumn id="13361" xr3:uid="{F38B4F5E-32AC-4F96-9BD4-78B1952B0D43}" name="Column13361"/>
    <tableColumn id="13362" xr3:uid="{52565D37-0A3D-4259-A20E-B88DC174A3AF}" name="Column13362"/>
    <tableColumn id="13363" xr3:uid="{15FFE60C-C3AB-456E-88CE-70E6A66F359C}" name="Column13363"/>
    <tableColumn id="13364" xr3:uid="{D47AAD7C-8E5F-4E3C-BF90-A3B020E317EC}" name="Column13364"/>
    <tableColumn id="13365" xr3:uid="{0FE19E3E-E0CD-45B7-9917-05AFEF582AA8}" name="Column13365"/>
    <tableColumn id="13366" xr3:uid="{1CCC5C9B-2EF0-429D-85DF-3ED0975F746A}" name="Column13366"/>
    <tableColumn id="13367" xr3:uid="{7BB35C86-7766-45E5-ACA9-955D4DA7FCAE}" name="Column13367"/>
    <tableColumn id="13368" xr3:uid="{D4995F05-1506-4E84-8204-8355DE2B9C2F}" name="Column13368"/>
    <tableColumn id="13369" xr3:uid="{A4127B8D-F9E9-4C0A-8C5B-95F0A37C3298}" name="Column13369"/>
    <tableColumn id="13370" xr3:uid="{23955EF0-2E67-41F5-B6C0-6E1119380449}" name="Column13370"/>
    <tableColumn id="13371" xr3:uid="{06A0F9EC-42ED-4756-B8D2-7F6B119B1A89}" name="Column13371"/>
    <tableColumn id="13372" xr3:uid="{5D77D0A5-3C3F-45D9-BD72-A8929C7EA8A4}" name="Column13372"/>
    <tableColumn id="13373" xr3:uid="{4DA1E30B-D78E-44D4-92FC-525EA7578A01}" name="Column13373"/>
    <tableColumn id="13374" xr3:uid="{018FDB59-56AB-46F0-9C85-9E3129BE0C13}" name="Column13374"/>
    <tableColumn id="13375" xr3:uid="{C16BE1C0-9492-4556-A31A-5E5EFCDF4238}" name="Column13375"/>
    <tableColumn id="13376" xr3:uid="{7162A1EE-5E83-4CD2-87A8-EAE7F05DA693}" name="Column13376"/>
    <tableColumn id="13377" xr3:uid="{D849973D-D196-48B3-BAFF-ABA985A5F755}" name="Column13377"/>
    <tableColumn id="13378" xr3:uid="{FF5A3590-25B6-43CC-B8F4-1F4F3CE25A70}" name="Column13378"/>
    <tableColumn id="13379" xr3:uid="{42781564-8A6A-428C-AF5E-54FC13105099}" name="Column13379"/>
    <tableColumn id="13380" xr3:uid="{DF446C50-0134-4825-8BF9-425B22752042}" name="Column13380"/>
    <tableColumn id="13381" xr3:uid="{833B18D1-94FA-401C-B0E8-E7B0E49FDC90}" name="Column13381"/>
    <tableColumn id="13382" xr3:uid="{32E4BB7C-27C9-4965-8404-B482A4CAAC12}" name="Column13382"/>
    <tableColumn id="13383" xr3:uid="{7343E557-320B-4140-84F5-A455D9889E75}" name="Column13383"/>
    <tableColumn id="13384" xr3:uid="{7505B697-4628-44A4-804C-68F192659199}" name="Column13384"/>
    <tableColumn id="13385" xr3:uid="{36CF88C9-9DE8-4050-A4A1-0D608B44EDC8}" name="Column13385"/>
    <tableColumn id="13386" xr3:uid="{C39974D8-6D6C-4104-88C0-63C345752515}" name="Column13386"/>
    <tableColumn id="13387" xr3:uid="{C866338B-18B4-4D9A-90B7-71B018C44441}" name="Column13387"/>
    <tableColumn id="13388" xr3:uid="{9A082934-5539-447F-B4F5-D9857D5A18C8}" name="Column13388"/>
    <tableColumn id="13389" xr3:uid="{D079FA4D-2AAE-4797-AAF9-CCB4CE9ABB62}" name="Column13389"/>
    <tableColumn id="13390" xr3:uid="{8E265FF2-A5FE-4AEC-ABA6-EA5480B97FCF}" name="Column13390"/>
    <tableColumn id="13391" xr3:uid="{E2BEE57F-E81D-4201-9F43-6608157D2F44}" name="Column13391"/>
    <tableColumn id="13392" xr3:uid="{FD7D01BF-BF43-4FF1-9DB6-BC107C207257}" name="Column13392"/>
    <tableColumn id="13393" xr3:uid="{9C6C6F9E-0190-4A7E-A096-F66EB1D0338D}" name="Column13393"/>
    <tableColumn id="13394" xr3:uid="{76336E06-CDC4-4153-AC31-7E84405871E4}" name="Column13394"/>
    <tableColumn id="13395" xr3:uid="{E9951C5F-F43A-4734-9E76-9D82F4BDA299}" name="Column13395"/>
    <tableColumn id="13396" xr3:uid="{96DF9814-9629-42DA-A049-F6A00702178B}" name="Column13396"/>
    <tableColumn id="13397" xr3:uid="{2968B5B5-0A25-43FF-808F-71AB5196703A}" name="Column13397"/>
    <tableColumn id="13398" xr3:uid="{248F03CC-F45B-44FD-AE1F-6DC25E3D250D}" name="Column13398"/>
    <tableColumn id="13399" xr3:uid="{EBEC7128-404F-46AE-A857-3B6F9D77994D}" name="Column13399"/>
    <tableColumn id="13400" xr3:uid="{14A88ADB-7B3A-42CA-A160-C073D4D6548E}" name="Column13400"/>
    <tableColumn id="13401" xr3:uid="{41068502-673B-4567-9926-D1B59D00CA88}" name="Column13401"/>
    <tableColumn id="13402" xr3:uid="{44A1C09D-B99B-48E4-9ADF-E162EE535B93}" name="Column13402"/>
    <tableColumn id="13403" xr3:uid="{10E6BC03-592A-46F4-80BB-BC9BFAFDD034}" name="Column13403"/>
    <tableColumn id="13404" xr3:uid="{03393EF0-11D3-4D1D-99A3-0A28F17D652D}" name="Column13404"/>
    <tableColumn id="13405" xr3:uid="{269509D7-7C1A-4C5F-9366-62B96738EE10}" name="Column13405"/>
    <tableColumn id="13406" xr3:uid="{B9950E48-AA12-4B83-9783-2AF6CE493C28}" name="Column13406"/>
    <tableColumn id="13407" xr3:uid="{32FF6DD2-AE63-4B64-ABA8-50EF18EE3E37}" name="Column13407"/>
    <tableColumn id="13408" xr3:uid="{6D4B4512-82C8-49B1-B549-6CF0D98D7823}" name="Column13408"/>
    <tableColumn id="13409" xr3:uid="{127A3C0A-15BD-4699-A09B-CD37DB77B6BC}" name="Column13409"/>
    <tableColumn id="13410" xr3:uid="{2EFD9290-F4C7-4290-836A-6CD3CCEB1CA3}" name="Column13410"/>
    <tableColumn id="13411" xr3:uid="{6F2FAFDA-901A-4754-8622-70761115EB2E}" name="Column13411"/>
    <tableColumn id="13412" xr3:uid="{6DBB08D4-9B8A-43AD-9EF0-DEB858CC5AA9}" name="Column13412"/>
    <tableColumn id="13413" xr3:uid="{6E6338DC-8C11-496F-BD1B-FBE4F7EC58DE}" name="Column13413"/>
    <tableColumn id="13414" xr3:uid="{83C28A45-CFAE-4611-A2EE-D4856FAD4FCC}" name="Column13414"/>
    <tableColumn id="13415" xr3:uid="{77DFF0BE-B8EF-424A-A081-A87179216C4C}" name="Column13415"/>
    <tableColumn id="13416" xr3:uid="{E64F87EE-9F40-41B9-950B-2C58C12684F6}" name="Column13416"/>
    <tableColumn id="13417" xr3:uid="{1A2FF6C2-9DEC-4C4C-9D1F-AC1ABC8D0751}" name="Column13417"/>
    <tableColumn id="13418" xr3:uid="{A8583B3B-8D9D-4B22-844C-E6BF941F85B0}" name="Column13418"/>
    <tableColumn id="13419" xr3:uid="{A11CE9ED-C7F3-42B4-AFD5-D5D235F5D608}" name="Column13419"/>
    <tableColumn id="13420" xr3:uid="{A3A8148E-F3E9-4B56-BEAF-EAE5BFA81FCD}" name="Column13420"/>
    <tableColumn id="13421" xr3:uid="{2165AE45-7803-463A-8E6F-8BC3A968D360}" name="Column13421"/>
    <tableColumn id="13422" xr3:uid="{56CD1029-5355-4213-AAF7-923AE2BA4BEE}" name="Column13422"/>
    <tableColumn id="13423" xr3:uid="{52F8628B-A927-4A60-BD53-EE76EB052095}" name="Column13423"/>
    <tableColumn id="13424" xr3:uid="{E1A82681-E4AB-45EA-B08F-9F9154F2DD7B}" name="Column13424"/>
    <tableColumn id="13425" xr3:uid="{4A5141A8-AD7F-4542-AAAA-7290260CE176}" name="Column13425"/>
    <tableColumn id="13426" xr3:uid="{E3744CAB-A188-48D6-9868-112E297A9188}" name="Column13426"/>
    <tableColumn id="13427" xr3:uid="{4DD16017-8C9C-4C3B-93D3-0F5719C7543D}" name="Column13427"/>
    <tableColumn id="13428" xr3:uid="{B1111404-A705-41FF-AA4C-0EBDCDDED136}" name="Column13428"/>
    <tableColumn id="13429" xr3:uid="{29DB40DF-A6AE-40E4-89B9-B09B9D00E1BF}" name="Column13429"/>
    <tableColumn id="13430" xr3:uid="{3369C76C-3EEA-41DB-ADDF-0A1C0C0B9B00}" name="Column13430"/>
    <tableColumn id="13431" xr3:uid="{BA698D33-C33E-4019-AF77-0C5B24DFE725}" name="Column13431"/>
    <tableColumn id="13432" xr3:uid="{2EC4AC00-CE42-4FB5-BA39-A4639A51E2E2}" name="Column13432"/>
    <tableColumn id="13433" xr3:uid="{28229B5A-5127-4450-9EA5-E9822BAC3C3E}" name="Column13433"/>
    <tableColumn id="13434" xr3:uid="{8A07D75E-A49F-4EDB-AA74-2FA1B72A5EB7}" name="Column13434"/>
    <tableColumn id="13435" xr3:uid="{15984FA0-B78E-4220-9057-C13A290FC5CC}" name="Column13435"/>
    <tableColumn id="13436" xr3:uid="{40B597D8-97B0-4B6B-9E32-009E146A2C17}" name="Column13436"/>
    <tableColumn id="13437" xr3:uid="{66014642-FFBA-4424-8256-1B831CFC7688}" name="Column13437"/>
    <tableColumn id="13438" xr3:uid="{5B114155-42DA-4274-BC3D-AFDF0C4A4D08}" name="Column13438"/>
    <tableColumn id="13439" xr3:uid="{B461BD9A-9E2F-4AFE-9767-182F8D5A4C89}" name="Column13439"/>
    <tableColumn id="13440" xr3:uid="{C7A73502-5CDC-4CF5-98A7-46473597E725}" name="Column13440"/>
    <tableColumn id="13441" xr3:uid="{CA5D30A9-8E0E-4F1E-BC2F-B57672E7E8EF}" name="Column13441"/>
    <tableColumn id="13442" xr3:uid="{2E49DFAE-44F5-464B-97C0-F2BE35D79CED}" name="Column13442"/>
    <tableColumn id="13443" xr3:uid="{1ABCA3B1-B9BE-4CAD-8CF4-53679005BFC0}" name="Column13443"/>
    <tableColumn id="13444" xr3:uid="{C7288829-29FF-49FE-9D11-A7F1CF1F9EF0}" name="Column13444"/>
    <tableColumn id="13445" xr3:uid="{23530FEE-2631-44F0-BD9B-1EF27FEC89AC}" name="Column13445"/>
    <tableColumn id="13446" xr3:uid="{707D2476-9A65-45E1-9D7C-72A28A992448}" name="Column13446"/>
    <tableColumn id="13447" xr3:uid="{18598841-AD87-402C-91B6-C8C1F6B7CAD7}" name="Column13447"/>
    <tableColumn id="13448" xr3:uid="{AA81D759-B27B-4FB3-88CB-F7DBDE4BD011}" name="Column13448"/>
    <tableColumn id="13449" xr3:uid="{FA687F5D-4CE0-4CE8-A2C0-878201004327}" name="Column13449"/>
    <tableColumn id="13450" xr3:uid="{26181DF9-0B58-4626-B16B-915A7F16AABB}" name="Column13450"/>
    <tableColumn id="13451" xr3:uid="{30B651A7-326A-45F0-B1FC-910FF54BB984}" name="Column13451"/>
    <tableColumn id="13452" xr3:uid="{2BF80855-60F6-4B95-943C-97A004DFACEC}" name="Column13452"/>
    <tableColumn id="13453" xr3:uid="{55BDAF99-3DFB-49C8-8835-AEDA14E96CCB}" name="Column13453"/>
    <tableColumn id="13454" xr3:uid="{EB64380E-512D-406B-9D09-89548F7DF8C4}" name="Column13454"/>
    <tableColumn id="13455" xr3:uid="{0F0F51C4-DC57-4E5C-B3A5-17FDA65ED5EA}" name="Column13455"/>
    <tableColumn id="13456" xr3:uid="{06D58A51-9235-4D88-93E5-9575CE92C55E}" name="Column13456"/>
    <tableColumn id="13457" xr3:uid="{9FF7D00A-8940-4059-96AF-D423CA934F57}" name="Column13457"/>
    <tableColumn id="13458" xr3:uid="{D2ECCDCA-E012-4107-83AD-29D8F2D9C404}" name="Column13458"/>
    <tableColumn id="13459" xr3:uid="{9A68BB62-17A7-48B0-82C9-003E4F8E2D14}" name="Column13459"/>
    <tableColumn id="13460" xr3:uid="{BBA0FE75-C424-4347-87EB-A5027B8C1893}" name="Column13460"/>
    <tableColumn id="13461" xr3:uid="{101C785F-A744-4019-8E46-315922358D4A}" name="Column13461"/>
    <tableColumn id="13462" xr3:uid="{346E493E-C531-4AB2-8130-45A8E28D82BD}" name="Column13462"/>
    <tableColumn id="13463" xr3:uid="{F3EBC031-8A02-4C64-8673-2257930F9041}" name="Column13463"/>
    <tableColumn id="13464" xr3:uid="{59FA48A5-4827-4B6D-AEE7-AE8BB8B01AD8}" name="Column13464"/>
    <tableColumn id="13465" xr3:uid="{D0237D11-340E-4D32-9D65-3E00494E1F10}" name="Column13465"/>
    <tableColumn id="13466" xr3:uid="{BA0BCC47-3F67-46C0-BE59-41C4105CD2B8}" name="Column13466"/>
    <tableColumn id="13467" xr3:uid="{C5555861-3DAF-4A03-A4A6-DD09DD546904}" name="Column13467"/>
    <tableColumn id="13468" xr3:uid="{A0675293-195D-4A12-A418-A5CA4F4306CA}" name="Column13468"/>
    <tableColumn id="13469" xr3:uid="{7557F4A6-B809-4D3F-870F-A3DA1892519E}" name="Column13469"/>
    <tableColumn id="13470" xr3:uid="{B96A9097-B524-4F6D-BED0-371D9E246A80}" name="Column13470"/>
    <tableColumn id="13471" xr3:uid="{5D654920-4168-4D37-A36C-6DA1EFE109F7}" name="Column13471"/>
    <tableColumn id="13472" xr3:uid="{CED6B535-CF5A-41D5-988D-4135337D5052}" name="Column13472"/>
    <tableColumn id="13473" xr3:uid="{65CE8FF1-4BC1-4E00-A2A3-406857A875C6}" name="Column13473"/>
    <tableColumn id="13474" xr3:uid="{EAC4A27D-9380-4D65-B9BB-B376CF437E8C}" name="Column13474"/>
    <tableColumn id="13475" xr3:uid="{D50A45A9-B129-4DF2-8D94-00238410F792}" name="Column13475"/>
    <tableColumn id="13476" xr3:uid="{49D08168-F777-48D6-A85F-38D6E6A0CF3C}" name="Column13476"/>
    <tableColumn id="13477" xr3:uid="{209BD789-B00D-4027-AE8F-E2B63E11114E}" name="Column13477"/>
    <tableColumn id="13478" xr3:uid="{B0388F23-7B11-4A57-8102-0632A626F32B}" name="Column13478"/>
    <tableColumn id="13479" xr3:uid="{E8E18858-F1E5-427B-9EF5-1E18090EDF0D}" name="Column13479"/>
    <tableColumn id="13480" xr3:uid="{5CBC8E52-CCA1-4E97-850C-D3DCFA3D53EE}" name="Column13480"/>
    <tableColumn id="13481" xr3:uid="{F8F32EC2-ED9A-4339-ACB3-823D06CAFE54}" name="Column13481"/>
    <tableColumn id="13482" xr3:uid="{113A1DCD-79E1-469B-A8D9-1B88EA2429BF}" name="Column13482"/>
    <tableColumn id="13483" xr3:uid="{C1920732-AA83-460C-9BD9-9E2DEBBA0666}" name="Column13483"/>
    <tableColumn id="13484" xr3:uid="{2E21646C-77E7-44DD-9152-0DEC9F52FFB4}" name="Column13484"/>
    <tableColumn id="13485" xr3:uid="{11D3871D-D8B4-48DE-B630-5876D6091FAA}" name="Column13485"/>
    <tableColumn id="13486" xr3:uid="{3229D8A4-2721-4F7C-B86D-0ECD9242CC41}" name="Column13486"/>
    <tableColumn id="13487" xr3:uid="{A7523361-B7F7-4DF2-83B7-97A04CA2F67A}" name="Column13487"/>
    <tableColumn id="13488" xr3:uid="{6A8A0C98-0321-4940-8BE8-884D13C60B31}" name="Column13488"/>
    <tableColumn id="13489" xr3:uid="{4788ADEE-A18B-4BA0-927D-77F762046212}" name="Column13489"/>
    <tableColumn id="13490" xr3:uid="{A0F6DC1B-8946-443D-BD75-5EB32506C00A}" name="Column13490"/>
    <tableColumn id="13491" xr3:uid="{10BF8CA9-F4D8-40E8-B534-46FC6AA1106A}" name="Column13491"/>
    <tableColumn id="13492" xr3:uid="{21CDC0C8-B024-42F5-A57C-B91188465771}" name="Column13492"/>
    <tableColumn id="13493" xr3:uid="{D4DD01D8-7519-45E8-9327-3250A4271D83}" name="Column13493"/>
    <tableColumn id="13494" xr3:uid="{C5889CDA-D744-438A-9FE0-F93F16ADE0A1}" name="Column13494"/>
    <tableColumn id="13495" xr3:uid="{4C887C25-83BE-4DC2-80D7-949174CD4A59}" name="Column13495"/>
    <tableColumn id="13496" xr3:uid="{ED47661F-5985-4F0D-A7A1-BCEE8639987A}" name="Column13496"/>
    <tableColumn id="13497" xr3:uid="{2AC08766-45B1-41CB-A4F9-C03B6CE36DB8}" name="Column13497"/>
    <tableColumn id="13498" xr3:uid="{F10BB9EA-63CC-4211-B093-9CC60A1FB80F}" name="Column13498"/>
    <tableColumn id="13499" xr3:uid="{91092CE8-FA5B-475D-AD09-AA77BAED8F10}" name="Column13499"/>
    <tableColumn id="13500" xr3:uid="{6BBCC5E5-89B5-41D2-B8F0-664A9417AB7E}" name="Column13500"/>
    <tableColumn id="13501" xr3:uid="{70ECFBB1-EA4F-45F1-92D9-A004C79AFE24}" name="Column13501"/>
    <tableColumn id="13502" xr3:uid="{D6B61681-EC96-4500-A49C-18F6BEB4486F}" name="Column13502"/>
    <tableColumn id="13503" xr3:uid="{B4EAB74D-F68F-49B4-AA7B-6ED29AD76BE7}" name="Column13503"/>
    <tableColumn id="13504" xr3:uid="{71CCD9A8-FBA5-4ECC-BA69-2703635EF129}" name="Column13504"/>
    <tableColumn id="13505" xr3:uid="{A33DD0DE-6053-45C4-8E4F-98C031098698}" name="Column13505"/>
    <tableColumn id="13506" xr3:uid="{10F8A782-4F2C-4EC7-9268-109066DB01DA}" name="Column13506"/>
    <tableColumn id="13507" xr3:uid="{A1C0A20F-2752-4439-B3CA-3400B0759A2F}" name="Column13507"/>
    <tableColumn id="13508" xr3:uid="{FB492D0D-7C98-4984-B289-14325DA204B3}" name="Column13508"/>
    <tableColumn id="13509" xr3:uid="{7DE4D332-2CE3-49AE-9D33-6A7DDD6C9708}" name="Column13509"/>
    <tableColumn id="13510" xr3:uid="{F0DBF62B-74CA-4624-A074-78B54ABCF341}" name="Column13510"/>
    <tableColumn id="13511" xr3:uid="{1F28B132-4EF5-44D2-9A8F-57BC4C6FBAC6}" name="Column13511"/>
    <tableColumn id="13512" xr3:uid="{A0198C9D-E931-4B5F-BEEA-556F6DDBF644}" name="Column13512"/>
    <tableColumn id="13513" xr3:uid="{BC7E49DA-9826-4F7A-A458-5980791DC56E}" name="Column13513"/>
    <tableColumn id="13514" xr3:uid="{6D34D426-5486-47DA-9C3D-C4A36D8CD9EC}" name="Column13514"/>
    <tableColumn id="13515" xr3:uid="{C14EEC4C-31EB-4700-B8CC-A0FED1CD7B8E}" name="Column13515"/>
    <tableColumn id="13516" xr3:uid="{AD8B6D38-C435-4365-B3CE-1BDCA02BEE39}" name="Column13516"/>
    <tableColumn id="13517" xr3:uid="{17139EE8-F6C7-49E2-8030-BD32C64E95B6}" name="Column13517"/>
    <tableColumn id="13518" xr3:uid="{AE0D8368-0650-473B-8596-100916BE40BD}" name="Column13518"/>
    <tableColumn id="13519" xr3:uid="{8FA4E6B1-F9D3-4C6D-B478-DD1665A23A90}" name="Column13519"/>
    <tableColumn id="13520" xr3:uid="{5F68141C-35FC-40DE-8223-D10F8677448D}" name="Column13520"/>
    <tableColumn id="13521" xr3:uid="{D24416F8-B676-4B36-BB3D-91FD11F4A650}" name="Column13521"/>
    <tableColumn id="13522" xr3:uid="{765B9C48-13E5-47F6-BA88-D8B12734D8EC}" name="Column13522"/>
    <tableColumn id="13523" xr3:uid="{43BD487A-451F-4BD4-A330-F047D324CDBD}" name="Column13523"/>
    <tableColumn id="13524" xr3:uid="{2B57BF0C-DD6E-4901-AA0C-D303E267497D}" name="Column13524"/>
    <tableColumn id="13525" xr3:uid="{59832878-6C57-41C9-A450-8A1C928E550C}" name="Column13525"/>
    <tableColumn id="13526" xr3:uid="{5E482125-6DC6-42D3-97E5-C36EE0B5D8B6}" name="Column13526"/>
    <tableColumn id="13527" xr3:uid="{197E12BA-35F4-47C7-8433-D93CA4ACEB44}" name="Column13527"/>
    <tableColumn id="13528" xr3:uid="{75C67020-F75C-411A-9804-14EC6325644C}" name="Column13528"/>
    <tableColumn id="13529" xr3:uid="{774D8698-8D81-4128-A242-483EDCEE29CC}" name="Column13529"/>
    <tableColumn id="13530" xr3:uid="{669E1C26-5170-4CBE-B337-41DC2203A4C8}" name="Column13530"/>
    <tableColumn id="13531" xr3:uid="{ABC103E8-7045-4648-BD3F-E5AF467B6676}" name="Column13531"/>
    <tableColumn id="13532" xr3:uid="{A388577E-BC54-47D0-AC11-8224A9BDD59C}" name="Column13532"/>
    <tableColumn id="13533" xr3:uid="{6272FD07-5A56-4BDA-8DBF-F21EBA91D6F2}" name="Column13533"/>
    <tableColumn id="13534" xr3:uid="{C34AC3D3-025E-459E-83A5-B2827C16A9D3}" name="Column13534"/>
    <tableColumn id="13535" xr3:uid="{7814A84E-EDE6-4EAF-BFED-42EC09D766B9}" name="Column13535"/>
    <tableColumn id="13536" xr3:uid="{7184C6BD-65D9-4963-821B-DE69576698CC}" name="Column13536"/>
    <tableColumn id="13537" xr3:uid="{B99AF0B0-60AF-4362-8984-486749CD8EFB}" name="Column13537"/>
    <tableColumn id="13538" xr3:uid="{FB8CDEB9-E8B3-4738-BD2A-F27B7D54AF02}" name="Column13538"/>
    <tableColumn id="13539" xr3:uid="{7B43136B-5301-4528-BEA9-51457EAA758F}" name="Column13539"/>
    <tableColumn id="13540" xr3:uid="{99B12585-07C6-4FCC-845A-D1AA37C68D90}" name="Column13540"/>
    <tableColumn id="13541" xr3:uid="{B105EF40-B8DC-4F91-9AD7-5C916FCE448F}" name="Column13541"/>
    <tableColumn id="13542" xr3:uid="{28519E28-6E93-4247-A925-45E8CA4F2209}" name="Column13542"/>
    <tableColumn id="13543" xr3:uid="{855C94AA-D7A9-4029-8DFE-57DE035AF39F}" name="Column13543"/>
    <tableColumn id="13544" xr3:uid="{D391CF27-8003-4F55-B78B-010EDB32F48D}" name="Column13544"/>
    <tableColumn id="13545" xr3:uid="{900D4845-830B-4489-9648-CE2E9C33CBDA}" name="Column13545"/>
    <tableColumn id="13546" xr3:uid="{E4A8838B-9B5B-4580-B999-C1537A7C051F}" name="Column13546"/>
    <tableColumn id="13547" xr3:uid="{FB10F9F0-AC4F-40F0-B58A-B638F2BE54A4}" name="Column13547"/>
    <tableColumn id="13548" xr3:uid="{01E09C57-4029-4800-B744-B89EA904C8EB}" name="Column13548"/>
    <tableColumn id="13549" xr3:uid="{38C1A212-0F2F-4E22-8CC9-8BAE30199D24}" name="Column13549"/>
    <tableColumn id="13550" xr3:uid="{DBEA6245-6622-4AF9-BE81-1E49C629556E}" name="Column13550"/>
    <tableColumn id="13551" xr3:uid="{E685CA80-B31A-4595-90AD-82CD5236214E}" name="Column13551"/>
    <tableColumn id="13552" xr3:uid="{A6B841A9-9515-4B6B-98DC-71531BBBADDD}" name="Column13552"/>
    <tableColumn id="13553" xr3:uid="{310ABA06-33FD-4249-B89B-FA9542CE89EB}" name="Column13553"/>
    <tableColumn id="13554" xr3:uid="{85CF0CAB-86CF-475A-926A-C1EB0E56DBD0}" name="Column13554"/>
    <tableColumn id="13555" xr3:uid="{1CD2086D-B08E-46BE-966E-0B8CC1DF9D82}" name="Column13555"/>
    <tableColumn id="13556" xr3:uid="{C19D25F5-AA2E-4B8A-8C9F-26D98D3311FC}" name="Column13556"/>
    <tableColumn id="13557" xr3:uid="{B102415E-3F69-4C08-B0E9-6A65BE8F65D9}" name="Column13557"/>
    <tableColumn id="13558" xr3:uid="{291A3800-A23E-4EE5-92AD-13F576D2B542}" name="Column13558"/>
    <tableColumn id="13559" xr3:uid="{EE33992E-BC90-48D2-BE1B-7181ECF30F4A}" name="Column13559"/>
    <tableColumn id="13560" xr3:uid="{C249FA4A-19D3-43E1-B4CF-24D2D69AE0CD}" name="Column13560"/>
    <tableColumn id="13561" xr3:uid="{E97EB028-4B95-4100-8679-DF7D63D1AAC9}" name="Column13561"/>
    <tableColumn id="13562" xr3:uid="{F526CF82-C5C2-4136-9A05-8CD95682510D}" name="Column13562"/>
    <tableColumn id="13563" xr3:uid="{8D9488AF-36F7-4C8F-A9F4-5A7FCAF8469C}" name="Column13563"/>
    <tableColumn id="13564" xr3:uid="{76BD5C8D-542D-412F-8783-53B37B2C3ECB}" name="Column13564"/>
    <tableColumn id="13565" xr3:uid="{4C47E2B8-75FF-472B-9E69-7476E82E66D9}" name="Column13565"/>
    <tableColumn id="13566" xr3:uid="{24C41B52-CD6E-4F39-A90D-7AAEEC1C3B47}" name="Column13566"/>
    <tableColumn id="13567" xr3:uid="{F6AA0CD0-573E-485D-B4BA-0891FF4CCF3D}" name="Column13567"/>
    <tableColumn id="13568" xr3:uid="{56DB2817-BCD9-4469-97B7-0DED5500F854}" name="Column13568"/>
    <tableColumn id="13569" xr3:uid="{EB32B220-806E-4AC0-B3C6-767270DB7291}" name="Column13569"/>
    <tableColumn id="13570" xr3:uid="{FDC88296-9358-4779-81A5-6EDBD9153EC1}" name="Column13570"/>
    <tableColumn id="13571" xr3:uid="{CC0DA254-B819-460E-87EE-4DDE2F8A2E75}" name="Column13571"/>
    <tableColumn id="13572" xr3:uid="{B64B2517-4480-4378-9338-492074A08773}" name="Column13572"/>
    <tableColumn id="13573" xr3:uid="{E5C0BED8-72F0-46DF-A5A3-5678F857B69A}" name="Column13573"/>
    <tableColumn id="13574" xr3:uid="{332F643F-70CD-4A43-9D41-669F8360E32C}" name="Column13574"/>
    <tableColumn id="13575" xr3:uid="{977F32F0-3967-4A6C-8599-14193A1514DC}" name="Column13575"/>
    <tableColumn id="13576" xr3:uid="{9CE0C1F5-E99F-425D-8756-CE765BC8CE86}" name="Column13576"/>
    <tableColumn id="13577" xr3:uid="{E72803C4-8086-462D-A9F7-5DA809008028}" name="Column13577"/>
    <tableColumn id="13578" xr3:uid="{4CC6B312-52FF-4FE2-8560-93C202A10CC5}" name="Column13578"/>
    <tableColumn id="13579" xr3:uid="{0373BBBF-2FE2-4266-A4CC-738B4D745031}" name="Column13579"/>
    <tableColumn id="13580" xr3:uid="{5EEBC211-B52D-4D2D-A75A-A234781D5938}" name="Column13580"/>
    <tableColumn id="13581" xr3:uid="{886DBB7A-5C7A-4644-B6B8-18C1B908E78F}" name="Column13581"/>
    <tableColumn id="13582" xr3:uid="{273CB052-75C8-4DFD-9A58-7F5710C8D039}" name="Column13582"/>
    <tableColumn id="13583" xr3:uid="{9D49FFEC-F678-48FF-8537-994B52E5CF88}" name="Column13583"/>
    <tableColumn id="13584" xr3:uid="{62C510B5-6E50-439B-B3A9-3D2D91CF7A71}" name="Column13584"/>
    <tableColumn id="13585" xr3:uid="{84E731B4-38C9-4DBD-AD77-BDC6077882DF}" name="Column13585"/>
    <tableColumn id="13586" xr3:uid="{BC33852D-B2D6-4BCF-9830-ADBE0079820E}" name="Column13586"/>
    <tableColumn id="13587" xr3:uid="{55C911DD-0663-47F5-BD07-38185F917EA3}" name="Column13587"/>
    <tableColumn id="13588" xr3:uid="{B40B0C87-6AF1-469A-89DB-8FDE5F8E2095}" name="Column13588"/>
    <tableColumn id="13589" xr3:uid="{1138AF8B-7D11-407A-9B68-5C7BD830D0FA}" name="Column13589"/>
    <tableColumn id="13590" xr3:uid="{41F75526-AD85-4360-AEA6-0B82342F6A40}" name="Column13590"/>
    <tableColumn id="13591" xr3:uid="{FC5748B3-1D67-43CD-B76F-4B80A0E21101}" name="Column13591"/>
    <tableColumn id="13592" xr3:uid="{FDE6D9F4-C18E-408D-83AD-3FF0D232E5E7}" name="Column13592"/>
    <tableColumn id="13593" xr3:uid="{2ADCD358-BCC7-42FA-98AE-509A62BE31E2}" name="Column13593"/>
    <tableColumn id="13594" xr3:uid="{B4CEA5BB-A36D-4452-A866-D9E76BC0DF8D}" name="Column13594"/>
    <tableColumn id="13595" xr3:uid="{97D698F3-B83E-45C1-8166-42FD691594D3}" name="Column13595"/>
    <tableColumn id="13596" xr3:uid="{5629C383-E65E-48B6-B6F1-0E3FE6964426}" name="Column13596"/>
    <tableColumn id="13597" xr3:uid="{97134969-F292-47CF-95D3-34ABA0D08A60}" name="Column13597"/>
    <tableColumn id="13598" xr3:uid="{6E40CEFB-152E-4AA3-B89D-8D51CFE1E025}" name="Column13598"/>
    <tableColumn id="13599" xr3:uid="{18532350-A190-45E6-AC39-2E6BBAD83D72}" name="Column13599"/>
    <tableColumn id="13600" xr3:uid="{CE06B4C8-FF1C-46FD-881C-A621DEED1358}" name="Column13600"/>
    <tableColumn id="13601" xr3:uid="{4969CA62-99D2-4672-BABF-619A2BCF529F}" name="Column13601"/>
    <tableColumn id="13602" xr3:uid="{78870BF4-F6F9-497C-B9CA-0C84B2D76A8B}" name="Column13602"/>
    <tableColumn id="13603" xr3:uid="{1FD81B8F-2CF2-4CAC-8280-B77B782BD0C9}" name="Column13603"/>
    <tableColumn id="13604" xr3:uid="{A608DE0E-5A68-4FA6-BCCF-06CCAF6346E4}" name="Column13604"/>
    <tableColumn id="13605" xr3:uid="{2BBDC88A-8049-46A6-BF7D-6AD7ECF8C1C6}" name="Column13605"/>
    <tableColumn id="13606" xr3:uid="{2E1EDAC9-F2CB-4010-B6C0-D74A6857016F}" name="Column13606"/>
    <tableColumn id="13607" xr3:uid="{85F4E899-B9B1-4128-96D2-65AFD281AED0}" name="Column13607"/>
    <tableColumn id="13608" xr3:uid="{0F41C8FE-1A87-41F8-A3B9-C9F20AC1AAD5}" name="Column13608"/>
    <tableColumn id="13609" xr3:uid="{732CF55B-FB42-4BE4-B302-E8B9B722047D}" name="Column13609"/>
    <tableColumn id="13610" xr3:uid="{8E08CB2B-E31D-4B25-A857-7EC46AA333BC}" name="Column13610"/>
    <tableColumn id="13611" xr3:uid="{E911780A-0805-4DAC-800B-79C2DBAAF65C}" name="Column13611"/>
    <tableColumn id="13612" xr3:uid="{B8E0BCDF-FDEB-44E9-9789-1FA0813C328C}" name="Column13612"/>
    <tableColumn id="13613" xr3:uid="{7D88CDBC-D0F6-467B-B9A2-0A638C057029}" name="Column13613"/>
    <tableColumn id="13614" xr3:uid="{12F0C15C-0913-4D4E-ACC2-3E95FCFCD85F}" name="Column13614"/>
    <tableColumn id="13615" xr3:uid="{68BC159A-1154-4977-A4F6-0FC9A6C3D925}" name="Column13615"/>
    <tableColumn id="13616" xr3:uid="{9647D13E-28CD-447D-BE14-0A465AA0BD71}" name="Column13616"/>
    <tableColumn id="13617" xr3:uid="{1ADB6C67-F67E-45C5-AE21-5CDE85F4CE59}" name="Column13617"/>
    <tableColumn id="13618" xr3:uid="{53F818E6-0019-4343-80E7-0FB0746302E5}" name="Column13618"/>
    <tableColumn id="13619" xr3:uid="{B8C526A6-2EBD-4074-94F8-D137ED20F35A}" name="Column13619"/>
    <tableColumn id="13620" xr3:uid="{41714ABD-72F7-41B8-AC39-5FFB4B003109}" name="Column13620"/>
    <tableColumn id="13621" xr3:uid="{CC558E1B-0B59-48A7-B1C8-0AB264FF194E}" name="Column13621"/>
    <tableColumn id="13622" xr3:uid="{38B5173E-ED45-468E-BB3C-D34EEC67BBA4}" name="Column13622"/>
    <tableColumn id="13623" xr3:uid="{270337C5-26F7-46DA-9E58-7243AA2B7653}" name="Column13623"/>
    <tableColumn id="13624" xr3:uid="{253951D0-9BCF-49E1-B9D5-73A23B6AAD0A}" name="Column13624"/>
    <tableColumn id="13625" xr3:uid="{6BDEF7A4-51C9-40C9-8842-503BD3CE3390}" name="Column13625"/>
    <tableColumn id="13626" xr3:uid="{C316048C-CDF8-4C7D-BCDD-499B7587BC6A}" name="Column13626"/>
    <tableColumn id="13627" xr3:uid="{ED3554F3-98FA-454D-A7C5-44CB12F0158B}" name="Column13627"/>
    <tableColumn id="13628" xr3:uid="{052964D8-6C15-45FD-8F97-4DB7FB5C5789}" name="Column13628"/>
    <tableColumn id="13629" xr3:uid="{BC733F27-2289-41F4-83E0-6889FBD8CEB6}" name="Column13629"/>
    <tableColumn id="13630" xr3:uid="{CE7AD4F2-8571-4EA6-88E0-2D3A306E2B67}" name="Column13630"/>
    <tableColumn id="13631" xr3:uid="{7CD8CA1B-78A3-4903-8C67-E415121CC5EB}" name="Column13631"/>
    <tableColumn id="13632" xr3:uid="{50F1A812-8F8E-4F54-9E29-0D5F7B30F0A1}" name="Column13632"/>
    <tableColumn id="13633" xr3:uid="{7EFE27C4-C00F-4763-B48F-827792F77822}" name="Column13633"/>
    <tableColumn id="13634" xr3:uid="{43B8015B-732B-4B55-BC4A-1DB35E2375E2}" name="Column13634"/>
    <tableColumn id="13635" xr3:uid="{DA85B720-0A8F-417A-B115-FF3AA9353CB0}" name="Column13635"/>
    <tableColumn id="13636" xr3:uid="{A297A017-DB4B-4F60-8841-03050AB5C2BC}" name="Column13636"/>
    <tableColumn id="13637" xr3:uid="{707E4A51-D2C2-4AF2-A638-F94ADC51A9D1}" name="Column13637"/>
    <tableColumn id="13638" xr3:uid="{0A084652-C478-4070-B1A8-9F75BE126033}" name="Column13638"/>
    <tableColumn id="13639" xr3:uid="{382BF20A-6E15-495A-B21E-CDECACEC7C19}" name="Column13639"/>
    <tableColumn id="13640" xr3:uid="{6C2B4A60-6472-4C0A-A4D2-F4BA9FBE592A}" name="Column13640"/>
    <tableColumn id="13641" xr3:uid="{28A8E9F6-B79E-46AA-BFC2-17F46B837750}" name="Column13641"/>
    <tableColumn id="13642" xr3:uid="{E559F9EF-C0E4-4392-BB79-049D1701865B}" name="Column13642"/>
    <tableColumn id="13643" xr3:uid="{4C38FA7A-DC1C-4761-AFCE-2AB5E4A18FCE}" name="Column13643"/>
    <tableColumn id="13644" xr3:uid="{3D619F74-470E-432C-B08A-BCA5A5D037D3}" name="Column13644"/>
    <tableColumn id="13645" xr3:uid="{0E3BF53A-BC8F-4D00-91DD-9178911393E7}" name="Column13645"/>
    <tableColumn id="13646" xr3:uid="{6C685D79-46C1-4D3E-A637-866EF3EAE474}" name="Column13646"/>
    <tableColumn id="13647" xr3:uid="{8DD803E0-DB28-4270-9A84-415EDE16766C}" name="Column13647"/>
    <tableColumn id="13648" xr3:uid="{CB68DDE2-342B-44CB-8900-B66615DEFC97}" name="Column13648"/>
    <tableColumn id="13649" xr3:uid="{C14A0862-5536-4D27-A347-87D4C4DFDF60}" name="Column13649"/>
    <tableColumn id="13650" xr3:uid="{8B0CDD99-EEE7-4ADC-AA5C-B25912659E49}" name="Column13650"/>
    <tableColumn id="13651" xr3:uid="{CCFCF224-4B13-4C9C-A888-A28D8CFE48F8}" name="Column13651"/>
    <tableColumn id="13652" xr3:uid="{9B46DDF8-27ED-4E04-816A-95CC7022B25C}" name="Column13652"/>
    <tableColumn id="13653" xr3:uid="{7CA1154A-B46F-4011-8126-50C2789DF67F}" name="Column13653"/>
    <tableColumn id="13654" xr3:uid="{02222748-EF65-488E-8CAB-289EF0D9E9D3}" name="Column13654"/>
    <tableColumn id="13655" xr3:uid="{8E64EBF0-41F1-4393-9C7D-F7606B21EDDD}" name="Column13655"/>
    <tableColumn id="13656" xr3:uid="{3A9966F8-536F-42C5-BFF5-739CBB2AA5E5}" name="Column13656"/>
    <tableColumn id="13657" xr3:uid="{1F75D079-BBEE-4524-9B5D-7FCECF54E234}" name="Column13657"/>
    <tableColumn id="13658" xr3:uid="{4621B2B0-5C2C-462C-943D-A6A7E5EE9402}" name="Column13658"/>
    <tableColumn id="13659" xr3:uid="{CF74A620-9D21-469C-AF71-882D178CC02A}" name="Column13659"/>
    <tableColumn id="13660" xr3:uid="{E083BE4A-A191-49B8-A51D-AF9C1798971C}" name="Column13660"/>
    <tableColumn id="13661" xr3:uid="{8B718B2A-F719-4268-9456-F14E0031E4AC}" name="Column13661"/>
    <tableColumn id="13662" xr3:uid="{967AE9B2-F9EF-4A9B-9632-51CCC7C671F7}" name="Column13662"/>
    <tableColumn id="13663" xr3:uid="{4761BCE4-95CF-4740-B25E-03A404664F4E}" name="Column13663"/>
    <tableColumn id="13664" xr3:uid="{5C732573-1D7E-4485-9596-F7D4CF00792E}" name="Column13664"/>
    <tableColumn id="13665" xr3:uid="{6E2108CF-A7CE-4E4C-B36D-6C5C689F0A77}" name="Column13665"/>
    <tableColumn id="13666" xr3:uid="{2677DF55-A56E-4C92-99A4-77BABB818B88}" name="Column13666"/>
    <tableColumn id="13667" xr3:uid="{EB6949A5-B258-413B-99EB-A245E545C99B}" name="Column13667"/>
    <tableColumn id="13668" xr3:uid="{F8F10D98-BA63-4485-B3A1-F52F2ADAF8F5}" name="Column13668"/>
    <tableColumn id="13669" xr3:uid="{7146BDEB-AA30-4BAC-A3AC-F3789DD6E334}" name="Column13669"/>
    <tableColumn id="13670" xr3:uid="{DAC1449F-7F5E-4C32-A36C-492CFDD8F4EC}" name="Column13670"/>
    <tableColumn id="13671" xr3:uid="{9050862E-4DA1-4FBA-8795-C8743F1E024F}" name="Column13671"/>
    <tableColumn id="13672" xr3:uid="{6ABC3F27-3DB7-4BFB-AB6B-B764F36EA1FD}" name="Column13672"/>
    <tableColumn id="13673" xr3:uid="{3D07A3FE-35CE-4BB5-B265-0738D523DAB5}" name="Column13673"/>
    <tableColumn id="13674" xr3:uid="{7F521BB1-7CB5-4165-BEEC-2FE5A071952C}" name="Column13674"/>
    <tableColumn id="13675" xr3:uid="{9C477951-F95A-4182-8FAB-70A0926E52B5}" name="Column13675"/>
    <tableColumn id="13676" xr3:uid="{D7F1CF4A-58EB-4A4B-AB12-8649B3377C76}" name="Column13676"/>
    <tableColumn id="13677" xr3:uid="{AFEE4C50-506D-4371-A22E-698A4CFAF97C}" name="Column13677"/>
    <tableColumn id="13678" xr3:uid="{B10450E4-9BB5-4273-9720-A924B55A02B9}" name="Column13678"/>
    <tableColumn id="13679" xr3:uid="{7D5527F2-7E24-41D6-96CD-9275BB434F4D}" name="Column13679"/>
    <tableColumn id="13680" xr3:uid="{2929B8D8-1E62-433B-A8A3-87581B11815B}" name="Column13680"/>
    <tableColumn id="13681" xr3:uid="{87915846-DE1F-4DE6-A6BD-46A51DDDA375}" name="Column13681"/>
    <tableColumn id="13682" xr3:uid="{5DC16FD9-8A84-456A-B6CD-005D6E86C2D2}" name="Column13682"/>
    <tableColumn id="13683" xr3:uid="{C9C094D7-B146-421B-A97B-0F4DDF592641}" name="Column13683"/>
    <tableColumn id="13684" xr3:uid="{C02920D4-0816-4E78-8334-525E85C14323}" name="Column13684"/>
    <tableColumn id="13685" xr3:uid="{5521A88E-00C4-4B0E-ADAF-563090C7EDA7}" name="Column13685"/>
    <tableColumn id="13686" xr3:uid="{5840D309-BE19-4382-9C3D-A9AD07E75519}" name="Column13686"/>
    <tableColumn id="13687" xr3:uid="{21393EB9-4F23-402F-83EC-608DBD0F23E2}" name="Column13687"/>
    <tableColumn id="13688" xr3:uid="{64A55FD3-4EA5-47E3-80BD-9C6D26DCD23E}" name="Column13688"/>
    <tableColumn id="13689" xr3:uid="{93B14D07-F68B-45A0-90DE-B8824BB93AE7}" name="Column13689"/>
    <tableColumn id="13690" xr3:uid="{811D7B94-1843-4D6B-BF94-7166D6F87B49}" name="Column13690"/>
    <tableColumn id="13691" xr3:uid="{C421EA5D-3A8A-4C67-A872-02CD4E606925}" name="Column13691"/>
    <tableColumn id="13692" xr3:uid="{D7D16522-B3EA-4C0E-A9CF-0EC9F90E30C4}" name="Column13692"/>
    <tableColumn id="13693" xr3:uid="{9F7DEBB2-8542-470A-8BCD-8C2943766613}" name="Column13693"/>
    <tableColumn id="13694" xr3:uid="{5D7347BB-D76D-4EF9-A2F4-3BAB1E5794CA}" name="Column13694"/>
    <tableColumn id="13695" xr3:uid="{1B900DC9-D295-4175-802F-5E47D578FA2C}" name="Column13695"/>
    <tableColumn id="13696" xr3:uid="{F16B4ABB-8E21-416A-95DC-D653611D481B}" name="Column13696"/>
    <tableColumn id="13697" xr3:uid="{FCC0E90D-67CF-4FAD-B7C3-583DA6E62B44}" name="Column13697"/>
    <tableColumn id="13698" xr3:uid="{6BD7D560-8C19-45ED-A3DB-B4A00140BDC7}" name="Column13698"/>
    <tableColumn id="13699" xr3:uid="{39EF0E32-7F46-497D-8F75-026443AF5DD7}" name="Column13699"/>
    <tableColumn id="13700" xr3:uid="{88D654DF-701B-4982-B020-A097A42D03BF}" name="Column13700"/>
    <tableColumn id="13701" xr3:uid="{0BDDE180-1B28-4FD5-88CD-07CB04761B29}" name="Column13701"/>
    <tableColumn id="13702" xr3:uid="{92FE76BA-2539-40A2-929C-9A87B0777C4C}" name="Column13702"/>
    <tableColumn id="13703" xr3:uid="{A723D049-F599-4173-B658-6C3766D22CCD}" name="Column13703"/>
    <tableColumn id="13704" xr3:uid="{A1DF106F-B3C7-432C-A5AE-F844F49ED187}" name="Column13704"/>
    <tableColumn id="13705" xr3:uid="{86C1C79E-3237-45D8-88E1-941242994FFF}" name="Column13705"/>
    <tableColumn id="13706" xr3:uid="{A63DB3E2-B268-4017-8775-5AF0DE8C0225}" name="Column13706"/>
    <tableColumn id="13707" xr3:uid="{0B979019-1B7F-4745-920F-76873941A5C7}" name="Column13707"/>
    <tableColumn id="13708" xr3:uid="{56CC324A-B2CA-4CC7-AC49-E48456A31778}" name="Column13708"/>
    <tableColumn id="13709" xr3:uid="{F1D2E692-0C51-4AC4-945A-1FC6C11BEB46}" name="Column13709"/>
    <tableColumn id="13710" xr3:uid="{80DC30D9-CD54-43B1-AFEF-DCAC4AE40400}" name="Column13710"/>
    <tableColumn id="13711" xr3:uid="{F4BE2150-381D-46DF-919F-FA29AF867B4A}" name="Column13711"/>
    <tableColumn id="13712" xr3:uid="{E3E7F01A-F6A5-41AE-ADE4-95C265C40672}" name="Column13712"/>
    <tableColumn id="13713" xr3:uid="{20E0BC6D-F350-450E-AF7E-EB062E68D8F4}" name="Column13713"/>
    <tableColumn id="13714" xr3:uid="{390C91EA-22D5-4E1A-9EF6-6A56813B5C07}" name="Column13714"/>
    <tableColumn id="13715" xr3:uid="{C93D56C9-94B8-47EB-BF83-6E9CFD7B3A7E}" name="Column13715"/>
    <tableColumn id="13716" xr3:uid="{41E129B4-16B5-4D26-B9E6-D14FFDB5F7F8}" name="Column13716"/>
    <tableColumn id="13717" xr3:uid="{33589682-8C5B-42BB-9AEF-E79E787EDC71}" name="Column13717"/>
    <tableColumn id="13718" xr3:uid="{E90ACD8D-C6DC-49B0-AC5F-4FB935BEE8DD}" name="Column13718"/>
    <tableColumn id="13719" xr3:uid="{0338C776-82FE-4FEB-A90A-7033306DE2F1}" name="Column13719"/>
    <tableColumn id="13720" xr3:uid="{45BC7ABA-EF49-476E-ACB0-03A0F3D772CB}" name="Column13720"/>
    <tableColumn id="13721" xr3:uid="{560027E6-904C-4B2B-944A-E0ACAF26687A}" name="Column13721"/>
    <tableColumn id="13722" xr3:uid="{4705008E-6E4D-44D9-B8BE-8956093C5562}" name="Column13722"/>
    <tableColumn id="13723" xr3:uid="{3BF446A2-1631-415A-8230-7B8294ACC658}" name="Column13723"/>
    <tableColumn id="13724" xr3:uid="{05FD1431-3D64-418A-925C-AD24A63C0FBC}" name="Column13724"/>
    <tableColumn id="13725" xr3:uid="{611CCC29-1FF1-47F0-9B97-EA272274F710}" name="Column13725"/>
    <tableColumn id="13726" xr3:uid="{3F2D25D4-8630-4662-B59E-5B7E41D809C6}" name="Column13726"/>
    <tableColumn id="13727" xr3:uid="{3FFB3C4C-FFBD-46D6-89FA-A268F3BACC7E}" name="Column13727"/>
    <tableColumn id="13728" xr3:uid="{12FA17EC-2E1B-4D9E-A2A4-FB5502E624D3}" name="Column13728"/>
    <tableColumn id="13729" xr3:uid="{9A92A2FF-C190-418B-824B-C6EACB9A75EB}" name="Column13729"/>
    <tableColumn id="13730" xr3:uid="{6F904DEA-E47F-4647-8E8B-3886C498087E}" name="Column13730"/>
    <tableColumn id="13731" xr3:uid="{3F57072A-9344-40F2-BF23-8CA5B6A55059}" name="Column13731"/>
    <tableColumn id="13732" xr3:uid="{E3F4D22B-6918-47E7-A69F-885D7CB55238}" name="Column13732"/>
    <tableColumn id="13733" xr3:uid="{74E38E94-58F0-4672-A8E1-DBE9B74F94C9}" name="Column13733"/>
    <tableColumn id="13734" xr3:uid="{CC2EF837-F4B6-483E-BA36-F050C1DB4C73}" name="Column13734"/>
    <tableColumn id="13735" xr3:uid="{F91C1C1A-48FF-45E7-846F-D7D9D9EA486F}" name="Column13735"/>
    <tableColumn id="13736" xr3:uid="{7C7F9D63-F0DC-42F5-9673-6A37E75703FB}" name="Column13736"/>
    <tableColumn id="13737" xr3:uid="{381BF210-05AD-4A26-85A9-1CE5EF379B37}" name="Column13737"/>
    <tableColumn id="13738" xr3:uid="{F9DF644D-9CC6-400C-9503-077ACFE2F481}" name="Column13738"/>
    <tableColumn id="13739" xr3:uid="{B6243C35-8E9A-488F-A93A-06B737CA7A64}" name="Column13739"/>
    <tableColumn id="13740" xr3:uid="{E469DC73-5D89-4030-8C87-830D8C62AF49}" name="Column13740"/>
    <tableColumn id="13741" xr3:uid="{CCB091E9-8D30-4E6A-AD66-D87DCC32A4F9}" name="Column13741"/>
    <tableColumn id="13742" xr3:uid="{465573F4-5666-4FE5-8796-DB8D3643832C}" name="Column13742"/>
    <tableColumn id="13743" xr3:uid="{61A92296-415E-439F-81C4-E349AE011A09}" name="Column13743"/>
    <tableColumn id="13744" xr3:uid="{0A00F1B6-0EF3-45F9-872A-74D019B3C36A}" name="Column13744"/>
    <tableColumn id="13745" xr3:uid="{1AA05168-C84A-4480-9539-CA843CFF98C4}" name="Column13745"/>
    <tableColumn id="13746" xr3:uid="{0C428CBB-1AEB-41DE-81DA-3A237C5581EF}" name="Column13746"/>
    <tableColumn id="13747" xr3:uid="{6D563D5B-489A-417D-B08D-4EB90F676FA9}" name="Column13747"/>
    <tableColumn id="13748" xr3:uid="{4BF21595-760B-46ED-AAD9-C62F1387363C}" name="Column13748"/>
    <tableColumn id="13749" xr3:uid="{1461DF14-1F61-4CDA-BBAD-66736F788CE2}" name="Column13749"/>
    <tableColumn id="13750" xr3:uid="{FDEC5CBD-2A96-4930-9375-7E14D8A9A69A}" name="Column13750"/>
    <tableColumn id="13751" xr3:uid="{64E69D60-199E-402F-86CD-D8C36CF1613F}" name="Column13751"/>
    <tableColumn id="13752" xr3:uid="{F6DF0C18-C9A3-4462-8EDF-8E8B717C085D}" name="Column13752"/>
    <tableColumn id="13753" xr3:uid="{92C5EF68-EBC6-4AC8-B4D6-82B59F473C71}" name="Column13753"/>
    <tableColumn id="13754" xr3:uid="{0ACC390A-F57C-4A84-8EF1-E68327B7D1B8}" name="Column13754"/>
    <tableColumn id="13755" xr3:uid="{BEF31B63-A977-4429-A526-C36A039B4EEB}" name="Column13755"/>
    <tableColumn id="13756" xr3:uid="{D1280473-1474-4C75-9E1F-590B2F0C423D}" name="Column13756"/>
    <tableColumn id="13757" xr3:uid="{08961347-733C-492F-97D3-D1CA54D32B1C}" name="Column13757"/>
    <tableColumn id="13758" xr3:uid="{8F028351-5A04-484D-B2B5-8A891C6BCE74}" name="Column13758"/>
    <tableColumn id="13759" xr3:uid="{5341D20D-B2CF-4798-AF54-2DCECCD23041}" name="Column13759"/>
    <tableColumn id="13760" xr3:uid="{DCA6C500-FE9F-41EF-B34F-5EFE62FDCCD4}" name="Column13760"/>
    <tableColumn id="13761" xr3:uid="{318CEA8F-BF82-435F-90FE-288F4C20738F}" name="Column13761"/>
    <tableColumn id="13762" xr3:uid="{5021AD0C-6AC8-4212-842D-B8974251AAE3}" name="Column13762"/>
    <tableColumn id="13763" xr3:uid="{9CAE90E8-6730-4429-BEA3-1CA93D58D977}" name="Column13763"/>
    <tableColumn id="13764" xr3:uid="{65AA2EC5-A094-409A-9F92-727518BFD57C}" name="Column13764"/>
    <tableColumn id="13765" xr3:uid="{D92C0F0C-47F0-4E49-A9E4-E6D020ABCFD2}" name="Column13765"/>
    <tableColumn id="13766" xr3:uid="{82A10832-B54F-4D72-B518-2E078A1D1717}" name="Column13766"/>
    <tableColumn id="13767" xr3:uid="{8C0F1CFC-0005-4E27-968D-CB790CD8D935}" name="Column13767"/>
    <tableColumn id="13768" xr3:uid="{A27CAE2A-8D3F-4D93-A345-5F3ACA98A89C}" name="Column13768"/>
    <tableColumn id="13769" xr3:uid="{95996547-7031-4440-BD5B-715C0F835899}" name="Column13769"/>
    <tableColumn id="13770" xr3:uid="{DDEDF564-2D86-46CB-9A30-E21EF53940FA}" name="Column13770"/>
    <tableColumn id="13771" xr3:uid="{45F7D622-38A8-4FDC-955E-F5F7403E085D}" name="Column13771"/>
    <tableColumn id="13772" xr3:uid="{85EBBB29-995F-4260-B30E-2609F2BAE21A}" name="Column13772"/>
    <tableColumn id="13773" xr3:uid="{170E1310-4BCC-4E24-9C09-15F5660106DF}" name="Column13773"/>
    <tableColumn id="13774" xr3:uid="{A5A894BA-71CF-41DA-A67A-357CC23EFA8D}" name="Column13774"/>
    <tableColumn id="13775" xr3:uid="{270897F6-34AD-45E9-B39C-BA518B31F345}" name="Column13775"/>
    <tableColumn id="13776" xr3:uid="{05DD4DE1-1028-497F-BEDC-E6E54420A267}" name="Column13776"/>
    <tableColumn id="13777" xr3:uid="{16DF9444-C4EF-4BA8-95E0-F023EB5A6D3F}" name="Column13777"/>
    <tableColumn id="13778" xr3:uid="{FF6C7CC0-800A-42E2-8EFC-AB357DC6EFE5}" name="Column13778"/>
    <tableColumn id="13779" xr3:uid="{A1AAAF22-94E7-4CC9-B996-C1F66077BCF1}" name="Column13779"/>
    <tableColumn id="13780" xr3:uid="{6103A4D5-E72B-4566-A98C-A30139AA8BEF}" name="Column13780"/>
    <tableColumn id="13781" xr3:uid="{890E8F0C-295E-4714-A4EA-680F43CADC5F}" name="Column13781"/>
    <tableColumn id="13782" xr3:uid="{EA92AB08-22E6-4648-AC3F-7F967B11BFF6}" name="Column13782"/>
    <tableColumn id="13783" xr3:uid="{9F2E69FA-E2D9-45C7-AAC3-60A21BA879D1}" name="Column13783"/>
    <tableColumn id="13784" xr3:uid="{691F0FCD-B5D6-4398-8F0D-E03E6CEE6046}" name="Column13784"/>
    <tableColumn id="13785" xr3:uid="{E24B9DFC-CBF8-4A80-BEF1-6A60BF5B3DC7}" name="Column13785"/>
    <tableColumn id="13786" xr3:uid="{A9CA8935-771C-4962-838E-EF3E79AE6D67}" name="Column13786"/>
    <tableColumn id="13787" xr3:uid="{8A33A277-435B-4FD0-AFFA-303767B05EEB}" name="Column13787"/>
    <tableColumn id="13788" xr3:uid="{1491C1FE-2790-423B-A11C-956736BBFB78}" name="Column13788"/>
    <tableColumn id="13789" xr3:uid="{0CC0101B-92BE-41B0-9457-F152D4FE6F4C}" name="Column13789"/>
    <tableColumn id="13790" xr3:uid="{B796BAA7-19F3-4B59-BBA8-DA7421BB7A72}" name="Column13790"/>
    <tableColumn id="13791" xr3:uid="{6D99143B-9613-4AB8-A658-A044114951DF}" name="Column13791"/>
    <tableColumn id="13792" xr3:uid="{D382CEAB-8ECA-4BB0-8D04-2A4F02392B5A}" name="Column13792"/>
    <tableColumn id="13793" xr3:uid="{E30BF2E7-15AA-45DA-8F7C-B5B05254FBCA}" name="Column13793"/>
    <tableColumn id="13794" xr3:uid="{313A6BF5-DD3C-4A48-96EB-0502D7F055F8}" name="Column13794"/>
    <tableColumn id="13795" xr3:uid="{D39F4147-D6BB-4FAC-9FCE-0D8B943B9E66}" name="Column13795"/>
    <tableColumn id="13796" xr3:uid="{F03A8DDD-2F64-456C-8714-69FD8AE62914}" name="Column13796"/>
    <tableColumn id="13797" xr3:uid="{D1D448AA-AC96-480F-B3B9-E9EFD12FC004}" name="Column13797"/>
    <tableColumn id="13798" xr3:uid="{28B0639A-851B-466D-981B-50A87C0BF8BB}" name="Column13798"/>
    <tableColumn id="13799" xr3:uid="{AFB86872-BFAC-48F5-AE71-3F14FD90269E}" name="Column13799"/>
    <tableColumn id="13800" xr3:uid="{51EF7175-899C-4F95-92A9-3111E76F40AD}" name="Column13800"/>
    <tableColumn id="13801" xr3:uid="{DD2E4FDB-B64C-4877-A427-DCE3A8F616A3}" name="Column13801"/>
    <tableColumn id="13802" xr3:uid="{EA906E55-D09B-4731-960B-BF659E76A45F}" name="Column13802"/>
    <tableColumn id="13803" xr3:uid="{6CB8049A-CB76-4AD7-B2CE-68EFA6934C11}" name="Column13803"/>
    <tableColumn id="13804" xr3:uid="{AEC029A6-A992-452A-A02C-F37FCC6C4DA4}" name="Column13804"/>
    <tableColumn id="13805" xr3:uid="{FE5FC100-B389-4225-B730-0A60B7546539}" name="Column13805"/>
    <tableColumn id="13806" xr3:uid="{A3D9B072-EDF6-4E97-BA40-64D236DCB9DE}" name="Column13806"/>
    <tableColumn id="13807" xr3:uid="{D30CE09C-539F-4D6B-B1ED-F9159A338837}" name="Column13807"/>
    <tableColumn id="13808" xr3:uid="{33C355F6-D55E-4081-BE2A-493FF4244161}" name="Column13808"/>
    <tableColumn id="13809" xr3:uid="{A9EFE6EA-A6CC-456F-B71B-A07A9884F65C}" name="Column13809"/>
    <tableColumn id="13810" xr3:uid="{9337D0D9-1FCF-45C8-8282-19C0673F3E79}" name="Column13810"/>
    <tableColumn id="13811" xr3:uid="{52A46C91-B7C4-450A-BA25-C9F6F61A36BF}" name="Column13811"/>
    <tableColumn id="13812" xr3:uid="{FDC64335-09E4-4D81-A49C-9C040C4CAAAF}" name="Column13812"/>
    <tableColumn id="13813" xr3:uid="{D9FEC096-E7FC-4BFB-B810-F37FD31963D0}" name="Column13813"/>
    <tableColumn id="13814" xr3:uid="{D00AA3EB-5DBE-4D83-A3FC-2DB4DD7AB29C}" name="Column13814"/>
    <tableColumn id="13815" xr3:uid="{FA50C8D4-70A5-47F2-B1A3-45F9864091D7}" name="Column13815"/>
    <tableColumn id="13816" xr3:uid="{5A164099-E5F9-46F6-AC2B-4A84972A455F}" name="Column13816"/>
    <tableColumn id="13817" xr3:uid="{315452B5-1E30-40B1-B749-1B323F064181}" name="Column13817"/>
    <tableColumn id="13818" xr3:uid="{E04629E3-4DD1-4D3E-8BEA-95F2A16DA08F}" name="Column13818"/>
    <tableColumn id="13819" xr3:uid="{88E08CF4-2B6F-4ABE-BBF0-9DFE6BA45B61}" name="Column13819"/>
    <tableColumn id="13820" xr3:uid="{7288B32F-D4DA-4E9E-ADD4-0E5F7EC99AB6}" name="Column13820"/>
    <tableColumn id="13821" xr3:uid="{C632A447-2123-42DE-B22B-EB0A9D201D5F}" name="Column13821"/>
    <tableColumn id="13822" xr3:uid="{553D08B5-C34F-4B60-B0D8-C35E5F62991A}" name="Column13822"/>
    <tableColumn id="13823" xr3:uid="{22623916-7907-4FC8-A2C2-1208824FCDE0}" name="Column13823"/>
    <tableColumn id="13824" xr3:uid="{D899F520-3662-4434-AD17-BBFB79BA9B6A}" name="Column13824"/>
    <tableColumn id="13825" xr3:uid="{1D8A822A-ACE6-4F8D-AE20-3570881797E5}" name="Column13825"/>
    <tableColumn id="13826" xr3:uid="{96632594-D2B0-41F2-BE9B-89C6DC5E817B}" name="Column13826"/>
    <tableColumn id="13827" xr3:uid="{2EC11803-9865-4E72-BC69-A0509D39C0CF}" name="Column13827"/>
    <tableColumn id="13828" xr3:uid="{16C649CD-E0EE-438C-8060-C378AC21A2E0}" name="Column13828"/>
    <tableColumn id="13829" xr3:uid="{BB36FB31-5E2B-4764-BA57-B7D75D8C4C94}" name="Column13829"/>
    <tableColumn id="13830" xr3:uid="{0D1E0723-7263-4665-9FA9-63E7DE367AF4}" name="Column13830"/>
    <tableColumn id="13831" xr3:uid="{E08364A0-5F36-490A-B726-7D3BCABC1048}" name="Column13831"/>
    <tableColumn id="13832" xr3:uid="{806674ED-8F61-427B-B431-1AEF928B1E00}" name="Column13832"/>
    <tableColumn id="13833" xr3:uid="{8BD24207-63E3-46D9-9E07-FA9978CAAF03}" name="Column13833"/>
    <tableColumn id="13834" xr3:uid="{B7EEA8D0-36B4-4D25-B5CC-1E6BA3B87002}" name="Column13834"/>
    <tableColumn id="13835" xr3:uid="{71C7B116-3E78-4C67-A207-867F42E7FE0E}" name="Column13835"/>
    <tableColumn id="13836" xr3:uid="{47D5427A-25C2-42B6-A114-07A54D3C2E55}" name="Column13836"/>
    <tableColumn id="13837" xr3:uid="{94B26E6D-547E-4060-8C65-88BC8F368009}" name="Column13837"/>
    <tableColumn id="13838" xr3:uid="{A76F0548-9EC2-4A7E-9AE6-FC632B330DCA}" name="Column13838"/>
    <tableColumn id="13839" xr3:uid="{459C312D-FCF4-422B-B334-F11A3EC57F97}" name="Column13839"/>
    <tableColumn id="13840" xr3:uid="{E7875C68-8B12-4DF4-B32E-DFDF3835C127}" name="Column13840"/>
    <tableColumn id="13841" xr3:uid="{6868FAB4-B82E-420C-9A0B-281ADE6CC678}" name="Column13841"/>
    <tableColumn id="13842" xr3:uid="{4B819BE4-9CEA-4A25-BE5C-427B5951A6E3}" name="Column13842"/>
    <tableColumn id="13843" xr3:uid="{7D12019F-F5E5-4C59-A1A4-4E362FA3DA8F}" name="Column13843"/>
    <tableColumn id="13844" xr3:uid="{C3BEBCB5-8992-4C68-9910-10339113D9EA}" name="Column13844"/>
    <tableColumn id="13845" xr3:uid="{50DF8F36-75B9-4733-98C6-5549F40800C5}" name="Column13845"/>
    <tableColumn id="13846" xr3:uid="{54FDA162-CF97-4CF4-83A6-62643FCBF7EF}" name="Column13846"/>
    <tableColumn id="13847" xr3:uid="{998188FA-F28B-48AC-B6DE-474300BF9AA9}" name="Column13847"/>
    <tableColumn id="13848" xr3:uid="{972844C2-7C59-4FB4-9DAB-D07A438E750D}" name="Column13848"/>
    <tableColumn id="13849" xr3:uid="{977420A1-1CE4-40B2-BE4E-E4552DBD978B}" name="Column13849"/>
    <tableColumn id="13850" xr3:uid="{6F1F7D46-C02E-4543-A1BD-D328F9D959DF}" name="Column13850"/>
    <tableColumn id="13851" xr3:uid="{FC02FB3B-7040-41D0-A62B-A02D3F28D5BE}" name="Column13851"/>
    <tableColumn id="13852" xr3:uid="{A62B67B0-AE6F-40CF-A0B3-536582F659DF}" name="Column13852"/>
    <tableColumn id="13853" xr3:uid="{307895AA-CFA8-4028-8820-D59615FB756C}" name="Column13853"/>
    <tableColumn id="13854" xr3:uid="{A0129BA4-A0E5-409C-AD8F-F205836573B7}" name="Column13854"/>
    <tableColumn id="13855" xr3:uid="{781E9927-FF3E-49BE-949D-80B3A1F2D481}" name="Column13855"/>
    <tableColumn id="13856" xr3:uid="{34CF5976-D204-4B5C-B2F7-FDA77C13B672}" name="Column13856"/>
    <tableColumn id="13857" xr3:uid="{77893020-9EF1-47D9-A89A-445693413006}" name="Column13857"/>
    <tableColumn id="13858" xr3:uid="{B8B3EBE1-DCB5-458A-902D-4487309410F7}" name="Column13858"/>
    <tableColumn id="13859" xr3:uid="{28F8E271-D707-496B-ADC8-2E5A22340F68}" name="Column13859"/>
    <tableColumn id="13860" xr3:uid="{9F9E6721-8286-45C2-9117-2D635BC6E162}" name="Column13860"/>
    <tableColumn id="13861" xr3:uid="{58471782-B425-45BF-9959-F8B180F0172C}" name="Column13861"/>
    <tableColumn id="13862" xr3:uid="{A0586EF9-D0A4-43DC-8A04-63511CB3677F}" name="Column13862"/>
    <tableColumn id="13863" xr3:uid="{B3759BF1-799F-4A27-9186-AA65122C9F3E}" name="Column13863"/>
    <tableColumn id="13864" xr3:uid="{0BDC2308-07C2-4D2D-AAB3-8A293D0ECD78}" name="Column13864"/>
    <tableColumn id="13865" xr3:uid="{08E3303B-EEB6-41B4-ABE8-AA775C2D4EAD}" name="Column13865"/>
    <tableColumn id="13866" xr3:uid="{04ACBEBF-1E9A-44BD-AE8E-4DD9BD877C22}" name="Column13866"/>
    <tableColumn id="13867" xr3:uid="{7DEBEA9E-7CE4-43D9-B2D3-1DA9D5FB6A62}" name="Column13867"/>
    <tableColumn id="13868" xr3:uid="{CDD1C3A2-B5C5-4B57-A1E5-07C9D0378DD5}" name="Column13868"/>
    <tableColumn id="13869" xr3:uid="{E9CDBEAB-94E1-4F46-BD7D-39021F51ED7E}" name="Column13869"/>
    <tableColumn id="13870" xr3:uid="{6D0A288D-673D-4C79-AEAB-D8C47D8F0372}" name="Column13870"/>
    <tableColumn id="13871" xr3:uid="{5EBE8B5F-6E13-4FAD-88AB-BA057D51735B}" name="Column13871"/>
    <tableColumn id="13872" xr3:uid="{7C83411A-765A-4057-AA69-D80393041720}" name="Column13872"/>
    <tableColumn id="13873" xr3:uid="{F3735F81-26F8-44B0-A03D-2C8E2E623146}" name="Column13873"/>
    <tableColumn id="13874" xr3:uid="{D330367D-9ABC-44D1-9615-51C608F3339C}" name="Column13874"/>
    <tableColumn id="13875" xr3:uid="{6EBD9816-CFC6-44AB-828E-85921B86A312}" name="Column13875"/>
    <tableColumn id="13876" xr3:uid="{8548BE3B-8366-4BE9-A070-3470EB3CA4F0}" name="Column13876"/>
    <tableColumn id="13877" xr3:uid="{E728BFC6-B8CD-40E3-A91D-5D8D80BC638D}" name="Column13877"/>
    <tableColumn id="13878" xr3:uid="{39164840-3CA2-4813-8E1A-CF68F165109F}" name="Column13878"/>
    <tableColumn id="13879" xr3:uid="{AC291FDF-4A7B-4C15-9580-1EF11477A8F1}" name="Column13879"/>
    <tableColumn id="13880" xr3:uid="{61F9ED20-DE66-4717-9B02-5D546157CCEF}" name="Column13880"/>
    <tableColumn id="13881" xr3:uid="{9105CEF3-F8C6-494D-9A41-04C762E7603B}" name="Column13881"/>
    <tableColumn id="13882" xr3:uid="{092763EB-B8FF-49CA-86E5-289D188D9B4B}" name="Column13882"/>
    <tableColumn id="13883" xr3:uid="{C3C3F382-9A1A-4C34-98C1-D7A4CCEF4BE9}" name="Column13883"/>
    <tableColumn id="13884" xr3:uid="{F8881C03-D854-4B87-83B6-345AE16FD03F}" name="Column13884"/>
    <tableColumn id="13885" xr3:uid="{E8F5888C-2095-4F6A-A1CE-B956972C170A}" name="Column13885"/>
    <tableColumn id="13886" xr3:uid="{17C9D62B-92E9-4AE9-82FC-2131474DAA5B}" name="Column13886"/>
    <tableColumn id="13887" xr3:uid="{669828B0-997E-4BB2-B58C-799C57F3505D}" name="Column13887"/>
    <tableColumn id="13888" xr3:uid="{BF54F1EF-7177-499E-9DF1-D1F6BB5A586A}" name="Column13888"/>
    <tableColumn id="13889" xr3:uid="{78DDCB77-C4B4-4328-B5CF-6934770574C1}" name="Column13889"/>
    <tableColumn id="13890" xr3:uid="{403BA89F-14A7-4B7D-A791-60D3B2C9D588}" name="Column13890"/>
    <tableColumn id="13891" xr3:uid="{64448F13-274E-44B9-9E8B-A9FA307B7493}" name="Column13891"/>
    <tableColumn id="13892" xr3:uid="{61C7B70C-C042-4944-BEFB-D4AB70996A66}" name="Column13892"/>
    <tableColumn id="13893" xr3:uid="{26B5119C-2C19-4AF8-8EB8-80E19A4E7F2B}" name="Column13893"/>
    <tableColumn id="13894" xr3:uid="{DB5A7712-3FBD-48F5-8A87-127EF736C56B}" name="Column13894"/>
    <tableColumn id="13895" xr3:uid="{7F5FD8C5-7796-4320-8F17-65D6E59B713D}" name="Column13895"/>
    <tableColumn id="13896" xr3:uid="{3EAEFBE1-FA02-4FA1-82D8-D74435CC4044}" name="Column13896"/>
    <tableColumn id="13897" xr3:uid="{A342D1AD-BE03-445C-ABD0-D2DF6568019C}" name="Column13897"/>
    <tableColumn id="13898" xr3:uid="{AAF78EB1-55C7-4237-9731-D23A83443952}" name="Column13898"/>
    <tableColumn id="13899" xr3:uid="{3768EE84-4C2B-40F0-97F6-E9D287EB5583}" name="Column13899"/>
    <tableColumn id="13900" xr3:uid="{E94460D1-527C-4C51-8A72-5C094ED24B5E}" name="Column13900"/>
    <tableColumn id="13901" xr3:uid="{B9A45E47-4CC6-4606-80A0-45C0F0C9DF63}" name="Column13901"/>
    <tableColumn id="13902" xr3:uid="{CE0817D6-AE4A-4F72-996E-52D8C4BE0D80}" name="Column13902"/>
    <tableColumn id="13903" xr3:uid="{FEB459C4-1444-44E9-A7AC-99510B7C6C11}" name="Column13903"/>
    <tableColumn id="13904" xr3:uid="{3129C112-2EFC-44D8-A7D2-7B2D1BEDB746}" name="Column13904"/>
    <tableColumn id="13905" xr3:uid="{043999A4-53E0-45AE-81D4-18C5B293B133}" name="Column13905"/>
    <tableColumn id="13906" xr3:uid="{CD417126-518D-4E14-9902-1C2BB3F18659}" name="Column13906"/>
    <tableColumn id="13907" xr3:uid="{43FBC681-0CB8-4F66-819B-98C6A480B6D3}" name="Column13907"/>
    <tableColumn id="13908" xr3:uid="{659E5E78-2552-4A63-8944-697C60BA8A43}" name="Column13908"/>
    <tableColumn id="13909" xr3:uid="{2BFDC3FF-AFDF-401D-90F0-E3F23D4AA62E}" name="Column13909"/>
    <tableColumn id="13910" xr3:uid="{1388DECE-882E-4ABD-9BE2-A8F1D6771588}" name="Column13910"/>
    <tableColumn id="13911" xr3:uid="{07A13BDB-9455-406D-A052-1878946AD40D}" name="Column13911"/>
    <tableColumn id="13912" xr3:uid="{E6426D88-ADD0-483A-BBFB-D476A3CDBE05}" name="Column13912"/>
    <tableColumn id="13913" xr3:uid="{5CFE38D2-833A-4FB1-BA0A-CD767C00F71C}" name="Column13913"/>
    <tableColumn id="13914" xr3:uid="{F3B30113-B430-4E8F-B96B-8860BC040FDB}" name="Column13914"/>
    <tableColumn id="13915" xr3:uid="{DC663FD0-2B86-498D-8D85-1AE0E581C2CD}" name="Column13915"/>
    <tableColumn id="13916" xr3:uid="{50FD6E11-EDEF-4C48-B150-8AF9261C79DA}" name="Column13916"/>
    <tableColumn id="13917" xr3:uid="{64252C23-5B63-4AF2-9B3E-E76534A65398}" name="Column13917"/>
    <tableColumn id="13918" xr3:uid="{FDF6C1F3-1CA4-4E84-B7E6-43FB0BDD9B45}" name="Column13918"/>
    <tableColumn id="13919" xr3:uid="{EC1985C8-17F0-42FE-9694-38FDB398A23B}" name="Column13919"/>
    <tableColumn id="13920" xr3:uid="{3CB42539-C8AD-439A-A6E3-6A9311FE5D62}" name="Column13920"/>
    <tableColumn id="13921" xr3:uid="{3C0E4443-9F7D-4008-9544-D739C07355FB}" name="Column13921"/>
    <tableColumn id="13922" xr3:uid="{CCAA6BE8-DF31-4759-B157-7C9AE5824CA7}" name="Column13922"/>
    <tableColumn id="13923" xr3:uid="{4299A0AA-087B-41CD-A19C-A9EC758BDDA9}" name="Column13923"/>
    <tableColumn id="13924" xr3:uid="{2EC8C88E-10F1-421B-8FD7-8118F3034161}" name="Column13924"/>
    <tableColumn id="13925" xr3:uid="{3E206D6C-A9B0-4A75-8225-20E77345E8DA}" name="Column13925"/>
    <tableColumn id="13926" xr3:uid="{D39CEDB6-DB7E-474D-8B74-1BC65013D9B5}" name="Column13926"/>
    <tableColumn id="13927" xr3:uid="{1BC2C227-EA49-4B56-9F71-7C9E8BBDAA16}" name="Column13927"/>
    <tableColumn id="13928" xr3:uid="{F1A74781-CBA9-47FD-A5A1-B16AE2C4B1E5}" name="Column13928"/>
    <tableColumn id="13929" xr3:uid="{3123F51A-74D2-4D41-9B99-CEEFD3546353}" name="Column13929"/>
    <tableColumn id="13930" xr3:uid="{6DAB02D3-6358-42A6-A1B6-07C796B743EE}" name="Column13930"/>
    <tableColumn id="13931" xr3:uid="{B7885B03-3EF3-4398-84EE-5B90CBCE2DAF}" name="Column13931"/>
    <tableColumn id="13932" xr3:uid="{F383C1A7-20C5-4CFC-854C-782DB519443C}" name="Column13932"/>
    <tableColumn id="13933" xr3:uid="{D9F75090-88C2-4665-AA46-F201A4C49B74}" name="Column13933"/>
    <tableColumn id="13934" xr3:uid="{031C3926-B9F0-4DC1-96F6-5017D586934D}" name="Column13934"/>
    <tableColumn id="13935" xr3:uid="{FF8A0D25-C7E3-4957-BE5A-FCFF732F3611}" name="Column13935"/>
    <tableColumn id="13936" xr3:uid="{022C8061-AD6A-4CF6-87C5-020F4FECCB84}" name="Column13936"/>
    <tableColumn id="13937" xr3:uid="{E3E84E20-7E64-4E0F-8523-9F200CE7D6AB}" name="Column13937"/>
    <tableColumn id="13938" xr3:uid="{AE3C43E7-F4A7-4BAC-9853-587EAD27DB60}" name="Column13938"/>
    <tableColumn id="13939" xr3:uid="{E7D993A7-36D0-4E77-AAF8-319EEC42258F}" name="Column13939"/>
    <tableColumn id="13940" xr3:uid="{D485A87F-07A5-43F5-8D05-AB1EA7AF38D2}" name="Column13940"/>
    <tableColumn id="13941" xr3:uid="{27898A67-06D0-4BF9-9639-92BD7938C152}" name="Column13941"/>
    <tableColumn id="13942" xr3:uid="{CDDDCC2E-D920-42EC-ADD3-085F8D6B99E1}" name="Column13942"/>
    <tableColumn id="13943" xr3:uid="{FFD0F2CF-46A1-4456-A249-552FE346AFC3}" name="Column13943"/>
    <tableColumn id="13944" xr3:uid="{1F61F281-95F5-473D-8BCE-544A21C28628}" name="Column13944"/>
    <tableColumn id="13945" xr3:uid="{469D977B-39BA-4419-92F2-38FCA1FFD2C2}" name="Column13945"/>
    <tableColumn id="13946" xr3:uid="{699F3C4C-6558-4149-81C1-D7FCE14043CC}" name="Column13946"/>
    <tableColumn id="13947" xr3:uid="{653C2EEB-7819-4804-A8F0-EC087CCCDFB3}" name="Column13947"/>
    <tableColumn id="13948" xr3:uid="{DCDD7D00-9B98-40A8-A857-15BF72133907}" name="Column13948"/>
    <tableColumn id="13949" xr3:uid="{2C439A1E-1BE0-4E87-8ADD-0112A6437F00}" name="Column13949"/>
    <tableColumn id="13950" xr3:uid="{EF802BB2-38CD-4AD0-B817-3FE516E2468D}" name="Column13950"/>
    <tableColumn id="13951" xr3:uid="{785BBC92-2E61-40F8-B913-4BF2AD1548E3}" name="Column13951"/>
    <tableColumn id="13952" xr3:uid="{7AA049EF-5704-4F1D-8AD4-11CC8A5B771F}" name="Column13952"/>
    <tableColumn id="13953" xr3:uid="{AA93A3BF-07B8-46E1-817C-F3A4A5E68496}" name="Column13953"/>
    <tableColumn id="13954" xr3:uid="{F8DDF19B-62C0-41BF-A034-EB81BC99D65D}" name="Column13954"/>
    <tableColumn id="13955" xr3:uid="{C40CD226-A02B-4F73-AEA3-C97CBD521BC9}" name="Column13955"/>
    <tableColumn id="13956" xr3:uid="{17B613CF-5253-4115-8FBC-392AD14AE017}" name="Column13956"/>
    <tableColumn id="13957" xr3:uid="{E04A0F37-F129-4D9F-904C-EFD756482B8C}" name="Column13957"/>
    <tableColumn id="13958" xr3:uid="{47825AC3-1241-453B-AA2D-C2E731C937F5}" name="Column13958"/>
    <tableColumn id="13959" xr3:uid="{C3F46367-EC25-4750-87FD-A6AEF19FCA4E}" name="Column13959"/>
    <tableColumn id="13960" xr3:uid="{B277D277-5D95-4B2A-9E19-FD1367C541A0}" name="Column13960"/>
    <tableColumn id="13961" xr3:uid="{7A7AAA97-05EA-413C-85B5-6FAB57F7016B}" name="Column13961"/>
    <tableColumn id="13962" xr3:uid="{0E1A29A1-0A50-4BB0-A5F1-35B3C5A10191}" name="Column13962"/>
    <tableColumn id="13963" xr3:uid="{598773F4-4745-4EB6-B789-2EAEDC002166}" name="Column13963"/>
    <tableColumn id="13964" xr3:uid="{19486E68-74F7-4455-8BDB-BAD2D74A0C8F}" name="Column13964"/>
    <tableColumn id="13965" xr3:uid="{3F72C189-06B2-4762-ABCA-2A5D746150AB}" name="Column13965"/>
    <tableColumn id="13966" xr3:uid="{D22AFCE0-1C82-4D93-BA6F-D03690DB1A1C}" name="Column13966"/>
    <tableColumn id="13967" xr3:uid="{1F623568-06AA-4586-A243-6582B19DD00D}" name="Column13967"/>
    <tableColumn id="13968" xr3:uid="{F9F12895-15F3-4592-BC5A-C3FD051E4078}" name="Column13968"/>
    <tableColumn id="13969" xr3:uid="{D72312FA-22B5-4916-BC3B-F68A0B38B15D}" name="Column13969"/>
    <tableColumn id="13970" xr3:uid="{62A96B86-E9BE-40B2-B49E-84814EB69225}" name="Column13970"/>
    <tableColumn id="13971" xr3:uid="{414D06CA-889F-47DD-AD66-1E68BEE5ACAB}" name="Column13971"/>
    <tableColumn id="13972" xr3:uid="{26344029-D785-4DA1-9285-CE99CD2C926F}" name="Column13972"/>
    <tableColumn id="13973" xr3:uid="{6A771A39-20AA-4E8D-AC28-25BDF5E8E802}" name="Column13973"/>
    <tableColumn id="13974" xr3:uid="{2EDBBC24-CA15-4B74-B9DF-C1581F1A05E5}" name="Column13974"/>
    <tableColumn id="13975" xr3:uid="{7389DB80-03E9-4BEF-8DA3-9D1841E392AA}" name="Column13975"/>
    <tableColumn id="13976" xr3:uid="{85AD4E21-547C-433A-952B-D64FF5D2B060}" name="Column13976"/>
    <tableColumn id="13977" xr3:uid="{D68B7B26-DCE1-48D0-BD6B-6D38C520EDCC}" name="Column13977"/>
    <tableColumn id="13978" xr3:uid="{557E94C9-7788-44FC-9CAD-0EB667760AB0}" name="Column13978"/>
    <tableColumn id="13979" xr3:uid="{9FD18782-A588-4555-A71F-03B9355DAFC4}" name="Column13979"/>
    <tableColumn id="13980" xr3:uid="{067B43EA-B9B2-46CF-8998-45371326814F}" name="Column13980"/>
    <tableColumn id="13981" xr3:uid="{BB6E3AB9-95D4-4770-99E5-6F9C2868753A}" name="Column13981"/>
    <tableColumn id="13982" xr3:uid="{3E19B589-2943-42B7-AB27-A0F2D5A9FE75}" name="Column13982"/>
    <tableColumn id="13983" xr3:uid="{2234465F-F553-409E-A3C5-4DE880114898}" name="Column13983"/>
    <tableColumn id="13984" xr3:uid="{58E0D0DB-B047-4CBD-9066-FB4197D737A4}" name="Column13984"/>
    <tableColumn id="13985" xr3:uid="{81DC835C-A16A-40E3-904A-77CBF36EC117}" name="Column13985"/>
    <tableColumn id="13986" xr3:uid="{389BD3FC-08DF-4B73-9715-1DE9033D6540}" name="Column13986"/>
    <tableColumn id="13987" xr3:uid="{6B78353A-F823-4425-88EA-DA544ACBF0F6}" name="Column13987"/>
    <tableColumn id="13988" xr3:uid="{4F72CC87-DE32-441E-839B-209A3590A7D8}" name="Column13988"/>
    <tableColumn id="13989" xr3:uid="{693D4809-F176-4F8E-9FBF-1500A123AB0D}" name="Column13989"/>
    <tableColumn id="13990" xr3:uid="{0DE6FB87-04E8-4FDC-895E-D5AA726584EE}" name="Column13990"/>
    <tableColumn id="13991" xr3:uid="{2B6B89F0-A601-4078-A861-DB33B6415744}" name="Column13991"/>
    <tableColumn id="13992" xr3:uid="{46B5546C-62A6-418F-A86A-324E4246FD67}" name="Column13992"/>
    <tableColumn id="13993" xr3:uid="{B14EB7A2-DB2F-4E39-9D6D-429E2308B115}" name="Column13993"/>
    <tableColumn id="13994" xr3:uid="{FD86F67D-C211-43AB-8C3F-E566AD1A4CB5}" name="Column13994"/>
    <tableColumn id="13995" xr3:uid="{7F59D119-B1DC-46B6-940A-5E70D59D6ADE}" name="Column13995"/>
    <tableColumn id="13996" xr3:uid="{0D4D21A3-4B2C-4C72-AF6B-ECA5473467E8}" name="Column13996"/>
    <tableColumn id="13997" xr3:uid="{F5BB438F-5B93-410D-9BCE-4D43C9A84368}" name="Column13997"/>
    <tableColumn id="13998" xr3:uid="{D5DFA13C-4651-4B11-9139-8FB69D2E8596}" name="Column13998"/>
    <tableColumn id="13999" xr3:uid="{DC82A597-3A84-4058-82DE-9221FA471535}" name="Column13999"/>
    <tableColumn id="14000" xr3:uid="{69D08DD4-7926-4961-A658-B7E9B79F41C9}" name="Column14000"/>
    <tableColumn id="14001" xr3:uid="{25CE4C34-7B4D-4646-A63F-9172E053BA70}" name="Column14001"/>
    <tableColumn id="14002" xr3:uid="{9B51548F-6649-427F-BC27-395A5106AFB1}" name="Column14002"/>
    <tableColumn id="14003" xr3:uid="{533CF37F-272E-4683-AB66-377F0D43481F}" name="Column14003"/>
    <tableColumn id="14004" xr3:uid="{F0552A83-4BD3-42F4-8198-8E9C6E71D17B}" name="Column14004"/>
    <tableColumn id="14005" xr3:uid="{FC49393B-B47A-4325-A972-0098EF545C20}" name="Column14005"/>
    <tableColumn id="14006" xr3:uid="{32690E5F-7B9B-44D3-ABF7-2707B99257AF}" name="Column14006"/>
    <tableColumn id="14007" xr3:uid="{36686306-750A-4400-8356-A2D366FD02D5}" name="Column14007"/>
    <tableColumn id="14008" xr3:uid="{BB148012-EE6F-432D-AAE0-05F8E800CAA0}" name="Column14008"/>
    <tableColumn id="14009" xr3:uid="{D1BF119C-0ED3-4A1C-BE83-93C6295304FD}" name="Column14009"/>
    <tableColumn id="14010" xr3:uid="{BAE018D7-0443-4651-9F36-C0E5C24728DE}" name="Column14010"/>
    <tableColumn id="14011" xr3:uid="{99965BDF-548E-4D75-AD25-D8BD78FC8FCF}" name="Column14011"/>
    <tableColumn id="14012" xr3:uid="{0DFED7DF-941A-4221-AE9E-0B9596EBFE93}" name="Column14012"/>
    <tableColumn id="14013" xr3:uid="{13C82C87-B5E2-4C11-8C9E-625603B7EA1B}" name="Column14013"/>
    <tableColumn id="14014" xr3:uid="{CE923A44-B388-431E-8CFC-74230E2CFBA6}" name="Column14014"/>
    <tableColumn id="14015" xr3:uid="{D6F328D0-6CDD-4117-8977-4021913CE4D8}" name="Column14015"/>
    <tableColumn id="14016" xr3:uid="{50A56ACF-0FBF-4775-B3BE-9ED0EA86FED7}" name="Column14016"/>
    <tableColumn id="14017" xr3:uid="{8CDBE9D8-6A6E-4A6E-B12D-4BD59EE08178}" name="Column14017"/>
    <tableColumn id="14018" xr3:uid="{6D77D21F-7B6B-4D65-96FC-010996509A03}" name="Column14018"/>
    <tableColumn id="14019" xr3:uid="{D6035C16-AB62-4C44-8600-5E3E8FD7DCE3}" name="Column14019"/>
    <tableColumn id="14020" xr3:uid="{20070C2D-ABD0-41E9-B6AA-FA3F0554CB7A}" name="Column14020"/>
    <tableColumn id="14021" xr3:uid="{4BF3C89C-9933-4759-882C-0D5A5AF5D886}" name="Column14021"/>
    <tableColumn id="14022" xr3:uid="{A8CC3689-0E06-4B7C-A026-C1C2EB6FE449}" name="Column14022"/>
    <tableColumn id="14023" xr3:uid="{580D47E0-62EB-4C78-B6BC-F55E1FE50E36}" name="Column14023"/>
    <tableColumn id="14024" xr3:uid="{16788D1B-8571-441B-BBD7-3C3F1F9CA151}" name="Column14024"/>
    <tableColumn id="14025" xr3:uid="{A99733A1-0F5F-453B-B2AF-81900293F1CE}" name="Column14025"/>
    <tableColumn id="14026" xr3:uid="{1AB6E1CC-57D6-4021-94A0-F8B76BB19FE1}" name="Column14026"/>
    <tableColumn id="14027" xr3:uid="{717CD28F-5B81-4158-AB5A-C6C0B182DDEF}" name="Column14027"/>
    <tableColumn id="14028" xr3:uid="{2B74D9BD-B2CD-4375-AC69-4D7DD7B15D6A}" name="Column14028"/>
    <tableColumn id="14029" xr3:uid="{97357889-A388-48DF-8A38-139474CA17F2}" name="Column14029"/>
    <tableColumn id="14030" xr3:uid="{A6FD0EBE-E68A-456F-A89E-CF17B4282458}" name="Column14030"/>
    <tableColumn id="14031" xr3:uid="{96DA56DC-A40E-4182-BCDF-833F8C75CD61}" name="Column14031"/>
    <tableColumn id="14032" xr3:uid="{01801463-A39A-466A-8DF1-8AFA2F550961}" name="Column14032"/>
    <tableColumn id="14033" xr3:uid="{DAA1C47A-65BC-45ED-9DE2-03923B0F19B6}" name="Column14033"/>
    <tableColumn id="14034" xr3:uid="{2D21549F-8C0A-4785-9967-085DC8D55929}" name="Column14034"/>
    <tableColumn id="14035" xr3:uid="{AEB92790-C3E7-465A-9507-4D012CEE6C10}" name="Column14035"/>
    <tableColumn id="14036" xr3:uid="{712BDBEF-A53F-4C2A-80D0-FACDEDD3BE32}" name="Column14036"/>
    <tableColumn id="14037" xr3:uid="{3A4ED7DA-2C6E-4E8B-83F9-D596DA336B46}" name="Column14037"/>
    <tableColumn id="14038" xr3:uid="{A0489B56-EB1F-41AC-B2E9-B32158FDB494}" name="Column14038"/>
    <tableColumn id="14039" xr3:uid="{A8A7E6A6-012F-49FD-A7E4-6CA7B567F428}" name="Column14039"/>
    <tableColumn id="14040" xr3:uid="{FDE96DB4-896F-4FF9-9DD3-0136331A4612}" name="Column14040"/>
    <tableColumn id="14041" xr3:uid="{0EFC7B9C-6D4E-4017-A3C4-112E8C599AEE}" name="Column14041"/>
    <tableColumn id="14042" xr3:uid="{F1A421F4-83CE-4B0B-9CBE-787F406FCB5A}" name="Column14042"/>
    <tableColumn id="14043" xr3:uid="{46C439A9-1CCE-404B-83C3-48755A95DE02}" name="Column14043"/>
    <tableColumn id="14044" xr3:uid="{06E8C9D2-094E-4CCB-9D91-259B190BBBDA}" name="Column14044"/>
    <tableColumn id="14045" xr3:uid="{E955FE9D-5DB7-4E1B-A2D4-E7899CEFF606}" name="Column14045"/>
    <tableColumn id="14046" xr3:uid="{DF881B33-17AA-4E29-8ADD-BB21230E131F}" name="Column14046"/>
    <tableColumn id="14047" xr3:uid="{87390D51-E706-4E84-AEDB-0EBA63944E9C}" name="Column14047"/>
    <tableColumn id="14048" xr3:uid="{BBCCF03C-9A34-4457-88C3-5D8F46988A2D}" name="Column14048"/>
    <tableColumn id="14049" xr3:uid="{A1E0C34B-5081-4B2A-B3F5-1DFD150E90DB}" name="Column14049"/>
    <tableColumn id="14050" xr3:uid="{887899E3-7C7D-4462-A776-10A4147FE843}" name="Column14050"/>
    <tableColumn id="14051" xr3:uid="{0CEE89BF-3EB6-46A3-8E5A-33E34A99ABF4}" name="Column14051"/>
    <tableColumn id="14052" xr3:uid="{4150BAF9-A191-421D-880D-920824F30A4B}" name="Column14052"/>
    <tableColumn id="14053" xr3:uid="{5814B54E-D07D-4806-B9CB-B503D8BC8D65}" name="Column14053"/>
    <tableColumn id="14054" xr3:uid="{AB3AC207-0077-4DFD-8BE3-6FB8D6741D75}" name="Column14054"/>
    <tableColumn id="14055" xr3:uid="{7C59133F-BF6C-4FB2-A04D-1C407E3A7ECD}" name="Column14055"/>
    <tableColumn id="14056" xr3:uid="{18BA5B51-4783-40A6-8367-0D17A9DD1655}" name="Column14056"/>
    <tableColumn id="14057" xr3:uid="{EEBCBD3C-D236-466E-BD8F-6A67B9B260ED}" name="Column14057"/>
    <tableColumn id="14058" xr3:uid="{013F6096-A7AD-42E9-9E3B-464F018EF5A2}" name="Column14058"/>
    <tableColumn id="14059" xr3:uid="{30EE8135-7B95-41CD-A304-027E453A929A}" name="Column14059"/>
    <tableColumn id="14060" xr3:uid="{E8C4F610-3AE7-4327-AF25-7A6856AF1713}" name="Column14060"/>
    <tableColumn id="14061" xr3:uid="{A1514BF0-CE41-424A-8E76-45CCC0DA1AE5}" name="Column14061"/>
    <tableColumn id="14062" xr3:uid="{27B33E96-9910-4757-8E66-1AB2F88645E4}" name="Column14062"/>
    <tableColumn id="14063" xr3:uid="{41C4397A-3877-41D7-B5D7-F79775F83B98}" name="Column14063"/>
    <tableColumn id="14064" xr3:uid="{36F18614-B4BE-4EC6-9C80-3F2523A5F5F9}" name="Column14064"/>
    <tableColumn id="14065" xr3:uid="{18C59497-E0E6-4677-B23E-BE722272DA7D}" name="Column14065"/>
    <tableColumn id="14066" xr3:uid="{46D19E5A-0A11-473B-8877-7F81F8F77CC5}" name="Column14066"/>
    <tableColumn id="14067" xr3:uid="{2FC7D7A4-2B13-4DBA-B46B-A7E0874E99AD}" name="Column14067"/>
    <tableColumn id="14068" xr3:uid="{3080C2A0-519A-49D5-83F4-4F50CDBA40F9}" name="Column14068"/>
    <tableColumn id="14069" xr3:uid="{8BA9D831-DD90-4286-BB80-BBA14588C86A}" name="Column14069"/>
    <tableColumn id="14070" xr3:uid="{43F91154-1353-408C-857A-C16C720E0E72}" name="Column14070"/>
    <tableColumn id="14071" xr3:uid="{5F064F89-245A-4E49-BB2C-113BBC32CFAD}" name="Column14071"/>
    <tableColumn id="14072" xr3:uid="{0C453F1B-AD64-4DB0-ABB6-9B45B80E7A7F}" name="Column14072"/>
    <tableColumn id="14073" xr3:uid="{C1428EDB-C5D3-40EF-B42F-06332FCB7404}" name="Column14073"/>
    <tableColumn id="14074" xr3:uid="{B5C5DE3A-74DB-44F5-9D5C-82074EB3E4A6}" name="Column14074"/>
    <tableColumn id="14075" xr3:uid="{4D699D09-3323-44DF-B9CF-AF7F59887AAC}" name="Column14075"/>
    <tableColumn id="14076" xr3:uid="{24EF3515-E23D-489C-853B-34F178651487}" name="Column14076"/>
    <tableColumn id="14077" xr3:uid="{6A142D26-CD80-4DEF-8645-B915DA6CCE70}" name="Column14077"/>
    <tableColumn id="14078" xr3:uid="{784E1142-CEE3-406E-8175-E8E2717AEA0D}" name="Column14078"/>
    <tableColumn id="14079" xr3:uid="{AA8D0CF1-F8A0-4657-82FF-C906F45C4C08}" name="Column14079"/>
    <tableColumn id="14080" xr3:uid="{392BE2C4-72E5-4804-9D2F-8509DCC0CF04}" name="Column14080"/>
    <tableColumn id="14081" xr3:uid="{E9B7D8CB-B7A0-4FBB-8DB4-E51E8C3A8379}" name="Column14081"/>
    <tableColumn id="14082" xr3:uid="{7847CBDC-B8CF-4F4B-AF6E-A7A87410D978}" name="Column14082"/>
    <tableColumn id="14083" xr3:uid="{72AA22A3-FF99-444D-927C-99662B54C00B}" name="Column14083"/>
    <tableColumn id="14084" xr3:uid="{A78A62CD-CCFD-4D67-8259-45D85DB83F36}" name="Column14084"/>
    <tableColumn id="14085" xr3:uid="{DF264375-23B2-4B24-92A1-CF70D219B3D2}" name="Column14085"/>
    <tableColumn id="14086" xr3:uid="{0D003CD5-B9EA-4FC9-97F4-CF00A362FB6F}" name="Column14086"/>
    <tableColumn id="14087" xr3:uid="{19F3C909-E690-4E1D-B475-FED2FA2D1BC7}" name="Column14087"/>
    <tableColumn id="14088" xr3:uid="{AB1AA5DF-88D7-4FE6-B1BC-3A136122A079}" name="Column14088"/>
    <tableColumn id="14089" xr3:uid="{4421310E-B855-414E-AC62-B0368B16E5DE}" name="Column14089"/>
    <tableColumn id="14090" xr3:uid="{8C56CEFB-8F0F-46F1-8E2F-68F8F06EC008}" name="Column14090"/>
    <tableColumn id="14091" xr3:uid="{62788E8E-3FCC-401D-BE5D-62CBF783CBB1}" name="Column14091"/>
    <tableColumn id="14092" xr3:uid="{496C3140-3BE5-447B-9DE3-22B26594DEA6}" name="Column14092"/>
    <tableColumn id="14093" xr3:uid="{BC39E1B0-4C2C-40E6-B462-1828A10026BE}" name="Column14093"/>
    <tableColumn id="14094" xr3:uid="{9C862629-269F-4E2D-A1AA-35D07B959423}" name="Column14094"/>
    <tableColumn id="14095" xr3:uid="{D34ED4FE-E0D6-47FB-B9F3-AE2D76EE3778}" name="Column14095"/>
    <tableColumn id="14096" xr3:uid="{111ACEB8-8D8A-4772-A19C-0DDC2282D4A5}" name="Column14096"/>
    <tableColumn id="14097" xr3:uid="{39DB5505-3683-45C3-A12E-2FAEFCC67382}" name="Column14097"/>
    <tableColumn id="14098" xr3:uid="{7D42DE5A-4851-42AD-9BF5-740A01CAA998}" name="Column14098"/>
    <tableColumn id="14099" xr3:uid="{48BA77FD-C719-4B94-8C41-DFF4F3002216}" name="Column14099"/>
    <tableColumn id="14100" xr3:uid="{8B83DD1F-878D-42A0-A94A-80915968CC0E}" name="Column14100"/>
    <tableColumn id="14101" xr3:uid="{D31C9CE6-F666-45B6-9881-7AD448C675F6}" name="Column14101"/>
    <tableColumn id="14102" xr3:uid="{7582B285-1F6A-4E5E-A82F-C3CD9512D285}" name="Column14102"/>
    <tableColumn id="14103" xr3:uid="{01BBC3D8-DEFA-425C-96E2-CB42AC41266D}" name="Column14103"/>
    <tableColumn id="14104" xr3:uid="{EE0382CF-F0E0-4213-8F92-3384903E0696}" name="Column14104"/>
    <tableColumn id="14105" xr3:uid="{95604C2B-F092-44C1-A5FC-4B4589827D48}" name="Column14105"/>
    <tableColumn id="14106" xr3:uid="{022D59D2-8F6E-4494-8D4D-354E3D2FB74F}" name="Column14106"/>
    <tableColumn id="14107" xr3:uid="{AB754BDD-2D7C-45A2-A2D7-B8790B4DDBE5}" name="Column14107"/>
    <tableColumn id="14108" xr3:uid="{38513CBF-019B-4002-B70F-52233B6230BB}" name="Column14108"/>
    <tableColumn id="14109" xr3:uid="{50D7D837-21FE-46BD-A9EF-0CFD2A15BB47}" name="Column14109"/>
    <tableColumn id="14110" xr3:uid="{12756F21-49B8-40D0-8668-EBB41799EDD7}" name="Column14110"/>
    <tableColumn id="14111" xr3:uid="{DEEADA54-A85D-4AC0-BFFD-E427BAF5EE4B}" name="Column14111"/>
    <tableColumn id="14112" xr3:uid="{5C4D14A0-4777-4CC4-91B9-8218EA4C1F09}" name="Column14112"/>
    <tableColumn id="14113" xr3:uid="{4726E683-6D9A-465F-9710-9E08F2251709}" name="Column14113"/>
    <tableColumn id="14114" xr3:uid="{42E5F650-84BA-4CC9-BC26-03051B811238}" name="Column14114"/>
    <tableColumn id="14115" xr3:uid="{E6A749A4-7246-4E2D-909B-D3C2C4DBB273}" name="Column14115"/>
    <tableColumn id="14116" xr3:uid="{B2059D29-C9A8-4AEC-9057-DA83B28F50F1}" name="Column14116"/>
    <tableColumn id="14117" xr3:uid="{D70457CB-3829-44BE-867F-3D70454C9F29}" name="Column14117"/>
    <tableColumn id="14118" xr3:uid="{93B245EE-C09E-4B44-833E-E23C96DEFCE4}" name="Column14118"/>
    <tableColumn id="14119" xr3:uid="{F8C0C36B-F870-4463-B6BA-CB27C41884B8}" name="Column14119"/>
    <tableColumn id="14120" xr3:uid="{82AC3CB9-EDF6-4FD2-B084-4C2297E6439B}" name="Column14120"/>
    <tableColumn id="14121" xr3:uid="{2AA267B6-9981-4AA3-BD3B-27C9F352F4D4}" name="Column14121"/>
    <tableColumn id="14122" xr3:uid="{77E8632F-296A-4C53-BCF0-341525E1639B}" name="Column14122"/>
    <tableColumn id="14123" xr3:uid="{39B392B6-7E9A-406D-B39F-6CCA8769D0AC}" name="Column14123"/>
    <tableColumn id="14124" xr3:uid="{534629C2-6052-4D81-A390-34BBB2459806}" name="Column14124"/>
    <tableColumn id="14125" xr3:uid="{17290543-96AC-4071-9D0D-59D40555C86F}" name="Column14125"/>
    <tableColumn id="14126" xr3:uid="{0F8BE064-A274-4DFD-95F2-8ED9A2CE1DB0}" name="Column14126"/>
    <tableColumn id="14127" xr3:uid="{03882058-12BF-44CB-AFBF-4EA7E0AE4EC3}" name="Column14127"/>
    <tableColumn id="14128" xr3:uid="{8E2A826B-DE5F-4798-9596-D20121BE5A3D}" name="Column14128"/>
    <tableColumn id="14129" xr3:uid="{A8F8E147-2ABB-4A0E-94CA-8923907DBCF4}" name="Column14129"/>
    <tableColumn id="14130" xr3:uid="{0A3724CF-41F3-431A-9452-C2685797E7E1}" name="Column14130"/>
    <tableColumn id="14131" xr3:uid="{59EC3D96-4A8A-4E42-931D-2E1B7CA8C139}" name="Column14131"/>
    <tableColumn id="14132" xr3:uid="{54AFFF76-E090-481E-8637-F77112281128}" name="Column14132"/>
    <tableColumn id="14133" xr3:uid="{05B83BDA-C241-4C61-B1C3-566066808079}" name="Column14133"/>
    <tableColumn id="14134" xr3:uid="{1E8A3FC0-BB04-4B1D-A3D7-17AA2002CEF5}" name="Column14134"/>
    <tableColumn id="14135" xr3:uid="{C13C3B23-691B-4F5C-89E4-0C3437CB6392}" name="Column14135"/>
    <tableColumn id="14136" xr3:uid="{11457A71-5021-4651-94ED-7FBBCE3027F5}" name="Column14136"/>
    <tableColumn id="14137" xr3:uid="{6E0AAC54-E322-410C-9798-10698005B64D}" name="Column14137"/>
    <tableColumn id="14138" xr3:uid="{201C44D0-87DB-476E-A85D-16724E5C2B68}" name="Column14138"/>
    <tableColumn id="14139" xr3:uid="{25B63A66-8AFB-46CC-A317-14A33F25B0C3}" name="Column14139"/>
    <tableColumn id="14140" xr3:uid="{6C280F76-723B-433B-A618-0CCE35E46023}" name="Column14140"/>
    <tableColumn id="14141" xr3:uid="{0E572CBC-250E-4471-B040-E083B735D8D4}" name="Column14141"/>
    <tableColumn id="14142" xr3:uid="{D874A7B8-0367-4ACC-A471-7E3EAC441C6B}" name="Column14142"/>
    <tableColumn id="14143" xr3:uid="{F4005CD3-2340-4EA2-8032-6023035714C2}" name="Column14143"/>
    <tableColumn id="14144" xr3:uid="{D5E7FB27-B976-46C4-A08A-15329E11CAA2}" name="Column14144"/>
    <tableColumn id="14145" xr3:uid="{A2490D6D-9B3C-46DB-86E1-1AB2C8E34979}" name="Column14145"/>
    <tableColumn id="14146" xr3:uid="{1D2CEA53-D939-498A-A481-5B6FD21006CF}" name="Column14146"/>
    <tableColumn id="14147" xr3:uid="{8E14C18B-4773-4D28-B4ED-F8680586E1E5}" name="Column14147"/>
    <tableColumn id="14148" xr3:uid="{43BF9088-47C7-4C8D-9915-968964C968DE}" name="Column14148"/>
    <tableColumn id="14149" xr3:uid="{D6B659F8-C340-4615-8CD2-260401344FB6}" name="Column14149"/>
    <tableColumn id="14150" xr3:uid="{526CE477-54A5-4509-820D-E8C8880F0F6D}" name="Column14150"/>
    <tableColumn id="14151" xr3:uid="{2BFE7080-D12E-4DF4-9AC5-3291C6FE37F2}" name="Column14151"/>
    <tableColumn id="14152" xr3:uid="{DAFF882A-106D-4612-B4E3-ABA284F339E0}" name="Column14152"/>
    <tableColumn id="14153" xr3:uid="{3FA47D77-F74E-4B6F-A529-AB6DC3DBA2B9}" name="Column14153"/>
    <tableColumn id="14154" xr3:uid="{DBD1589F-A2F5-4FC8-A539-6568B5661EE2}" name="Column14154"/>
    <tableColumn id="14155" xr3:uid="{88151568-99A3-4704-BA16-2599B9E8082E}" name="Column14155"/>
    <tableColumn id="14156" xr3:uid="{680AD97A-6819-4728-A3B0-A90A3810CDC0}" name="Column14156"/>
    <tableColumn id="14157" xr3:uid="{22A91F8E-DF17-4AD2-9450-0F882C82DEBB}" name="Column14157"/>
    <tableColumn id="14158" xr3:uid="{8038CF61-D0E0-4208-B55A-7CCB8539210C}" name="Column14158"/>
    <tableColumn id="14159" xr3:uid="{7D4F2FBB-B0FD-4D09-BD41-DE014AE09ABF}" name="Column14159"/>
    <tableColumn id="14160" xr3:uid="{C8336427-09DE-450A-B0F6-FE4FBCB0B220}" name="Column14160"/>
    <tableColumn id="14161" xr3:uid="{C93A4831-F08E-4BFA-8C36-4A38D80BDF20}" name="Column14161"/>
    <tableColumn id="14162" xr3:uid="{0A668055-ED3F-494E-9754-BFFB75AC3F68}" name="Column14162"/>
    <tableColumn id="14163" xr3:uid="{62FFA7F1-2505-4A42-98DF-0B7A5502A111}" name="Column14163"/>
    <tableColumn id="14164" xr3:uid="{41FB3E20-6FFD-4E10-81D9-B345C5B94B19}" name="Column14164"/>
    <tableColumn id="14165" xr3:uid="{100996A5-E25B-434F-8F7D-AE1DF3190D74}" name="Column14165"/>
    <tableColumn id="14166" xr3:uid="{1A474ED0-4F04-4D0A-B3D5-D98CCA6CA409}" name="Column14166"/>
    <tableColumn id="14167" xr3:uid="{6102F492-3746-40BC-8CA3-731519634CC7}" name="Column14167"/>
    <tableColumn id="14168" xr3:uid="{149B0A0E-7FE5-4506-A50E-6CEFF63B42FA}" name="Column14168"/>
    <tableColumn id="14169" xr3:uid="{70202194-6F54-48E4-89C4-001A1D4029E6}" name="Column14169"/>
    <tableColumn id="14170" xr3:uid="{C1888313-748B-4FD6-A168-BDA87710B41A}" name="Column14170"/>
    <tableColumn id="14171" xr3:uid="{64FFFA81-E054-46FE-B114-0C206883A8C0}" name="Column14171"/>
    <tableColumn id="14172" xr3:uid="{E4667431-73EA-44E2-ABE7-1C33BEAA46AA}" name="Column14172"/>
    <tableColumn id="14173" xr3:uid="{F5A8CCC9-D77A-4865-974A-C1A876819391}" name="Column14173"/>
    <tableColumn id="14174" xr3:uid="{86F43FB8-0F78-4917-A27D-EA7C2FD357C9}" name="Column14174"/>
    <tableColumn id="14175" xr3:uid="{68946B80-A343-41B7-8C96-0D5BD3057483}" name="Column14175"/>
    <tableColumn id="14176" xr3:uid="{D7368294-E119-440E-9691-C7239C50E9D1}" name="Column14176"/>
    <tableColumn id="14177" xr3:uid="{00D60E64-6F9F-4042-9711-D4F9094F0C48}" name="Column14177"/>
    <tableColumn id="14178" xr3:uid="{E8392751-708E-4CA0-8B8A-F6F364EB6065}" name="Column14178"/>
    <tableColumn id="14179" xr3:uid="{B007DF58-25B0-4F50-9893-6762E54C79C7}" name="Column14179"/>
    <tableColumn id="14180" xr3:uid="{16CC6031-9A0A-45EF-AC06-21BB4E35E716}" name="Column14180"/>
    <tableColumn id="14181" xr3:uid="{5FC1C293-142C-4DF6-88F1-9DA8A92A2C62}" name="Column14181"/>
    <tableColumn id="14182" xr3:uid="{2BBC5557-8270-406C-8D25-7E3D5E7B6FC4}" name="Column14182"/>
    <tableColumn id="14183" xr3:uid="{DD058EF8-77CE-4E36-895B-CC893ED373D7}" name="Column14183"/>
    <tableColumn id="14184" xr3:uid="{6F2EE0EB-9070-436E-8D02-1F5EA4D5F553}" name="Column14184"/>
    <tableColumn id="14185" xr3:uid="{9841D8D7-A4BB-4CA5-8B25-CEF2802A9733}" name="Column14185"/>
    <tableColumn id="14186" xr3:uid="{CF392262-5779-4D76-8BB0-F5D8696BD7F7}" name="Column14186"/>
    <tableColumn id="14187" xr3:uid="{5CEBE9D8-DB31-4E87-8164-FF5B2642ABA3}" name="Column14187"/>
    <tableColumn id="14188" xr3:uid="{D70D5F22-00F1-4A89-98D8-3629576357ED}" name="Column14188"/>
    <tableColumn id="14189" xr3:uid="{E69FAE0E-356A-48A3-9344-DC0A362273A2}" name="Column14189"/>
    <tableColumn id="14190" xr3:uid="{5C124F4F-0DA1-468B-8EE4-0B7F7CFE813A}" name="Column14190"/>
    <tableColumn id="14191" xr3:uid="{A5D8A68F-0CC9-4440-98E5-DC877CECBD3E}" name="Column14191"/>
    <tableColumn id="14192" xr3:uid="{86AF70BE-1A7A-47A5-900E-8ABB886C5F80}" name="Column14192"/>
    <tableColumn id="14193" xr3:uid="{21AF2690-7FF6-42DE-B145-2E117B2E72E8}" name="Column14193"/>
    <tableColumn id="14194" xr3:uid="{26D7C1DA-BB68-4FBB-8F5F-84CE05E27D0B}" name="Column14194"/>
    <tableColumn id="14195" xr3:uid="{5C09866F-1EDD-4DF3-ABF9-C672E4A7D74B}" name="Column14195"/>
    <tableColumn id="14196" xr3:uid="{0EFF2EC8-B28B-49C3-82FE-B45C05F16BF1}" name="Column14196"/>
    <tableColumn id="14197" xr3:uid="{065CDA0D-2BE5-4B57-964B-662A6438B14C}" name="Column14197"/>
    <tableColumn id="14198" xr3:uid="{090492CE-10EB-446D-8440-A9DB6E7F42AD}" name="Column14198"/>
    <tableColumn id="14199" xr3:uid="{89CC4A34-0416-4487-AE77-41A87E6A86DF}" name="Column14199"/>
    <tableColumn id="14200" xr3:uid="{3BF01A7D-7FF2-433A-AAE4-242B6C3CD1E2}" name="Column14200"/>
    <tableColumn id="14201" xr3:uid="{5186FF9C-193B-49B9-93F9-59268B126A2F}" name="Column14201"/>
    <tableColumn id="14202" xr3:uid="{85F52639-7786-482C-9D04-0E7D032A3AE3}" name="Column14202"/>
    <tableColumn id="14203" xr3:uid="{66380264-1844-4ADD-BB0A-EFD3FEE72B35}" name="Column14203"/>
    <tableColumn id="14204" xr3:uid="{6798DFB3-25A0-4D12-A151-9862E0FB24F0}" name="Column14204"/>
    <tableColumn id="14205" xr3:uid="{B66E2738-DBC3-4814-8A0F-CCA85328B5C1}" name="Column14205"/>
    <tableColumn id="14206" xr3:uid="{EFE20743-F540-4087-BA98-5D31FA673B39}" name="Column14206"/>
    <tableColumn id="14207" xr3:uid="{55F6771C-7D17-4F74-B359-FA4857B0E20B}" name="Column14207"/>
    <tableColumn id="14208" xr3:uid="{6D224835-ACC8-4E7B-AEAF-27971DE17D5B}" name="Column14208"/>
    <tableColumn id="14209" xr3:uid="{F0B0FAD7-5EA2-41C5-A7EF-6DFA614216B1}" name="Column14209"/>
    <tableColumn id="14210" xr3:uid="{A7FDABAA-A4EB-4FEE-93A4-378201DFC58F}" name="Column14210"/>
    <tableColumn id="14211" xr3:uid="{09366334-8A47-4E65-AF62-46A6A2B3AABF}" name="Column14211"/>
    <tableColumn id="14212" xr3:uid="{6BEDD251-212B-4551-A321-9434DF71607C}" name="Column14212"/>
    <tableColumn id="14213" xr3:uid="{BCB28617-D257-4FCC-A76A-6E0522060AC1}" name="Column14213"/>
    <tableColumn id="14214" xr3:uid="{98DADC2D-49C8-436D-9BC8-5F3D83A1AFB3}" name="Column14214"/>
    <tableColumn id="14215" xr3:uid="{588C36B8-D689-45C7-A3FE-6978EDD9FDD7}" name="Column14215"/>
    <tableColumn id="14216" xr3:uid="{3EB3714C-81CB-4406-A764-B06D0424BB2C}" name="Column14216"/>
    <tableColumn id="14217" xr3:uid="{33432473-AF24-4F32-A333-48DC2BBDC367}" name="Column14217"/>
    <tableColumn id="14218" xr3:uid="{E36FE9A2-B9B4-4321-BD16-EF8C5ADF7F59}" name="Column14218"/>
    <tableColumn id="14219" xr3:uid="{2EC2C25C-6CB3-40E2-AF72-8D3225F6170A}" name="Column14219"/>
    <tableColumn id="14220" xr3:uid="{BA441FE9-6BA6-4E1C-88BA-669F03192ED2}" name="Column14220"/>
    <tableColumn id="14221" xr3:uid="{38F3EDCA-B350-4937-BE29-7438FF825A32}" name="Column14221"/>
    <tableColumn id="14222" xr3:uid="{00A65F26-4207-42EC-B088-17DFF748900A}" name="Column14222"/>
    <tableColumn id="14223" xr3:uid="{32D817C0-84D2-4AA1-B9BE-AC3F069E7C09}" name="Column14223"/>
    <tableColumn id="14224" xr3:uid="{5FDB133B-8453-4BF9-BD63-9B1E31CCD838}" name="Column14224"/>
    <tableColumn id="14225" xr3:uid="{9BD1E9B3-8535-4288-9BE2-BD2A069FB834}" name="Column14225"/>
    <tableColumn id="14226" xr3:uid="{77C73E43-3F1A-4B90-9D09-D4FF8410790E}" name="Column14226"/>
    <tableColumn id="14227" xr3:uid="{92781898-FCC8-4292-A348-A632BC75D687}" name="Column14227"/>
    <tableColumn id="14228" xr3:uid="{9E55CFF6-44CE-4BE2-8C73-D53536A6A84E}" name="Column14228"/>
    <tableColumn id="14229" xr3:uid="{55D2ABFF-CD0F-48A6-B864-6C170F541127}" name="Column14229"/>
    <tableColumn id="14230" xr3:uid="{EE6D49D1-B4E5-4D28-BB60-351F8EB6EEF1}" name="Column14230"/>
    <tableColumn id="14231" xr3:uid="{4D5BA915-5764-4B8D-AA81-B11B1673AEE2}" name="Column14231"/>
    <tableColumn id="14232" xr3:uid="{89373FBE-89F4-459C-BF9F-01005FBC18EF}" name="Column14232"/>
    <tableColumn id="14233" xr3:uid="{B016B73E-CE99-47B2-92D7-9914FF20E3BB}" name="Column14233"/>
    <tableColumn id="14234" xr3:uid="{A91312CC-7B6B-4802-9D5E-A34AEACF560E}" name="Column14234"/>
    <tableColumn id="14235" xr3:uid="{7AD731A4-EA32-41A9-9570-7149377F98D4}" name="Column14235"/>
    <tableColumn id="14236" xr3:uid="{D710DD7F-BD81-49AC-AD78-C23ED4F65B85}" name="Column14236"/>
    <tableColumn id="14237" xr3:uid="{873250A9-9AE6-46AF-9E6F-81E52DE683BB}" name="Column14237"/>
    <tableColumn id="14238" xr3:uid="{05908760-292B-4AF1-A98D-7C65CA9C5303}" name="Column14238"/>
    <tableColumn id="14239" xr3:uid="{B8A90581-0BAB-473D-9D1B-683BE3EBF48F}" name="Column14239"/>
    <tableColumn id="14240" xr3:uid="{DD382974-83F7-416C-B58A-DAF54915762B}" name="Column14240"/>
    <tableColumn id="14241" xr3:uid="{B888951F-CBF3-4635-A5B9-E1C8CBD6EBB4}" name="Column14241"/>
    <tableColumn id="14242" xr3:uid="{ADE02AAA-71D7-4345-B1CC-50645534DA91}" name="Column14242"/>
    <tableColumn id="14243" xr3:uid="{70C214E4-3943-4AFB-87BA-C5E2900EE128}" name="Column14243"/>
    <tableColumn id="14244" xr3:uid="{49A8526C-87AD-4EC8-8F55-EAC6E61F68B5}" name="Column14244"/>
    <tableColumn id="14245" xr3:uid="{17FD848E-64B1-43AF-99C9-EABF0E4A74F2}" name="Column14245"/>
    <tableColumn id="14246" xr3:uid="{A81E846D-1AEE-4FBE-A73D-4438CFE96AF3}" name="Column14246"/>
    <tableColumn id="14247" xr3:uid="{C42106AB-7D52-4260-957C-F9836EFD0F9D}" name="Column14247"/>
    <tableColumn id="14248" xr3:uid="{9D1A8956-0807-46C3-8039-E50832328678}" name="Column14248"/>
    <tableColumn id="14249" xr3:uid="{A5EDF9BE-854B-49A7-A3D9-64BB92FC60CD}" name="Column14249"/>
    <tableColumn id="14250" xr3:uid="{3F1D1DC5-AA22-4893-844C-AA8194737B71}" name="Column14250"/>
    <tableColumn id="14251" xr3:uid="{A89F7D47-E51A-41F2-8032-A9E05600360C}" name="Column14251"/>
    <tableColumn id="14252" xr3:uid="{75C8FB16-B99D-4919-92A8-67FCE610473B}" name="Column14252"/>
    <tableColumn id="14253" xr3:uid="{0B536237-5E3A-4910-A2D1-DEAA1873D7FA}" name="Column14253"/>
    <tableColumn id="14254" xr3:uid="{26B55449-8539-46EA-A7D8-F052EBF0D45A}" name="Column14254"/>
    <tableColumn id="14255" xr3:uid="{4B43235F-04D0-453D-BDEF-9BC9FEF68334}" name="Column14255"/>
    <tableColumn id="14256" xr3:uid="{ABD23C4E-0999-4480-AEA3-4DDAEBCA586F}" name="Column14256"/>
    <tableColumn id="14257" xr3:uid="{8D891F65-431F-49C2-9774-9EF183DBE046}" name="Column14257"/>
    <tableColumn id="14258" xr3:uid="{C7C80D6A-C50E-457A-B40B-001F7906522A}" name="Column14258"/>
    <tableColumn id="14259" xr3:uid="{99623198-1A59-4F3B-B86B-8D6B310DA051}" name="Column14259"/>
    <tableColumn id="14260" xr3:uid="{F8C90677-AD19-4F88-BC74-211600E8AF62}" name="Column14260"/>
    <tableColumn id="14261" xr3:uid="{A34582D3-995F-452B-A67D-7F421B0F468C}" name="Column14261"/>
    <tableColumn id="14262" xr3:uid="{DC93449F-5C9A-43B5-8D03-D7938E06E684}" name="Column14262"/>
    <tableColumn id="14263" xr3:uid="{E895136E-84E6-404F-8E45-03102D54AA54}" name="Column14263"/>
    <tableColumn id="14264" xr3:uid="{68E88B71-6BB4-40AE-A0BA-B8664D332F57}" name="Column14264"/>
    <tableColumn id="14265" xr3:uid="{072826E5-6C68-4CAD-9148-8F444F76DF99}" name="Column14265"/>
    <tableColumn id="14266" xr3:uid="{DC9A2043-8164-49D4-982B-A43294A84311}" name="Column14266"/>
    <tableColumn id="14267" xr3:uid="{211AAC5B-818D-40C8-B13F-1F9893866145}" name="Column14267"/>
    <tableColumn id="14268" xr3:uid="{8D75B10D-E462-43B4-AB38-57120495C620}" name="Column14268"/>
    <tableColumn id="14269" xr3:uid="{F7F5BA80-1376-475A-9CD5-CC0EEA4E8B85}" name="Column14269"/>
    <tableColumn id="14270" xr3:uid="{04EEF3C5-2F56-4D3E-A0D9-B4979F712EB1}" name="Column14270"/>
    <tableColumn id="14271" xr3:uid="{506EFD4A-CDC4-4483-94F7-9C16DDC508B1}" name="Column14271"/>
    <tableColumn id="14272" xr3:uid="{DEF52AA8-3ECE-480B-88EF-860BC0AECFB3}" name="Column14272"/>
    <tableColumn id="14273" xr3:uid="{83F3983E-5F77-457E-AAE4-1E3B8D96E02C}" name="Column14273"/>
    <tableColumn id="14274" xr3:uid="{66AD67F3-D78D-4760-A817-D3CAB5095FA8}" name="Column14274"/>
    <tableColumn id="14275" xr3:uid="{66DEE4D3-82B0-4C0D-8AD8-0C365793023D}" name="Column14275"/>
    <tableColumn id="14276" xr3:uid="{FE801C15-C184-4E40-B96A-37488310A430}" name="Column14276"/>
    <tableColumn id="14277" xr3:uid="{9501BE39-73A8-4F34-88EF-711F2D775E9B}" name="Column14277"/>
    <tableColumn id="14278" xr3:uid="{037498BC-74EF-4E14-9B94-DA5E2EE637B3}" name="Column14278"/>
    <tableColumn id="14279" xr3:uid="{DEF84A4D-2446-4EF6-88FA-4AF38BD94D57}" name="Column14279"/>
    <tableColumn id="14280" xr3:uid="{284564F9-ABE7-4C75-8DF7-A48B7F769C12}" name="Column14280"/>
    <tableColumn id="14281" xr3:uid="{653216FA-39EB-4A5C-A838-7156AA130D44}" name="Column14281"/>
    <tableColumn id="14282" xr3:uid="{ABD2ED54-E9CA-4E52-A42B-BBC9939DDFCE}" name="Column14282"/>
    <tableColumn id="14283" xr3:uid="{86E53BA1-4FC2-429C-9619-8C0956BE81BF}" name="Column14283"/>
    <tableColumn id="14284" xr3:uid="{E6EB7C74-CAA9-4822-83EB-96B81556EA17}" name="Column14284"/>
    <tableColumn id="14285" xr3:uid="{4F1A0054-639C-4B80-A8EE-A730DBB6BA88}" name="Column14285"/>
    <tableColumn id="14286" xr3:uid="{57A46CF1-1286-4A52-BF0E-87098649B0AF}" name="Column14286"/>
    <tableColumn id="14287" xr3:uid="{3511BE70-AE8C-4189-B094-CBFC726732D0}" name="Column14287"/>
    <tableColumn id="14288" xr3:uid="{FC2A69BE-673B-4B05-A474-7CCD123CCF40}" name="Column14288"/>
    <tableColumn id="14289" xr3:uid="{8F6BE8DD-6FDF-42F8-A4E9-0B20991BA361}" name="Column14289"/>
    <tableColumn id="14290" xr3:uid="{1614317E-99E7-4F3F-8ACC-E59AAE7288E0}" name="Column14290"/>
    <tableColumn id="14291" xr3:uid="{BFC2A145-3EDB-435C-9FE9-8A7A8F7407F8}" name="Column14291"/>
    <tableColumn id="14292" xr3:uid="{0656DC4A-4F6D-4C71-9C89-5F51318CD300}" name="Column14292"/>
    <tableColumn id="14293" xr3:uid="{D744E93E-4B27-410A-B996-FC8AB680B221}" name="Column14293"/>
    <tableColumn id="14294" xr3:uid="{9F6CDA4A-AFDB-4C0A-AB6D-62F2197E5F1B}" name="Column14294"/>
    <tableColumn id="14295" xr3:uid="{DB66AAFF-53DB-4F73-A70D-AAFD0A9B82C7}" name="Column14295"/>
    <tableColumn id="14296" xr3:uid="{B127C203-7349-42AC-AAA5-86BC6C1A6236}" name="Column14296"/>
    <tableColumn id="14297" xr3:uid="{89F7C495-82D3-4913-97D7-C9098B98E6E9}" name="Column14297"/>
    <tableColumn id="14298" xr3:uid="{5FE6881E-BDA5-48CE-B04D-F6CA95A4C7D3}" name="Column14298"/>
    <tableColumn id="14299" xr3:uid="{E42C6D8F-227C-49BB-A281-656C4589A634}" name="Column14299"/>
    <tableColumn id="14300" xr3:uid="{C1024308-7735-4CFE-92D1-074B558D2931}" name="Column14300"/>
    <tableColumn id="14301" xr3:uid="{2C9E1BC3-8A48-4169-B106-FC3487D4BE41}" name="Column14301"/>
    <tableColumn id="14302" xr3:uid="{08C64886-286A-42AC-BC02-B8D9CB958E7B}" name="Column14302"/>
    <tableColumn id="14303" xr3:uid="{61A60FA2-FEC0-4466-9C6E-CFA0BCC2F637}" name="Column14303"/>
    <tableColumn id="14304" xr3:uid="{F18ABF5E-1257-4311-9196-3C0A7FD380F9}" name="Column14304"/>
    <tableColumn id="14305" xr3:uid="{6977ED92-AB66-4846-A509-F95825DFFEFA}" name="Column14305"/>
    <tableColumn id="14306" xr3:uid="{C94E3C56-557C-4E64-9553-DD255B769003}" name="Column14306"/>
    <tableColumn id="14307" xr3:uid="{2FF3D2AC-B8B9-4542-9628-13A0CDDC9F4A}" name="Column14307"/>
    <tableColumn id="14308" xr3:uid="{51104F78-AC88-47FD-9D10-155B52524547}" name="Column14308"/>
    <tableColumn id="14309" xr3:uid="{A49C42BD-9F94-4784-8735-34F5F3ECF59D}" name="Column14309"/>
    <tableColumn id="14310" xr3:uid="{F0DDEE30-D98C-4F43-B5A6-750BE7A7ED4E}" name="Column14310"/>
    <tableColumn id="14311" xr3:uid="{FBCA78F0-FA4E-4A4E-B104-2763C26A44AD}" name="Column14311"/>
    <tableColumn id="14312" xr3:uid="{E5615FF7-F35F-4451-AA55-5F00BB4CE261}" name="Column14312"/>
    <tableColumn id="14313" xr3:uid="{3817E958-94C9-4384-90F3-FD507790CF2D}" name="Column14313"/>
    <tableColumn id="14314" xr3:uid="{E2BCC9CC-130F-47A2-BF47-FDC1100D6926}" name="Column14314"/>
    <tableColumn id="14315" xr3:uid="{7B05BBFC-506A-44CE-92B5-4EAA57577BA0}" name="Column14315"/>
    <tableColumn id="14316" xr3:uid="{62E42944-D44E-40B0-8562-BC161B614EFE}" name="Column14316"/>
    <tableColumn id="14317" xr3:uid="{32BFD6FE-94BA-405A-A28E-0515D6999DCF}" name="Column14317"/>
    <tableColumn id="14318" xr3:uid="{AF083729-C19A-4104-8043-A74896BC0D11}" name="Column14318"/>
    <tableColumn id="14319" xr3:uid="{87D56E01-3D57-4240-8E65-63E0B325EDD4}" name="Column14319"/>
    <tableColumn id="14320" xr3:uid="{904ED155-BD5F-4438-A4C0-417832EB1384}" name="Column14320"/>
    <tableColumn id="14321" xr3:uid="{015F20CA-658A-4884-8F99-C54C188041CC}" name="Column14321"/>
    <tableColumn id="14322" xr3:uid="{1F6C6B1C-F815-4FB6-82E5-D32E1333886C}" name="Column14322"/>
    <tableColumn id="14323" xr3:uid="{840347E0-6CC3-4878-A1E9-7495ADCC6480}" name="Column14323"/>
    <tableColumn id="14324" xr3:uid="{70383AAA-68B1-4645-BF92-98A73799961E}" name="Column14324"/>
    <tableColumn id="14325" xr3:uid="{CBE31691-B30F-4B5C-8B9B-49ECABF246F3}" name="Column14325"/>
    <tableColumn id="14326" xr3:uid="{DFA13E87-7871-46F9-98DA-5C57AFC6798F}" name="Column14326"/>
    <tableColumn id="14327" xr3:uid="{1A90705A-2B94-48B4-87FE-652C58D431B4}" name="Column14327"/>
    <tableColumn id="14328" xr3:uid="{A093B639-E9AB-424D-9A59-CE6963591485}" name="Column14328"/>
    <tableColumn id="14329" xr3:uid="{00BFF22B-DE17-499C-BE26-A0F3B7570218}" name="Column14329"/>
    <tableColumn id="14330" xr3:uid="{47481606-53C3-4E2D-854F-B27439857C80}" name="Column14330"/>
    <tableColumn id="14331" xr3:uid="{FF7990DF-CA15-4131-8A02-25729DE23361}" name="Column14331"/>
    <tableColumn id="14332" xr3:uid="{182ACCCB-34B2-41A8-AEC1-3D26083726FC}" name="Column14332"/>
    <tableColumn id="14333" xr3:uid="{7869A054-3F0F-4B0F-9703-BF15C219C8CE}" name="Column14333"/>
    <tableColumn id="14334" xr3:uid="{840AA9BA-4665-4F2A-9943-6BAC33F08404}" name="Column14334"/>
    <tableColumn id="14335" xr3:uid="{B33840E7-561F-492F-A71B-ACF006D0D52B}" name="Column14335"/>
    <tableColumn id="14336" xr3:uid="{7423081A-741C-4F4A-B7C6-3D1F56DC99F6}" name="Column14336"/>
    <tableColumn id="14337" xr3:uid="{6F874072-0C0F-46B2-93B9-AFC43A174BB7}" name="Column14337"/>
    <tableColumn id="14338" xr3:uid="{6099D2E3-F13B-45EA-A0C0-EF017AC2B556}" name="Column14338"/>
    <tableColumn id="14339" xr3:uid="{92406E98-6920-458C-884F-9CE1DA83D7F6}" name="Column14339"/>
    <tableColumn id="14340" xr3:uid="{422ADF7B-9540-4DA6-BE5C-442208327279}" name="Column14340"/>
    <tableColumn id="14341" xr3:uid="{7F1BD466-5EA3-4D3A-93AC-DAAD2A03A845}" name="Column14341"/>
    <tableColumn id="14342" xr3:uid="{89D50532-3480-4E65-BD05-1360AE64F6F1}" name="Column14342"/>
    <tableColumn id="14343" xr3:uid="{15B298E2-B912-4A23-8CE9-1D78924BD595}" name="Column14343"/>
    <tableColumn id="14344" xr3:uid="{21F8C22C-3503-4341-883A-09C0B8FAFF58}" name="Column14344"/>
    <tableColumn id="14345" xr3:uid="{D8CF340F-6C2F-40AB-AA98-DCBCFDBF7ED0}" name="Column14345"/>
    <tableColumn id="14346" xr3:uid="{80874D40-B275-4636-AB2F-59E766F646DA}" name="Column14346"/>
    <tableColumn id="14347" xr3:uid="{F7BB3003-594D-4DFD-87FD-A3CEE9264653}" name="Column14347"/>
    <tableColumn id="14348" xr3:uid="{542A81FD-1986-4AA4-8C32-26344191C832}" name="Column14348"/>
    <tableColumn id="14349" xr3:uid="{BB9156E1-43B1-40DF-9AAB-9724ACFA4FB2}" name="Column14349"/>
    <tableColumn id="14350" xr3:uid="{9E4D93CD-4770-4E21-A7D0-9CF6A38BEB48}" name="Column14350"/>
    <tableColumn id="14351" xr3:uid="{5B54735D-A03B-4D04-A479-B5EC2F089B35}" name="Column14351"/>
    <tableColumn id="14352" xr3:uid="{D0C346C7-E663-4ECA-8BE5-8F05938BC184}" name="Column14352"/>
    <tableColumn id="14353" xr3:uid="{5FF93064-9664-404B-8690-604FBE7E1B16}" name="Column14353"/>
    <tableColumn id="14354" xr3:uid="{F05E53FE-8CEC-49BE-85DD-FA03F43AB3CA}" name="Column14354"/>
    <tableColumn id="14355" xr3:uid="{D193B737-9315-4DD5-8EA8-6DA5FD871B0A}" name="Column14355"/>
    <tableColumn id="14356" xr3:uid="{5F464350-3C05-431F-A0F9-21975A1F3068}" name="Column14356"/>
    <tableColumn id="14357" xr3:uid="{42C409E8-694A-4C99-960D-D21581027E46}" name="Column14357"/>
    <tableColumn id="14358" xr3:uid="{21D6F98C-5DC1-47AB-BBBF-627A12A81B72}" name="Column14358"/>
    <tableColumn id="14359" xr3:uid="{131F499C-AFCD-4272-ACDE-1317C3A2B3D1}" name="Column14359"/>
    <tableColumn id="14360" xr3:uid="{0148877E-F736-404B-883C-A4869C940C10}" name="Column14360"/>
    <tableColumn id="14361" xr3:uid="{9073A90B-5C85-40BB-B7BE-2E0E820E1ECD}" name="Column14361"/>
    <tableColumn id="14362" xr3:uid="{8564F33E-06AB-41E3-97A6-4194512877A2}" name="Column14362"/>
    <tableColumn id="14363" xr3:uid="{B38F2598-4DAF-496E-A565-97853A79828D}" name="Column14363"/>
    <tableColumn id="14364" xr3:uid="{486E1820-1353-4F9A-8C34-6BE1EA58E088}" name="Column14364"/>
    <tableColumn id="14365" xr3:uid="{7B1C8689-F06C-41F5-BF3F-039A125EDFC1}" name="Column14365"/>
    <tableColumn id="14366" xr3:uid="{65B11CC8-51BC-4D9C-849D-A414C8AA5FAF}" name="Column14366"/>
    <tableColumn id="14367" xr3:uid="{FCC7C52A-6385-468A-B503-C7EA900CC431}" name="Column14367"/>
    <tableColumn id="14368" xr3:uid="{6CFEF22A-8A2C-45FF-B42C-458E8FFDC111}" name="Column14368"/>
    <tableColumn id="14369" xr3:uid="{3C01F2A1-8175-42A2-86E2-02244D145942}" name="Column14369"/>
    <tableColumn id="14370" xr3:uid="{36B8E87B-F9BA-4354-9189-A068767235E4}" name="Column14370"/>
    <tableColumn id="14371" xr3:uid="{B69CB56F-4642-4D3B-A31D-EFD783E2AFC3}" name="Column14371"/>
    <tableColumn id="14372" xr3:uid="{613E525E-D64F-4793-84A5-8BA5B3CCB605}" name="Column14372"/>
    <tableColumn id="14373" xr3:uid="{573F3F67-EBB7-45C3-8003-38C96597BCEA}" name="Column14373"/>
    <tableColumn id="14374" xr3:uid="{48F392AF-3404-47EE-9A06-1219E2B60407}" name="Column14374"/>
    <tableColumn id="14375" xr3:uid="{0D38D5CA-46CE-4F41-870B-748FC20977AC}" name="Column14375"/>
    <tableColumn id="14376" xr3:uid="{9947939C-AB00-494F-B090-C959EBF01589}" name="Column14376"/>
    <tableColumn id="14377" xr3:uid="{249AA954-6456-402E-90A3-A48C0305C61F}" name="Column14377"/>
    <tableColumn id="14378" xr3:uid="{8A7F76CE-AB58-49F5-84E3-FF6A9B2BD99D}" name="Column14378"/>
    <tableColumn id="14379" xr3:uid="{DA1634FF-AF31-4678-991B-0D4FEDB9E332}" name="Column14379"/>
    <tableColumn id="14380" xr3:uid="{C220D70A-947A-4776-8CAB-D5BE48A78B70}" name="Column14380"/>
    <tableColumn id="14381" xr3:uid="{D794EF02-474B-4990-86E6-34E0A6C0F997}" name="Column14381"/>
    <tableColumn id="14382" xr3:uid="{81EE1E91-B63D-4BC1-BA02-663A11BE1006}" name="Column14382"/>
    <tableColumn id="14383" xr3:uid="{B1B87F92-8CB4-4F15-BD61-701368820904}" name="Column14383"/>
    <tableColumn id="14384" xr3:uid="{F80A3E65-208D-48EF-AC0C-D53CEFA551A2}" name="Column14384"/>
    <tableColumn id="14385" xr3:uid="{51684E7A-1069-4C3F-B103-363155A49CC3}" name="Column14385"/>
    <tableColumn id="14386" xr3:uid="{38FB9430-55BE-48A3-A32B-0719754F5668}" name="Column14386"/>
    <tableColumn id="14387" xr3:uid="{617CA955-81D9-4974-8BC0-39AF959895B6}" name="Column14387"/>
    <tableColumn id="14388" xr3:uid="{1C22C7E1-0A82-4D1C-B8C0-AFDB9E1898EE}" name="Column14388"/>
    <tableColumn id="14389" xr3:uid="{EEAE81F9-9ABB-4FCA-BD58-A4455214AF20}" name="Column14389"/>
    <tableColumn id="14390" xr3:uid="{1DD53054-16AB-4BA3-BADB-1571981BC0B7}" name="Column14390"/>
    <tableColumn id="14391" xr3:uid="{021A4988-A044-46BD-8E35-339C686A12C9}" name="Column14391"/>
    <tableColumn id="14392" xr3:uid="{75966278-600F-4B53-AC4F-6FBD4AF2BDD2}" name="Column14392"/>
    <tableColumn id="14393" xr3:uid="{0DFA4155-4ECD-41AA-9DD3-818B1EFD8727}" name="Column14393"/>
    <tableColumn id="14394" xr3:uid="{F9C11E1B-B4FC-4C78-A78A-28915E343000}" name="Column14394"/>
    <tableColumn id="14395" xr3:uid="{F4F64397-A322-4181-B189-71FA93929095}" name="Column14395"/>
    <tableColumn id="14396" xr3:uid="{55F06BF9-D110-412E-B13F-14B6AACB64A3}" name="Column14396"/>
    <tableColumn id="14397" xr3:uid="{AA4CAC56-BE8E-4DBF-8119-09E81B38C6B3}" name="Column14397"/>
    <tableColumn id="14398" xr3:uid="{8167A9A5-EF36-4889-8107-0BC61A62CF27}" name="Column14398"/>
    <tableColumn id="14399" xr3:uid="{482F26B7-43ED-4F3A-9BC9-C19E3BECBE71}" name="Column14399"/>
    <tableColumn id="14400" xr3:uid="{ED23729C-1F26-4D63-8F5D-773A25F18F78}" name="Column14400"/>
    <tableColumn id="14401" xr3:uid="{4E2366AF-81CF-403E-B922-17F1D92C4470}" name="Column14401"/>
    <tableColumn id="14402" xr3:uid="{083684D7-2DE1-42D4-B83B-5B3C40502128}" name="Column14402"/>
    <tableColumn id="14403" xr3:uid="{C652EB61-0BAD-42C7-BA7B-A580EF8C1485}" name="Column14403"/>
    <tableColumn id="14404" xr3:uid="{3D91A52F-68AC-4879-8C0C-870633FE9511}" name="Column14404"/>
    <tableColumn id="14405" xr3:uid="{49F431E6-2099-421F-A90B-3484BA4A1A09}" name="Column14405"/>
    <tableColumn id="14406" xr3:uid="{E83E89B9-CF60-4D6A-A906-3AA30CE0C6CB}" name="Column14406"/>
    <tableColumn id="14407" xr3:uid="{FFC1EDF3-53EA-44C3-94FE-F9B9C38B5117}" name="Column14407"/>
    <tableColumn id="14408" xr3:uid="{73086929-34E5-41B3-8AD4-1F0F0DB010F0}" name="Column14408"/>
    <tableColumn id="14409" xr3:uid="{13B66914-800D-4322-AD53-9707F906E51F}" name="Column14409"/>
    <tableColumn id="14410" xr3:uid="{756A9267-6DFD-470A-95D8-0C3B08A473E9}" name="Column14410"/>
    <tableColumn id="14411" xr3:uid="{946F1EE0-284E-47A5-AF16-D8BE48B4EB78}" name="Column14411"/>
    <tableColumn id="14412" xr3:uid="{C2C522CF-15D9-4946-A56E-D233E2BCFCF3}" name="Column14412"/>
    <tableColumn id="14413" xr3:uid="{5BAE484D-75C3-4F6B-A886-6930CA4E168E}" name="Column14413"/>
    <tableColumn id="14414" xr3:uid="{0ACEA622-2E15-4019-8A50-CFA414D05223}" name="Column14414"/>
    <tableColumn id="14415" xr3:uid="{C2C0DEC8-C484-4AE9-A3BD-99ABA9202DCD}" name="Column14415"/>
    <tableColumn id="14416" xr3:uid="{4C88D8C6-6B8C-4AFB-85E8-4172323CB956}" name="Column14416"/>
    <tableColumn id="14417" xr3:uid="{7CDAA0A0-ABFC-42EE-9D67-D2FE21B3E526}" name="Column14417"/>
    <tableColumn id="14418" xr3:uid="{183E4ED7-A6A8-431D-A099-73459026DB71}" name="Column14418"/>
    <tableColumn id="14419" xr3:uid="{78448D36-07AE-46C5-B87E-E14735CD8078}" name="Column14419"/>
    <tableColumn id="14420" xr3:uid="{8755CDBB-10D7-4BB0-9DFC-33C01464C28A}" name="Column14420"/>
    <tableColumn id="14421" xr3:uid="{68A29DDC-DF12-4B0E-8949-5A9CFD513AA8}" name="Column14421"/>
    <tableColumn id="14422" xr3:uid="{75CFD082-C713-4260-9CA4-2A3269B19C3D}" name="Column14422"/>
    <tableColumn id="14423" xr3:uid="{0A573087-5FC1-43B9-9AA0-E718022A1842}" name="Column14423"/>
    <tableColumn id="14424" xr3:uid="{94D66A80-D3CC-4DB2-A4CA-0F044C20EB5C}" name="Column14424"/>
    <tableColumn id="14425" xr3:uid="{9496703A-5304-479E-97D0-282D3958AE45}" name="Column14425"/>
    <tableColumn id="14426" xr3:uid="{70EFC6E5-DC54-4D5E-8D2A-B685C81B9899}" name="Column14426"/>
    <tableColumn id="14427" xr3:uid="{B8D37DA7-43DA-456B-8390-41C5BA504D2D}" name="Column14427"/>
    <tableColumn id="14428" xr3:uid="{BBCA48A2-1B09-4C2B-B6AA-98769D19647F}" name="Column14428"/>
    <tableColumn id="14429" xr3:uid="{BF457E66-4C29-4C10-905B-EFAE443971BD}" name="Column14429"/>
    <tableColumn id="14430" xr3:uid="{A4A8ABEB-EB85-4336-8DF4-32AE4244B989}" name="Column14430"/>
    <tableColumn id="14431" xr3:uid="{C11CAF4D-59F8-4B6E-B0E6-125E71DDFD0A}" name="Column14431"/>
    <tableColumn id="14432" xr3:uid="{FA9F6A88-CBEE-4485-9F02-AD9073D33054}" name="Column14432"/>
    <tableColumn id="14433" xr3:uid="{64D4394B-7169-460A-9A16-8E839B5A01A2}" name="Column14433"/>
    <tableColumn id="14434" xr3:uid="{3DF9AD86-15BA-4EFB-8C59-208790AA25CB}" name="Column14434"/>
    <tableColumn id="14435" xr3:uid="{0867D348-37B9-4F90-AEEB-24B76207399B}" name="Column14435"/>
    <tableColumn id="14436" xr3:uid="{36D01C83-C237-4286-8626-BC3010BFC4CC}" name="Column14436"/>
    <tableColumn id="14437" xr3:uid="{AB2A3045-095A-40BD-9832-535C5C3374BC}" name="Column14437"/>
    <tableColumn id="14438" xr3:uid="{E272BEEB-26EE-4D38-8ECC-2B5B07AAF2D7}" name="Column14438"/>
    <tableColumn id="14439" xr3:uid="{D85EF7D9-6B48-473D-8852-5ED125D30A85}" name="Column14439"/>
    <tableColumn id="14440" xr3:uid="{78BD087C-43D1-4379-B56D-0502230092E4}" name="Column14440"/>
    <tableColumn id="14441" xr3:uid="{CC938E90-31E6-4C2E-BAB4-B1E81BCF96C9}" name="Column14441"/>
    <tableColumn id="14442" xr3:uid="{917C0783-D9C1-4C4A-B75B-EEA26DEE7C74}" name="Column14442"/>
    <tableColumn id="14443" xr3:uid="{0C7AFD27-E3BE-42EB-9B72-57E7034537D3}" name="Column14443"/>
    <tableColumn id="14444" xr3:uid="{3A9B10DC-EBFD-4431-876D-3CCA97646A43}" name="Column14444"/>
    <tableColumn id="14445" xr3:uid="{DE39BB78-FE61-4D12-AB18-33844B53CADD}" name="Column14445"/>
    <tableColumn id="14446" xr3:uid="{02B9FF35-1F2C-47E8-A1EF-5170DCE6B5ED}" name="Column14446"/>
    <tableColumn id="14447" xr3:uid="{15FE55C6-FC02-43D7-8168-1D1557C9B1CD}" name="Column14447"/>
    <tableColumn id="14448" xr3:uid="{F67B13C6-3A21-4B43-B9B6-2312D8DB9C8A}" name="Column14448"/>
    <tableColumn id="14449" xr3:uid="{CD7AE9F7-D206-465D-9872-9BC25B926E39}" name="Column14449"/>
    <tableColumn id="14450" xr3:uid="{4489393D-2818-4F21-9EDC-6760DA8377A2}" name="Column14450"/>
    <tableColumn id="14451" xr3:uid="{0AD2D699-832C-495D-BFEE-12CC1218B2FF}" name="Column14451"/>
    <tableColumn id="14452" xr3:uid="{9D59E953-956D-49AE-B1A7-DCC7BF9FAA0C}" name="Column14452"/>
    <tableColumn id="14453" xr3:uid="{29AF4D52-704B-448F-B0FC-3866A4745751}" name="Column14453"/>
    <tableColumn id="14454" xr3:uid="{389E0D9C-D8ED-49A7-9CCD-A84BEDC8E55E}" name="Column14454"/>
    <tableColumn id="14455" xr3:uid="{C03A3023-0A0C-420C-AFD1-6CDEEEC4C6A7}" name="Column14455"/>
    <tableColumn id="14456" xr3:uid="{074B9CC0-AB3D-46C0-B89E-AE2D14F18D8A}" name="Column14456"/>
    <tableColumn id="14457" xr3:uid="{FC04EC7C-4162-45FB-822F-355922881E29}" name="Column14457"/>
    <tableColumn id="14458" xr3:uid="{D58055F6-0052-473C-B20F-7D98CD0E88DF}" name="Column14458"/>
    <tableColumn id="14459" xr3:uid="{DFDD8BA4-1B2A-4119-891F-FC37E73C99FB}" name="Column14459"/>
    <tableColumn id="14460" xr3:uid="{5A626EB4-68B4-44C2-B40C-B7A3A73DF26B}" name="Column14460"/>
    <tableColumn id="14461" xr3:uid="{DF7AFC7C-79C1-407B-91DE-B99AB9ED1F0E}" name="Column14461"/>
    <tableColumn id="14462" xr3:uid="{9BFE291F-3203-4CAB-B2B7-32960B29D9C9}" name="Column14462"/>
    <tableColumn id="14463" xr3:uid="{5C067661-446B-4105-8985-95F61A87555F}" name="Column14463"/>
    <tableColumn id="14464" xr3:uid="{F0F8800B-A1CA-4DEC-A6B2-A41D07054757}" name="Column14464"/>
    <tableColumn id="14465" xr3:uid="{EF87ED27-2AE0-426D-A4E8-999B4840C905}" name="Column14465"/>
    <tableColumn id="14466" xr3:uid="{314CDC7D-7AFD-40F6-93DE-930C7C9F01DC}" name="Column14466"/>
    <tableColumn id="14467" xr3:uid="{DC9D4EA5-A657-41D1-8D86-CF475B54ACBC}" name="Column14467"/>
    <tableColumn id="14468" xr3:uid="{A09AA1A5-BF91-4B1B-9ACF-D21D56036993}" name="Column14468"/>
    <tableColumn id="14469" xr3:uid="{E78AEEE3-5149-4DA0-AA82-60B9F2671095}" name="Column14469"/>
    <tableColumn id="14470" xr3:uid="{1AEA73DD-473C-4A48-AE2B-B879CE2DD2A3}" name="Column14470"/>
    <tableColumn id="14471" xr3:uid="{C600E00F-C540-4A21-BCB8-6164293BBE05}" name="Column14471"/>
    <tableColumn id="14472" xr3:uid="{CB2B7F7E-FB6E-4576-BC0A-80CE5DFB5334}" name="Column14472"/>
    <tableColumn id="14473" xr3:uid="{44A4E221-27A6-439C-8217-53246C5A22EE}" name="Column14473"/>
    <tableColumn id="14474" xr3:uid="{DCE9BF4C-9126-4B4C-B821-2CDF407BB591}" name="Column14474"/>
    <tableColumn id="14475" xr3:uid="{FA97A6B8-2DEC-4982-B143-90AB599BF38F}" name="Column14475"/>
    <tableColumn id="14476" xr3:uid="{A68504C4-9785-470C-9A92-A08B7C5027D4}" name="Column14476"/>
    <tableColumn id="14477" xr3:uid="{BFE5F783-EFDA-4A4C-883C-8AA469862518}" name="Column14477"/>
    <tableColumn id="14478" xr3:uid="{02F6A8F3-B0DE-4ED2-8486-F8F2ED430007}" name="Column14478"/>
    <tableColumn id="14479" xr3:uid="{DF48DC16-896D-48BC-91EF-CF80303569EE}" name="Column14479"/>
    <tableColumn id="14480" xr3:uid="{8AA11769-A3B0-42BF-9062-CD9CF729789E}" name="Column14480"/>
    <tableColumn id="14481" xr3:uid="{455F6B57-DF4F-411E-8076-D6EF7255E1DE}" name="Column14481"/>
    <tableColumn id="14482" xr3:uid="{F69AD3B6-E85B-40BA-BC26-4ADE1DB7A3BA}" name="Column14482"/>
    <tableColumn id="14483" xr3:uid="{F3C86248-55A7-4FAC-A09B-94AFB7760515}" name="Column14483"/>
    <tableColumn id="14484" xr3:uid="{7CE07C72-FDEC-474C-9B7A-CC224119FEC3}" name="Column14484"/>
    <tableColumn id="14485" xr3:uid="{E29D2D98-3662-463A-886D-CBB48549E7EA}" name="Column14485"/>
    <tableColumn id="14486" xr3:uid="{7DA2D457-44EA-4D0B-8819-1DB50C44C90F}" name="Column14486"/>
    <tableColumn id="14487" xr3:uid="{D1085F9B-27BD-4AE8-B328-1ACE596E161A}" name="Column14487"/>
    <tableColumn id="14488" xr3:uid="{7FFC10B3-4205-4D7D-A5EC-993784753C2A}" name="Column14488"/>
    <tableColumn id="14489" xr3:uid="{8594F40A-AC0E-4869-B643-368B2429C350}" name="Column14489"/>
    <tableColumn id="14490" xr3:uid="{F5999FC9-6582-4C0C-9E17-BA86012D8991}" name="Column14490"/>
    <tableColumn id="14491" xr3:uid="{2AC09F4F-1B39-4F63-96B5-B60D6EAD3A5B}" name="Column14491"/>
    <tableColumn id="14492" xr3:uid="{A1295522-8F80-41A3-9EA6-A52CAFB53752}" name="Column14492"/>
    <tableColumn id="14493" xr3:uid="{FF3CCDB5-3BD7-475D-A969-DDCC42284C9D}" name="Column14493"/>
    <tableColumn id="14494" xr3:uid="{40529AF4-EAAB-435B-B0C1-ACDC891E71B8}" name="Column14494"/>
    <tableColumn id="14495" xr3:uid="{0035C5E5-B84D-49A5-96A7-A85E2763961D}" name="Column14495"/>
    <tableColumn id="14496" xr3:uid="{97719A26-28D4-4750-A546-AD4355D1D38E}" name="Column14496"/>
    <tableColumn id="14497" xr3:uid="{0DC78B47-6F39-46BA-A397-C89DD03B204D}" name="Column14497"/>
    <tableColumn id="14498" xr3:uid="{B4C23524-E52C-4F24-91F3-0EB0518FDB10}" name="Column14498"/>
    <tableColumn id="14499" xr3:uid="{0211A25D-F8F7-4BF2-BE7F-DA71D3C33F3B}" name="Column14499"/>
    <tableColumn id="14500" xr3:uid="{8A6F88DB-DEB5-454B-BF56-203F36C79062}" name="Column14500"/>
    <tableColumn id="14501" xr3:uid="{83C3A7B5-0A0B-4DD8-AA3D-A6ABBCFA7D42}" name="Column14501"/>
    <tableColumn id="14502" xr3:uid="{4FF3DFFD-E865-47F2-9118-1680F4CD9981}" name="Column14502"/>
    <tableColumn id="14503" xr3:uid="{C941ECC3-24D9-486D-9EB1-A3214EF2B585}" name="Column14503"/>
    <tableColumn id="14504" xr3:uid="{123A66C2-A4BF-41BB-9BCD-7AE8DBD12019}" name="Column14504"/>
    <tableColumn id="14505" xr3:uid="{CC02661F-3558-4EE5-AD90-E20E18824630}" name="Column14505"/>
    <tableColumn id="14506" xr3:uid="{1B1773B5-9B9F-43C1-B75A-076119B44E6D}" name="Column14506"/>
    <tableColumn id="14507" xr3:uid="{37CB36D3-EC64-42D4-B029-A8AA0D113E62}" name="Column14507"/>
    <tableColumn id="14508" xr3:uid="{424A550B-9793-4DF4-AEC6-DC0FB8A4F953}" name="Column14508"/>
    <tableColumn id="14509" xr3:uid="{241C55CD-71A5-4A82-894B-0D93D91035C1}" name="Column14509"/>
    <tableColumn id="14510" xr3:uid="{786CD413-E107-41DC-B650-ECC33C77B6DE}" name="Column14510"/>
    <tableColumn id="14511" xr3:uid="{D324CA93-31AD-4D7C-A10F-D9EC98D1E1EF}" name="Column14511"/>
    <tableColumn id="14512" xr3:uid="{6C0F3A2D-2247-425D-B833-201AEA9C8848}" name="Column14512"/>
    <tableColumn id="14513" xr3:uid="{5BEFFC89-8A49-4C85-A79F-67438D5CD0E3}" name="Column14513"/>
    <tableColumn id="14514" xr3:uid="{1EA41285-B521-4403-9572-53CE788B92F4}" name="Column14514"/>
    <tableColumn id="14515" xr3:uid="{443E6459-1D23-4C3A-BC98-BCD3EF1D184C}" name="Column14515"/>
    <tableColumn id="14516" xr3:uid="{ABE7EE1E-8EBF-40F2-86DE-F0F0418BD089}" name="Column14516"/>
    <tableColumn id="14517" xr3:uid="{9EA50E02-8407-4E50-8B17-64B098E2C59A}" name="Column14517"/>
    <tableColumn id="14518" xr3:uid="{1680FBAF-DA4A-4F1D-B50A-A0829E242154}" name="Column14518"/>
    <tableColumn id="14519" xr3:uid="{2FAE013B-5297-485F-A101-9654F679DA8B}" name="Column14519"/>
    <tableColumn id="14520" xr3:uid="{966CF86D-24D9-43D1-8CAC-0B0E39ECFBBF}" name="Column14520"/>
    <tableColumn id="14521" xr3:uid="{CEA0C246-2AFE-4B24-AE9C-723D21336C8F}" name="Column14521"/>
    <tableColumn id="14522" xr3:uid="{65BDBC09-7F8A-4268-B234-B7B1508F78F4}" name="Column14522"/>
    <tableColumn id="14523" xr3:uid="{4C28068E-EA32-47D1-A8F5-ECE3E4DCE39C}" name="Column14523"/>
    <tableColumn id="14524" xr3:uid="{A7E0EBC3-3FB6-4898-A661-3174CF7254AE}" name="Column14524"/>
    <tableColumn id="14525" xr3:uid="{67FBFAC4-0448-496A-9910-C0F5E8B42098}" name="Column14525"/>
    <tableColumn id="14526" xr3:uid="{57791082-FCF4-466A-A39D-5E4F247062C5}" name="Column14526"/>
    <tableColumn id="14527" xr3:uid="{7825D88E-884E-4700-9596-9D8633616DFE}" name="Column14527"/>
    <tableColumn id="14528" xr3:uid="{DFA4AD92-5150-4E2C-A23B-C5656AB2368F}" name="Column14528"/>
    <tableColumn id="14529" xr3:uid="{F8DBEA10-BB11-4DAC-9CE5-AABA4E1EBBC2}" name="Column14529"/>
    <tableColumn id="14530" xr3:uid="{1B5CCBB1-C78F-438C-B9A5-4336C8C0F506}" name="Column14530"/>
    <tableColumn id="14531" xr3:uid="{85DE34FE-9132-4BC5-9F2F-C4263DBDD215}" name="Column14531"/>
    <tableColumn id="14532" xr3:uid="{1CE06409-68AF-4582-A1BB-41878C4A9C41}" name="Column14532"/>
    <tableColumn id="14533" xr3:uid="{D6597D50-EEAF-45B7-865A-C94F2027428E}" name="Column14533"/>
    <tableColumn id="14534" xr3:uid="{BD93A128-25A0-499F-A5A1-5601B5BCFE4E}" name="Column14534"/>
    <tableColumn id="14535" xr3:uid="{E23867E8-EF60-4933-B504-65D147A40A71}" name="Column14535"/>
    <tableColumn id="14536" xr3:uid="{4E48119D-95F0-4D54-8EBC-BACEA4748961}" name="Column14536"/>
    <tableColumn id="14537" xr3:uid="{37A9DA37-8092-42B3-9F10-65BB1D45E561}" name="Column14537"/>
    <tableColumn id="14538" xr3:uid="{E8BE4E27-F04B-45F0-9A30-B3DE553619B4}" name="Column14538"/>
    <tableColumn id="14539" xr3:uid="{4F9A8254-52E8-4E02-80B4-9CA930ECC495}" name="Column14539"/>
    <tableColumn id="14540" xr3:uid="{70E25C8C-7B1E-482C-9251-4FD435E70064}" name="Column14540"/>
    <tableColumn id="14541" xr3:uid="{FA9E0609-2356-4AB9-B94D-B4947C33F95D}" name="Column14541"/>
    <tableColumn id="14542" xr3:uid="{AD7E8EAB-DA1B-41FE-9A43-54E3A63B5204}" name="Column14542"/>
    <tableColumn id="14543" xr3:uid="{6874CD68-35B1-4E82-8BA6-4D0EBF61D2AA}" name="Column14543"/>
    <tableColumn id="14544" xr3:uid="{D1DC5B0F-95F5-4447-85BB-57889FAB4568}" name="Column14544"/>
    <tableColumn id="14545" xr3:uid="{98242A1D-AB2E-4FCA-986B-5C33B1CC7E71}" name="Column14545"/>
    <tableColumn id="14546" xr3:uid="{1B0D7075-F05F-4A6A-AE0D-458600E327AE}" name="Column14546"/>
    <tableColumn id="14547" xr3:uid="{93F0D83C-FECC-4D8D-95AC-39AD9EB9ABC0}" name="Column14547"/>
    <tableColumn id="14548" xr3:uid="{A7495FA5-4B22-4275-9CDF-0322E988C926}" name="Column14548"/>
    <tableColumn id="14549" xr3:uid="{6B557595-FA17-4613-AA8D-8C119A851E56}" name="Column14549"/>
    <tableColumn id="14550" xr3:uid="{DCB70605-CAB8-4470-A88E-DF0942DBEACE}" name="Column14550"/>
    <tableColumn id="14551" xr3:uid="{42995D24-8F9D-43D5-8517-061514AB7E12}" name="Column14551"/>
    <tableColumn id="14552" xr3:uid="{59DB170D-DCFE-466D-9EE0-1DFD3A80C1DD}" name="Column14552"/>
    <tableColumn id="14553" xr3:uid="{709001FD-1061-4D7E-9291-3F60C02AB6C8}" name="Column14553"/>
    <tableColumn id="14554" xr3:uid="{177DFAF9-98E6-45A0-8D9B-D730AE63526F}" name="Column14554"/>
    <tableColumn id="14555" xr3:uid="{7810D968-6AE8-43EA-9F2B-92BD6A0B7A4B}" name="Column14555"/>
    <tableColumn id="14556" xr3:uid="{494E6EBA-0A26-4C4D-A5D2-B85D1F1EF892}" name="Column14556"/>
    <tableColumn id="14557" xr3:uid="{E7E6DFD9-DAB8-42E7-AF77-AC89E4BCE54A}" name="Column14557"/>
    <tableColumn id="14558" xr3:uid="{A9B20BAC-25AE-4A8D-8F09-7B195FC57DFD}" name="Column14558"/>
    <tableColumn id="14559" xr3:uid="{287EC3ED-A8AD-4670-844E-4FC9B8C1FA6B}" name="Column14559"/>
    <tableColumn id="14560" xr3:uid="{44EA9F0A-8A86-4ABF-A379-0F86BFD8C586}" name="Column14560"/>
    <tableColumn id="14561" xr3:uid="{BC84E3E9-A1CA-4A8C-94BD-674A4C83F799}" name="Column14561"/>
    <tableColumn id="14562" xr3:uid="{40715707-F12D-4742-BED7-3824F8038CC2}" name="Column14562"/>
    <tableColumn id="14563" xr3:uid="{FD0ED884-136C-4B76-A985-8BCD72CF0E25}" name="Column14563"/>
    <tableColumn id="14564" xr3:uid="{E37ADE3B-7A10-46BD-9D09-F8D046D426F3}" name="Column14564"/>
    <tableColumn id="14565" xr3:uid="{D5A578D8-DD1C-437D-9766-BCE99A8A0B10}" name="Column14565"/>
    <tableColumn id="14566" xr3:uid="{7665FEBA-5496-4DED-B2F8-301ED1C77199}" name="Column14566"/>
    <tableColumn id="14567" xr3:uid="{6F9AAFA2-014B-425B-A733-47F2327E61B4}" name="Column14567"/>
    <tableColumn id="14568" xr3:uid="{3E25F5B8-C183-4C65-BB42-7B4C2CA8363D}" name="Column14568"/>
    <tableColumn id="14569" xr3:uid="{6E890687-0EF2-43FC-B638-B7386C8E4C73}" name="Column14569"/>
    <tableColumn id="14570" xr3:uid="{DD20B33B-F92A-4C32-9C7B-A344888EF8BD}" name="Column14570"/>
    <tableColumn id="14571" xr3:uid="{A62C4871-938B-464F-9913-4BCA029121A2}" name="Column14571"/>
    <tableColumn id="14572" xr3:uid="{F3057A2F-C2AA-42F0-87B4-1E8F5FDB0079}" name="Column14572"/>
    <tableColumn id="14573" xr3:uid="{1D4AF6B0-36A6-4D1A-A194-5CD45D18246F}" name="Column14573"/>
    <tableColumn id="14574" xr3:uid="{EED37A9B-5BFD-4021-B6B7-A61DA9B2DD05}" name="Column14574"/>
    <tableColumn id="14575" xr3:uid="{6E31E7C2-0FBE-495C-BDB2-AFC9D313591B}" name="Column14575"/>
    <tableColumn id="14576" xr3:uid="{9ED3D782-0BF8-408B-8359-E3AA2495A34B}" name="Column14576"/>
    <tableColumn id="14577" xr3:uid="{F7B34692-2050-461C-8C9E-929B5501824F}" name="Column14577"/>
    <tableColumn id="14578" xr3:uid="{50FEFD84-85B2-4E47-B801-C8BB4568C572}" name="Column14578"/>
    <tableColumn id="14579" xr3:uid="{D1A574B6-8CAF-4BC1-B4E2-22F682DACA3C}" name="Column14579"/>
    <tableColumn id="14580" xr3:uid="{E57EEE23-C63F-4B9B-A824-450964B571DF}" name="Column14580"/>
    <tableColumn id="14581" xr3:uid="{57A87561-BE14-4206-965F-EC1C1D700F33}" name="Column14581"/>
    <tableColumn id="14582" xr3:uid="{3DBCE5E0-9AB9-419F-8303-DCA7CBDA4970}" name="Column14582"/>
    <tableColumn id="14583" xr3:uid="{5A1A2DC5-3D22-40C3-8C1F-DC40F23DFF9F}" name="Column14583"/>
    <tableColumn id="14584" xr3:uid="{7D6A0760-3E85-425A-A900-CEB3EDA7A284}" name="Column14584"/>
    <tableColumn id="14585" xr3:uid="{E07A1499-00DF-4453-96B5-6F6288E91038}" name="Column14585"/>
    <tableColumn id="14586" xr3:uid="{DCCA722D-5EA8-4199-AA3F-135730B98898}" name="Column14586"/>
    <tableColumn id="14587" xr3:uid="{DC512BFE-E3D8-49FB-B6A2-27A884C98517}" name="Column14587"/>
    <tableColumn id="14588" xr3:uid="{465BC3A8-6613-4120-BFF1-991F3FB8EA75}" name="Column14588"/>
    <tableColumn id="14589" xr3:uid="{4B34B325-D529-4C48-9EDB-4C1E7A94C7FA}" name="Column14589"/>
    <tableColumn id="14590" xr3:uid="{AF02D547-BF9C-4419-9E50-887FD7B929FB}" name="Column14590"/>
    <tableColumn id="14591" xr3:uid="{6DA92A08-EAD0-4883-B92F-4071CDAE44A8}" name="Column14591"/>
    <tableColumn id="14592" xr3:uid="{787BB966-9E5A-454C-A006-1D7B963104E3}" name="Column14592"/>
    <tableColumn id="14593" xr3:uid="{BFC480E3-F4B4-4CF4-82F4-40B56C451AC1}" name="Column14593"/>
    <tableColumn id="14594" xr3:uid="{7624F92C-BDA4-456A-B6A1-D453294A22A4}" name="Column14594"/>
    <tableColumn id="14595" xr3:uid="{692F64EF-8B3C-460F-815D-2C2D1D2073FE}" name="Column14595"/>
    <tableColumn id="14596" xr3:uid="{3CB1A689-C7D6-4B41-A6B5-F43C882D1970}" name="Column14596"/>
    <tableColumn id="14597" xr3:uid="{02628B40-D4A3-429D-9B83-19195E0B67A1}" name="Column14597"/>
    <tableColumn id="14598" xr3:uid="{07F08B4D-24D5-4556-BC23-0851A02E47C6}" name="Column14598"/>
    <tableColumn id="14599" xr3:uid="{7A38EC3E-9B7C-4317-AAB9-581EE8ADB736}" name="Column14599"/>
    <tableColumn id="14600" xr3:uid="{4259861A-2F9F-408A-B882-905DBF226FBE}" name="Column14600"/>
    <tableColumn id="14601" xr3:uid="{0C2107ED-7CB8-40AE-B201-ACBF4DF52A5F}" name="Column14601"/>
    <tableColumn id="14602" xr3:uid="{68BF9408-6C2F-4CB1-B0A5-C0CF852A972E}" name="Column14602"/>
    <tableColumn id="14603" xr3:uid="{C4F3AF68-157D-4DCE-9A79-8C00BC322B1B}" name="Column14603"/>
    <tableColumn id="14604" xr3:uid="{71F05FBA-1792-4F62-BB85-B521E2CEEB7C}" name="Column14604"/>
    <tableColumn id="14605" xr3:uid="{3535396C-D3B8-4F4C-847A-2F783847D463}" name="Column14605"/>
    <tableColumn id="14606" xr3:uid="{49DE0001-DBE0-4662-B7D9-8BAAB7688EA5}" name="Column14606"/>
    <tableColumn id="14607" xr3:uid="{6AB02BC9-2D41-4DD9-B06C-A32F01CD4A56}" name="Column14607"/>
    <tableColumn id="14608" xr3:uid="{D371D024-4200-40FF-AA5D-DB2F6DEEA6D8}" name="Column14608"/>
    <tableColumn id="14609" xr3:uid="{74A35F02-636F-4669-9744-A7F65A45961D}" name="Column14609"/>
    <tableColumn id="14610" xr3:uid="{9BFAD0B8-75F5-440E-A7A7-16FFF985A6D8}" name="Column14610"/>
    <tableColumn id="14611" xr3:uid="{F29FECFA-5DD3-424F-B9E5-6A6F9723B1FA}" name="Column14611"/>
    <tableColumn id="14612" xr3:uid="{EF9F4E65-9AF7-4906-B670-5C894E8D2816}" name="Column14612"/>
    <tableColumn id="14613" xr3:uid="{BEAFEFA2-52B9-41D1-AEE2-1F1DB01AD6D3}" name="Column14613"/>
    <tableColumn id="14614" xr3:uid="{B386EC8F-A2F6-4AFF-97CE-D0A1FD766670}" name="Column14614"/>
    <tableColumn id="14615" xr3:uid="{AFF33E00-4CA6-4705-BF1F-D9A0171D246D}" name="Column14615"/>
    <tableColumn id="14616" xr3:uid="{A3DA1363-8446-4B10-8218-7401D67C443B}" name="Column14616"/>
    <tableColumn id="14617" xr3:uid="{9F62BC26-C0F7-4391-A824-DDA865F37FB6}" name="Column14617"/>
    <tableColumn id="14618" xr3:uid="{092C3264-A7EE-4BBA-BF2B-C3EBFAC4D345}" name="Column14618"/>
    <tableColumn id="14619" xr3:uid="{744758CB-C520-4C61-AD76-E55124915534}" name="Column14619"/>
    <tableColumn id="14620" xr3:uid="{0A0308C1-01B2-4592-9933-7AC93D631178}" name="Column14620"/>
    <tableColumn id="14621" xr3:uid="{BD9BBB51-BD48-4178-A3D4-9C7C9B24C0B7}" name="Column14621"/>
    <tableColumn id="14622" xr3:uid="{31AD8512-F1FD-4452-9A04-E8E101D95BDF}" name="Column14622"/>
    <tableColumn id="14623" xr3:uid="{8F2D9E46-FBD9-4445-84B9-F5AC686BB79F}" name="Column14623"/>
    <tableColumn id="14624" xr3:uid="{311750F6-20F5-4738-952B-1F6A0B07054B}" name="Column14624"/>
    <tableColumn id="14625" xr3:uid="{D12DEF51-733F-4C71-81EA-BFE44ECFE66A}" name="Column14625"/>
    <tableColumn id="14626" xr3:uid="{65B1B0C6-0A69-4B31-BD00-F0FCAF2334D2}" name="Column14626"/>
    <tableColumn id="14627" xr3:uid="{AF110EAB-6534-4EDA-9500-5216C00D5856}" name="Column14627"/>
    <tableColumn id="14628" xr3:uid="{3033A45F-AFD7-40B9-8ACD-A3056B1C77A0}" name="Column14628"/>
    <tableColumn id="14629" xr3:uid="{63DA9966-C660-4666-9000-0E81A6A816F1}" name="Column14629"/>
    <tableColumn id="14630" xr3:uid="{06515E83-AD7A-4D09-8D5B-AD76C4131416}" name="Column14630"/>
    <tableColumn id="14631" xr3:uid="{1D672C73-3C41-4123-90A2-CD306B8CC7CF}" name="Column14631"/>
    <tableColumn id="14632" xr3:uid="{B9EAAC7A-D96C-4F59-B8FB-8C9974E0F2C3}" name="Column14632"/>
    <tableColumn id="14633" xr3:uid="{9AB7DD35-288F-4763-9E32-C92A4DEA5BC2}" name="Column14633"/>
    <tableColumn id="14634" xr3:uid="{1C9C787B-D4B9-4777-836F-FEB250FF9D77}" name="Column14634"/>
    <tableColumn id="14635" xr3:uid="{3FA7BAD0-EFB1-4B8E-AC72-5D4DFB6D346C}" name="Column14635"/>
    <tableColumn id="14636" xr3:uid="{94B9D702-67EB-42B7-BDBA-1921BDA8E511}" name="Column14636"/>
    <tableColumn id="14637" xr3:uid="{B866C0A7-457A-4C91-A580-01809F4A50F1}" name="Column14637"/>
    <tableColumn id="14638" xr3:uid="{8A39DB09-21FE-49A7-9ADC-F50BA08C208F}" name="Column14638"/>
    <tableColumn id="14639" xr3:uid="{C76EFAEE-62E7-40B2-B45E-94C967C77FD4}" name="Column14639"/>
    <tableColumn id="14640" xr3:uid="{3F3FB03B-9D98-4447-9CAB-B421FEDEDFEB}" name="Column14640"/>
    <tableColumn id="14641" xr3:uid="{7704929D-0E46-4190-AC1C-F59E9E4E1D35}" name="Column14641"/>
    <tableColumn id="14642" xr3:uid="{46848120-D1EF-4DF3-AA75-EA1267580818}" name="Column14642"/>
    <tableColumn id="14643" xr3:uid="{DBF48A32-1094-4314-BDB0-E86D4154948E}" name="Column14643"/>
    <tableColumn id="14644" xr3:uid="{3B627D4A-DFD7-4BF1-88AF-6E83A6067F71}" name="Column14644"/>
    <tableColumn id="14645" xr3:uid="{AA6EE12A-51CD-4A1E-9442-16B3CADA6866}" name="Column14645"/>
    <tableColumn id="14646" xr3:uid="{435DF5B7-A1CC-4152-8BB0-96415537DE72}" name="Column14646"/>
    <tableColumn id="14647" xr3:uid="{9857AF69-E7A4-4E13-AA99-6EDCC7A897A6}" name="Column14647"/>
    <tableColumn id="14648" xr3:uid="{14B93442-517A-4868-9D7E-4A06170AC0D2}" name="Column14648"/>
    <tableColumn id="14649" xr3:uid="{629DEFE8-5B1E-4FC4-84CD-256C41802ED2}" name="Column14649"/>
    <tableColumn id="14650" xr3:uid="{BDD1BE96-CE33-439E-A2B0-0430EBCA7E9B}" name="Column14650"/>
    <tableColumn id="14651" xr3:uid="{2785CC40-2A5F-469A-962E-C4F8E5ABCDC4}" name="Column14651"/>
    <tableColumn id="14652" xr3:uid="{69474F55-190E-4FF0-A6ED-560D72DD095C}" name="Column14652"/>
    <tableColumn id="14653" xr3:uid="{6414AD7D-22AF-4A99-A5BA-A8FBD3B60D74}" name="Column14653"/>
    <tableColumn id="14654" xr3:uid="{E12AF306-F9C3-4492-B2CF-9148BDFDAD1F}" name="Column14654"/>
    <tableColumn id="14655" xr3:uid="{8D1A473C-7504-4DC8-9F6C-7621E0501E2D}" name="Column14655"/>
    <tableColumn id="14656" xr3:uid="{F874FECB-2FA0-4B3E-A031-946AFDABF3D2}" name="Column14656"/>
    <tableColumn id="14657" xr3:uid="{1093FF4B-8F7F-42D8-9FE7-7BBED5FE939F}" name="Column14657"/>
    <tableColumn id="14658" xr3:uid="{99D71AC1-DF0D-4996-BD6F-1F57016E98AD}" name="Column14658"/>
    <tableColumn id="14659" xr3:uid="{812FC5D8-A8B1-401C-856A-6BEBA23CCB80}" name="Column14659"/>
    <tableColumn id="14660" xr3:uid="{751EBE6B-17DC-45F6-BB45-959F1F2EB662}" name="Column14660"/>
    <tableColumn id="14661" xr3:uid="{A7838754-2D23-4D90-930A-57899768CEC2}" name="Column14661"/>
    <tableColumn id="14662" xr3:uid="{E450A82C-BE94-4F87-837B-D0470935D83A}" name="Column14662"/>
    <tableColumn id="14663" xr3:uid="{453EC29F-CB6D-4C97-AA02-D86D94BC898C}" name="Column14663"/>
    <tableColumn id="14664" xr3:uid="{5C670EAF-9A4D-46C7-9C83-411DB89AB44E}" name="Column14664"/>
    <tableColumn id="14665" xr3:uid="{ACDC13A3-2528-498B-A54A-916F27D21AC2}" name="Column14665"/>
    <tableColumn id="14666" xr3:uid="{91E4B9A6-CE3A-4772-81A1-0AC1387F7222}" name="Column14666"/>
    <tableColumn id="14667" xr3:uid="{9FCABAFE-BA2D-41F5-9C66-CA22FAFB7D34}" name="Column14667"/>
    <tableColumn id="14668" xr3:uid="{F33FA425-E3FB-4560-9651-80F6E4C33A17}" name="Column14668"/>
    <tableColumn id="14669" xr3:uid="{1AE4E796-5D52-4106-93BE-1162D775389D}" name="Column14669"/>
    <tableColumn id="14670" xr3:uid="{17F5198B-AD2B-4209-96C7-483F06BF5535}" name="Column14670"/>
    <tableColumn id="14671" xr3:uid="{FC99A9CF-079A-451C-A3D5-352090084637}" name="Column14671"/>
    <tableColumn id="14672" xr3:uid="{AE4D82D9-EC35-42D9-B3EC-D117AC718407}" name="Column14672"/>
    <tableColumn id="14673" xr3:uid="{D453DDAF-6210-435F-9F00-3CEF88AD3178}" name="Column14673"/>
    <tableColumn id="14674" xr3:uid="{B66D0D64-AD2C-4E8B-A6BB-B6EB8C45A7CA}" name="Column14674"/>
    <tableColumn id="14675" xr3:uid="{BAAE2DA1-D94A-40F5-BC0F-CFD012B34C3D}" name="Column14675"/>
    <tableColumn id="14676" xr3:uid="{C74F7B26-98FB-45F4-8EBC-3ACA372E9400}" name="Column14676"/>
    <tableColumn id="14677" xr3:uid="{45E33160-DFBF-44D6-8362-503548165863}" name="Column14677"/>
    <tableColumn id="14678" xr3:uid="{3613AF16-81D2-42E2-BEFB-A816F845C0B5}" name="Column14678"/>
    <tableColumn id="14679" xr3:uid="{5AD24F18-0D74-40E9-8D89-94B4C720D8EE}" name="Column14679"/>
    <tableColumn id="14680" xr3:uid="{C273582A-EB76-4CBD-8131-4BFB2D9198BF}" name="Column14680"/>
    <tableColumn id="14681" xr3:uid="{C163C128-E1C2-4738-818F-56FCB83B1039}" name="Column14681"/>
    <tableColumn id="14682" xr3:uid="{F23FD5C4-A7F5-4F7C-A850-B9A8602DD513}" name="Column14682"/>
    <tableColumn id="14683" xr3:uid="{2ECAF947-80B5-4580-B0ED-FA6D58BA50F1}" name="Column14683"/>
    <tableColumn id="14684" xr3:uid="{40FC002E-F6C7-4F50-B247-9BE990BE1136}" name="Column14684"/>
    <tableColumn id="14685" xr3:uid="{993CB5C4-E94C-4159-88A6-11CD3AFED741}" name="Column14685"/>
    <tableColumn id="14686" xr3:uid="{0B177AE0-088C-49E8-92F1-D0342BA0A112}" name="Column14686"/>
    <tableColumn id="14687" xr3:uid="{CDB56021-5C43-44E3-A656-5EE93BBF8FB2}" name="Column14687"/>
    <tableColumn id="14688" xr3:uid="{CE653B71-628B-4CB7-882D-1C4DE47AFA56}" name="Column14688"/>
    <tableColumn id="14689" xr3:uid="{FEA63A8D-A84A-496D-9EC7-12D8B65ACF4B}" name="Column14689"/>
    <tableColumn id="14690" xr3:uid="{57438869-2B3A-488A-9EC3-F8BECAEA06F2}" name="Column14690"/>
    <tableColumn id="14691" xr3:uid="{9FE34A11-29E3-4DEF-8ECC-B37F342C4EA8}" name="Column14691"/>
    <tableColumn id="14692" xr3:uid="{CF0A8FB3-6509-4EF1-A04D-422E14E3C68D}" name="Column14692"/>
    <tableColumn id="14693" xr3:uid="{E68F8B07-19D0-4989-BE03-4C21BC67B43A}" name="Column14693"/>
    <tableColumn id="14694" xr3:uid="{E3BE03D2-2CFE-4DA1-BBE8-53DE79249AEF}" name="Column14694"/>
    <tableColumn id="14695" xr3:uid="{E3CC218D-FD65-40B5-A115-64687E7303FD}" name="Column14695"/>
    <tableColumn id="14696" xr3:uid="{649247E9-4CCB-44D6-A892-774D51799F23}" name="Column14696"/>
    <tableColumn id="14697" xr3:uid="{4CFEA5B4-BF71-4E39-A2DD-DCBA3C7092DB}" name="Column14697"/>
    <tableColumn id="14698" xr3:uid="{3C6DC643-E715-467A-84AF-9D0290AAA33A}" name="Column14698"/>
    <tableColumn id="14699" xr3:uid="{E5C17092-7848-478C-B5F0-D04D8D74A228}" name="Column14699"/>
    <tableColumn id="14700" xr3:uid="{1536ED0B-9F05-478C-A552-691D5585DF3E}" name="Column14700"/>
    <tableColumn id="14701" xr3:uid="{364152DC-4119-4D48-AA5E-C4230A83D212}" name="Column14701"/>
    <tableColumn id="14702" xr3:uid="{2F41EE16-57C9-4B2E-800A-D88636CD78E1}" name="Column14702"/>
    <tableColumn id="14703" xr3:uid="{A7BDE54F-9D73-4BF1-91C2-3D10F94CDC27}" name="Column14703"/>
    <tableColumn id="14704" xr3:uid="{A604B141-617C-48C7-BED7-1916E6B6F650}" name="Column14704"/>
    <tableColumn id="14705" xr3:uid="{3508563B-4478-4934-B797-6ACE6B686553}" name="Column14705"/>
    <tableColumn id="14706" xr3:uid="{5EDA8974-79BA-4CF4-B856-599ABE913730}" name="Column14706"/>
    <tableColumn id="14707" xr3:uid="{E58EB808-6462-4022-B85D-9E365D92B69E}" name="Column14707"/>
    <tableColumn id="14708" xr3:uid="{C6E48C94-BD99-429E-BB94-477FE1D04012}" name="Column14708"/>
    <tableColumn id="14709" xr3:uid="{7B72E7B2-65EF-454A-B8B7-2A34C5ABFB7D}" name="Column14709"/>
    <tableColumn id="14710" xr3:uid="{000EFDC3-A423-4565-B56C-A7A898A8DC55}" name="Column14710"/>
    <tableColumn id="14711" xr3:uid="{D90A928C-0BB1-48D4-AFB0-09209A7B9F84}" name="Column14711"/>
    <tableColumn id="14712" xr3:uid="{820AECDD-99DA-489A-A26B-647ECD33BAFC}" name="Column14712"/>
    <tableColumn id="14713" xr3:uid="{41F37053-EA73-452E-A8A8-267ECD33E3EE}" name="Column14713"/>
    <tableColumn id="14714" xr3:uid="{FFEFA92F-8D20-4DB3-BCCD-E5003ABED2CD}" name="Column14714"/>
    <tableColumn id="14715" xr3:uid="{46C2BB62-9162-491D-94F4-3A94C778B8B8}" name="Column14715"/>
    <tableColumn id="14716" xr3:uid="{02445B34-DC09-4BFA-94CF-2BDC7CF37FCD}" name="Column14716"/>
    <tableColumn id="14717" xr3:uid="{8ADF3891-557B-48C9-9BCA-9E038552730C}" name="Column14717"/>
    <tableColumn id="14718" xr3:uid="{4AA3A988-963E-4C10-8FCF-3A3CCE86721D}" name="Column14718"/>
    <tableColumn id="14719" xr3:uid="{628EDC3C-954C-4260-918E-B7973B6630F6}" name="Column14719"/>
    <tableColumn id="14720" xr3:uid="{75A9D61E-71A9-4CE5-881C-A1FC7077B639}" name="Column14720"/>
    <tableColumn id="14721" xr3:uid="{12313825-2FB1-4801-954E-FEAD1AC792BC}" name="Column14721"/>
    <tableColumn id="14722" xr3:uid="{BF380096-93E2-47A2-9C77-362CDA3843DD}" name="Column14722"/>
    <tableColumn id="14723" xr3:uid="{196EFE5C-DBBD-4D29-B85D-0B4882527404}" name="Column14723"/>
    <tableColumn id="14724" xr3:uid="{D828040B-780F-4107-A4DE-33EB76850F27}" name="Column14724"/>
    <tableColumn id="14725" xr3:uid="{C1B90BE2-546D-40F7-A5C2-FFF928FFE45D}" name="Column14725"/>
    <tableColumn id="14726" xr3:uid="{52D90515-E26D-45AD-A05A-A0C940BA650E}" name="Column14726"/>
    <tableColumn id="14727" xr3:uid="{C85CCFAE-CF7D-4218-89D1-DAE125E7F0AA}" name="Column14727"/>
    <tableColumn id="14728" xr3:uid="{17F276F2-BD48-4C66-8078-C951029C8FD6}" name="Column14728"/>
    <tableColumn id="14729" xr3:uid="{3664CB0D-8E27-4318-8146-7E11A8D1E3A3}" name="Column14729"/>
    <tableColumn id="14730" xr3:uid="{2CE4AE57-C760-4000-BFC1-04F55ED8F590}" name="Column14730"/>
    <tableColumn id="14731" xr3:uid="{C8D9376E-B049-4420-B0F8-1C90B8714D22}" name="Column14731"/>
    <tableColumn id="14732" xr3:uid="{E21DA46B-30F8-4EB6-A7D7-C37932E76E24}" name="Column14732"/>
    <tableColumn id="14733" xr3:uid="{3E4F051C-AC5D-474B-A4D9-64CE1FBCDF6C}" name="Column14733"/>
    <tableColumn id="14734" xr3:uid="{890A31EB-F810-4E28-A60E-45C8C4522ABC}" name="Column14734"/>
    <tableColumn id="14735" xr3:uid="{48F2A5A7-2F00-429F-9D6E-2A651376F1FC}" name="Column14735"/>
    <tableColumn id="14736" xr3:uid="{9C6C4B45-D16A-4D4A-8B7A-A37FBA3B5B0A}" name="Column14736"/>
    <tableColumn id="14737" xr3:uid="{AAE9C12C-A1C4-427B-B443-99263DCF795F}" name="Column14737"/>
    <tableColumn id="14738" xr3:uid="{7B9D48A7-F747-4C5C-A7A2-78EB0106F11D}" name="Column14738"/>
    <tableColumn id="14739" xr3:uid="{F336C0D2-283B-4B1B-8C16-9CE84304F80C}" name="Column14739"/>
    <tableColumn id="14740" xr3:uid="{3460D9F5-BCB1-401D-B774-9A43402B913F}" name="Column14740"/>
    <tableColumn id="14741" xr3:uid="{61AC9765-AA49-4700-8020-967A890955C4}" name="Column14741"/>
    <tableColumn id="14742" xr3:uid="{17BCB77B-3331-467D-963C-9B8909F60FE9}" name="Column14742"/>
    <tableColumn id="14743" xr3:uid="{89B7DC0F-4458-4450-A41B-F4853ABF5279}" name="Column14743"/>
    <tableColumn id="14744" xr3:uid="{6A64F57E-35AF-4D4A-8336-97185A2D4612}" name="Column14744"/>
    <tableColumn id="14745" xr3:uid="{4CB22F76-D36F-466B-8B20-C045478F1233}" name="Column14745"/>
    <tableColumn id="14746" xr3:uid="{00431519-0527-40FA-89AD-E125BB4669C7}" name="Column14746"/>
    <tableColumn id="14747" xr3:uid="{CF170F62-1D78-4B68-8DDE-5D1DC89B4FB5}" name="Column14747"/>
    <tableColumn id="14748" xr3:uid="{906C8331-96FA-402B-9998-CA8EE61E4236}" name="Column14748"/>
    <tableColumn id="14749" xr3:uid="{B34F3ADB-419E-4BB8-9602-315E17EB0471}" name="Column14749"/>
    <tableColumn id="14750" xr3:uid="{569C21EB-876F-4A6C-90AF-0C38067AAE41}" name="Column14750"/>
    <tableColumn id="14751" xr3:uid="{241BDC14-FE25-43EE-AEEC-5264F2865763}" name="Column14751"/>
    <tableColumn id="14752" xr3:uid="{70B77913-281A-4FE5-A34E-8CF91A3C2987}" name="Column14752"/>
    <tableColumn id="14753" xr3:uid="{A2A14521-0225-4254-A00B-CE85EEA76A4C}" name="Column14753"/>
    <tableColumn id="14754" xr3:uid="{DA3E2ACA-E7B5-48AB-9FB9-B18AF33077CD}" name="Column14754"/>
    <tableColumn id="14755" xr3:uid="{943CC891-1847-4B9E-8960-64FDFEBA9CEE}" name="Column14755"/>
    <tableColumn id="14756" xr3:uid="{101FFC24-D8EA-40E3-959F-EDB860EB161D}" name="Column14756"/>
    <tableColumn id="14757" xr3:uid="{7AF06B76-80A5-47BE-82BF-9EF2DCBA2B23}" name="Column14757"/>
    <tableColumn id="14758" xr3:uid="{4D43AD30-9DED-4ECB-8E2D-2BE67C317111}" name="Column14758"/>
    <tableColumn id="14759" xr3:uid="{D36BC00E-6EEA-48F7-BD63-F7E5606E7D87}" name="Column14759"/>
    <tableColumn id="14760" xr3:uid="{C54C8B63-A41A-4099-9BF3-9C09B09691D1}" name="Column14760"/>
    <tableColumn id="14761" xr3:uid="{92FA514E-9589-4F89-93DA-49CFE09C34E3}" name="Column14761"/>
    <tableColumn id="14762" xr3:uid="{F59CCCA2-7B61-4359-83B4-6F1B21960807}" name="Column14762"/>
    <tableColumn id="14763" xr3:uid="{FB16F190-474B-4D09-8C2B-A6E8CD89EC18}" name="Column14763"/>
    <tableColumn id="14764" xr3:uid="{911D33BC-516D-45AD-9FB4-2BBBDCC51E36}" name="Column14764"/>
    <tableColumn id="14765" xr3:uid="{A0E15E9D-09A2-4C3A-93D5-A6936CD440B7}" name="Column14765"/>
    <tableColumn id="14766" xr3:uid="{0E243D15-0A00-494F-8E7C-31E87E7ED30D}" name="Column14766"/>
    <tableColumn id="14767" xr3:uid="{8B7C6D3E-9B52-4638-ACCC-FC3FEA488049}" name="Column14767"/>
    <tableColumn id="14768" xr3:uid="{CD12092B-A3B4-45F0-BA3B-560E760C030A}" name="Column14768"/>
    <tableColumn id="14769" xr3:uid="{DB06033F-D330-4C3B-AD3D-3643E3AD04E7}" name="Column14769"/>
    <tableColumn id="14770" xr3:uid="{625CB244-4D07-4028-A2C6-C271877B4A22}" name="Column14770"/>
    <tableColumn id="14771" xr3:uid="{6199BB89-4C63-459B-A620-66B60F1D0703}" name="Column14771"/>
    <tableColumn id="14772" xr3:uid="{C317A356-22DF-4181-96DE-5C0143D3EEC8}" name="Column14772"/>
    <tableColumn id="14773" xr3:uid="{042E907F-63CB-4B7A-92E9-4774F5C691FF}" name="Column14773"/>
    <tableColumn id="14774" xr3:uid="{EB7E5788-08DC-409D-861C-D0A0B49AF15C}" name="Column14774"/>
    <tableColumn id="14775" xr3:uid="{D7871206-39D2-4584-BDB1-F6DF7D232AD0}" name="Column14775"/>
    <tableColumn id="14776" xr3:uid="{6CA28F8D-5CB7-417D-BD22-FEB585695CC9}" name="Column14776"/>
    <tableColumn id="14777" xr3:uid="{6B76C151-9D12-4DF9-A417-1FEA974347AA}" name="Column14777"/>
    <tableColumn id="14778" xr3:uid="{7DC99A98-9D3B-4E2F-9EE0-EBB2A4155053}" name="Column14778"/>
    <tableColumn id="14779" xr3:uid="{DE340AD4-9FD1-4AE6-9561-7A98E51D74FE}" name="Column14779"/>
    <tableColumn id="14780" xr3:uid="{B7FB3E6F-81B6-432A-ACDC-E9FC12F68B6D}" name="Column14780"/>
    <tableColumn id="14781" xr3:uid="{C8E4677E-1EBA-4468-A0F2-3D81E2580F00}" name="Column14781"/>
    <tableColumn id="14782" xr3:uid="{E9333000-BA68-4F6E-9405-6CFAE309C341}" name="Column14782"/>
    <tableColumn id="14783" xr3:uid="{59184DE0-D650-437B-87FB-1AC3017678E6}" name="Column14783"/>
    <tableColumn id="14784" xr3:uid="{6DBBD56D-06B9-45AC-AAA5-CEA52F5DB0E8}" name="Column14784"/>
    <tableColumn id="14785" xr3:uid="{0D542F12-238D-446F-A36B-A2E9B02E27F6}" name="Column14785"/>
    <tableColumn id="14786" xr3:uid="{67DA07EC-99F5-4641-BBA5-0B1720863D4E}" name="Column14786"/>
    <tableColumn id="14787" xr3:uid="{93283066-25BE-4764-935D-54EAC943C70E}" name="Column14787"/>
    <tableColumn id="14788" xr3:uid="{F6F8A30B-D49F-4334-BBBA-96E897C6C612}" name="Column14788"/>
    <tableColumn id="14789" xr3:uid="{93DBFA75-4462-4B37-A10E-48C198B8B2B6}" name="Column14789"/>
    <tableColumn id="14790" xr3:uid="{86F91935-A084-4962-A420-5D4A433D3A9B}" name="Column14790"/>
    <tableColumn id="14791" xr3:uid="{75747408-CBA5-45AA-B772-90F547C3E203}" name="Column14791"/>
    <tableColumn id="14792" xr3:uid="{3C60681A-FABF-456D-96C2-84BC8436F252}" name="Column14792"/>
    <tableColumn id="14793" xr3:uid="{5A8DBE5C-50AD-4BF0-887A-79D289D08018}" name="Column14793"/>
    <tableColumn id="14794" xr3:uid="{6CFE8A90-A0FA-4A5A-B004-41BC93EA119F}" name="Column14794"/>
    <tableColumn id="14795" xr3:uid="{F1B75A34-3F4C-43AE-ADF5-A9E1F3ADB45E}" name="Column14795"/>
    <tableColumn id="14796" xr3:uid="{DBD7924C-1327-45FC-AABA-8BA2EEB47EC0}" name="Column14796"/>
    <tableColumn id="14797" xr3:uid="{485E33AD-FDC3-4F37-9DF4-C43F6463D12C}" name="Column14797"/>
    <tableColumn id="14798" xr3:uid="{91FEADF5-2C48-4490-8DD9-854F85F52D3F}" name="Column14798"/>
    <tableColumn id="14799" xr3:uid="{CFA5A640-1920-43DB-B0E5-FA4C2AFED292}" name="Column14799"/>
    <tableColumn id="14800" xr3:uid="{C17C3714-B2BE-4319-8147-A7617FA933FA}" name="Column14800"/>
    <tableColumn id="14801" xr3:uid="{3124A4AA-42ED-4D74-9533-211B9A638870}" name="Column14801"/>
    <tableColumn id="14802" xr3:uid="{3A1C5240-25D4-4F32-9555-A4A4EDC3960E}" name="Column14802"/>
    <tableColumn id="14803" xr3:uid="{747234CD-691A-43E5-BB7E-2AB6A251308C}" name="Column14803"/>
    <tableColumn id="14804" xr3:uid="{4AF77CE3-5C40-494C-BE49-CD51A64448F3}" name="Column14804"/>
    <tableColumn id="14805" xr3:uid="{87CAE4C8-1B67-4856-8164-AC72FA628076}" name="Column14805"/>
    <tableColumn id="14806" xr3:uid="{886B605B-7426-4972-AC6E-9483A2370A65}" name="Column14806"/>
    <tableColumn id="14807" xr3:uid="{FAB9C10C-3315-4046-8498-5AC4D14FFF8D}" name="Column14807"/>
    <tableColumn id="14808" xr3:uid="{EFFEDF0F-6390-4046-8FB7-0D50DE3A2EB2}" name="Column14808"/>
    <tableColumn id="14809" xr3:uid="{EE3EF3D9-0C82-40E6-A3C0-C09B2C6DBA8D}" name="Column14809"/>
    <tableColumn id="14810" xr3:uid="{208E04B8-72B2-42BF-8EFC-415A666DAAD0}" name="Column14810"/>
    <tableColumn id="14811" xr3:uid="{20481F15-0298-49A1-AE54-60B55C148A41}" name="Column14811"/>
    <tableColumn id="14812" xr3:uid="{E68163BB-5696-48DD-9B59-60EF6F72FE87}" name="Column14812"/>
    <tableColumn id="14813" xr3:uid="{472A9FF7-C823-4EAB-8817-D5F0205737D0}" name="Column14813"/>
    <tableColumn id="14814" xr3:uid="{E74541E2-228A-4588-8228-B68F9D13C0FA}" name="Column14814"/>
    <tableColumn id="14815" xr3:uid="{B12E4942-7611-4D9D-B7B1-5D8288FD7CAF}" name="Column14815"/>
    <tableColumn id="14816" xr3:uid="{3F70E010-3901-4923-BAD3-EDB9336205E7}" name="Column14816"/>
    <tableColumn id="14817" xr3:uid="{D6A85DB0-B736-4E48-8054-06C0FD253A40}" name="Column14817"/>
    <tableColumn id="14818" xr3:uid="{15942135-8142-48A8-B2BD-06909094B173}" name="Column14818"/>
    <tableColumn id="14819" xr3:uid="{06DD42AB-0E00-4240-8B04-6296D5B83B03}" name="Column14819"/>
    <tableColumn id="14820" xr3:uid="{E0D84912-B2F4-4C2A-9FD7-45516C6641A5}" name="Column14820"/>
    <tableColumn id="14821" xr3:uid="{D3FED569-D638-4358-AB66-971082DF4526}" name="Column14821"/>
    <tableColumn id="14822" xr3:uid="{DF606552-E69E-4B72-A44E-5DA45DA9B93A}" name="Column14822"/>
    <tableColumn id="14823" xr3:uid="{4BC7D5A5-FF82-45D5-A8CA-0BBCAD054117}" name="Column14823"/>
    <tableColumn id="14824" xr3:uid="{9B932273-CFD6-4210-908C-3C0C4B5B199C}" name="Column14824"/>
    <tableColumn id="14825" xr3:uid="{87BBB06D-2DA7-420F-A0FA-057D1F5CBA54}" name="Column14825"/>
    <tableColumn id="14826" xr3:uid="{986E3B3B-D626-4447-B25B-D76FECEC5E91}" name="Column14826"/>
    <tableColumn id="14827" xr3:uid="{04BEAB5F-4F19-4397-BE85-785C2D1DAFE3}" name="Column14827"/>
    <tableColumn id="14828" xr3:uid="{1CEC94D2-7306-43A6-A899-7D43FF71CE60}" name="Column14828"/>
    <tableColumn id="14829" xr3:uid="{1ACD13E4-D2AA-45A1-9050-772FE7EF134B}" name="Column14829"/>
    <tableColumn id="14830" xr3:uid="{8D65D395-FF75-4BB9-BF70-1B2C34C4FF2B}" name="Column14830"/>
    <tableColumn id="14831" xr3:uid="{1BC7A956-2127-4D62-BB6F-5E4E43C51112}" name="Column14831"/>
    <tableColumn id="14832" xr3:uid="{546E1B22-3598-4D63-B573-9908F2AF5508}" name="Column14832"/>
    <tableColumn id="14833" xr3:uid="{6AB4B40B-0B01-43BA-8D4F-23BA33FB60E6}" name="Column14833"/>
    <tableColumn id="14834" xr3:uid="{8C881846-E988-414B-8E99-8F9059D5A37A}" name="Column14834"/>
    <tableColumn id="14835" xr3:uid="{7BE1AC84-48ED-4294-8C6F-B7C976119EFF}" name="Column14835"/>
    <tableColumn id="14836" xr3:uid="{754B2AE6-AD72-4BF5-A33C-27CEF8FCC941}" name="Column14836"/>
    <tableColumn id="14837" xr3:uid="{03C2A602-5546-491A-A29C-4536F8E83153}" name="Column14837"/>
    <tableColumn id="14838" xr3:uid="{4D4DBE31-8593-4278-A26D-D81E9C6DF44A}" name="Column14838"/>
    <tableColumn id="14839" xr3:uid="{046FAE83-089C-48B2-BA1B-5F25C4B51736}" name="Column14839"/>
    <tableColumn id="14840" xr3:uid="{CD61D2C6-9C77-49AC-9F85-5798CE5B369B}" name="Column14840"/>
    <tableColumn id="14841" xr3:uid="{9D7D273A-4854-40D0-AD26-549866AE6AD9}" name="Column14841"/>
    <tableColumn id="14842" xr3:uid="{1F21A3F4-60ED-477C-ABED-E7E1B17DBC31}" name="Column14842"/>
    <tableColumn id="14843" xr3:uid="{7C244149-F892-4556-8485-846BDA97A370}" name="Column14843"/>
    <tableColumn id="14844" xr3:uid="{25F1D417-8FCD-4FDB-9756-7E7DD022B461}" name="Column14844"/>
    <tableColumn id="14845" xr3:uid="{7B565602-1F22-413C-9C99-267B28342571}" name="Column14845"/>
    <tableColumn id="14846" xr3:uid="{5971DA70-FC5E-4996-A1E2-3E980E628856}" name="Column14846"/>
    <tableColumn id="14847" xr3:uid="{6A5007D8-BF38-4FE4-88DD-11CF769474C0}" name="Column14847"/>
    <tableColumn id="14848" xr3:uid="{9F4717DD-A574-4B57-A88A-9F1412EE3F20}" name="Column14848"/>
    <tableColumn id="14849" xr3:uid="{D5CA3044-655E-4D77-9362-0A4E7BCB4A1D}" name="Column14849"/>
    <tableColumn id="14850" xr3:uid="{0DC5CDB7-9B9C-4C02-B4F0-B9B52089CC6E}" name="Column14850"/>
    <tableColumn id="14851" xr3:uid="{C1AA4010-DE7F-48ED-8371-6AECA7429588}" name="Column14851"/>
    <tableColumn id="14852" xr3:uid="{AF67CC79-A63A-40B2-B3FE-0F9D82980972}" name="Column14852"/>
    <tableColumn id="14853" xr3:uid="{27D8DB0C-1245-47B6-A17C-CCD3853D611E}" name="Column14853"/>
    <tableColumn id="14854" xr3:uid="{C5E685ED-10F0-4424-A82F-19ECA801DF94}" name="Column14854"/>
    <tableColumn id="14855" xr3:uid="{3E5A216E-C82F-43E9-B6F8-FD01604F5561}" name="Column14855"/>
    <tableColumn id="14856" xr3:uid="{35BA1756-FD73-449E-AFB3-161CD0C5BC76}" name="Column14856"/>
    <tableColumn id="14857" xr3:uid="{D39708B8-7099-4DB9-A247-DFE534A19F39}" name="Column14857"/>
    <tableColumn id="14858" xr3:uid="{69DDB492-49CB-4887-8B78-4205B43CDD96}" name="Column14858"/>
    <tableColumn id="14859" xr3:uid="{DB5CE225-E1CA-487E-953B-B4E0A545BB1E}" name="Column14859"/>
    <tableColumn id="14860" xr3:uid="{5C585805-BA6B-42FE-81CE-934EFEA4A435}" name="Column14860"/>
    <tableColumn id="14861" xr3:uid="{EC3F2C7F-DF13-4080-9C61-1F35CA30DC19}" name="Column14861"/>
    <tableColumn id="14862" xr3:uid="{D866160E-FC91-45B9-8B5D-023527348C7C}" name="Column14862"/>
    <tableColumn id="14863" xr3:uid="{7AE7989C-8CE7-4E93-9894-0A6CE960D936}" name="Column14863"/>
    <tableColumn id="14864" xr3:uid="{D13A3779-CB71-47FA-B06C-4B11EAA2465C}" name="Column14864"/>
    <tableColumn id="14865" xr3:uid="{8604A04B-BC13-4B81-B26E-FDC74E6F3AE1}" name="Column14865"/>
    <tableColumn id="14866" xr3:uid="{4970EF70-A99F-41F9-A590-A907A3F38F1F}" name="Column14866"/>
    <tableColumn id="14867" xr3:uid="{80965C5B-BEFC-4E11-BE22-6406A2F0A73B}" name="Column14867"/>
    <tableColumn id="14868" xr3:uid="{6FF519D4-7DE5-4D61-95E2-F14D31F6C3AF}" name="Column14868"/>
    <tableColumn id="14869" xr3:uid="{89046128-53E4-4B0B-9919-62F237D2A81D}" name="Column14869"/>
    <tableColumn id="14870" xr3:uid="{1602ECB3-DEF3-4107-8E9B-5C314CF2A93B}" name="Column14870"/>
    <tableColumn id="14871" xr3:uid="{0EBDE1C7-17EA-4FCD-B1A6-796EEB9FA0FC}" name="Column14871"/>
    <tableColumn id="14872" xr3:uid="{D89C1EB3-6F76-43C0-98C8-21C6A3B533A2}" name="Column14872"/>
    <tableColumn id="14873" xr3:uid="{75A5E2B5-A392-48C2-97D6-E7154794ED8C}" name="Column14873"/>
    <tableColumn id="14874" xr3:uid="{B9EC7DD1-BBC8-4B05-B22B-22B54CFF3886}" name="Column14874"/>
    <tableColumn id="14875" xr3:uid="{24853C7D-CB8B-415A-82D5-F23D139BB56A}" name="Column14875"/>
    <tableColumn id="14876" xr3:uid="{79B2F7B7-0F12-48DD-BB6D-441093AD892C}" name="Column14876"/>
    <tableColumn id="14877" xr3:uid="{94334ECA-4B93-4993-BE05-E5AF4C8BBA10}" name="Column14877"/>
    <tableColumn id="14878" xr3:uid="{3947EB16-F59A-43B4-A099-C05B44202D02}" name="Column14878"/>
    <tableColumn id="14879" xr3:uid="{DD3B116E-3E03-4F11-882D-77688A4E3FDE}" name="Column14879"/>
    <tableColumn id="14880" xr3:uid="{FBA8AA3A-C59C-4682-83D8-34FDE18C4C78}" name="Column14880"/>
    <tableColumn id="14881" xr3:uid="{DB8AD70B-6037-4A3D-ABEE-D0BBB6681E65}" name="Column14881"/>
    <tableColumn id="14882" xr3:uid="{48F9F739-09B4-4275-A81B-9955256C5B20}" name="Column14882"/>
    <tableColumn id="14883" xr3:uid="{6868127E-9A2E-4D72-B85A-E809232742B1}" name="Column14883"/>
    <tableColumn id="14884" xr3:uid="{331F3D97-A021-429F-9845-81DE379DCDBE}" name="Column14884"/>
    <tableColumn id="14885" xr3:uid="{C5D6001D-B5E9-497D-B587-DF21F641AC96}" name="Column14885"/>
    <tableColumn id="14886" xr3:uid="{FB8862EB-E12C-4AD7-9C42-922C4FD55A4C}" name="Column14886"/>
    <tableColumn id="14887" xr3:uid="{A2015A41-ED35-46C7-BEF3-8F8CD95296BD}" name="Column14887"/>
    <tableColumn id="14888" xr3:uid="{6A875A9C-AD35-4051-8BAA-E85B10BF69DB}" name="Column14888"/>
    <tableColumn id="14889" xr3:uid="{870636B8-68F1-4180-BC5E-FAE5BF7EF764}" name="Column14889"/>
    <tableColumn id="14890" xr3:uid="{B27479FC-C6B6-41A9-A797-F05C042C6FD1}" name="Column14890"/>
    <tableColumn id="14891" xr3:uid="{39FA5FD4-8DAE-42BD-8FDF-1E632D63F0F5}" name="Column14891"/>
    <tableColumn id="14892" xr3:uid="{D2CD8619-6905-4621-9F53-D0B158A0045E}" name="Column14892"/>
    <tableColumn id="14893" xr3:uid="{979685BB-EC00-47AE-BCAF-8E1D80916B2B}" name="Column14893"/>
    <tableColumn id="14894" xr3:uid="{FBF79C38-2F6E-4CA7-B279-7AA68D808A07}" name="Column14894"/>
    <tableColumn id="14895" xr3:uid="{5C95D074-854E-4277-8257-80667BB2BA81}" name="Column14895"/>
    <tableColumn id="14896" xr3:uid="{30656BB1-0A33-4DF0-B1A7-A08EC0DEF5CF}" name="Column14896"/>
    <tableColumn id="14897" xr3:uid="{161A0943-16BF-496E-8B17-2CF51A737DE1}" name="Column14897"/>
    <tableColumn id="14898" xr3:uid="{DC6B7B64-C60E-42DC-8765-523D5844F5C3}" name="Column14898"/>
    <tableColumn id="14899" xr3:uid="{3DF3B9C7-9129-487E-ACA1-AD0378B903CE}" name="Column14899"/>
    <tableColumn id="14900" xr3:uid="{90746E70-3258-4DD9-90BB-3DB90F7018EF}" name="Column14900"/>
    <tableColumn id="14901" xr3:uid="{26076938-73E8-4808-900E-902E587A464F}" name="Column14901"/>
    <tableColumn id="14902" xr3:uid="{760DC120-E6A4-45D2-BDCD-DD923470C146}" name="Column14902"/>
    <tableColumn id="14903" xr3:uid="{5F7AB9A2-8B75-47B4-B105-6F8A07B2781A}" name="Column14903"/>
    <tableColumn id="14904" xr3:uid="{0FDE2911-8925-498C-8C66-478AD47E9581}" name="Column14904"/>
    <tableColumn id="14905" xr3:uid="{B8A9F376-0837-443D-B4AD-3CB78DCC31EB}" name="Column14905"/>
    <tableColumn id="14906" xr3:uid="{1AB06B24-9BDE-4AA4-BD77-F249691BCED3}" name="Column14906"/>
    <tableColumn id="14907" xr3:uid="{C89C938C-0A57-4A8F-9A76-96CF270A7108}" name="Column14907"/>
    <tableColumn id="14908" xr3:uid="{62208E6D-294C-46A2-9B56-8867BDAA43B1}" name="Column14908"/>
    <tableColumn id="14909" xr3:uid="{26E4B7A1-CDDF-4404-9614-49065A33BA9C}" name="Column14909"/>
    <tableColumn id="14910" xr3:uid="{19BDB03A-42D1-46DE-AAEC-D257587254EF}" name="Column14910"/>
    <tableColumn id="14911" xr3:uid="{397C7244-9636-4221-BBB8-C72E2BC8D789}" name="Column14911"/>
    <tableColumn id="14912" xr3:uid="{F9FAC874-1CF9-46B4-813D-20A46198EB01}" name="Column14912"/>
    <tableColumn id="14913" xr3:uid="{7046A631-8239-4B73-ACCA-6F367AA06CF7}" name="Column14913"/>
    <tableColumn id="14914" xr3:uid="{6F6737F5-9F20-4E9C-A7D7-9E9E3C6968D8}" name="Column14914"/>
    <tableColumn id="14915" xr3:uid="{42C8065A-F347-4689-BEEE-72B36327AB94}" name="Column14915"/>
    <tableColumn id="14916" xr3:uid="{B3B004F8-BC86-4B01-A288-954CA77A686D}" name="Column14916"/>
    <tableColumn id="14917" xr3:uid="{1FED5DC8-490B-40CF-BB34-B0AA5B2FF5F9}" name="Column14917"/>
    <tableColumn id="14918" xr3:uid="{A1C6E65D-C1E3-4C23-9B89-6880D344ADF3}" name="Column14918"/>
    <tableColumn id="14919" xr3:uid="{9D147FEE-A9FD-4225-9D6F-372D84F029E3}" name="Column14919"/>
    <tableColumn id="14920" xr3:uid="{2622FB8E-BB57-43BF-BFC3-4B3ADC6AF53A}" name="Column14920"/>
    <tableColumn id="14921" xr3:uid="{7C88A510-3DE5-4D36-92F7-01697724DA1B}" name="Column14921"/>
    <tableColumn id="14922" xr3:uid="{6D7B6F01-2A28-4160-A2F1-C171A18A2B9E}" name="Column14922"/>
    <tableColumn id="14923" xr3:uid="{745952C4-2AA1-4A38-9D45-F7F293BE896B}" name="Column14923"/>
    <tableColumn id="14924" xr3:uid="{DCE4931F-80E7-443B-B517-94CA986CB27D}" name="Column14924"/>
    <tableColumn id="14925" xr3:uid="{F9E17C08-4EEE-492F-99B4-37B183C944F1}" name="Column14925"/>
    <tableColumn id="14926" xr3:uid="{FFAAFA24-6FE0-461A-834B-AD1640E5C9DB}" name="Column14926"/>
    <tableColumn id="14927" xr3:uid="{795A0ABF-B238-484E-B054-42A000D4ED00}" name="Column14927"/>
    <tableColumn id="14928" xr3:uid="{67CE77AE-8C40-46B7-96F3-965DB7716AFB}" name="Column14928"/>
    <tableColumn id="14929" xr3:uid="{CB8D06E5-4B41-4481-A753-D219B6772694}" name="Column14929"/>
    <tableColumn id="14930" xr3:uid="{A26F2D48-2824-4E86-9A87-277DA9361E78}" name="Column14930"/>
    <tableColumn id="14931" xr3:uid="{48297EBF-A7C3-4551-BFBB-112884404FC2}" name="Column14931"/>
    <tableColumn id="14932" xr3:uid="{50D7F1DE-BCCC-46F9-9530-47704A47560C}" name="Column14932"/>
    <tableColumn id="14933" xr3:uid="{2C2AD0E4-7553-4533-925A-EB57AA3FB160}" name="Column14933"/>
    <tableColumn id="14934" xr3:uid="{B65A752A-8A65-4627-85A4-F3071BF087B7}" name="Column14934"/>
    <tableColumn id="14935" xr3:uid="{CBB47066-C23F-41AA-97A1-419C8C975342}" name="Column14935"/>
    <tableColumn id="14936" xr3:uid="{9AFE26BF-CCC6-42D1-AE22-F7034C0CBAB4}" name="Column14936"/>
    <tableColumn id="14937" xr3:uid="{D5AE55A7-390D-4CCE-B047-7B69E1CB2A93}" name="Column14937"/>
    <tableColumn id="14938" xr3:uid="{C76234F6-7BE6-4D15-8660-F1F6263C80AB}" name="Column14938"/>
    <tableColumn id="14939" xr3:uid="{905E85AD-7E81-4DC8-BE3B-822A7F65E0BE}" name="Column14939"/>
    <tableColumn id="14940" xr3:uid="{D2FA19CC-5A30-4C8F-9F09-34603937D7C8}" name="Column14940"/>
    <tableColumn id="14941" xr3:uid="{F2AC3829-D4DC-43DF-B089-15CDCD8B8AD8}" name="Column14941"/>
    <tableColumn id="14942" xr3:uid="{53A2D146-4DC9-4961-80F3-A67B3A4FA644}" name="Column14942"/>
    <tableColumn id="14943" xr3:uid="{A09D93A6-3521-4D53-8181-049E35400C27}" name="Column14943"/>
    <tableColumn id="14944" xr3:uid="{9E705B74-6839-4CA2-8D20-84E67611F2EA}" name="Column14944"/>
    <tableColumn id="14945" xr3:uid="{B3A8732A-4D14-4763-8E5D-F9D535154D2D}" name="Column14945"/>
    <tableColumn id="14946" xr3:uid="{2F5708E3-B30B-4C3F-9CE4-ADE6E5DD1721}" name="Column14946"/>
    <tableColumn id="14947" xr3:uid="{28685DCE-F3A6-48DF-A7E4-5A26F8564D61}" name="Column14947"/>
    <tableColumn id="14948" xr3:uid="{2715C28F-2F71-4BBB-98C8-DC0656A6393A}" name="Column14948"/>
    <tableColumn id="14949" xr3:uid="{A63128C4-3B8A-48D2-A53B-266CDC49C69C}" name="Column14949"/>
    <tableColumn id="14950" xr3:uid="{BEE68D39-F173-47A1-AABB-46277D155321}" name="Column14950"/>
    <tableColumn id="14951" xr3:uid="{10CC291E-90E5-44B3-B7D6-93F485A5C7DC}" name="Column14951"/>
    <tableColumn id="14952" xr3:uid="{1F43E57C-7EFA-4EDD-B367-CA21E54C8C70}" name="Column14952"/>
    <tableColumn id="14953" xr3:uid="{7ABAB37E-8C45-4DAB-94D4-664D456C6050}" name="Column14953"/>
    <tableColumn id="14954" xr3:uid="{41E6CEF0-F391-422C-BF34-1CB7E2BC0F71}" name="Column14954"/>
    <tableColumn id="14955" xr3:uid="{7399893A-87DC-46EF-A3A4-C06B98B43F9C}" name="Column14955"/>
    <tableColumn id="14956" xr3:uid="{BBA6D7F4-8E61-47E0-A0CB-7D7F781EA660}" name="Column14956"/>
    <tableColumn id="14957" xr3:uid="{2369F5E5-AEB6-4F12-A433-CB0DB058F46E}" name="Column14957"/>
    <tableColumn id="14958" xr3:uid="{04A61FE4-0EC5-4B78-ACE8-E8DF61E320E9}" name="Column14958"/>
    <tableColumn id="14959" xr3:uid="{7D5A6939-E249-4B9B-9888-0B65916CDBEB}" name="Column14959"/>
    <tableColumn id="14960" xr3:uid="{3346F463-4F25-4BD6-ABF2-0BCFA6B1B55F}" name="Column14960"/>
    <tableColumn id="14961" xr3:uid="{BA23FDF2-A8D6-4344-B7D7-D34FC45DE59F}" name="Column14961"/>
    <tableColumn id="14962" xr3:uid="{F1381510-86B0-4E3E-B6CA-1C226B44515E}" name="Column14962"/>
    <tableColumn id="14963" xr3:uid="{A1B079A0-BF1F-490F-B516-7B890551EB89}" name="Column14963"/>
    <tableColumn id="14964" xr3:uid="{76A3C739-FB6A-4CDD-9E4D-EA0C68C12320}" name="Column14964"/>
    <tableColumn id="14965" xr3:uid="{F4D72BAF-36B4-4386-9E98-0A19F0F2AA77}" name="Column14965"/>
    <tableColumn id="14966" xr3:uid="{8B846D36-B34C-4BE4-AF1B-8D83F28331AD}" name="Column14966"/>
    <tableColumn id="14967" xr3:uid="{3654A338-E254-4FB2-ACBB-7F608D518A32}" name="Column14967"/>
    <tableColumn id="14968" xr3:uid="{CD149FB5-A633-4F91-AE80-095D4126056A}" name="Column14968"/>
    <tableColumn id="14969" xr3:uid="{8A714C06-9CBF-4F82-826F-DC232CA6E25D}" name="Column14969"/>
    <tableColumn id="14970" xr3:uid="{C3D9E65A-ECBE-44A8-BF48-4263D256B292}" name="Column14970"/>
    <tableColumn id="14971" xr3:uid="{6163B027-CECC-4BCF-9431-56F03BF4D002}" name="Column14971"/>
    <tableColumn id="14972" xr3:uid="{A2777959-9DAB-4518-B24C-E108D3409122}" name="Column14972"/>
    <tableColumn id="14973" xr3:uid="{BAB642B6-1E05-4F83-9A9B-7547820C552A}" name="Column14973"/>
    <tableColumn id="14974" xr3:uid="{A006FEF8-8B55-40EB-84AE-08C4F1029D13}" name="Column14974"/>
    <tableColumn id="14975" xr3:uid="{1D44A8A6-0DE5-4AC9-B393-3D3637B3ADE2}" name="Column14975"/>
    <tableColumn id="14976" xr3:uid="{DC035FB3-43BC-4C9B-9CE3-BE281BF300EA}" name="Column14976"/>
    <tableColumn id="14977" xr3:uid="{43233270-803E-4CA5-8F07-75188D84CB71}" name="Column14977"/>
    <tableColumn id="14978" xr3:uid="{6D57D930-9757-46EA-B902-42F31DA690F4}" name="Column14978"/>
    <tableColumn id="14979" xr3:uid="{75F9DEB8-A900-4F99-9ABF-5CAC06C9C0A3}" name="Column14979"/>
    <tableColumn id="14980" xr3:uid="{169CDD3B-DDD8-4E06-8400-36BF1BDAFECE}" name="Column14980"/>
    <tableColumn id="14981" xr3:uid="{59AAC6FE-FFB0-49A8-941E-7A360DAEDADA}" name="Column14981"/>
    <tableColumn id="14982" xr3:uid="{7708DAF0-2163-4CD4-9059-46C6EF08B784}" name="Column14982"/>
    <tableColumn id="14983" xr3:uid="{16CCEABE-F413-4A69-B3D2-9F4873EE3031}" name="Column14983"/>
    <tableColumn id="14984" xr3:uid="{A62C8C97-B3FA-4C33-B7C8-39A183C33462}" name="Column14984"/>
    <tableColumn id="14985" xr3:uid="{1492CAEF-924B-48A0-8448-E9E1D6D8BB3A}" name="Column14985"/>
    <tableColumn id="14986" xr3:uid="{D9DBA11C-673C-4335-B9B2-F2A9FF6EC072}" name="Column14986"/>
    <tableColumn id="14987" xr3:uid="{C5B82C8F-5CC9-48B2-A008-49EC11FD98A0}" name="Column14987"/>
    <tableColumn id="14988" xr3:uid="{2334C553-B3DE-4207-89A4-2CBAB1C20405}" name="Column14988"/>
    <tableColumn id="14989" xr3:uid="{59072D59-89AB-4545-BFB2-0DC65D447A62}" name="Column14989"/>
    <tableColumn id="14990" xr3:uid="{C271B333-2FCE-4AE9-8807-D7AD9300D1CA}" name="Column14990"/>
    <tableColumn id="14991" xr3:uid="{E88B6789-1AEF-4E47-9C79-9B0BD5B0B6FA}" name="Column14991"/>
    <tableColumn id="14992" xr3:uid="{68B7FA05-9DFC-4ACD-9BA3-1D96A468D664}" name="Column14992"/>
    <tableColumn id="14993" xr3:uid="{83D2209A-C9AD-47B7-B9AB-0C7C1DBA4675}" name="Column14993"/>
    <tableColumn id="14994" xr3:uid="{0EECB518-B952-4101-A1F3-19627812EB86}" name="Column14994"/>
    <tableColumn id="14995" xr3:uid="{B5AB40C3-86C9-4D78-9378-22D9EEBD32F2}" name="Column14995"/>
    <tableColumn id="14996" xr3:uid="{CB884995-772D-4DBD-8568-BA95CD62E4B6}" name="Column14996"/>
    <tableColumn id="14997" xr3:uid="{75718807-99BF-403A-9B72-1CEC48521717}" name="Column14997"/>
    <tableColumn id="14998" xr3:uid="{1AB284CE-0041-43D3-8FC9-E35C4D9B98EF}" name="Column14998"/>
    <tableColumn id="14999" xr3:uid="{530B1557-D6BB-49AB-8A57-A1C3E21BADB1}" name="Column14999"/>
    <tableColumn id="15000" xr3:uid="{C94AA6BD-6062-4674-B349-101DEF55F57D}" name="Column15000"/>
    <tableColumn id="15001" xr3:uid="{6C8F05A5-EEEC-4045-82DC-2A2BD15BE848}" name="Column15001"/>
    <tableColumn id="15002" xr3:uid="{A1DA8A6E-DF88-4AD7-9D2D-95B4200CA298}" name="Column15002"/>
    <tableColumn id="15003" xr3:uid="{0F666BF8-4866-4457-BFB9-6024AE6567C7}" name="Column15003"/>
    <tableColumn id="15004" xr3:uid="{706FAC39-5EEE-43D8-8FA9-CC5347EE4905}" name="Column15004"/>
    <tableColumn id="15005" xr3:uid="{000A74FE-1339-499D-BF3B-8FF634A0F1D8}" name="Column15005"/>
    <tableColumn id="15006" xr3:uid="{83F33E96-B38E-461C-BFC6-B1D26D48BC65}" name="Column15006"/>
    <tableColumn id="15007" xr3:uid="{1C61077D-B445-476B-9DDF-1AB8C5D51A6C}" name="Column15007"/>
    <tableColumn id="15008" xr3:uid="{0F8C3BB1-3D56-4645-A3A8-76F70DE64F15}" name="Column15008"/>
    <tableColumn id="15009" xr3:uid="{D617AA91-9CAB-4790-AF7B-982FE9DA8F19}" name="Column15009"/>
    <tableColumn id="15010" xr3:uid="{BC075A86-30BA-4B2D-AE5A-6A0D52533807}" name="Column15010"/>
    <tableColumn id="15011" xr3:uid="{87F992F5-B4B4-4EA1-BDEE-049D658DCB9F}" name="Column15011"/>
    <tableColumn id="15012" xr3:uid="{EBD8F911-ACAB-4A66-8C5B-EDDD2B9A3865}" name="Column15012"/>
    <tableColumn id="15013" xr3:uid="{BDB44814-409C-4A0B-BA70-4914E959C666}" name="Column15013"/>
    <tableColumn id="15014" xr3:uid="{C5A2C650-E7D6-42DF-A748-35602CE49734}" name="Column15014"/>
    <tableColumn id="15015" xr3:uid="{2C780A10-E9CF-49D7-917D-8140B289A860}" name="Column15015"/>
    <tableColumn id="15016" xr3:uid="{8D06DA1F-1B6D-40B1-BCD6-D9686781D289}" name="Column15016"/>
    <tableColumn id="15017" xr3:uid="{94B7F2E4-6E55-4E70-9C64-0AB3BF0B5327}" name="Column15017"/>
    <tableColumn id="15018" xr3:uid="{787C6892-FB4E-4248-9645-95F66D368790}" name="Column15018"/>
    <tableColumn id="15019" xr3:uid="{E61BDFE2-E39A-48C1-A82D-F33F7A86864C}" name="Column15019"/>
    <tableColumn id="15020" xr3:uid="{07C3F7DF-A43A-4B5E-B07B-BFBE9945E849}" name="Column15020"/>
    <tableColumn id="15021" xr3:uid="{5A2411CF-1A0D-41F8-ADB9-33148CDAA58D}" name="Column15021"/>
    <tableColumn id="15022" xr3:uid="{59197D75-1726-4A03-8C4A-04C8ADA7B88A}" name="Column15022"/>
    <tableColumn id="15023" xr3:uid="{D41D2FED-618A-4D0D-B7E5-06EE190B03C5}" name="Column15023"/>
    <tableColumn id="15024" xr3:uid="{2C10CB22-EDF5-421C-B725-035DB5B5D02D}" name="Column15024"/>
    <tableColumn id="15025" xr3:uid="{2ADCF86C-72F2-4F10-AA5F-04C7E3A5F1DC}" name="Column15025"/>
    <tableColumn id="15026" xr3:uid="{4AE092A1-FCD7-4FFA-9887-B459CA0FF75F}" name="Column15026"/>
    <tableColumn id="15027" xr3:uid="{E84E3825-DC09-4338-9B3F-F9E1228F0E51}" name="Column15027"/>
    <tableColumn id="15028" xr3:uid="{B40558D7-7E51-4C25-89F7-6EC27DCCAB5A}" name="Column15028"/>
    <tableColumn id="15029" xr3:uid="{77048963-124D-4A7D-9BC2-E20B7B05B9D2}" name="Column15029"/>
    <tableColumn id="15030" xr3:uid="{5E867AB8-0630-4A48-9474-E7B07B2356B8}" name="Column15030"/>
    <tableColumn id="15031" xr3:uid="{A6C14B6E-49D7-4D44-B47F-863096EB505D}" name="Column15031"/>
    <tableColumn id="15032" xr3:uid="{1A83D872-55CA-471B-92AE-BF205C1774EE}" name="Column15032"/>
    <tableColumn id="15033" xr3:uid="{68884239-8DC0-4790-892C-B3F20012C8E6}" name="Column15033"/>
    <tableColumn id="15034" xr3:uid="{146E4235-BC59-4F04-B885-BBFEE696DEC3}" name="Column15034"/>
    <tableColumn id="15035" xr3:uid="{6C84B8A9-8308-4CAA-9541-9423EA6AEEC2}" name="Column15035"/>
    <tableColumn id="15036" xr3:uid="{402EFA32-03E3-49B3-9EDF-03571329D5A4}" name="Column15036"/>
    <tableColumn id="15037" xr3:uid="{9C92543B-C9FE-4608-A9EE-E2172A160EBA}" name="Column15037"/>
    <tableColumn id="15038" xr3:uid="{11613404-BAD2-4EC6-970D-A13C2A63604D}" name="Column15038"/>
    <tableColumn id="15039" xr3:uid="{F023129A-6D91-4E17-B4BC-F1795A55AC95}" name="Column15039"/>
    <tableColumn id="15040" xr3:uid="{C938ED06-0F01-4A03-8F63-29A675EFEC9C}" name="Column15040"/>
    <tableColumn id="15041" xr3:uid="{5C9295E4-B9B8-4C16-9AD8-05EDB19A1FA6}" name="Column15041"/>
    <tableColumn id="15042" xr3:uid="{56026DCD-C6B0-43D7-A706-E5E643772499}" name="Column15042"/>
    <tableColumn id="15043" xr3:uid="{CD653ED3-C6FF-4671-A90B-0ED3503720A8}" name="Column15043"/>
    <tableColumn id="15044" xr3:uid="{839B9E37-CE65-4E75-A6D7-357239FA0A9B}" name="Column15044"/>
    <tableColumn id="15045" xr3:uid="{00B00BEE-86AD-43C4-9855-73C59AE6F4F9}" name="Column15045"/>
    <tableColumn id="15046" xr3:uid="{F670673E-46CD-4473-A1EA-F03C85596C73}" name="Column15046"/>
    <tableColumn id="15047" xr3:uid="{3AB92A01-45E1-44B4-A3BB-B9C179346DAC}" name="Column15047"/>
    <tableColumn id="15048" xr3:uid="{4D98FEDC-BD63-4EDE-97A9-033304D94AE7}" name="Column15048"/>
    <tableColumn id="15049" xr3:uid="{4499D410-2653-4186-94E2-35FC49179D49}" name="Column15049"/>
    <tableColumn id="15050" xr3:uid="{29FE2FA0-26C4-43D2-A41C-9260F2ED3DCD}" name="Column15050"/>
    <tableColumn id="15051" xr3:uid="{DD460089-4808-4894-9330-C8DF8DA419F3}" name="Column15051"/>
    <tableColumn id="15052" xr3:uid="{D781BFB7-FD8B-4BC0-BB50-1B1FC0A91196}" name="Column15052"/>
    <tableColumn id="15053" xr3:uid="{AFF61129-B19A-40D2-A190-D634CD5CA6C8}" name="Column15053"/>
    <tableColumn id="15054" xr3:uid="{45C467E8-F198-4E62-B6D1-9E1DE913FDF1}" name="Column15054"/>
    <tableColumn id="15055" xr3:uid="{C2828D96-1D0F-4AE0-9F3E-34C4861B0471}" name="Column15055"/>
    <tableColumn id="15056" xr3:uid="{FDD59046-49ED-45F9-9353-DD2B7EC0047F}" name="Column15056"/>
    <tableColumn id="15057" xr3:uid="{CEB7F0CA-8841-4788-9EB3-6FDE2A2633E5}" name="Column15057"/>
    <tableColumn id="15058" xr3:uid="{E158901D-CCC7-4C7E-B4C6-AA9D9C98C44B}" name="Column15058"/>
    <tableColumn id="15059" xr3:uid="{3D841961-F75F-4BAB-9F1D-6F50F65F4956}" name="Column15059"/>
    <tableColumn id="15060" xr3:uid="{375D7A1B-CB1E-468A-AF28-081515F32EBE}" name="Column15060"/>
    <tableColumn id="15061" xr3:uid="{D99050FA-9D2D-41A1-8FFC-74D683D013A6}" name="Column15061"/>
    <tableColumn id="15062" xr3:uid="{99DC4E52-B42C-4C49-A797-DDBF10732F2E}" name="Column15062"/>
    <tableColumn id="15063" xr3:uid="{65E6536E-1EFC-4F1B-A0F5-3FB4736A1AEC}" name="Column15063"/>
    <tableColumn id="15064" xr3:uid="{B58F1789-443E-44BE-9B00-D3E9CF6F391F}" name="Column15064"/>
    <tableColumn id="15065" xr3:uid="{1B696AFE-AE53-4207-B8FC-2C3A5FC17945}" name="Column15065"/>
    <tableColumn id="15066" xr3:uid="{C228275E-42A7-4675-95DF-F69B8A416EC9}" name="Column15066"/>
    <tableColumn id="15067" xr3:uid="{6AFBB41A-2BE6-49AA-BEB9-0BC657A0441E}" name="Column15067"/>
    <tableColumn id="15068" xr3:uid="{DA1EB504-AE45-4F5B-AA98-A2CC69450BFD}" name="Column15068"/>
    <tableColumn id="15069" xr3:uid="{969538E4-596C-464A-9B0F-36598D6D5790}" name="Column15069"/>
    <tableColumn id="15070" xr3:uid="{414A021B-1C85-47E2-AD26-6B73DE305DF4}" name="Column15070"/>
    <tableColumn id="15071" xr3:uid="{B6B9AE72-0947-4850-8125-F4C8D4C53C90}" name="Column15071"/>
    <tableColumn id="15072" xr3:uid="{6DBB275A-3D55-4C6D-9619-2F49FA9AE6D3}" name="Column15072"/>
    <tableColumn id="15073" xr3:uid="{7772EC56-46CF-4543-B8C5-BB681D2026BE}" name="Column15073"/>
    <tableColumn id="15074" xr3:uid="{6345F5D1-7478-46EC-AD3E-30D4A40E49F9}" name="Column15074"/>
    <tableColumn id="15075" xr3:uid="{13F3964E-7CE8-4584-91D0-A5237895180D}" name="Column15075"/>
    <tableColumn id="15076" xr3:uid="{69EEE7F8-BD1C-497F-9942-77E21B37B6E4}" name="Column15076"/>
    <tableColumn id="15077" xr3:uid="{CDC8A517-D374-4586-9C25-DA6AB11FE75D}" name="Column15077"/>
    <tableColumn id="15078" xr3:uid="{C6BD95B8-1BEB-4136-97F6-4962FC300F2D}" name="Column15078"/>
    <tableColumn id="15079" xr3:uid="{E3521796-D31C-4AC3-9F72-C5E03DB6B4EE}" name="Column15079"/>
    <tableColumn id="15080" xr3:uid="{F8AC9C72-2F07-4D90-8426-E52BE9D4FA56}" name="Column15080"/>
    <tableColumn id="15081" xr3:uid="{DD99ACAA-15AC-4FA5-B8B8-123075986202}" name="Column15081"/>
    <tableColumn id="15082" xr3:uid="{F12C77DE-0F94-4595-8ED0-94D3DB87E7B8}" name="Column15082"/>
    <tableColumn id="15083" xr3:uid="{5D8673AF-FC30-443F-9CF3-C395C4066FE3}" name="Column15083"/>
    <tableColumn id="15084" xr3:uid="{DADDDF06-83EC-46A2-B3C9-9FA869F948B9}" name="Column15084"/>
    <tableColumn id="15085" xr3:uid="{5E3422B9-34FD-4E13-986C-CFB5CB90CB55}" name="Column15085"/>
    <tableColumn id="15086" xr3:uid="{AC3171C6-BAAB-4FB8-AB82-7275936AE8E4}" name="Column15086"/>
    <tableColumn id="15087" xr3:uid="{2C013916-8BE9-49D8-9CE4-9E7D3CE59DA7}" name="Column15087"/>
    <tableColumn id="15088" xr3:uid="{D7DDEA1B-DDC8-41B5-B2CB-8A857138AA21}" name="Column15088"/>
    <tableColumn id="15089" xr3:uid="{23714F2E-39C7-4FE6-B18C-F930D0DEA393}" name="Column15089"/>
    <tableColumn id="15090" xr3:uid="{687C0EF4-D417-468E-93D1-4CCEC3BB0685}" name="Column15090"/>
    <tableColumn id="15091" xr3:uid="{8B00B5D6-C968-495D-BD28-B0ACF454554A}" name="Column15091"/>
    <tableColumn id="15092" xr3:uid="{F306676E-4A05-435D-A71F-D22A76F9847C}" name="Column15092"/>
    <tableColumn id="15093" xr3:uid="{A70EBF34-1F2E-4B3E-A1A6-4ADF0B07E8F2}" name="Column15093"/>
    <tableColumn id="15094" xr3:uid="{4C7868B8-08B6-447C-AD36-E5D9A6525556}" name="Column15094"/>
    <tableColumn id="15095" xr3:uid="{CFD7AE5E-C64B-4FE1-8CE4-76D8A0B5DBB6}" name="Column15095"/>
    <tableColumn id="15096" xr3:uid="{B49EFAE5-DA19-468D-AFB1-51DF066A184C}" name="Column15096"/>
    <tableColumn id="15097" xr3:uid="{57F478EE-5213-4A6B-8B09-256FDA77FA12}" name="Column15097"/>
    <tableColumn id="15098" xr3:uid="{FF1F93D0-5BAC-427D-B812-B92C8E2D8CA5}" name="Column15098"/>
    <tableColumn id="15099" xr3:uid="{F6B2CF7B-22CF-4AD4-A9DE-5D88F46D3B14}" name="Column15099"/>
    <tableColumn id="15100" xr3:uid="{62749D71-50E2-45CD-A92E-9885841AE16D}" name="Column15100"/>
    <tableColumn id="15101" xr3:uid="{01E66170-E413-45DF-852C-440E6E3A2304}" name="Column15101"/>
    <tableColumn id="15102" xr3:uid="{FAC87C8E-FE66-4AB6-A87A-FABA66C684DC}" name="Column15102"/>
    <tableColumn id="15103" xr3:uid="{112D00E3-3393-4604-84EB-C51C19C89E1A}" name="Column15103"/>
    <tableColumn id="15104" xr3:uid="{98BD0280-925B-4A7D-811F-731B549B5F64}" name="Column15104"/>
    <tableColumn id="15105" xr3:uid="{A84914D9-BCCE-465A-8E80-C3173D706B66}" name="Column15105"/>
    <tableColumn id="15106" xr3:uid="{D2EAAC23-16C6-4D58-B3EB-3876588CFDCD}" name="Column15106"/>
    <tableColumn id="15107" xr3:uid="{54C6D98F-61F1-423A-BB16-62FDC5A1C9B7}" name="Column15107"/>
    <tableColumn id="15108" xr3:uid="{F6E683EF-C7A6-44C5-9CD5-FFED5F51B9DD}" name="Column15108"/>
    <tableColumn id="15109" xr3:uid="{F019E73F-1FC4-44F2-B68F-11A5E40B1C4C}" name="Column15109"/>
    <tableColumn id="15110" xr3:uid="{5D9213C1-EA98-40C1-958F-67983C5AD132}" name="Column15110"/>
    <tableColumn id="15111" xr3:uid="{3EF80F2F-16C3-4A12-8869-017687A75FB2}" name="Column15111"/>
    <tableColumn id="15112" xr3:uid="{CEE79F84-D9DA-4CA4-B9E6-1F03E5F4876B}" name="Column15112"/>
    <tableColumn id="15113" xr3:uid="{D04C5225-ABE4-437E-B419-2EBA071B742C}" name="Column15113"/>
    <tableColumn id="15114" xr3:uid="{F41E8B35-3D5B-491C-9517-8A66EC65BFDA}" name="Column15114"/>
    <tableColumn id="15115" xr3:uid="{246D5FC8-E233-412E-B5FF-271DD3686803}" name="Column15115"/>
    <tableColumn id="15116" xr3:uid="{A1BCAA3F-5E9C-4515-B456-A6A9A196E543}" name="Column15116"/>
    <tableColumn id="15117" xr3:uid="{4C5851DA-18AA-452A-AFB9-35A86ED15414}" name="Column15117"/>
    <tableColumn id="15118" xr3:uid="{AA5E6C9C-99AE-4F0B-9081-BFAED0616AA1}" name="Column15118"/>
    <tableColumn id="15119" xr3:uid="{A64DC18D-D9DB-438D-8B43-BC5E2CC21212}" name="Column15119"/>
    <tableColumn id="15120" xr3:uid="{2D220B2D-BD20-41EA-A811-D71F7EB279CB}" name="Column15120"/>
    <tableColumn id="15121" xr3:uid="{A2EB1667-C025-426E-AD37-278EB27F8239}" name="Column15121"/>
    <tableColumn id="15122" xr3:uid="{47A0D28B-9057-4E04-9210-6784CF37DA13}" name="Column15122"/>
    <tableColumn id="15123" xr3:uid="{B469C91B-2C99-4045-B006-CBE07D2C3AD9}" name="Column15123"/>
    <tableColumn id="15124" xr3:uid="{E5D77682-020C-4321-8EFF-8292C5317D45}" name="Column15124"/>
    <tableColumn id="15125" xr3:uid="{0D41664E-EBFA-4323-AC81-3A651FD832A8}" name="Column15125"/>
    <tableColumn id="15126" xr3:uid="{EB2AF457-9400-49AA-9A20-5C7FDE2B1481}" name="Column15126"/>
    <tableColumn id="15127" xr3:uid="{188DA610-333C-4CCA-AF02-E502C62F6F30}" name="Column15127"/>
    <tableColumn id="15128" xr3:uid="{5C781445-DE44-4E71-B5CF-FEA7630299CA}" name="Column15128"/>
    <tableColumn id="15129" xr3:uid="{A7B477BA-6903-4E53-9ACF-6D7EDCA17D4F}" name="Column15129"/>
    <tableColumn id="15130" xr3:uid="{7C0D0581-C156-4B66-82F5-765C2BDCD128}" name="Column15130"/>
    <tableColumn id="15131" xr3:uid="{8A79F092-76B2-4D98-99B7-890AE7C565B5}" name="Column15131"/>
    <tableColumn id="15132" xr3:uid="{48F37BBF-3D46-4C60-B240-06E8DB1B535D}" name="Column15132"/>
    <tableColumn id="15133" xr3:uid="{521EB6A9-4B9D-4DC6-B6A1-534D4A9E6492}" name="Column15133"/>
    <tableColumn id="15134" xr3:uid="{C3876E1A-872C-4727-8F5B-309968B28ACC}" name="Column15134"/>
    <tableColumn id="15135" xr3:uid="{9F5ABC78-C4C4-42F1-A6CD-D48A4A004628}" name="Column15135"/>
    <tableColumn id="15136" xr3:uid="{4469D05C-F890-4E94-BD91-D47103147A55}" name="Column15136"/>
    <tableColumn id="15137" xr3:uid="{1FB16EC4-5785-4EB2-BD27-10B15A239848}" name="Column15137"/>
    <tableColumn id="15138" xr3:uid="{8F1F283A-1279-4883-B693-AFD44861CF7C}" name="Column15138"/>
    <tableColumn id="15139" xr3:uid="{E69A67A5-1609-4322-818D-229A889D3B5E}" name="Column15139"/>
    <tableColumn id="15140" xr3:uid="{C3C2F91C-A417-4B1D-8828-08EACEAD29E3}" name="Column15140"/>
    <tableColumn id="15141" xr3:uid="{9F5CE6B2-409D-4153-A3BB-EC87364AE4AE}" name="Column15141"/>
    <tableColumn id="15142" xr3:uid="{AF23318A-0BD3-4745-B99A-8D0C72E4DBAD}" name="Column15142"/>
    <tableColumn id="15143" xr3:uid="{AB74D7C0-E1DC-43B9-A83C-7808E6D22AD1}" name="Column15143"/>
    <tableColumn id="15144" xr3:uid="{D29F148D-EB6C-4BFD-BDFD-B870180B4181}" name="Column15144"/>
    <tableColumn id="15145" xr3:uid="{655CEDE7-7475-4FEC-A0FB-35FE329409A2}" name="Column15145"/>
    <tableColumn id="15146" xr3:uid="{0F3C2471-3D93-4CFA-B4B4-5F25AD6D8BBB}" name="Column15146"/>
    <tableColumn id="15147" xr3:uid="{22583F5F-37DD-48C3-8338-B04A04753763}" name="Column15147"/>
    <tableColumn id="15148" xr3:uid="{BEDC437B-EC90-4EC4-ABD6-24EEE6F072FD}" name="Column15148"/>
    <tableColumn id="15149" xr3:uid="{C38F5214-A4EE-4534-B886-309396DDA030}" name="Column15149"/>
    <tableColumn id="15150" xr3:uid="{9221DE78-322A-4F5D-85B0-E787DD7D60C4}" name="Column15150"/>
    <tableColumn id="15151" xr3:uid="{87704F23-2BEC-401A-B741-47E7015BCB36}" name="Column15151"/>
    <tableColumn id="15152" xr3:uid="{EB033000-E6E6-4A4D-B2E1-61DD241008FE}" name="Column15152"/>
    <tableColumn id="15153" xr3:uid="{9CB4DEA2-1B61-48B5-AF03-36C48AE412C7}" name="Column15153"/>
    <tableColumn id="15154" xr3:uid="{D681F376-16E9-40D1-BA24-FD38BD552FD2}" name="Column15154"/>
    <tableColumn id="15155" xr3:uid="{45B2D97F-7549-4D3C-B4A1-D69AF45EC465}" name="Column15155"/>
    <tableColumn id="15156" xr3:uid="{557DCE50-D8EB-42A1-93D4-71DA0E032EE8}" name="Column15156"/>
    <tableColumn id="15157" xr3:uid="{33CCDAD7-548D-4467-B2D1-49F9FEC21ECF}" name="Column15157"/>
    <tableColumn id="15158" xr3:uid="{CE17445A-8497-4B28-A77F-C43CA28D5BDD}" name="Column15158"/>
    <tableColumn id="15159" xr3:uid="{0BF4CAEE-46B5-4F61-BD7C-60640FB7278C}" name="Column15159"/>
    <tableColumn id="15160" xr3:uid="{10829AD1-E693-4F15-A926-7ED97D9708AA}" name="Column15160"/>
    <tableColumn id="15161" xr3:uid="{2A8E1804-3520-4178-BF09-01CFE8207F84}" name="Column15161"/>
    <tableColumn id="15162" xr3:uid="{004C0E25-C44B-43D0-9BC9-A6CF96732FC7}" name="Column15162"/>
    <tableColumn id="15163" xr3:uid="{9CEF3BDC-9896-42A6-9140-A7589612DD09}" name="Column15163"/>
    <tableColumn id="15164" xr3:uid="{A70A24C0-1750-4740-9A7D-CB7FBA23B1C2}" name="Column15164"/>
    <tableColumn id="15165" xr3:uid="{4CD56EAD-DE29-4401-B538-EF0E0431DB92}" name="Column15165"/>
    <tableColumn id="15166" xr3:uid="{FB67621E-DAED-4B9E-A875-23911741BA8C}" name="Column15166"/>
    <tableColumn id="15167" xr3:uid="{CB62C866-54E7-4885-8A65-1FB07D34944B}" name="Column15167"/>
    <tableColumn id="15168" xr3:uid="{F650CD81-153A-40A1-8D33-513F14C7C947}" name="Column15168"/>
    <tableColumn id="15169" xr3:uid="{C0F68ED2-A7C6-42A6-823C-0D94FF0F3217}" name="Column15169"/>
    <tableColumn id="15170" xr3:uid="{1F60AB8B-B5B4-4B9A-BBD3-6601EBB5F175}" name="Column15170"/>
    <tableColumn id="15171" xr3:uid="{8C542379-873A-47AD-B010-271B6E663737}" name="Column15171"/>
    <tableColumn id="15172" xr3:uid="{834111A3-97B9-4466-934B-5B97C803AD8C}" name="Column15172"/>
    <tableColumn id="15173" xr3:uid="{E38BF74B-D9C4-4CE8-B422-5A4181BE2F5A}" name="Column15173"/>
    <tableColumn id="15174" xr3:uid="{FA9E9BF3-0028-4263-9B82-13506FD4C018}" name="Column15174"/>
    <tableColumn id="15175" xr3:uid="{E2371BEE-90D6-439A-A259-2CCC607F953C}" name="Column15175"/>
    <tableColumn id="15176" xr3:uid="{1B5C51B6-8C37-4D0B-86D8-0AE99C19EFF7}" name="Column15176"/>
    <tableColumn id="15177" xr3:uid="{E18B5BF2-FE04-4971-A397-33EF3435E82E}" name="Column15177"/>
    <tableColumn id="15178" xr3:uid="{5AD79C7D-1C3F-4933-8AB7-011245D5F18A}" name="Column15178"/>
    <tableColumn id="15179" xr3:uid="{56BD9634-495F-4AE8-9EAC-0BE2CCAD0C86}" name="Column15179"/>
    <tableColumn id="15180" xr3:uid="{B3F9ED85-377D-46D6-9490-8BD90479C389}" name="Column15180"/>
    <tableColumn id="15181" xr3:uid="{4178D408-8D14-4F03-A807-8DC8B83BDEEA}" name="Column15181"/>
    <tableColumn id="15182" xr3:uid="{8BFA278E-736C-45C6-A908-07B8DC258391}" name="Column15182"/>
    <tableColumn id="15183" xr3:uid="{D52EF60B-1FAA-4627-B8F9-B2A2E12F9CBA}" name="Column15183"/>
    <tableColumn id="15184" xr3:uid="{E8CD47C3-47D0-4EEC-B99E-D46B72885F39}" name="Column15184"/>
    <tableColumn id="15185" xr3:uid="{972E0F42-8DD5-4397-8FB9-C9246E3E71CD}" name="Column15185"/>
    <tableColumn id="15186" xr3:uid="{AC558B68-7B22-444B-BFD0-02CB4DAF25A7}" name="Column15186"/>
    <tableColumn id="15187" xr3:uid="{475ADEB6-64B5-4AF5-883E-5964F6AB5CDC}" name="Column15187"/>
    <tableColumn id="15188" xr3:uid="{4A068A34-BBC6-4FE7-8D7C-85424DFED8FC}" name="Column15188"/>
    <tableColumn id="15189" xr3:uid="{34DE6F8D-683D-4B22-A092-577051DC0187}" name="Column15189"/>
    <tableColumn id="15190" xr3:uid="{C394DB71-6898-4A28-A7CB-2EB402265697}" name="Column15190"/>
    <tableColumn id="15191" xr3:uid="{CFE25396-0629-43B4-8B32-B6505F6828EA}" name="Column15191"/>
    <tableColumn id="15192" xr3:uid="{C413C8D6-DF68-4C99-A284-390D9707F63C}" name="Column15192"/>
    <tableColumn id="15193" xr3:uid="{57A07D67-F7A7-4B8A-AFDA-77D5B393C885}" name="Column15193"/>
    <tableColumn id="15194" xr3:uid="{39FC96F2-D946-4AAA-B2BE-66BA2B4B9CC7}" name="Column15194"/>
    <tableColumn id="15195" xr3:uid="{365A10C6-3C0D-4100-9028-5366EF51A90A}" name="Column15195"/>
    <tableColumn id="15196" xr3:uid="{DEEE72DC-044B-48B4-8FAC-CD84DBF7200B}" name="Column15196"/>
    <tableColumn id="15197" xr3:uid="{375464F0-1906-4B29-B3BC-9AF6DD7429B0}" name="Column15197"/>
    <tableColumn id="15198" xr3:uid="{4DA42F63-C126-4DAA-BFFB-922A5F28EBD6}" name="Column15198"/>
    <tableColumn id="15199" xr3:uid="{1573E993-0CBB-4158-89E9-9049CAABC196}" name="Column15199"/>
    <tableColumn id="15200" xr3:uid="{C1621AD2-A6AF-4EA8-AE56-202D36BD16F6}" name="Column15200"/>
    <tableColumn id="15201" xr3:uid="{7F4E909D-C859-4663-B0B2-CE734A8E5D51}" name="Column15201"/>
    <tableColumn id="15202" xr3:uid="{395A2115-4E17-4890-9461-D0F247245D9F}" name="Column15202"/>
    <tableColumn id="15203" xr3:uid="{508B154A-770F-4F89-A874-2B115A540B0E}" name="Column15203"/>
    <tableColumn id="15204" xr3:uid="{398F37C5-432A-4129-8710-CBA42BF148E1}" name="Column15204"/>
    <tableColumn id="15205" xr3:uid="{815D354E-49B8-4597-8D4C-6A2A14AD3DF4}" name="Column15205"/>
    <tableColumn id="15206" xr3:uid="{C749F686-D996-47D9-818A-A56772696634}" name="Column15206"/>
    <tableColumn id="15207" xr3:uid="{EB8E2487-6830-418D-9291-2376E2DB7BF9}" name="Column15207"/>
    <tableColumn id="15208" xr3:uid="{C730D6F3-4221-4519-AA18-CACFF85F42D6}" name="Column15208"/>
    <tableColumn id="15209" xr3:uid="{74733A0F-1F25-4006-9E0E-145297931060}" name="Column15209"/>
    <tableColumn id="15210" xr3:uid="{9F3CD05E-5631-4961-8952-656510D420F4}" name="Column15210"/>
    <tableColumn id="15211" xr3:uid="{871C77A3-6464-4842-A4B7-63130D54A533}" name="Column15211"/>
    <tableColumn id="15212" xr3:uid="{ED25249C-F2D8-4403-A900-253F716BB401}" name="Column15212"/>
    <tableColumn id="15213" xr3:uid="{22445390-94F9-4430-8979-299D30214CD0}" name="Column15213"/>
    <tableColumn id="15214" xr3:uid="{314F922A-599D-437E-B227-CE4CA4EB360F}" name="Column15214"/>
    <tableColumn id="15215" xr3:uid="{0CAB2813-02AA-4628-A290-5A4F8D3F111B}" name="Column15215"/>
    <tableColumn id="15216" xr3:uid="{1CA9602C-130E-403E-B135-A1599DE398E9}" name="Column15216"/>
    <tableColumn id="15217" xr3:uid="{16A2977D-6CD3-4050-87C4-0D24D002B7AA}" name="Column15217"/>
    <tableColumn id="15218" xr3:uid="{C7E177FB-D8C2-4829-B29F-A239DD3A39CE}" name="Column15218"/>
    <tableColumn id="15219" xr3:uid="{39080A3A-EE9F-4C40-B153-90A8C20839E3}" name="Column15219"/>
    <tableColumn id="15220" xr3:uid="{586F449C-C0FC-4D8E-8C30-0C0868534894}" name="Column15220"/>
    <tableColumn id="15221" xr3:uid="{84806505-8CC1-4750-9B3D-4D36FF4DBC58}" name="Column15221"/>
    <tableColumn id="15222" xr3:uid="{8E54989A-BACB-43E9-BD72-727382F24D27}" name="Column15222"/>
    <tableColumn id="15223" xr3:uid="{4A7FF52E-6E84-41B6-8388-05BA0B7532C1}" name="Column15223"/>
    <tableColumn id="15224" xr3:uid="{EE89A096-FDAC-4BEE-970F-44B244B2EE5F}" name="Column15224"/>
    <tableColumn id="15225" xr3:uid="{C5643A52-D36A-493E-8C29-65163873AAB0}" name="Column15225"/>
    <tableColumn id="15226" xr3:uid="{FECD469B-3589-484E-8F0A-C42D91D8DDC8}" name="Column15226"/>
    <tableColumn id="15227" xr3:uid="{8A3A79C3-8836-4819-95C7-3A630DDB098B}" name="Column15227"/>
    <tableColumn id="15228" xr3:uid="{86FEBDA4-362E-4BDB-83B9-95441C6E396A}" name="Column15228"/>
    <tableColumn id="15229" xr3:uid="{C0859D2D-56AF-4AE2-9F7B-852E3D6E6E8F}" name="Column15229"/>
    <tableColumn id="15230" xr3:uid="{64F4D27A-1003-4257-B678-8110648D8576}" name="Column15230"/>
    <tableColumn id="15231" xr3:uid="{2CC11973-F7AC-4620-8EA7-376A854EC0B2}" name="Column15231"/>
    <tableColumn id="15232" xr3:uid="{85D9718C-6779-4C7C-B6FE-F022E45B8E7D}" name="Column15232"/>
    <tableColumn id="15233" xr3:uid="{60C37206-A37F-45CD-AB8B-2AF99860222F}" name="Column15233"/>
    <tableColumn id="15234" xr3:uid="{ED06735E-42ED-4616-913F-C74845051693}" name="Column15234"/>
    <tableColumn id="15235" xr3:uid="{670D2893-0B5C-4584-B271-91571F382F61}" name="Column15235"/>
    <tableColumn id="15236" xr3:uid="{592398CF-9396-4CB1-B591-23BCCD2CB635}" name="Column15236"/>
    <tableColumn id="15237" xr3:uid="{A1277DF8-4C7F-4665-84F0-B71FBA82B309}" name="Column15237"/>
    <tableColumn id="15238" xr3:uid="{B2AFDB16-74D6-42A0-B7CA-517B8A70608C}" name="Column15238"/>
    <tableColumn id="15239" xr3:uid="{AED57FFA-8396-49AF-8626-DE8FFED7B251}" name="Column15239"/>
    <tableColumn id="15240" xr3:uid="{2C9A985E-EAC5-4487-9AA6-D9D3B030FB86}" name="Column15240"/>
    <tableColumn id="15241" xr3:uid="{876D3E0B-633A-4FCA-8C79-B9F9AA0FD8AA}" name="Column15241"/>
    <tableColumn id="15242" xr3:uid="{14F181DE-E7A5-4FEE-AE35-D19E22206C50}" name="Column15242"/>
    <tableColumn id="15243" xr3:uid="{ECB6A071-06E5-4465-8E9D-EF7CCCD860E7}" name="Column15243"/>
    <tableColumn id="15244" xr3:uid="{D9B32EC0-CACB-496E-8FA8-E2944D150F33}" name="Column15244"/>
    <tableColumn id="15245" xr3:uid="{CBAA80D9-A8C2-4C2B-B9BC-E3CC9E710953}" name="Column15245"/>
    <tableColumn id="15246" xr3:uid="{9790477E-6B4D-481C-A218-AD4DD143FA47}" name="Column15246"/>
    <tableColumn id="15247" xr3:uid="{31A67C63-6BF4-4A0B-92A9-F8EB21D9DE01}" name="Column15247"/>
    <tableColumn id="15248" xr3:uid="{15A10D05-4B76-4AE7-9D11-627BD811EA2E}" name="Column15248"/>
    <tableColumn id="15249" xr3:uid="{1F1AA993-AEBF-4806-ADE1-883874752609}" name="Column15249"/>
    <tableColumn id="15250" xr3:uid="{1B54FEF9-DE35-4F43-AD28-A78CFEDE7DA7}" name="Column15250"/>
    <tableColumn id="15251" xr3:uid="{CF4FF07F-DF2A-40AD-9C54-69840A66E26B}" name="Column15251"/>
    <tableColumn id="15252" xr3:uid="{71C7D1FA-B685-4DFA-A8B6-61AEBBA0A01F}" name="Column15252"/>
    <tableColumn id="15253" xr3:uid="{401784E0-82E0-4EC6-B069-B09B9D8675D8}" name="Column15253"/>
    <tableColumn id="15254" xr3:uid="{C188CDD8-88D7-4989-8603-5CD3751064CB}" name="Column15254"/>
    <tableColumn id="15255" xr3:uid="{CD579742-79ED-48E3-AF46-5B0544D462A3}" name="Column15255"/>
    <tableColumn id="15256" xr3:uid="{76F3517E-337F-44D4-94FC-D67642828C3D}" name="Column15256"/>
    <tableColumn id="15257" xr3:uid="{C13C903D-6F05-48D6-9012-35F68AFAAC0B}" name="Column15257"/>
    <tableColumn id="15258" xr3:uid="{611ADCFF-FC5F-4E1B-BD8E-18BE0CB15675}" name="Column15258"/>
    <tableColumn id="15259" xr3:uid="{AB316E93-0B28-44AC-93B9-72D226315B1E}" name="Column15259"/>
    <tableColumn id="15260" xr3:uid="{BA9B762B-9894-4F6C-90F6-19B3A0901E55}" name="Column15260"/>
    <tableColumn id="15261" xr3:uid="{6E5693A4-0538-4E9C-A31D-1C74D7DDB0F2}" name="Column15261"/>
    <tableColumn id="15262" xr3:uid="{B9C388AE-A518-40F6-9322-4B70CCD657B6}" name="Column15262"/>
    <tableColumn id="15263" xr3:uid="{D35E4E95-8E8E-4BBF-A713-095EC4ED7D23}" name="Column15263"/>
    <tableColumn id="15264" xr3:uid="{5E70332D-E332-4923-89D8-3BD17B0F2C18}" name="Column15264"/>
    <tableColumn id="15265" xr3:uid="{F7C92A61-52A4-400E-B950-4C40C853CFD9}" name="Column15265"/>
    <tableColumn id="15266" xr3:uid="{02DD5583-5BBE-41DA-903E-958109C351E6}" name="Column15266"/>
    <tableColumn id="15267" xr3:uid="{D2C8B120-7C6F-42AE-97F9-A9611A8B3D53}" name="Column15267"/>
    <tableColumn id="15268" xr3:uid="{84607260-016D-4709-BD57-5D1777F13756}" name="Column15268"/>
    <tableColumn id="15269" xr3:uid="{1C1C7D26-4A42-42DD-8724-C1036D19B3A7}" name="Column15269"/>
    <tableColumn id="15270" xr3:uid="{13B59AC3-1198-4CCE-9BC5-A95ACCFEFC4F}" name="Column15270"/>
    <tableColumn id="15271" xr3:uid="{81E44A12-A349-451C-95C1-5993C8460E46}" name="Column15271"/>
    <tableColumn id="15272" xr3:uid="{58E2827C-BF4B-44A6-8EA9-D961CC352F8F}" name="Column15272"/>
    <tableColumn id="15273" xr3:uid="{B11011B8-E1D9-47FE-9A7F-B95A3B211ADE}" name="Column15273"/>
    <tableColumn id="15274" xr3:uid="{24C5C63B-20EA-4069-90C3-D61C308C409B}" name="Column15274"/>
    <tableColumn id="15275" xr3:uid="{8FF649DD-3BE4-4704-8F10-44B13F968A75}" name="Column15275"/>
    <tableColumn id="15276" xr3:uid="{599F0B28-86C6-4BEC-968A-1F9A44412E9F}" name="Column15276"/>
    <tableColumn id="15277" xr3:uid="{384BC31D-1802-49C4-808C-218546426779}" name="Column15277"/>
    <tableColumn id="15278" xr3:uid="{7454F9F7-A2EE-4491-9017-CC1365C71046}" name="Column15278"/>
    <tableColumn id="15279" xr3:uid="{57852F96-1867-4156-85FB-102F7C8C5A77}" name="Column15279"/>
    <tableColumn id="15280" xr3:uid="{7B809F35-7267-46C0-8EB8-D71EAB466068}" name="Column15280"/>
    <tableColumn id="15281" xr3:uid="{E95980C6-B7EA-43DE-8539-A1F6124FD30B}" name="Column15281"/>
    <tableColumn id="15282" xr3:uid="{F1D7AC69-8459-4F72-BC3F-210CE49D0802}" name="Column15282"/>
    <tableColumn id="15283" xr3:uid="{E2B6FAEF-D300-4677-823A-57AD29EDB892}" name="Column15283"/>
    <tableColumn id="15284" xr3:uid="{CCBCC373-5814-4615-85F0-E74AC45D8A7A}" name="Column15284"/>
    <tableColumn id="15285" xr3:uid="{962EAFDB-C9AA-48BC-A42A-8DE13AD90AC3}" name="Column15285"/>
    <tableColumn id="15286" xr3:uid="{DB2E0C24-8AEF-4250-B49D-F9A5D16687E6}" name="Column15286"/>
    <tableColumn id="15287" xr3:uid="{29BDAF72-4FA3-4D6F-B5A3-E16DD1D175F9}" name="Column15287"/>
    <tableColumn id="15288" xr3:uid="{50BAC3D6-1E95-4FEA-AD2E-00939EF4E43D}" name="Column15288"/>
    <tableColumn id="15289" xr3:uid="{7488E086-72CB-4971-89E7-EEC14A3DE297}" name="Column15289"/>
    <tableColumn id="15290" xr3:uid="{7C2D519D-72EE-49A0-9970-5FB97651FD9B}" name="Column15290"/>
    <tableColumn id="15291" xr3:uid="{5DB28587-F7E6-40DD-809E-46FB0A4399B8}" name="Column15291"/>
    <tableColumn id="15292" xr3:uid="{30B4462E-BB82-442F-87B3-2A30CCE2ADA8}" name="Column15292"/>
    <tableColumn id="15293" xr3:uid="{EE4241B4-17B9-4A2C-9A45-342BAA8C2FC1}" name="Column15293"/>
    <tableColumn id="15294" xr3:uid="{407E1F0E-3125-4009-96E3-EC5C01CB7737}" name="Column15294"/>
    <tableColumn id="15295" xr3:uid="{B543986B-2FF4-44C2-83CB-BA410E812FA0}" name="Column15295"/>
    <tableColumn id="15296" xr3:uid="{32A69BAB-2090-4F07-A813-F3CC4BE57604}" name="Column15296"/>
    <tableColumn id="15297" xr3:uid="{35AC7731-B7CC-445D-A0EB-2E0DCCA50D86}" name="Column15297"/>
    <tableColumn id="15298" xr3:uid="{300F7314-10E0-4499-9ABD-3DC160C527DE}" name="Column15298"/>
    <tableColumn id="15299" xr3:uid="{6729E484-C7D9-4337-9C9B-63569DB777AF}" name="Column15299"/>
    <tableColumn id="15300" xr3:uid="{5D1FB2A1-A3B3-47F5-A21C-D25A395F0443}" name="Column15300"/>
    <tableColumn id="15301" xr3:uid="{342C2A0A-BCA6-4775-BD71-4AA565FC5CD3}" name="Column15301"/>
    <tableColumn id="15302" xr3:uid="{2EB697A1-6F55-4781-9E87-A09F14585034}" name="Column15302"/>
    <tableColumn id="15303" xr3:uid="{CA88C680-0822-4912-95A7-4D22E97DD79D}" name="Column15303"/>
    <tableColumn id="15304" xr3:uid="{133C9C37-A437-4A5A-8DD3-1F3F71BAA5A2}" name="Column15304"/>
    <tableColumn id="15305" xr3:uid="{C12DB533-8F16-4234-A8F7-7375370CBF04}" name="Column15305"/>
    <tableColumn id="15306" xr3:uid="{AE4CC52B-78BE-4BFD-AE0D-72FFDCCAB51F}" name="Column15306"/>
    <tableColumn id="15307" xr3:uid="{3D5564ED-36C1-49BA-83DC-BF26D38CF613}" name="Column15307"/>
    <tableColumn id="15308" xr3:uid="{3B640123-236E-402B-90E4-BDC072844507}" name="Column15308"/>
    <tableColumn id="15309" xr3:uid="{26A122A1-7ED8-41F7-B179-AC504BD8F117}" name="Column15309"/>
    <tableColumn id="15310" xr3:uid="{BABDC781-39A2-45A7-B61F-12523728691C}" name="Column15310"/>
    <tableColumn id="15311" xr3:uid="{154BFB9A-B336-42C4-9DCA-6012F51BA459}" name="Column15311"/>
    <tableColumn id="15312" xr3:uid="{60B08452-F2BA-41AA-8DA8-164A502BDC3F}" name="Column15312"/>
    <tableColumn id="15313" xr3:uid="{84F5A1E2-6771-4A90-8054-5FBE1D13711A}" name="Column15313"/>
    <tableColumn id="15314" xr3:uid="{6945BDB3-3599-4811-B0A3-CE71449128D4}" name="Column15314"/>
    <tableColumn id="15315" xr3:uid="{25A6CA88-6BCE-4DE3-A606-8F017BEB09B9}" name="Column15315"/>
    <tableColumn id="15316" xr3:uid="{4CD11EF5-2B38-4A64-B262-25069178DE68}" name="Column15316"/>
    <tableColumn id="15317" xr3:uid="{E6291076-7E24-4128-BA5C-F39BA7663727}" name="Column15317"/>
    <tableColumn id="15318" xr3:uid="{2DBA126D-1AAE-4A71-99E7-1416A1D22A77}" name="Column15318"/>
    <tableColumn id="15319" xr3:uid="{994B8535-8EEE-4AA0-B86C-41CA3EEE5A76}" name="Column15319"/>
    <tableColumn id="15320" xr3:uid="{491C7718-893E-42D5-BDAD-10F1C02E7E69}" name="Column15320"/>
    <tableColumn id="15321" xr3:uid="{09F0DE93-4F4F-4B18-9EE3-C883C2C8549E}" name="Column15321"/>
    <tableColumn id="15322" xr3:uid="{68DBC5D3-F997-4B0D-8779-31D3E65E9D19}" name="Column15322"/>
    <tableColumn id="15323" xr3:uid="{0BB458BC-4858-40C6-A26C-5F04EF93E653}" name="Column15323"/>
    <tableColumn id="15324" xr3:uid="{24ED0C58-F62A-44F2-95CB-B7F1F4DA2807}" name="Column15324"/>
    <tableColumn id="15325" xr3:uid="{D3FCCCC2-8F24-4553-A5C4-9FF9765AEAAD}" name="Column15325"/>
    <tableColumn id="15326" xr3:uid="{0F8F7EB1-A810-4260-9408-4774A7B6F388}" name="Column15326"/>
    <tableColumn id="15327" xr3:uid="{2CFC1699-C53D-469E-996B-3C174C304A83}" name="Column15327"/>
    <tableColumn id="15328" xr3:uid="{6B66762F-D668-4C31-86AA-8C9CD8FAD16C}" name="Column15328"/>
    <tableColumn id="15329" xr3:uid="{C98B4C87-0096-44B7-8BDA-9669761FA825}" name="Column15329"/>
    <tableColumn id="15330" xr3:uid="{A1818381-65AF-494B-A0B2-6B9F0B249EF2}" name="Column15330"/>
    <tableColumn id="15331" xr3:uid="{D3793D12-49A6-44E7-A593-42428DD2AA61}" name="Column15331"/>
    <tableColumn id="15332" xr3:uid="{7D488F4D-E123-49BD-96FD-82D20C3DFE92}" name="Column15332"/>
    <tableColumn id="15333" xr3:uid="{635653E4-0AD5-45AC-B8D1-CD4206B0E771}" name="Column15333"/>
    <tableColumn id="15334" xr3:uid="{B387B9DB-DD85-47F1-90F5-AF0CE6DFAAA6}" name="Column15334"/>
    <tableColumn id="15335" xr3:uid="{C93B1747-ECAC-4D46-B219-E782887BE4DB}" name="Column15335"/>
    <tableColumn id="15336" xr3:uid="{4BD442A3-5CAB-4450-9BDC-80377A672949}" name="Column15336"/>
    <tableColumn id="15337" xr3:uid="{CA8D436A-0EE0-4E1E-9541-065546F19B04}" name="Column15337"/>
    <tableColumn id="15338" xr3:uid="{B36F0AA9-2D85-452E-A04A-1438D367E429}" name="Column15338"/>
    <tableColumn id="15339" xr3:uid="{8A18106F-4158-4D54-9687-BAFCAFB1C807}" name="Column15339"/>
    <tableColumn id="15340" xr3:uid="{BA935A10-C99E-4B00-890F-2CC98071F4F7}" name="Column15340"/>
    <tableColumn id="15341" xr3:uid="{7986FAFE-FAD6-474B-8117-6CDB4AD8B238}" name="Column15341"/>
    <tableColumn id="15342" xr3:uid="{90B640A2-DC34-4B93-8D84-6246EBC3F107}" name="Column15342"/>
    <tableColumn id="15343" xr3:uid="{6BD5FC23-DB8C-4A1C-A9C4-21A6FABB250C}" name="Column15343"/>
    <tableColumn id="15344" xr3:uid="{80F030A1-66D9-4FA4-B8A3-1BAECAD06E64}" name="Column15344"/>
    <tableColumn id="15345" xr3:uid="{0DF265D7-CDCE-4A73-98C6-D60E0CA9F5F6}" name="Column15345"/>
    <tableColumn id="15346" xr3:uid="{5B037CEF-1FB0-4576-B481-62CBE217CC96}" name="Column15346"/>
    <tableColumn id="15347" xr3:uid="{0AC85649-3E7F-47BA-AA73-A12DEB45F172}" name="Column15347"/>
    <tableColumn id="15348" xr3:uid="{C737579A-ABC4-4AF7-9B26-5E9510B2FA7B}" name="Column15348"/>
    <tableColumn id="15349" xr3:uid="{3E402D04-885C-446C-95B6-F3EBC5EE63B2}" name="Column15349"/>
    <tableColumn id="15350" xr3:uid="{51177998-2B27-438D-8188-501948092353}" name="Column15350"/>
    <tableColumn id="15351" xr3:uid="{3119B097-BC85-468D-8A43-829594A0F27C}" name="Column15351"/>
    <tableColumn id="15352" xr3:uid="{D24011BB-E009-4EDE-8E9E-4491220B3774}" name="Column15352"/>
    <tableColumn id="15353" xr3:uid="{8A33DAA8-A49B-4D10-A694-E5E3C7A91A48}" name="Column15353"/>
    <tableColumn id="15354" xr3:uid="{5BA52355-B190-4D04-A465-AC11F0EDE24F}" name="Column15354"/>
    <tableColumn id="15355" xr3:uid="{68DF898E-59E8-4819-A3FD-298BD82CB168}" name="Column15355"/>
    <tableColumn id="15356" xr3:uid="{B8ABCA3F-82C6-41E0-A7B2-3A7E76D2BFC3}" name="Column15356"/>
    <tableColumn id="15357" xr3:uid="{E249CD01-E634-4B82-B44A-05DE7E6729B3}" name="Column15357"/>
    <tableColumn id="15358" xr3:uid="{897A7BE2-875E-4F24-8842-2329032513DA}" name="Column15358"/>
    <tableColumn id="15359" xr3:uid="{96DF7928-E26E-4EE9-ADDB-A32FE7BAD69D}" name="Column15359"/>
    <tableColumn id="15360" xr3:uid="{1EE8B65B-154D-41C5-AF3F-442C44F33FDC}" name="Column15360"/>
    <tableColumn id="15361" xr3:uid="{DDF87024-6296-48E5-8A73-9A356048DD07}" name="Column15361"/>
    <tableColumn id="15362" xr3:uid="{1BB6F69A-2E3A-405A-A3A2-645DE10AEF4B}" name="Column15362"/>
    <tableColumn id="15363" xr3:uid="{FFB358C5-3D24-47AE-B978-52CCD2F13C2C}" name="Column15363"/>
    <tableColumn id="15364" xr3:uid="{D3FBCE69-6C3B-4913-B19C-D0A1571096E1}" name="Column15364"/>
    <tableColumn id="15365" xr3:uid="{2837C2D8-5140-40D5-942F-B71C49D34D41}" name="Column15365"/>
    <tableColumn id="15366" xr3:uid="{D411E49A-74DF-4A60-8B95-2823FBB359F5}" name="Column15366"/>
    <tableColumn id="15367" xr3:uid="{09772C08-8853-45A4-BF46-7B461A3B1EED}" name="Column15367"/>
    <tableColumn id="15368" xr3:uid="{68A123F4-24DF-429E-8F2B-DC8E9D144D5C}" name="Column15368"/>
    <tableColumn id="15369" xr3:uid="{2E18CC22-B034-4DBF-A8F0-F23F231D6628}" name="Column15369"/>
    <tableColumn id="15370" xr3:uid="{4603C1C1-000E-4840-90AB-91F517093EC1}" name="Column15370"/>
    <tableColumn id="15371" xr3:uid="{297D272F-3567-45BE-A85A-6085B08ED448}" name="Column15371"/>
    <tableColumn id="15372" xr3:uid="{DA2137D1-377D-44B7-9BD4-6C21A2755843}" name="Column15372"/>
    <tableColumn id="15373" xr3:uid="{512D4E44-6F0D-41C1-9FA5-95A72B3C12E7}" name="Column15373"/>
    <tableColumn id="15374" xr3:uid="{681A5F96-6B20-41AF-B8FC-EE0BD0DD70CD}" name="Column15374"/>
    <tableColumn id="15375" xr3:uid="{A0F89185-028D-49A6-B1E2-005727C8E77D}" name="Column15375"/>
    <tableColumn id="15376" xr3:uid="{B73F7107-529A-492B-A294-B316DD53F400}" name="Column15376"/>
    <tableColumn id="15377" xr3:uid="{BD18A5F4-376D-43D1-9B06-AE26BA94AC41}" name="Column15377"/>
    <tableColumn id="15378" xr3:uid="{50B48574-963E-4840-8C5E-DECC25989A58}" name="Column15378"/>
    <tableColumn id="15379" xr3:uid="{BE093DCD-494A-4B43-8107-7E392C71CCD1}" name="Column15379"/>
    <tableColumn id="15380" xr3:uid="{27009801-4ABF-43C8-AEF0-35C4BCA65D19}" name="Column15380"/>
    <tableColumn id="15381" xr3:uid="{807EE6F3-4124-4469-ABC0-BA0BE239F5D3}" name="Column15381"/>
    <tableColumn id="15382" xr3:uid="{BE73D47E-2928-4BF8-BE70-3834F08C5331}" name="Column15382"/>
    <tableColumn id="15383" xr3:uid="{F06A6022-9E33-4119-9BF6-49B9E2F24A7F}" name="Column15383"/>
    <tableColumn id="15384" xr3:uid="{2B2B44E4-ACB8-4DB8-A6F1-7B5790CEF82D}" name="Column15384"/>
    <tableColumn id="15385" xr3:uid="{B5D98B91-2EA5-4B52-B02A-0D8BE634AA2A}" name="Column15385"/>
    <tableColumn id="15386" xr3:uid="{F9289986-926A-4363-8BE4-E182D3D6433C}" name="Column15386"/>
    <tableColumn id="15387" xr3:uid="{65E50E2C-A38B-4AE0-8A96-B56D0EEDEA2D}" name="Column15387"/>
    <tableColumn id="15388" xr3:uid="{B5DDEA4D-C266-4A33-9D36-B2A4111FAB1C}" name="Column15388"/>
    <tableColumn id="15389" xr3:uid="{FA6624FF-41B1-4122-AF90-2293EDD98C9C}" name="Column15389"/>
    <tableColumn id="15390" xr3:uid="{D9621825-9442-43E2-AC47-A29FDDEE4748}" name="Column15390"/>
    <tableColumn id="15391" xr3:uid="{019A04B9-64EA-4508-8F5B-40F14F3D4748}" name="Column15391"/>
    <tableColumn id="15392" xr3:uid="{6C800212-EC97-4F6C-A63A-C00740FEBEE0}" name="Column15392"/>
    <tableColumn id="15393" xr3:uid="{4A0829AC-57D2-46EB-ABE1-1B093B4A5DB8}" name="Column15393"/>
    <tableColumn id="15394" xr3:uid="{DE7B8F8B-8A57-410D-8F36-B565AA9D8164}" name="Column15394"/>
    <tableColumn id="15395" xr3:uid="{0CD0B494-5C68-4AC1-98F6-CDC44DBEF46A}" name="Column15395"/>
    <tableColumn id="15396" xr3:uid="{B97EE9C3-C300-4978-BF20-C2DA88971DFE}" name="Column15396"/>
    <tableColumn id="15397" xr3:uid="{4280EE97-2005-4665-AE48-B6489059F716}" name="Column15397"/>
    <tableColumn id="15398" xr3:uid="{06AF3E8E-0582-48C4-85D7-9015FDC9D7A2}" name="Column15398"/>
    <tableColumn id="15399" xr3:uid="{570C6CDF-8B5D-4A5A-9A79-1CF5A823B9AD}" name="Column15399"/>
    <tableColumn id="15400" xr3:uid="{601BC471-A6EB-49B8-9D95-622059B92E80}" name="Column15400"/>
    <tableColumn id="15401" xr3:uid="{60C73514-EB3E-4B91-9AEF-E62C15D23B92}" name="Column15401"/>
    <tableColumn id="15402" xr3:uid="{DC0C865A-1317-4872-8C5D-1E166550DC16}" name="Column15402"/>
    <tableColumn id="15403" xr3:uid="{3E9C75A2-E0E2-4CE4-9AAA-0F95E8AE7CA8}" name="Column15403"/>
    <tableColumn id="15404" xr3:uid="{7471ABA1-1D68-4CA7-B957-67456374DAED}" name="Column15404"/>
    <tableColumn id="15405" xr3:uid="{19A76DBA-88B6-4039-8111-8F1E845E03E9}" name="Column15405"/>
    <tableColumn id="15406" xr3:uid="{331309F8-13D0-4315-BB41-C7D24FD5B251}" name="Column15406"/>
    <tableColumn id="15407" xr3:uid="{E819108F-807A-48AE-A26C-0CAFE9E2F5FA}" name="Column15407"/>
    <tableColumn id="15408" xr3:uid="{163034B8-4767-42CE-ABFE-512D6D710B5B}" name="Column15408"/>
    <tableColumn id="15409" xr3:uid="{2D4A9BEF-037E-4B9E-8D3E-A3F2167649E4}" name="Column15409"/>
    <tableColumn id="15410" xr3:uid="{9AD76B03-3D76-453A-81FF-AF7251B9F632}" name="Column15410"/>
    <tableColumn id="15411" xr3:uid="{AEF7132B-5FC1-4E47-AC29-4F200D881C07}" name="Column15411"/>
    <tableColumn id="15412" xr3:uid="{A5E00CD3-221C-451C-9513-69C8D629B827}" name="Column15412"/>
    <tableColumn id="15413" xr3:uid="{F9EAD51A-D28D-4D9C-8EE2-D48356236A6F}" name="Column15413"/>
    <tableColumn id="15414" xr3:uid="{4074357D-7B80-412F-B5BA-FC20D04EC763}" name="Column15414"/>
    <tableColumn id="15415" xr3:uid="{D09ED607-82EE-48D4-B3DC-3863C8BD0EBE}" name="Column15415"/>
    <tableColumn id="15416" xr3:uid="{F3990E4C-EA06-4010-AA50-DC7CA3014F0E}" name="Column15416"/>
    <tableColumn id="15417" xr3:uid="{0C76701F-0651-41B1-8553-11590E57360F}" name="Column15417"/>
    <tableColumn id="15418" xr3:uid="{D4F92FF8-0703-445E-A370-82ADECA89C8F}" name="Column15418"/>
    <tableColumn id="15419" xr3:uid="{B5178D54-4103-4034-8D41-B292E4ED3B59}" name="Column15419"/>
    <tableColumn id="15420" xr3:uid="{907DE226-97B8-47AE-A996-60069F506F46}" name="Column15420"/>
    <tableColumn id="15421" xr3:uid="{85C6ACDC-9F05-4A3A-BC4F-00F7AC17A3A5}" name="Column15421"/>
    <tableColumn id="15422" xr3:uid="{A33D68CC-5B6F-40F0-BDF0-91FA706F9112}" name="Column15422"/>
    <tableColumn id="15423" xr3:uid="{0DA75E46-9423-4AC1-919D-AB2F01CAB30F}" name="Column15423"/>
    <tableColumn id="15424" xr3:uid="{A4C757FC-DDB9-4E2C-A348-B8AE4163E5BB}" name="Column15424"/>
    <tableColumn id="15425" xr3:uid="{14F98A42-20A3-4F99-988E-8D2D8BA24AA8}" name="Column15425"/>
    <tableColumn id="15426" xr3:uid="{87903B48-2438-450E-988D-1794A1058913}" name="Column15426"/>
    <tableColumn id="15427" xr3:uid="{09FB5512-D66A-433B-BB9B-8350F56B561B}" name="Column15427"/>
    <tableColumn id="15428" xr3:uid="{50C3D2BC-FA9C-4B44-BF6A-1C29E7F2EAEF}" name="Column15428"/>
    <tableColumn id="15429" xr3:uid="{95027645-B167-4B26-8B37-D1D280EFDABD}" name="Column15429"/>
    <tableColumn id="15430" xr3:uid="{2E3DEB18-1DA0-4226-9A2B-7D537E145F82}" name="Column15430"/>
    <tableColumn id="15431" xr3:uid="{2F36D783-A939-476B-9FF3-C702BC841787}" name="Column15431"/>
    <tableColumn id="15432" xr3:uid="{F4999A06-6628-4ACB-932F-DF859393E3D9}" name="Column15432"/>
    <tableColumn id="15433" xr3:uid="{1A6FF58E-F289-40C9-88A2-C95BC4A32AD8}" name="Column15433"/>
    <tableColumn id="15434" xr3:uid="{6072E37C-52C1-40D6-AB1B-8C3A37B4B99F}" name="Column15434"/>
    <tableColumn id="15435" xr3:uid="{F82D8AF1-2FCB-4EC1-983E-F66E82C17155}" name="Column15435"/>
    <tableColumn id="15436" xr3:uid="{3014AF55-AFA3-466F-AD3C-23596AFF0462}" name="Column15436"/>
    <tableColumn id="15437" xr3:uid="{D4E5C767-3F8B-4063-A002-BF9C836930A9}" name="Column15437"/>
    <tableColumn id="15438" xr3:uid="{B5C7BDF4-957A-40B2-9911-CBDD0C902A8C}" name="Column15438"/>
    <tableColumn id="15439" xr3:uid="{9F5D0AA2-9E50-4D19-B94D-4E66991DF90D}" name="Column15439"/>
    <tableColumn id="15440" xr3:uid="{6997554D-165C-4349-A97E-B1CFA2A10423}" name="Column15440"/>
    <tableColumn id="15441" xr3:uid="{D2D6BE36-61EA-4663-87B4-E4AFF26E85A2}" name="Column15441"/>
    <tableColumn id="15442" xr3:uid="{365D9AE1-7C36-4F6C-8437-A8CFDFCBA0E5}" name="Column15442"/>
    <tableColumn id="15443" xr3:uid="{96EDDFF3-0DBA-460B-99C0-95AF15A3EDA5}" name="Column15443"/>
    <tableColumn id="15444" xr3:uid="{BEACCF36-A6A6-47DB-9385-D0FC831F3FF2}" name="Column15444"/>
    <tableColumn id="15445" xr3:uid="{116726B0-4109-438F-9CA1-F9942B850DEF}" name="Column15445"/>
    <tableColumn id="15446" xr3:uid="{B70B1C5B-EC4B-4EC5-B3B6-8A4418B6AB70}" name="Column15446"/>
    <tableColumn id="15447" xr3:uid="{D306DE41-5F00-436D-A2A1-A7097C343251}" name="Column15447"/>
    <tableColumn id="15448" xr3:uid="{52F690ED-3D0E-48C0-B55D-53869E4259B0}" name="Column15448"/>
    <tableColumn id="15449" xr3:uid="{E9AB2EE1-FB63-457C-A233-8775B525AB5C}" name="Column15449"/>
    <tableColumn id="15450" xr3:uid="{C6ABBCDD-DE29-4598-99C0-74520E9FF27B}" name="Column15450"/>
    <tableColumn id="15451" xr3:uid="{60690CBE-AE3B-4BF0-A6C0-085CAE9034FB}" name="Column15451"/>
    <tableColumn id="15452" xr3:uid="{CCAA6607-3781-4735-B6F2-2CA1B05C5326}" name="Column15452"/>
    <tableColumn id="15453" xr3:uid="{365A14E2-E25A-4F73-A147-F70DF9A747D5}" name="Column15453"/>
    <tableColumn id="15454" xr3:uid="{46BF2476-8CDD-44DC-B61D-15038AC90041}" name="Column15454"/>
    <tableColumn id="15455" xr3:uid="{8009D0A7-0A33-462B-B422-0F7BC971AFA4}" name="Column15455"/>
    <tableColumn id="15456" xr3:uid="{486B2DB4-E454-4458-9CAA-556F2F2FB71A}" name="Column15456"/>
    <tableColumn id="15457" xr3:uid="{C27D385E-370D-4B13-8A8F-E79D7D8B7944}" name="Column15457"/>
    <tableColumn id="15458" xr3:uid="{FB8BE50A-4225-49D7-8AB3-9E6E402442FB}" name="Column15458"/>
    <tableColumn id="15459" xr3:uid="{B75815B5-BF6A-4438-9749-5C15AE633D76}" name="Column15459"/>
    <tableColumn id="15460" xr3:uid="{20461CA0-F45E-4983-AB01-5E9882D524C8}" name="Column15460"/>
    <tableColumn id="15461" xr3:uid="{DA1F52D4-15BC-4281-A0C7-5372827975CF}" name="Column15461"/>
    <tableColumn id="15462" xr3:uid="{BAA54789-EFC8-4328-A190-F89878EA9751}" name="Column15462"/>
    <tableColumn id="15463" xr3:uid="{C7CC79BC-87FF-459D-B532-6E79133F6A08}" name="Column15463"/>
    <tableColumn id="15464" xr3:uid="{3C91009C-AB95-4EDD-826B-CEB940C50D36}" name="Column15464"/>
    <tableColumn id="15465" xr3:uid="{9F7B216D-D382-4D66-A861-46FEEAB6EB24}" name="Column15465"/>
    <tableColumn id="15466" xr3:uid="{ABF6523E-2ACB-4E7F-9282-E386EC9E9E36}" name="Column15466"/>
    <tableColumn id="15467" xr3:uid="{8275D645-1F30-4E19-B7D4-8310A092A5F1}" name="Column15467"/>
    <tableColumn id="15468" xr3:uid="{2F0A119D-ECCD-4AD5-96EE-D37BEB86BC7A}" name="Column15468"/>
    <tableColumn id="15469" xr3:uid="{AE58D8AF-B887-491E-B0E9-A9064E795898}" name="Column15469"/>
    <tableColumn id="15470" xr3:uid="{6C6385C5-B0B1-4A2A-A72E-22420EC05E9F}" name="Column15470"/>
    <tableColumn id="15471" xr3:uid="{DFAF61BF-9AF1-4B49-8CF4-3304595BEAFD}" name="Column15471"/>
    <tableColumn id="15472" xr3:uid="{06CC649B-7EEF-45A1-A188-1FA0418C7E6E}" name="Column15472"/>
    <tableColumn id="15473" xr3:uid="{79C1A2F4-D93A-4689-BFDC-ED3A990311BE}" name="Column15473"/>
    <tableColumn id="15474" xr3:uid="{84A653A0-3DAC-4F2C-A9E3-F298707CFB1E}" name="Column15474"/>
    <tableColumn id="15475" xr3:uid="{50A4084E-6AE1-4059-97E5-2B5412EE7B64}" name="Column15475"/>
    <tableColumn id="15476" xr3:uid="{58C05A20-D84D-451E-83CD-C232008CDABC}" name="Column15476"/>
    <tableColumn id="15477" xr3:uid="{57CB3515-1532-4384-8096-E799633E3614}" name="Column15477"/>
    <tableColumn id="15478" xr3:uid="{DF878BCC-2A74-463E-A17B-6A3015A03FE7}" name="Column15478"/>
    <tableColumn id="15479" xr3:uid="{3151169C-660E-4029-A60B-A9EE97394E5D}" name="Column15479"/>
    <tableColumn id="15480" xr3:uid="{F11E2FBA-5014-4866-AA3D-9A476B2B1F2B}" name="Column15480"/>
    <tableColumn id="15481" xr3:uid="{6B9B2A77-1A5E-42DA-BB38-E362967DC978}" name="Column15481"/>
    <tableColumn id="15482" xr3:uid="{928F703D-AC3B-422F-AE88-F4DFEF74563D}" name="Column15482"/>
    <tableColumn id="15483" xr3:uid="{EFBEE1FC-D907-4416-9E31-95583028EF82}" name="Column15483"/>
    <tableColumn id="15484" xr3:uid="{3B5DDAFF-AD9D-4593-A9C0-56070AA07412}" name="Column15484"/>
    <tableColumn id="15485" xr3:uid="{FA76C59C-1AB1-4ED4-AC76-286C9A993401}" name="Column15485"/>
    <tableColumn id="15486" xr3:uid="{F56D93F4-AE44-45FB-AE99-B48104D4A656}" name="Column15486"/>
    <tableColumn id="15487" xr3:uid="{E5A490F7-06DE-4644-A18B-04AC5E70C38F}" name="Column15487"/>
    <tableColumn id="15488" xr3:uid="{29CB260E-5AAE-4E1F-80F3-1150559736A0}" name="Column15488"/>
    <tableColumn id="15489" xr3:uid="{E4F369F7-3EB3-428D-8D08-419326C88CE3}" name="Column15489"/>
    <tableColumn id="15490" xr3:uid="{7899A332-2815-4330-8F06-C1CE7AEBC212}" name="Column15490"/>
    <tableColumn id="15491" xr3:uid="{FD8E1D15-6733-424A-B5D3-E36760A5C297}" name="Column15491"/>
    <tableColumn id="15492" xr3:uid="{B9F75C0C-1BD5-49DF-B8E3-BF683CFECEEB}" name="Column15492"/>
    <tableColumn id="15493" xr3:uid="{B04366CD-5F33-4E06-8288-CA6F4FFCFF40}" name="Column15493"/>
    <tableColumn id="15494" xr3:uid="{AD4393D6-72A2-4037-8DEE-081BCF9ACF9E}" name="Column15494"/>
    <tableColumn id="15495" xr3:uid="{73DAB290-519E-4FD4-9579-9F850819E0CE}" name="Column15495"/>
    <tableColumn id="15496" xr3:uid="{3FD80D1F-8831-4312-AB1F-A9688426A9E8}" name="Column15496"/>
    <tableColumn id="15497" xr3:uid="{FBE80D62-B6C5-4AA6-9E12-BB3E26327346}" name="Column15497"/>
    <tableColumn id="15498" xr3:uid="{AD0C5938-1881-4D6F-B536-7885AF99FBA9}" name="Column15498"/>
    <tableColumn id="15499" xr3:uid="{B5707C3B-8326-4133-BA8B-EB603C47D37B}" name="Column15499"/>
    <tableColumn id="15500" xr3:uid="{1123B6FF-1C26-4492-851A-248E33BE1467}" name="Column15500"/>
    <tableColumn id="15501" xr3:uid="{5C3C8735-1C6C-4D81-B442-4880A56779B4}" name="Column15501"/>
    <tableColumn id="15502" xr3:uid="{53979A5C-92FF-423A-B8A9-ECEAF399EA47}" name="Column15502"/>
    <tableColumn id="15503" xr3:uid="{3F57606D-7D3C-43BF-AB85-833EE15FDA2D}" name="Column15503"/>
    <tableColumn id="15504" xr3:uid="{6C235205-9F62-4933-83C9-C023448869F2}" name="Column15504"/>
    <tableColumn id="15505" xr3:uid="{6EDCDBEE-E625-42F5-B5BA-5F9F12BFE6A7}" name="Column15505"/>
    <tableColumn id="15506" xr3:uid="{BE956F76-8DD3-4A92-8BB8-DEE19DA2C213}" name="Column15506"/>
    <tableColumn id="15507" xr3:uid="{374E7F76-2A75-46D9-8D9C-69C6D0F2F831}" name="Column15507"/>
    <tableColumn id="15508" xr3:uid="{06F0695F-F57E-4D95-B6A2-729FD592D322}" name="Column15508"/>
    <tableColumn id="15509" xr3:uid="{74E112F1-3DEB-4180-8ACB-DC58764CB03C}" name="Column15509"/>
    <tableColumn id="15510" xr3:uid="{884687D1-89B4-4EC5-BEA1-92B26D64B748}" name="Column15510"/>
    <tableColumn id="15511" xr3:uid="{665F7CC8-3E57-4C69-A281-A2B1389ABBC1}" name="Column15511"/>
    <tableColumn id="15512" xr3:uid="{16CEA9C1-C5C2-40A5-8A3E-8770D2600F92}" name="Column15512"/>
    <tableColumn id="15513" xr3:uid="{68A880A0-D396-48D1-9080-C771A324933B}" name="Column15513"/>
    <tableColumn id="15514" xr3:uid="{978F9264-6CEC-4891-91C9-CE369E0307BC}" name="Column15514"/>
    <tableColumn id="15515" xr3:uid="{1E27145D-F046-4A1B-AD13-35503755019D}" name="Column15515"/>
    <tableColumn id="15516" xr3:uid="{8DF90C34-2853-41C8-B189-F6CF975F85D7}" name="Column15516"/>
    <tableColumn id="15517" xr3:uid="{469409C5-E58D-4D8C-9D48-8844EA295FD9}" name="Column15517"/>
    <tableColumn id="15518" xr3:uid="{1D512314-2ADF-4CA5-9C37-3CF766CBAABF}" name="Column15518"/>
    <tableColumn id="15519" xr3:uid="{21A26EBA-4047-40DE-9279-26EC54D75CF6}" name="Column15519"/>
    <tableColumn id="15520" xr3:uid="{2E32AD5E-48B4-4005-884E-D269D2D1905C}" name="Column15520"/>
    <tableColumn id="15521" xr3:uid="{FE3927F0-3DF9-4949-BFEA-15D047D0F893}" name="Column15521"/>
    <tableColumn id="15522" xr3:uid="{CAE0630F-9B8F-4478-99DC-6F77E90BA54E}" name="Column15522"/>
    <tableColumn id="15523" xr3:uid="{0A099B11-454F-4772-8922-FDE8AC2D3CE1}" name="Column15523"/>
    <tableColumn id="15524" xr3:uid="{99841C97-A3EE-42AE-8FCA-4260E15404DE}" name="Column15524"/>
    <tableColumn id="15525" xr3:uid="{12A70C74-858F-4F91-8AC2-CC515E239C45}" name="Column15525"/>
    <tableColumn id="15526" xr3:uid="{EC872C4A-8D32-4F1E-8E33-52503B0BAB9D}" name="Column15526"/>
    <tableColumn id="15527" xr3:uid="{7C1C3A22-F7C4-4F4D-8576-A4D682218185}" name="Column15527"/>
    <tableColumn id="15528" xr3:uid="{125C7C03-76CB-499B-B05E-DE3CF7A75DE7}" name="Column15528"/>
    <tableColumn id="15529" xr3:uid="{31A2FBC8-5413-4DEB-9D72-FC66606C6329}" name="Column15529"/>
    <tableColumn id="15530" xr3:uid="{819367B0-ACA9-4B94-8269-3D694F76FED6}" name="Column15530"/>
    <tableColumn id="15531" xr3:uid="{BA3893C6-896D-4830-BAB4-F11B56D10623}" name="Column15531"/>
    <tableColumn id="15532" xr3:uid="{05ED7E6C-C2D4-418E-A84E-F018AC316052}" name="Column15532"/>
    <tableColumn id="15533" xr3:uid="{9749F90F-9FF9-4F9E-A69F-F92AA10219E2}" name="Column15533"/>
    <tableColumn id="15534" xr3:uid="{C179C7A9-0AAA-4489-B689-411A6637F236}" name="Column15534"/>
    <tableColumn id="15535" xr3:uid="{A73DCB4A-BA3D-4985-9D79-186F3064958F}" name="Column15535"/>
    <tableColumn id="15536" xr3:uid="{FE69B8EB-9B39-4ADD-B8DF-E82CAAEF3A6D}" name="Column15536"/>
    <tableColumn id="15537" xr3:uid="{A0DA44B8-F6F7-45D3-83EF-CC25F575762C}" name="Column15537"/>
    <tableColumn id="15538" xr3:uid="{BEF8673A-0FAF-4F38-80B2-8E361D6CFB46}" name="Column15538"/>
    <tableColumn id="15539" xr3:uid="{395EBCEF-A8CF-42ED-B33D-F35615202C4E}" name="Column15539"/>
    <tableColumn id="15540" xr3:uid="{B9085392-7DEE-4671-9BE7-D94FCDAC62E7}" name="Column15540"/>
    <tableColumn id="15541" xr3:uid="{178EA953-3A17-49BE-8B79-75AF9131D5C7}" name="Column15541"/>
    <tableColumn id="15542" xr3:uid="{DF520D5F-7DAF-4612-9625-1A43A5FA4B23}" name="Column15542"/>
    <tableColumn id="15543" xr3:uid="{EADD529D-9E53-478F-8048-F758CEA27A3D}" name="Column15543"/>
    <tableColumn id="15544" xr3:uid="{3F96B977-D271-46E0-8513-10A9E202B43F}" name="Column15544"/>
    <tableColumn id="15545" xr3:uid="{8DDB95F5-DA5A-4A07-B0DC-1B83B63829B8}" name="Column15545"/>
    <tableColumn id="15546" xr3:uid="{BCE111FD-10B1-4846-88AE-B261F1A02BDA}" name="Column15546"/>
    <tableColumn id="15547" xr3:uid="{D26C38D1-AF16-4E72-B2B7-57DEB27E7611}" name="Column15547"/>
    <tableColumn id="15548" xr3:uid="{D4B111E9-F650-4A6A-AF15-9884A9C7E126}" name="Column15548"/>
    <tableColumn id="15549" xr3:uid="{57F25012-07BD-4743-BF85-CCEA50BE0A18}" name="Column15549"/>
    <tableColumn id="15550" xr3:uid="{08E58037-E456-43E3-AC89-132859E518E4}" name="Column15550"/>
    <tableColumn id="15551" xr3:uid="{B64E93C1-A756-4F53-8CF2-833E0F85D609}" name="Column15551"/>
    <tableColumn id="15552" xr3:uid="{483C8280-6AC0-42AE-8E74-9FD5FC532D00}" name="Column15552"/>
    <tableColumn id="15553" xr3:uid="{50687005-3F76-4961-A6E1-F9B51567CBFB}" name="Column15553"/>
    <tableColumn id="15554" xr3:uid="{E3A34D1C-8341-4FA3-85E4-8053EFC96830}" name="Column15554"/>
    <tableColumn id="15555" xr3:uid="{63AFC5BB-BB91-4609-89CC-AF18A18D4670}" name="Column15555"/>
    <tableColumn id="15556" xr3:uid="{2D781135-51F1-4B33-AC57-15E739198B24}" name="Column15556"/>
    <tableColumn id="15557" xr3:uid="{A35629BB-27E8-4873-9C4A-550757AEF194}" name="Column15557"/>
    <tableColumn id="15558" xr3:uid="{4BB59DA6-8247-4847-97F6-0FA69EE93D26}" name="Column15558"/>
    <tableColumn id="15559" xr3:uid="{69519F4F-955E-4F2E-9F4E-2297C35CF22F}" name="Column15559"/>
    <tableColumn id="15560" xr3:uid="{24DB275A-6CFC-4A0C-92BD-BA300291DAF2}" name="Column15560"/>
    <tableColumn id="15561" xr3:uid="{7C9615D8-1D4E-45E5-BF85-5B4208E9A86D}" name="Column15561"/>
    <tableColumn id="15562" xr3:uid="{959E4AF8-C125-4774-AE17-1B5C546DC813}" name="Column15562"/>
    <tableColumn id="15563" xr3:uid="{44220957-8214-4F25-A814-69CF899FEEC9}" name="Column15563"/>
    <tableColumn id="15564" xr3:uid="{0EB067F6-FC44-493F-9AB2-E38CFBD0031B}" name="Column15564"/>
    <tableColumn id="15565" xr3:uid="{C0F2D8C5-23E2-4937-99D1-E51817E4F17D}" name="Column15565"/>
    <tableColumn id="15566" xr3:uid="{3EE62A54-A398-42BF-906B-3B79643E9EB6}" name="Column15566"/>
    <tableColumn id="15567" xr3:uid="{D534A0E3-C18B-45DD-95AD-708EBF35985C}" name="Column15567"/>
    <tableColumn id="15568" xr3:uid="{71D6339E-9F6A-4875-885F-B80CEF71A5EC}" name="Column15568"/>
    <tableColumn id="15569" xr3:uid="{4599E0BF-F488-4911-B638-89928C1075DF}" name="Column15569"/>
    <tableColumn id="15570" xr3:uid="{43ABA1B0-1309-4546-B8C6-2C60B1880D64}" name="Column15570"/>
    <tableColumn id="15571" xr3:uid="{31671D86-2A9E-42B7-9698-58B4AFA7B84F}" name="Column15571"/>
    <tableColumn id="15572" xr3:uid="{9CC49A8A-5CFA-4E8E-8F21-0286EACB6B3E}" name="Column15572"/>
    <tableColumn id="15573" xr3:uid="{4E4D6015-12A1-40AB-87AD-34FE3A5962FD}" name="Column15573"/>
    <tableColumn id="15574" xr3:uid="{F43FDA9F-333C-473F-A339-785167CFA274}" name="Column15574"/>
    <tableColumn id="15575" xr3:uid="{C8CEC038-BDBC-4046-929E-C99ACC54AF5A}" name="Column15575"/>
    <tableColumn id="15576" xr3:uid="{D5CA34BD-8194-4AF6-822A-F1646FC6CB1F}" name="Column15576"/>
    <tableColumn id="15577" xr3:uid="{C10041A2-9614-45A1-B068-66FABD7115DC}" name="Column15577"/>
    <tableColumn id="15578" xr3:uid="{497E07CE-44AA-4825-8791-89E577FA26DC}" name="Column15578"/>
    <tableColumn id="15579" xr3:uid="{878A4B53-4121-4BB8-8BF6-062E3A2B9BD0}" name="Column15579"/>
    <tableColumn id="15580" xr3:uid="{7C4DCD52-5B72-46DF-BC89-00CCFD128FBB}" name="Column15580"/>
    <tableColumn id="15581" xr3:uid="{A3F078CA-A20D-4787-B68B-8196D2424297}" name="Column15581"/>
    <tableColumn id="15582" xr3:uid="{08E4C2A3-AA35-409C-BC83-378E1A46803B}" name="Column15582"/>
    <tableColumn id="15583" xr3:uid="{7A5A3842-F851-4085-8009-DE0C8DDB770F}" name="Column15583"/>
    <tableColumn id="15584" xr3:uid="{F65522C9-8BAB-4B95-B8D6-21DDA9AD488F}" name="Column15584"/>
    <tableColumn id="15585" xr3:uid="{B701FBDE-F69F-495D-9B41-C4F6A4738721}" name="Column15585"/>
    <tableColumn id="15586" xr3:uid="{174D3EB8-552D-4524-BCE1-44916CA8CDAD}" name="Column15586"/>
    <tableColumn id="15587" xr3:uid="{2DC763C0-A659-4338-8841-377F58296FAC}" name="Column15587"/>
    <tableColumn id="15588" xr3:uid="{8706873A-6593-4151-94DF-C4266F50D6B6}" name="Column15588"/>
    <tableColumn id="15589" xr3:uid="{CC0F4642-3155-4856-A42B-E3DC8FD63017}" name="Column15589"/>
    <tableColumn id="15590" xr3:uid="{F4873F1B-50BE-443B-ACAE-E4E3B93DCFD1}" name="Column15590"/>
    <tableColumn id="15591" xr3:uid="{BF091085-2988-48C8-B97E-26E9CA0FE5E1}" name="Column15591"/>
    <tableColumn id="15592" xr3:uid="{8ED18D6F-85F7-4003-9669-2B248DDA64A9}" name="Column15592"/>
    <tableColumn id="15593" xr3:uid="{67C9459B-F5DE-433C-8D56-75A86C3C6E58}" name="Column15593"/>
    <tableColumn id="15594" xr3:uid="{4198DF7F-18AF-4A04-95D1-8129EB1003CA}" name="Column15594"/>
    <tableColumn id="15595" xr3:uid="{3614EA8A-7A02-4CCD-9A3C-E0F861CB50E6}" name="Column15595"/>
    <tableColumn id="15596" xr3:uid="{267059C8-344B-4CCE-9027-5F962CEEDCDD}" name="Column15596"/>
    <tableColumn id="15597" xr3:uid="{8F471BEB-67AE-4B3A-877F-0019A1CC4712}" name="Column15597"/>
    <tableColumn id="15598" xr3:uid="{FBA8184F-8F02-4DEC-BBCB-2DF27BF97E5F}" name="Column15598"/>
    <tableColumn id="15599" xr3:uid="{1A8E038F-EA7B-4C1F-8A0A-055A0ACF4B82}" name="Column15599"/>
    <tableColumn id="15600" xr3:uid="{4AB1E8B5-7441-466C-8BB2-2CAD3E30D9D2}" name="Column15600"/>
    <tableColumn id="15601" xr3:uid="{6937AC97-2006-4080-9BF9-65F3AA76419F}" name="Column15601"/>
    <tableColumn id="15602" xr3:uid="{40D7071B-64F2-484C-A471-4488642DE676}" name="Column15602"/>
    <tableColumn id="15603" xr3:uid="{8B8DE920-0479-44DC-8BB9-179F81D3E77A}" name="Column15603"/>
    <tableColumn id="15604" xr3:uid="{90404DF3-0A03-46A1-AB40-143A25A0747E}" name="Column15604"/>
    <tableColumn id="15605" xr3:uid="{BEDB8E44-2ACE-480F-8D38-65037D796F11}" name="Column15605"/>
    <tableColumn id="15606" xr3:uid="{FE00DFDF-C149-407A-84EA-09E66D20C197}" name="Column15606"/>
    <tableColumn id="15607" xr3:uid="{0A6420FA-E79F-4D08-9088-1A780020B39A}" name="Column15607"/>
    <tableColumn id="15608" xr3:uid="{FE73EF77-3253-49C1-BC1E-A1D41942962A}" name="Column15608"/>
    <tableColumn id="15609" xr3:uid="{52016952-1B4C-4501-AE24-A3E83DE16108}" name="Column15609"/>
    <tableColumn id="15610" xr3:uid="{0E98CA1C-C459-48CB-AB17-A316BC802D0C}" name="Column15610"/>
    <tableColumn id="15611" xr3:uid="{E2150566-D0FF-4DAF-9769-9B73E8E72029}" name="Column15611"/>
    <tableColumn id="15612" xr3:uid="{660220F0-1360-421A-890A-F45EB3665FBA}" name="Column15612"/>
    <tableColumn id="15613" xr3:uid="{35A97BCF-C491-44AE-A799-37C8E3CFE331}" name="Column15613"/>
    <tableColumn id="15614" xr3:uid="{AD6038FF-D5D5-48A4-9D4B-F44A58A59CD7}" name="Column15614"/>
    <tableColumn id="15615" xr3:uid="{A79137AF-D918-417B-800F-D9CBAF7C138E}" name="Column15615"/>
    <tableColumn id="15616" xr3:uid="{9F56F428-84E0-4757-BDCB-AF6FAB3F7F5A}" name="Column15616"/>
    <tableColumn id="15617" xr3:uid="{F0ECF616-9369-4923-949E-05236B4F5DF6}" name="Column15617"/>
    <tableColumn id="15618" xr3:uid="{753E83D4-AD68-46BE-AB4A-AF815586CEC4}" name="Column15618"/>
    <tableColumn id="15619" xr3:uid="{D5304ACE-0881-484A-87A0-78E8AD76354C}" name="Column15619"/>
    <tableColumn id="15620" xr3:uid="{79B5A9EA-6A73-4881-8603-8B7292237F4E}" name="Column15620"/>
    <tableColumn id="15621" xr3:uid="{DE2AF000-91A1-44DC-ADC3-7447064FB252}" name="Column15621"/>
    <tableColumn id="15622" xr3:uid="{B4C6CDD5-357D-4D0A-B68E-5E52887EB8D0}" name="Column15622"/>
    <tableColumn id="15623" xr3:uid="{3C653BD3-1F5B-4C2D-8B53-80673DEA4D43}" name="Column15623"/>
    <tableColumn id="15624" xr3:uid="{EEFC51B2-858B-457E-A1B3-D9ED995A6347}" name="Column15624"/>
    <tableColumn id="15625" xr3:uid="{D9D80E9F-8BD1-4531-AD2B-C5D7DCB4D9AB}" name="Column15625"/>
    <tableColumn id="15626" xr3:uid="{BADC57B9-4ECB-4E89-9E9E-782F0C4899A7}" name="Column15626"/>
    <tableColumn id="15627" xr3:uid="{8B72699D-ED33-4038-B08C-8DA7DD2E3FCC}" name="Column15627"/>
    <tableColumn id="15628" xr3:uid="{187795ED-795C-4110-9146-9B2CAE4AFFA1}" name="Column15628"/>
    <tableColumn id="15629" xr3:uid="{3556A45B-3B56-4B72-949C-6D6692BBA2FB}" name="Column15629"/>
    <tableColumn id="15630" xr3:uid="{0783ED65-3424-4513-B2FB-EFD295278462}" name="Column15630"/>
    <tableColumn id="15631" xr3:uid="{29A9B2FC-A62B-4E9E-AFBD-21608C642A4B}" name="Column15631"/>
    <tableColumn id="15632" xr3:uid="{F07F1401-98AE-459D-AD5A-C9AF57DFAFA4}" name="Column15632"/>
    <tableColumn id="15633" xr3:uid="{50038E1F-9C73-4472-BA99-1B8F1980F0AC}" name="Column15633"/>
    <tableColumn id="15634" xr3:uid="{C90496F3-5DF7-4FAC-B222-51118BED9941}" name="Column15634"/>
    <tableColumn id="15635" xr3:uid="{A4AAEB46-4A90-427A-8918-D5E4516D7784}" name="Column15635"/>
    <tableColumn id="15636" xr3:uid="{8E351149-8584-4A0C-95A8-16A929FA0F6C}" name="Column15636"/>
    <tableColumn id="15637" xr3:uid="{D02877BC-7681-4BAE-9ABC-721CAE3DE8DA}" name="Column15637"/>
    <tableColumn id="15638" xr3:uid="{507FFCE4-6717-4387-81FD-15FAC2D85D4B}" name="Column15638"/>
    <tableColumn id="15639" xr3:uid="{668231BD-DD5B-4B9B-BE7B-DA100C3AC224}" name="Column15639"/>
    <tableColumn id="15640" xr3:uid="{4419547C-4339-420D-A80D-0530EB1FEC00}" name="Column15640"/>
    <tableColumn id="15641" xr3:uid="{B5DAA0BC-695F-4EBD-BACF-29753F0B8E35}" name="Column15641"/>
    <tableColumn id="15642" xr3:uid="{CE0B2E41-38BA-4A73-AEC8-D045C2926098}" name="Column15642"/>
    <tableColumn id="15643" xr3:uid="{40F66B85-129F-4595-A26D-B95147C57AF9}" name="Column15643"/>
    <tableColumn id="15644" xr3:uid="{37F9E55E-EF57-4FD0-A457-CE87B928D4CB}" name="Column15644"/>
    <tableColumn id="15645" xr3:uid="{1D25643B-A1F4-43F0-8BFD-00178DFB21C5}" name="Column15645"/>
    <tableColumn id="15646" xr3:uid="{1FF1529F-2BD5-4B75-990A-F024A94AB37A}" name="Column15646"/>
    <tableColumn id="15647" xr3:uid="{258C2E74-DB9F-4CC9-B54D-750B6B01D553}" name="Column15647"/>
    <tableColumn id="15648" xr3:uid="{EE701324-A27B-42CC-B2C4-21EB9C6F5B9B}" name="Column15648"/>
    <tableColumn id="15649" xr3:uid="{749595D1-18FA-4254-920B-0E5FA1E827EB}" name="Column15649"/>
    <tableColumn id="15650" xr3:uid="{B8810390-3078-47C0-A1A1-E95352A25B10}" name="Column15650"/>
    <tableColumn id="15651" xr3:uid="{89B194BF-356C-4306-9CE3-9C33626D0344}" name="Column15651"/>
    <tableColumn id="15652" xr3:uid="{2D752C24-251C-4B75-A602-D2D0E8080134}" name="Column15652"/>
    <tableColumn id="15653" xr3:uid="{8D40EA8D-0DBD-4330-8BE3-8230026B13CA}" name="Column15653"/>
    <tableColumn id="15654" xr3:uid="{EF7A372D-92E9-49B9-AF44-E9E00F9F9749}" name="Column15654"/>
    <tableColumn id="15655" xr3:uid="{607FB77B-C891-42B7-80F3-DA565D043E26}" name="Column15655"/>
    <tableColumn id="15656" xr3:uid="{1E2355B3-88D6-4692-AA86-03235895D257}" name="Column15656"/>
    <tableColumn id="15657" xr3:uid="{E6C63FD3-3209-4944-A2DA-B9B9BB816174}" name="Column15657"/>
    <tableColumn id="15658" xr3:uid="{BD55375E-76C5-4DDF-BD7E-2FDE9B53029B}" name="Column15658"/>
    <tableColumn id="15659" xr3:uid="{A1C3D6FA-2222-4AC0-B38C-4A7FD9EA9275}" name="Column15659"/>
    <tableColumn id="15660" xr3:uid="{7E4274A4-5BD8-428E-91F3-4C24D3F43A0F}" name="Column15660"/>
    <tableColumn id="15661" xr3:uid="{57339477-D524-4A98-8375-EEC9AD810972}" name="Column15661"/>
    <tableColumn id="15662" xr3:uid="{4877AC4C-0ED6-4FAE-BBCD-DB44527D740C}" name="Column15662"/>
    <tableColumn id="15663" xr3:uid="{BDE66A93-615D-4E43-BE72-0F401C1603B1}" name="Column15663"/>
    <tableColumn id="15664" xr3:uid="{816BE543-8C77-473E-8B3D-63CB0325A7DF}" name="Column15664"/>
    <tableColumn id="15665" xr3:uid="{0B61AAAF-4727-4A64-8A74-474564371B61}" name="Column15665"/>
    <tableColumn id="15666" xr3:uid="{F2FCD06D-655F-4813-B027-2F1CBAB40197}" name="Column15666"/>
    <tableColumn id="15667" xr3:uid="{63901458-E338-4FBC-AFAE-E419E431EC2F}" name="Column15667"/>
    <tableColumn id="15668" xr3:uid="{A076DF1D-4D75-4E76-B8ED-78EF7C499293}" name="Column15668"/>
    <tableColumn id="15669" xr3:uid="{F7A5183F-F5DA-4FC0-BFA4-853D3B2F838D}" name="Column15669"/>
    <tableColumn id="15670" xr3:uid="{01CEC70D-2D3A-454B-AD86-0073EF333A68}" name="Column15670"/>
    <tableColumn id="15671" xr3:uid="{E425FF69-4AB2-469C-A78D-4C5738C47CA7}" name="Column15671"/>
    <tableColumn id="15672" xr3:uid="{3D645BAC-DE49-4331-813E-900EDF473443}" name="Column15672"/>
    <tableColumn id="15673" xr3:uid="{5B915006-0536-4712-96FF-9AC84AAFC507}" name="Column15673"/>
    <tableColumn id="15674" xr3:uid="{E89848B4-C93C-4010-9702-C9FE354AE933}" name="Column15674"/>
    <tableColumn id="15675" xr3:uid="{916B6ADB-1302-4441-8E51-4044C6D7A3B3}" name="Column15675"/>
    <tableColumn id="15676" xr3:uid="{DA2C9CC9-6F42-464A-8DC4-114C9EE5E6C5}" name="Column15676"/>
    <tableColumn id="15677" xr3:uid="{95C4F3FB-C9BC-4886-8F3E-5413C169C5A2}" name="Column15677"/>
    <tableColumn id="15678" xr3:uid="{0DD3696C-7E66-49AB-BD61-B51B2FEF73B0}" name="Column15678"/>
    <tableColumn id="15679" xr3:uid="{29A146FB-9A7F-4329-A7B4-0FF53624DBBC}" name="Column15679"/>
    <tableColumn id="15680" xr3:uid="{94890604-A244-4ABA-8D03-DF64670F1F86}" name="Column15680"/>
    <tableColumn id="15681" xr3:uid="{B46A616A-02D0-4F2C-A41B-687BC638851A}" name="Column15681"/>
    <tableColumn id="15682" xr3:uid="{7A022979-7C74-4C6E-BB0F-1D63F1C3FED7}" name="Column15682"/>
    <tableColumn id="15683" xr3:uid="{1229CF8F-FBEA-4EA1-A920-9CFA53B7645E}" name="Column15683"/>
    <tableColumn id="15684" xr3:uid="{B15EDC68-22B4-455E-BE69-6D18573FB9A2}" name="Column15684"/>
    <tableColumn id="15685" xr3:uid="{CCCA515B-229B-4451-922E-9D40A457AB17}" name="Column15685"/>
    <tableColumn id="15686" xr3:uid="{384F19DF-7415-49A9-A8B2-27DA5F963983}" name="Column15686"/>
    <tableColumn id="15687" xr3:uid="{1BBEDFE4-CB32-4AAD-A9CE-92B6014EC64A}" name="Column15687"/>
    <tableColumn id="15688" xr3:uid="{5F115DF9-FEC1-43AA-B707-EF45EE44B2AB}" name="Column15688"/>
    <tableColumn id="15689" xr3:uid="{3A9F419D-B631-40A0-BC2C-885FE5CC3A9C}" name="Column15689"/>
    <tableColumn id="15690" xr3:uid="{2530F607-0094-4113-A9BF-C8787BB2CEB3}" name="Column15690"/>
    <tableColumn id="15691" xr3:uid="{80DC18D1-50FD-415B-B336-318DF4E30628}" name="Column15691"/>
    <tableColumn id="15692" xr3:uid="{A7B55330-2631-4200-9FB5-88612B230E79}" name="Column15692"/>
    <tableColumn id="15693" xr3:uid="{3C77E103-3BB5-4B6C-BEE6-D01810EB6037}" name="Column15693"/>
    <tableColumn id="15694" xr3:uid="{B908B600-16FB-4EDA-839E-5D4E1988C27D}" name="Column15694"/>
    <tableColumn id="15695" xr3:uid="{094719D7-AA5B-4979-9214-F3205B8EF819}" name="Column15695"/>
    <tableColumn id="15696" xr3:uid="{70FA4AC1-9659-4779-A22A-45D77FED73E2}" name="Column15696"/>
    <tableColumn id="15697" xr3:uid="{CAFE8832-DF47-404E-B131-5EE2FCA51087}" name="Column15697"/>
    <tableColumn id="15698" xr3:uid="{32DB6E94-3D1E-4320-A807-59F52BCC9D06}" name="Column15698"/>
    <tableColumn id="15699" xr3:uid="{D9C3082C-4979-4D4F-862E-18C10C4E05A5}" name="Column15699"/>
    <tableColumn id="15700" xr3:uid="{74593DEB-E331-4C15-9461-7944A2B42D3B}" name="Column15700"/>
    <tableColumn id="15701" xr3:uid="{294CE270-EA23-49C0-928F-2E9DCDB0C142}" name="Column15701"/>
    <tableColumn id="15702" xr3:uid="{02BBD2F2-7686-4F3E-BF60-321435063434}" name="Column15702"/>
    <tableColumn id="15703" xr3:uid="{42C8DB6D-E019-41D5-BFB5-62081AA59469}" name="Column15703"/>
    <tableColumn id="15704" xr3:uid="{8EE96B2E-1DD1-4E2A-B00A-66679B24D8A6}" name="Column15704"/>
    <tableColumn id="15705" xr3:uid="{5E68F90B-120F-4C20-A3EE-AF3DD7202592}" name="Column15705"/>
    <tableColumn id="15706" xr3:uid="{7B8F94E0-32A3-4958-8534-B1EE261365E4}" name="Column15706"/>
    <tableColumn id="15707" xr3:uid="{FD6769CC-5C4C-4F1D-B606-0C1B96076693}" name="Column15707"/>
    <tableColumn id="15708" xr3:uid="{51F2E4FF-F8F0-4E32-9D75-DECE9FCE2E85}" name="Column15708"/>
    <tableColumn id="15709" xr3:uid="{9F68DB66-2970-4F38-901B-0AF3E41E3473}" name="Column15709"/>
    <tableColumn id="15710" xr3:uid="{BFAD67DC-E9CE-4751-814C-26FA8E6984DC}" name="Column15710"/>
    <tableColumn id="15711" xr3:uid="{23CFCD34-D558-43D1-8EAE-00E8157AD3B6}" name="Column15711"/>
    <tableColumn id="15712" xr3:uid="{EB111E13-44F7-41E2-BE4D-B8BFF79E305C}" name="Column15712"/>
    <tableColumn id="15713" xr3:uid="{C78466E1-D4EB-4672-ADD0-DA90E5462CDB}" name="Column15713"/>
    <tableColumn id="15714" xr3:uid="{775853FF-C86D-4AFF-B896-F1EBC58FE175}" name="Column15714"/>
    <tableColumn id="15715" xr3:uid="{114C7DF6-30A9-412E-8410-D6220A3E2152}" name="Column15715"/>
    <tableColumn id="15716" xr3:uid="{95A26B05-8F09-4163-962C-DC4595BEBBF5}" name="Column15716"/>
    <tableColumn id="15717" xr3:uid="{70D96341-5EA6-499D-90EC-F6794A6C6A2F}" name="Column15717"/>
    <tableColumn id="15718" xr3:uid="{ACBD94C4-C243-474D-A937-70B278A86039}" name="Column15718"/>
    <tableColumn id="15719" xr3:uid="{B9FC0375-844F-4336-A2B0-D17532EF0EDB}" name="Column15719"/>
    <tableColumn id="15720" xr3:uid="{B483DB44-701D-4C08-B401-8C3D4C6C0771}" name="Column15720"/>
    <tableColumn id="15721" xr3:uid="{C1AD1707-D2A9-4C58-823F-39A3288A5E42}" name="Column15721"/>
    <tableColumn id="15722" xr3:uid="{EDA3647B-ED76-4172-B066-295474B39DB5}" name="Column15722"/>
    <tableColumn id="15723" xr3:uid="{7705F190-9E6C-432D-9700-D9654D0AD70A}" name="Column15723"/>
    <tableColumn id="15724" xr3:uid="{C4C3CE72-48EC-4FBA-AA5F-F99CC3B78336}" name="Column15724"/>
    <tableColumn id="15725" xr3:uid="{2509E250-EC62-4879-A9C0-E5F40910C44B}" name="Column15725"/>
    <tableColumn id="15726" xr3:uid="{8BE3BC54-647C-4EA9-8BC9-CCE74556BE69}" name="Column15726"/>
    <tableColumn id="15727" xr3:uid="{038E8C82-E184-4355-AB3E-C4D70CE23ABC}" name="Column15727"/>
    <tableColumn id="15728" xr3:uid="{2B344138-4697-4BA8-87C0-6261C20208C6}" name="Column15728"/>
    <tableColumn id="15729" xr3:uid="{73CCBEC2-9C07-429E-A110-8BECE35291FE}" name="Column15729"/>
    <tableColumn id="15730" xr3:uid="{AA054020-BF44-4E75-8E87-666FEDC5A493}" name="Column15730"/>
    <tableColumn id="15731" xr3:uid="{BEEE4319-BBD8-4AE4-97C1-F53D086625BA}" name="Column15731"/>
    <tableColumn id="15732" xr3:uid="{080AD975-5477-43E1-9C91-70FD38A3186B}" name="Column15732"/>
    <tableColumn id="15733" xr3:uid="{0B751483-E18E-459E-9141-BFF711425342}" name="Column15733"/>
    <tableColumn id="15734" xr3:uid="{E3BC2445-B3C2-4613-8051-2F474E002FBC}" name="Column15734"/>
    <tableColumn id="15735" xr3:uid="{6700DE26-EB9E-42A6-8077-6A6D808EAF2C}" name="Column15735"/>
    <tableColumn id="15736" xr3:uid="{67F0E310-2027-45BC-A681-CB80FBB300D3}" name="Column15736"/>
    <tableColumn id="15737" xr3:uid="{C1E14871-BA20-471F-ACA0-6AC4C25DDAC4}" name="Column15737"/>
    <tableColumn id="15738" xr3:uid="{589D2068-C334-4701-A6F6-4C0C20E27633}" name="Column15738"/>
    <tableColumn id="15739" xr3:uid="{16277E0E-A02E-472A-9EBC-3DA0C459B593}" name="Column15739"/>
    <tableColumn id="15740" xr3:uid="{C9DC1B4B-96EE-4320-B992-B3B9CBA1B022}" name="Column15740"/>
    <tableColumn id="15741" xr3:uid="{6FCF6E12-F7D7-4CF0-B349-DFCBF04662B4}" name="Column15741"/>
    <tableColumn id="15742" xr3:uid="{3727A781-DABA-4C76-897D-DD93B19CED64}" name="Column15742"/>
    <tableColumn id="15743" xr3:uid="{32D8EB14-3524-4E46-B9D8-B7740C81580D}" name="Column15743"/>
    <tableColumn id="15744" xr3:uid="{2207AE6F-190C-4A92-B7D7-FA4588A7D870}" name="Column15744"/>
    <tableColumn id="15745" xr3:uid="{CAEAA947-7D89-40BE-8105-E4387B7DFD94}" name="Column15745"/>
    <tableColumn id="15746" xr3:uid="{33325531-8FFD-4404-BAC2-658BF8518D89}" name="Column15746"/>
    <tableColumn id="15747" xr3:uid="{DFBF3CE7-907A-4A98-8E8C-9477CEC367DB}" name="Column15747"/>
    <tableColumn id="15748" xr3:uid="{89D2BA1A-1FE1-41BA-9A95-FBB37BABFB12}" name="Column15748"/>
    <tableColumn id="15749" xr3:uid="{75870C8D-8BDA-44D7-ADE8-C0BFD98CF7D5}" name="Column15749"/>
    <tableColumn id="15750" xr3:uid="{69917C74-3658-4B5A-8637-2826FC343AE5}" name="Column15750"/>
    <tableColumn id="15751" xr3:uid="{81619035-1F09-4426-8985-21DA571C0923}" name="Column15751"/>
    <tableColumn id="15752" xr3:uid="{81540766-F14F-4AFC-8F29-3F2969E91699}" name="Column15752"/>
    <tableColumn id="15753" xr3:uid="{F616751A-9361-487D-AC6A-60CC2602E008}" name="Column15753"/>
    <tableColumn id="15754" xr3:uid="{363393A9-F240-45D6-8190-77BC7FED3324}" name="Column15754"/>
    <tableColumn id="15755" xr3:uid="{D03B4213-1888-4556-9096-C891A0BA538F}" name="Column15755"/>
    <tableColumn id="15756" xr3:uid="{CF246B52-A3AC-4812-8469-3FDF37EF5E29}" name="Column15756"/>
    <tableColumn id="15757" xr3:uid="{EC42A247-6D7C-46E6-89A6-F43F3CEA2836}" name="Column15757"/>
    <tableColumn id="15758" xr3:uid="{7B2518F9-695E-4CCA-A0C4-B6202C5E8C01}" name="Column15758"/>
    <tableColumn id="15759" xr3:uid="{03CA07D8-74BC-4AC6-B943-84C2964AB54B}" name="Column15759"/>
    <tableColumn id="15760" xr3:uid="{83A380A4-6753-44C1-9ECA-ACB3D8F0EE5C}" name="Column15760"/>
    <tableColumn id="15761" xr3:uid="{EB0AA5F4-C831-4A93-B6BE-C23D54AD0838}" name="Column15761"/>
    <tableColumn id="15762" xr3:uid="{35C7369C-EF61-46C2-8A6E-D2DA9A6FD18A}" name="Column15762"/>
    <tableColumn id="15763" xr3:uid="{CF7E8723-7D82-4404-B3ED-D55A58567EF7}" name="Column15763"/>
    <tableColumn id="15764" xr3:uid="{977B67E5-574B-4BC8-ACBF-5C0CEA498B72}" name="Column15764"/>
    <tableColumn id="15765" xr3:uid="{BBCEEF6E-AD09-4095-886A-ADED90132AD9}" name="Column15765"/>
    <tableColumn id="15766" xr3:uid="{4307B494-1FA6-42CB-95C5-3A5181F3CD2C}" name="Column15766"/>
    <tableColumn id="15767" xr3:uid="{462826F3-646E-4E3B-A645-8B6D9917578E}" name="Column15767"/>
    <tableColumn id="15768" xr3:uid="{B78354A4-C98D-43AA-8AB0-C6B3993A1EC2}" name="Column15768"/>
    <tableColumn id="15769" xr3:uid="{A1C8BDA1-C80E-4218-BDED-64AC9091839F}" name="Column15769"/>
    <tableColumn id="15770" xr3:uid="{A965BD97-7CFE-4435-89FE-2CA3699384FA}" name="Column15770"/>
    <tableColumn id="15771" xr3:uid="{5C7D588A-84C5-4858-A21E-019E7665B750}" name="Column15771"/>
    <tableColumn id="15772" xr3:uid="{24C34644-17CC-4F2F-83FE-8981C5D6DF2A}" name="Column15772"/>
    <tableColumn id="15773" xr3:uid="{37142BEB-FEEB-4D7D-909F-7F9E4B63E4E7}" name="Column15773"/>
    <tableColumn id="15774" xr3:uid="{B125B0AC-4FE1-449B-BE42-5F2C52F94F3D}" name="Column15774"/>
    <tableColumn id="15775" xr3:uid="{9C569486-A26D-4F7F-9CEC-8DC8245059F6}" name="Column15775"/>
    <tableColumn id="15776" xr3:uid="{CBDE0B6D-7A75-42EC-AD05-E3CAD40E8337}" name="Column15776"/>
    <tableColumn id="15777" xr3:uid="{5B2A7074-F54D-4ABE-9A8E-47577DC7FAEA}" name="Column15777"/>
    <tableColumn id="15778" xr3:uid="{13094081-13D8-4F45-B271-79A4D534917F}" name="Column15778"/>
    <tableColumn id="15779" xr3:uid="{36EC9AA0-5E19-47C8-B306-2011EA299D02}" name="Column15779"/>
    <tableColumn id="15780" xr3:uid="{D817D829-A776-4A8B-8D2C-ED864109DBCF}" name="Column15780"/>
    <tableColumn id="15781" xr3:uid="{A9FD0273-DF1E-4983-BED0-089F178AA63C}" name="Column15781"/>
    <tableColumn id="15782" xr3:uid="{D861E159-C72B-447B-9CDE-2206E3CD0E62}" name="Column15782"/>
    <tableColumn id="15783" xr3:uid="{5F2E54A7-D883-4853-8D4A-233848642BD4}" name="Column15783"/>
    <tableColumn id="15784" xr3:uid="{352B99FC-BE64-4269-A56B-A5A5445E60EE}" name="Column15784"/>
    <tableColumn id="15785" xr3:uid="{D78AB035-6E3B-43E5-A570-C142692ED999}" name="Column15785"/>
    <tableColumn id="15786" xr3:uid="{A711D46B-F9DF-4A95-9B7B-EEA57D91DBB8}" name="Column15786"/>
    <tableColumn id="15787" xr3:uid="{60BD9267-D811-4DA3-A429-D24F6DEA188A}" name="Column15787"/>
    <tableColumn id="15788" xr3:uid="{DBFDC9B8-D2D0-4F40-956E-8AF98722D1D2}" name="Column15788"/>
    <tableColumn id="15789" xr3:uid="{4F05B7BD-C801-41EA-BED2-E193F9DC1129}" name="Column15789"/>
    <tableColumn id="15790" xr3:uid="{6EA3BC04-A104-4185-8068-13E548D8F9B8}" name="Column15790"/>
    <tableColumn id="15791" xr3:uid="{D3392BE1-B668-4FD0-8924-D0BFA3AC83C2}" name="Column15791"/>
    <tableColumn id="15792" xr3:uid="{DF079AF8-89D9-4BEB-AD94-EA3592568843}" name="Column15792"/>
    <tableColumn id="15793" xr3:uid="{9BEC9772-0827-4BBA-82FA-18B3F19DFF30}" name="Column15793"/>
    <tableColumn id="15794" xr3:uid="{31119C61-263B-4014-903E-755B842DFDDF}" name="Column15794"/>
    <tableColumn id="15795" xr3:uid="{BFF2B94D-470A-4982-8D7C-8A14E931D075}" name="Column15795"/>
    <tableColumn id="15796" xr3:uid="{B0551BCF-A462-4220-B99D-30AE4375B040}" name="Column15796"/>
    <tableColumn id="15797" xr3:uid="{F293DFC8-86C3-42E2-8097-77F95643FDF0}" name="Column15797"/>
    <tableColumn id="15798" xr3:uid="{FCB613F3-06A4-4D41-8FE9-067800EABA01}" name="Column15798"/>
    <tableColumn id="15799" xr3:uid="{E19016FD-FC5C-4BF4-84A5-04587DFC3F90}" name="Column15799"/>
    <tableColumn id="15800" xr3:uid="{CA552425-DCB2-4628-98F2-5496ADBFB156}" name="Column15800"/>
    <tableColumn id="15801" xr3:uid="{E85EE93E-8ED1-4A88-8E96-391CCD287F36}" name="Column15801"/>
    <tableColumn id="15802" xr3:uid="{67E5D0A0-5E48-408E-83AB-C8D933D1E20A}" name="Column15802"/>
    <tableColumn id="15803" xr3:uid="{46C90B0F-BBB6-4EC0-9EC9-F1C068E4C998}" name="Column15803"/>
    <tableColumn id="15804" xr3:uid="{A4DCC4C8-0AA1-414C-9AA9-B9ADCF515816}" name="Column15804"/>
    <tableColumn id="15805" xr3:uid="{89ECF259-8593-4FE8-BB39-A12F1104A14E}" name="Column15805"/>
    <tableColumn id="15806" xr3:uid="{3C139E58-36AA-4EE7-ADB9-5BE2E41A971F}" name="Column15806"/>
    <tableColumn id="15807" xr3:uid="{D6DE532D-84A5-4FEB-9836-23505A47E4FE}" name="Column15807"/>
    <tableColumn id="15808" xr3:uid="{7EEE448F-42DB-45A8-B819-E3F870F5E0AE}" name="Column15808"/>
    <tableColumn id="15809" xr3:uid="{6026A258-2182-472A-8769-1AD4F6289223}" name="Column15809"/>
    <tableColumn id="15810" xr3:uid="{D955E3A3-F078-4F96-A417-478E0203F485}" name="Column15810"/>
    <tableColumn id="15811" xr3:uid="{67CE192C-74C0-4EC2-A03D-EFC61E116185}" name="Column15811"/>
    <tableColumn id="15812" xr3:uid="{3F8CBF42-D2D7-4A12-B01C-FFB532CA4414}" name="Column15812"/>
    <tableColumn id="15813" xr3:uid="{494CE28B-8766-41A1-80A3-6814C7E3C52C}" name="Column15813"/>
    <tableColumn id="15814" xr3:uid="{E0E0D40E-ECF0-41A0-936D-A512CF745453}" name="Column15814"/>
    <tableColumn id="15815" xr3:uid="{174B1249-AA5F-4CDD-8F8E-E967F9409F19}" name="Column15815"/>
    <tableColumn id="15816" xr3:uid="{648E66C2-82A1-4EB6-B4B2-7959FFA33C68}" name="Column15816"/>
    <tableColumn id="15817" xr3:uid="{CF032E90-AE2E-4F3D-ACD2-A376AD2D118E}" name="Column15817"/>
    <tableColumn id="15818" xr3:uid="{BECF5970-7222-46A3-B5B1-AD850B7A055C}" name="Column15818"/>
    <tableColumn id="15819" xr3:uid="{1C0288E9-22E2-4F46-87D5-D4FEA5E24F2B}" name="Column15819"/>
    <tableColumn id="15820" xr3:uid="{03EE01BB-65B4-4F34-8967-99545673B024}" name="Column15820"/>
    <tableColumn id="15821" xr3:uid="{128C2C19-3E00-4D66-B192-7D04529ADAF3}" name="Column15821"/>
    <tableColumn id="15822" xr3:uid="{B3796396-BB16-402C-BCFB-4A90DBDF5FF8}" name="Column15822"/>
    <tableColumn id="15823" xr3:uid="{90D9B7A6-3F03-432E-8ECC-DAFA5104A256}" name="Column15823"/>
    <tableColumn id="15824" xr3:uid="{FFE50D27-CA2C-45DA-AAB6-A88BB365DBAE}" name="Column15824"/>
    <tableColumn id="15825" xr3:uid="{F6966A34-1238-4AA4-919F-3C94F4B17A12}" name="Column15825"/>
    <tableColumn id="15826" xr3:uid="{C7BBC196-3D53-469A-BA43-C83D0420A3D4}" name="Column15826"/>
    <tableColumn id="15827" xr3:uid="{D7820BD5-2167-45B2-9A02-DCAC6D1E049C}" name="Column15827"/>
    <tableColumn id="15828" xr3:uid="{A1212C22-7A7A-45EB-B55A-7D4A93CCB9F9}" name="Column15828"/>
    <tableColumn id="15829" xr3:uid="{D9216C41-A4AC-4CB3-BCDB-15F783A59F17}" name="Column15829"/>
    <tableColumn id="15830" xr3:uid="{FDB0D154-7B06-462E-80DB-F3362AF56FB8}" name="Column15830"/>
    <tableColumn id="15831" xr3:uid="{0EBECDD4-7C8E-48EF-9846-285803BA4B84}" name="Column15831"/>
    <tableColumn id="15832" xr3:uid="{F3B7DE7E-D169-4CCC-A716-17D92DD50DDE}" name="Column15832"/>
    <tableColumn id="15833" xr3:uid="{66B2235B-5310-4AFE-A637-54D92AE8B23D}" name="Column15833"/>
    <tableColumn id="15834" xr3:uid="{40B1C020-2630-4C1D-BBF1-4C790BE1F429}" name="Column15834"/>
    <tableColumn id="15835" xr3:uid="{F9EBE799-F4DA-426A-A727-8CD6E0D527F3}" name="Column15835"/>
    <tableColumn id="15836" xr3:uid="{3411CBF5-C5F8-4EBB-9D1E-D25652AB502D}" name="Column15836"/>
    <tableColumn id="15837" xr3:uid="{3F4CF5F9-07DA-4ABE-89A1-9070CA87FAF4}" name="Column15837"/>
    <tableColumn id="15838" xr3:uid="{6D0381C6-B65E-45CE-8B6B-83C78D9D4086}" name="Column15838"/>
    <tableColumn id="15839" xr3:uid="{4CC86B51-1D06-4BAC-B60E-27C602CB442F}" name="Column15839"/>
    <tableColumn id="15840" xr3:uid="{243BC290-AE18-4314-B499-71394C974AA1}" name="Column15840"/>
    <tableColumn id="15841" xr3:uid="{0B9438C7-EE2C-4070-997C-53BFF8E077E2}" name="Column15841"/>
    <tableColumn id="15842" xr3:uid="{8D53BD60-0FAC-4D53-BCA8-E9DFFB87A49D}" name="Column15842"/>
    <tableColumn id="15843" xr3:uid="{9A9DC151-8070-4B05-A05A-97024EE548CA}" name="Column15843"/>
    <tableColumn id="15844" xr3:uid="{4E65E905-A7CE-4360-862E-E0970A39143E}" name="Column15844"/>
    <tableColumn id="15845" xr3:uid="{E11024B0-84EC-4397-9146-D9E1B12342F2}" name="Column15845"/>
    <tableColumn id="15846" xr3:uid="{BB1AD302-34B2-40B8-A402-E4EACE6E43D9}" name="Column15846"/>
    <tableColumn id="15847" xr3:uid="{98A13E5F-C2EA-4F4B-B7D7-3DC914805BCE}" name="Column15847"/>
    <tableColumn id="15848" xr3:uid="{3B6E06E7-CABB-4FE9-8741-B106D40189CD}" name="Column15848"/>
    <tableColumn id="15849" xr3:uid="{80DE4472-C782-4C50-8E52-ED71CD6F3D16}" name="Column15849"/>
    <tableColumn id="15850" xr3:uid="{12ABE86E-175C-4A0C-9377-1891DD33B726}" name="Column15850"/>
    <tableColumn id="15851" xr3:uid="{EE830969-7DB3-4C45-8376-A155811B386B}" name="Column15851"/>
    <tableColumn id="15852" xr3:uid="{596BCFEF-2E7C-492D-98F5-48534719B761}" name="Column15852"/>
    <tableColumn id="15853" xr3:uid="{7007CDBE-913B-4C42-900F-8A0AA526CA4F}" name="Column15853"/>
    <tableColumn id="15854" xr3:uid="{5B6AE0B3-CFF2-470A-85B3-DDF3556EFCD1}" name="Column15854"/>
    <tableColumn id="15855" xr3:uid="{71168AC0-B157-4078-AD75-C20B58EF9D1F}" name="Column15855"/>
    <tableColumn id="15856" xr3:uid="{C5A5EF06-2692-48E7-889D-719C5B2E11FB}" name="Column15856"/>
    <tableColumn id="15857" xr3:uid="{81F5319C-451F-4087-9973-D9851309E932}" name="Column15857"/>
    <tableColumn id="15858" xr3:uid="{6DAB11F4-377F-4747-BF77-3A926019F3C1}" name="Column15858"/>
    <tableColumn id="15859" xr3:uid="{E83D4DA5-4CD1-4F43-9122-3B4A54A5283C}" name="Column15859"/>
    <tableColumn id="15860" xr3:uid="{7263FCAB-823C-4F79-A146-03540C0712F9}" name="Column15860"/>
    <tableColumn id="15861" xr3:uid="{CB242CE4-FDEF-430B-9162-9E19AEB4E526}" name="Column15861"/>
    <tableColumn id="15862" xr3:uid="{FEC4E584-7920-4A75-9316-3181BF0F0A4B}" name="Column15862"/>
    <tableColumn id="15863" xr3:uid="{1FF5CFF9-6351-4EEC-B9EA-E0F3375A8D3F}" name="Column15863"/>
    <tableColumn id="15864" xr3:uid="{9F5EACD1-58C6-497E-9C8E-73255F925FE1}" name="Column15864"/>
    <tableColumn id="15865" xr3:uid="{2910CC76-CACD-4C82-9FA1-CD8B99F5F250}" name="Column15865"/>
    <tableColumn id="15866" xr3:uid="{0C68D546-3FB7-44F7-B856-AC3EE8F21728}" name="Column15866"/>
    <tableColumn id="15867" xr3:uid="{6885A134-7473-445B-BDA8-56AEB5A24D06}" name="Column15867"/>
    <tableColumn id="15868" xr3:uid="{76F282BF-DD28-48C6-9B26-E0EF30AC7E4E}" name="Column15868"/>
    <tableColumn id="15869" xr3:uid="{1F2CF499-AE87-41A9-BC86-3DE22C025D24}" name="Column15869"/>
    <tableColumn id="15870" xr3:uid="{D91DF857-12FF-4982-B50C-842E96542B71}" name="Column15870"/>
    <tableColumn id="15871" xr3:uid="{FA20206E-2BEF-41A8-828B-D458F2950CBE}" name="Column15871"/>
    <tableColumn id="15872" xr3:uid="{3207BBC7-D816-495B-969F-874FE37C305A}" name="Column15872"/>
    <tableColumn id="15873" xr3:uid="{CB2D7192-505E-48A6-BD79-F9AEAB210D2E}" name="Column15873"/>
    <tableColumn id="15874" xr3:uid="{30949D9D-6E54-4660-9EBE-7E6ACEE48F04}" name="Column15874"/>
    <tableColumn id="15875" xr3:uid="{65A28425-E148-4D8B-AEF4-A15BAB0562D8}" name="Column15875"/>
    <tableColumn id="15876" xr3:uid="{4B094250-B687-4D56-9374-DA0F820B643C}" name="Column15876"/>
    <tableColumn id="15877" xr3:uid="{A424532F-1026-4ED1-940F-8119DF4512AF}" name="Column15877"/>
    <tableColumn id="15878" xr3:uid="{D7FF4BD5-BC61-4167-BA72-8B09B6D258EF}" name="Column15878"/>
    <tableColumn id="15879" xr3:uid="{2C34FA5F-410C-4E8D-93FC-5AAC08C6CE45}" name="Column15879"/>
    <tableColumn id="15880" xr3:uid="{E189F85E-0D26-4ECF-A4B3-AA0762BE3609}" name="Column15880"/>
    <tableColumn id="15881" xr3:uid="{9CF0FD37-06F0-4196-BA82-8DF811F18FDB}" name="Column15881"/>
    <tableColumn id="15882" xr3:uid="{2DC5355E-ED05-4768-B864-EF0D69F94AD1}" name="Column15882"/>
    <tableColumn id="15883" xr3:uid="{396BEE5B-4F8F-4F48-ACBC-D5217B4AB575}" name="Column15883"/>
    <tableColumn id="15884" xr3:uid="{6C8C2910-1933-4A3B-B033-9669FAA0F3BE}" name="Column15884"/>
    <tableColumn id="15885" xr3:uid="{F30515AE-8F60-48E5-B1A2-C435911D0D89}" name="Column15885"/>
    <tableColumn id="15886" xr3:uid="{406DCAFF-6B6F-419C-9C9C-72BB80436988}" name="Column15886"/>
    <tableColumn id="15887" xr3:uid="{E00A4C5D-34CF-40D7-B5CE-5845679C8DAA}" name="Column15887"/>
    <tableColumn id="15888" xr3:uid="{68B01DC7-E742-4630-8E84-3A429689B363}" name="Column15888"/>
    <tableColumn id="15889" xr3:uid="{32720D73-AC42-4EC4-A688-256517876A2B}" name="Column15889"/>
    <tableColumn id="15890" xr3:uid="{5E853B70-15F9-4A79-BD25-7E8C3053B973}" name="Column15890"/>
    <tableColumn id="15891" xr3:uid="{07B9521C-E9EA-44A5-B0E9-095170CDCC81}" name="Column15891"/>
    <tableColumn id="15892" xr3:uid="{5AFBB04B-727E-4D7B-9BA0-B09A866636D6}" name="Column15892"/>
    <tableColumn id="15893" xr3:uid="{3FC4EC7F-A2DF-4286-8016-628A14BED0F5}" name="Column15893"/>
    <tableColumn id="15894" xr3:uid="{7578EFF4-C64C-446A-A825-54A2D94F0F74}" name="Column15894"/>
    <tableColumn id="15895" xr3:uid="{DEA8B891-6815-48F3-AC4E-6BF874057282}" name="Column15895"/>
    <tableColumn id="15896" xr3:uid="{42A5059D-98F4-4B06-90E4-6A8C6419F69E}" name="Column15896"/>
    <tableColumn id="15897" xr3:uid="{BC1E06F6-B2B3-4135-B2E7-C92F90A7443B}" name="Column15897"/>
    <tableColumn id="15898" xr3:uid="{92C09251-E2AC-489E-A6D6-45DB0C8E1676}" name="Column15898"/>
    <tableColumn id="15899" xr3:uid="{BBE45B70-293A-47D4-88D7-472C2E863C6E}" name="Column15899"/>
    <tableColumn id="15900" xr3:uid="{A2F574D9-C972-4AC2-8D73-5050BF41C683}" name="Column15900"/>
    <tableColumn id="15901" xr3:uid="{2CD58AE4-29BF-46EF-9AD6-1AF190FFE037}" name="Column15901"/>
    <tableColumn id="15902" xr3:uid="{3E8972AD-CB58-4AC9-B069-4559796C402A}" name="Column15902"/>
    <tableColumn id="15903" xr3:uid="{BA1B5EF2-E456-41C5-803E-7D5D255353A8}" name="Column15903"/>
    <tableColumn id="15904" xr3:uid="{EE8BADF5-E3C4-405D-9A51-C2E740F75874}" name="Column15904"/>
    <tableColumn id="15905" xr3:uid="{5EFF69E4-8198-42AD-BCFA-8B869ABF5467}" name="Column15905"/>
    <tableColumn id="15906" xr3:uid="{636F643F-59D4-4A3A-AC5B-2F7EF3195E60}" name="Column15906"/>
    <tableColumn id="15907" xr3:uid="{C9BB2D7E-CB1D-497C-9640-E61EF9D1A794}" name="Column15907"/>
    <tableColumn id="15908" xr3:uid="{B4299BD8-E772-4747-898D-0BE58039CC36}" name="Column15908"/>
    <tableColumn id="15909" xr3:uid="{7636463C-1CA3-4A2D-A698-9B1D92A015AA}" name="Column15909"/>
    <tableColumn id="15910" xr3:uid="{3B1423B8-F068-48A5-98F0-6219D1A671C0}" name="Column15910"/>
    <tableColumn id="15911" xr3:uid="{2D5AB5D3-86FC-43F2-A8F0-281BC638046C}" name="Column15911"/>
    <tableColumn id="15912" xr3:uid="{F481EE7F-8FF6-4A41-B871-DABD7859A8AC}" name="Column15912"/>
    <tableColumn id="15913" xr3:uid="{7E1127C2-F218-44F2-93D8-12DDD2601BA0}" name="Column15913"/>
    <tableColumn id="15914" xr3:uid="{F2E57C08-C930-4474-9A9D-327B396057F8}" name="Column15914"/>
    <tableColumn id="15915" xr3:uid="{0A047A88-8EA9-4B8D-B636-BCAAF68541E7}" name="Column15915"/>
    <tableColumn id="15916" xr3:uid="{D45ECDF2-8F54-423D-91B0-1FA8B70087E3}" name="Column15916"/>
    <tableColumn id="15917" xr3:uid="{DE45A8C1-232A-4005-9030-5AE25F7F738B}" name="Column15917"/>
    <tableColumn id="15918" xr3:uid="{661FBD4D-8F0F-4FFE-B0A9-26D0CA7ED22F}" name="Column15918"/>
    <tableColumn id="15919" xr3:uid="{3AD45ECB-D054-4E87-854D-3FC7338DDC86}" name="Column15919"/>
    <tableColumn id="15920" xr3:uid="{7B6F81BE-BD84-4D25-B848-0AF382413343}" name="Column15920"/>
    <tableColumn id="15921" xr3:uid="{FC561188-BAA3-4CEE-A3DE-975B8B5AC19A}" name="Column15921"/>
    <tableColumn id="15922" xr3:uid="{C4E3ACCE-BFB1-45BE-A85B-7493142F9461}" name="Column15922"/>
    <tableColumn id="15923" xr3:uid="{7B693098-4226-45C8-B260-A51B5C524268}" name="Column15923"/>
    <tableColumn id="15924" xr3:uid="{1D8951F6-2F61-42DF-B7E4-F2801C07E849}" name="Column15924"/>
    <tableColumn id="15925" xr3:uid="{DE6DA62D-1F9D-4D6C-A80A-77B532294C0F}" name="Column15925"/>
    <tableColumn id="15926" xr3:uid="{7F36DC78-82A8-4E56-BEB9-BCE321655EBD}" name="Column15926"/>
    <tableColumn id="15927" xr3:uid="{BA61CFD9-C3EC-4A7F-B998-F07CF126CA11}" name="Column15927"/>
    <tableColumn id="15928" xr3:uid="{2E9E1196-95F3-40FA-9B95-D19CF43F3622}" name="Column15928"/>
    <tableColumn id="15929" xr3:uid="{B258C09B-49EF-499A-B8A0-F1FD441E1511}" name="Column15929"/>
    <tableColumn id="15930" xr3:uid="{09260609-49C0-4D54-9F3A-CD6B2142A8C0}" name="Column15930"/>
    <tableColumn id="15931" xr3:uid="{2889B0C5-6939-4073-9275-570A9D239CE9}" name="Column15931"/>
    <tableColumn id="15932" xr3:uid="{2C3AD91D-4562-429D-A352-4F241C4BBFA8}" name="Column15932"/>
    <tableColumn id="15933" xr3:uid="{5D28D304-A8BB-407C-A2E8-814B2A6CFAC4}" name="Column15933"/>
    <tableColumn id="15934" xr3:uid="{4D9866E8-40DF-4231-A5B9-A21A864C1DE3}" name="Column15934"/>
    <tableColumn id="15935" xr3:uid="{AA0C2C41-0E77-4B42-BB26-EAB7D4690D52}" name="Column15935"/>
    <tableColumn id="15936" xr3:uid="{A51AF18C-08DE-435A-BA58-6019C7605B13}" name="Column15936"/>
    <tableColumn id="15937" xr3:uid="{A3D07BEF-1781-444E-8EDE-CAF2A99E5AF2}" name="Column15937"/>
    <tableColumn id="15938" xr3:uid="{1E105649-1F46-43C1-99CA-9E9DE4A62C2F}" name="Column15938"/>
    <tableColumn id="15939" xr3:uid="{EF6C4177-7EA8-4981-A10D-2314A52B4EE1}" name="Column15939"/>
    <tableColumn id="15940" xr3:uid="{A9877D3D-6FF4-4E6D-BDAA-0E2AACADE15F}" name="Column15940"/>
    <tableColumn id="15941" xr3:uid="{D56F0978-CB6B-4AE3-B1D2-BCBC4B30F6DB}" name="Column15941"/>
    <tableColumn id="15942" xr3:uid="{33A15DE3-C497-43A3-AB31-3902138B7B73}" name="Column15942"/>
    <tableColumn id="15943" xr3:uid="{3DFA8C77-ED30-44F9-84EB-0FD5AB0C166A}" name="Column15943"/>
    <tableColumn id="15944" xr3:uid="{F50873C4-4694-42CF-AEC2-5696BDBCBDF1}" name="Column15944"/>
    <tableColumn id="15945" xr3:uid="{5E41EC2D-49B0-4E80-BDAB-B088886AF666}" name="Column15945"/>
    <tableColumn id="15946" xr3:uid="{5BE4029C-C4A3-4B7B-923C-A0B27D3EAB39}" name="Column15946"/>
    <tableColumn id="15947" xr3:uid="{E9D1801E-9C7A-4084-B6E7-9A66185F6ABF}" name="Column15947"/>
    <tableColumn id="15948" xr3:uid="{5F22EE90-B45F-45F7-A75B-9EC1BFCCA01D}" name="Column15948"/>
    <tableColumn id="15949" xr3:uid="{B433CFAC-5528-474F-A251-92187174A030}" name="Column15949"/>
    <tableColumn id="15950" xr3:uid="{6BFF0293-B85C-46F9-BEF0-62DAE82BFEFB}" name="Column15950"/>
    <tableColumn id="15951" xr3:uid="{B6916B01-B074-44CB-921A-37DDB1655F3A}" name="Column15951"/>
    <tableColumn id="15952" xr3:uid="{9160A150-3A33-4D30-8611-FDA344DAADD9}" name="Column15952"/>
    <tableColumn id="15953" xr3:uid="{D073AD50-6948-4703-ACE0-75C799EA1B70}" name="Column15953"/>
    <tableColumn id="15954" xr3:uid="{F242AFEC-B287-422A-887D-14A08803939B}" name="Column15954"/>
    <tableColumn id="15955" xr3:uid="{26290F80-8139-4AAC-9203-FF48B0678378}" name="Column15955"/>
    <tableColumn id="15956" xr3:uid="{C6F177B5-58D7-4691-84A7-57D4FFFF1924}" name="Column15956"/>
    <tableColumn id="15957" xr3:uid="{1D67BD73-86C1-4F43-A5F7-19277E89C673}" name="Column15957"/>
    <tableColumn id="15958" xr3:uid="{5C3E8DA8-008F-4933-820D-C5D70C0AE5FB}" name="Column15958"/>
    <tableColumn id="15959" xr3:uid="{16018F31-566F-4ECB-B10F-DADE34D0F52F}" name="Column15959"/>
    <tableColumn id="15960" xr3:uid="{CDF5F1E6-54E7-40D5-B30D-F49070FCCEF0}" name="Column15960"/>
    <tableColumn id="15961" xr3:uid="{014BE63A-C5F1-437F-BD6A-0783B81F091B}" name="Column15961"/>
    <tableColumn id="15962" xr3:uid="{906A8899-532C-41D1-BBE5-7DD1C3CC470E}" name="Column15962"/>
    <tableColumn id="15963" xr3:uid="{C892E01E-FBC3-4321-8CD6-760D02CC07B3}" name="Column15963"/>
    <tableColumn id="15964" xr3:uid="{8BF074DB-1277-4C66-9434-6781D0DFE590}" name="Column15964"/>
    <tableColumn id="15965" xr3:uid="{07FAD702-77FF-4498-8F41-674F798A44E0}" name="Column15965"/>
    <tableColumn id="15966" xr3:uid="{E8AA5D4E-D003-4CCB-BCD9-CD726151C0F0}" name="Column15966"/>
    <tableColumn id="15967" xr3:uid="{E388D35C-7FFB-451B-99FD-EFA9E1B515A7}" name="Column15967"/>
    <tableColumn id="15968" xr3:uid="{65F4B7D0-0F57-4653-A96A-BD5534EC9FD3}" name="Column15968"/>
    <tableColumn id="15969" xr3:uid="{06DA3B08-3DB5-423A-8F64-FC709A704BAE}" name="Column15969"/>
    <tableColumn id="15970" xr3:uid="{25DF9074-DAF9-477E-A3EE-4EBCD46178B2}" name="Column15970"/>
    <tableColumn id="15971" xr3:uid="{F28D11C2-DB51-45AE-812E-083E6BCC0486}" name="Column15971"/>
    <tableColumn id="15972" xr3:uid="{0422CDF2-A501-49D3-A777-F253311E54F5}" name="Column15972"/>
    <tableColumn id="15973" xr3:uid="{7FCE5D32-44DF-4913-8F87-9B3F7519A3EF}" name="Column15973"/>
    <tableColumn id="15974" xr3:uid="{FA1B0579-FF3B-4D05-B97F-4096F055A49F}" name="Column15974"/>
    <tableColumn id="15975" xr3:uid="{234F62D4-9163-436D-ACB8-A63FC5F21489}" name="Column15975"/>
    <tableColumn id="15976" xr3:uid="{9B55A722-36B5-44D6-A6F2-AC6A91C6A892}" name="Column15976"/>
    <tableColumn id="15977" xr3:uid="{27B877E3-E58D-4C8D-A146-6BAB84ED1854}" name="Column15977"/>
    <tableColumn id="15978" xr3:uid="{0DBFA4DE-02A2-4B1E-A00D-E0B1CDA9AB6A}" name="Column15978"/>
    <tableColumn id="15979" xr3:uid="{22554716-AC49-4E5D-B4D2-478195A3DC99}" name="Column15979"/>
    <tableColumn id="15980" xr3:uid="{2275DEFB-0D88-4393-ADB0-8AB80A082080}" name="Column15980"/>
    <tableColumn id="15981" xr3:uid="{9616C634-9C81-4256-B5FF-E2EDC9B17D6C}" name="Column15981"/>
    <tableColumn id="15982" xr3:uid="{0BFAE70C-CB30-48E9-8B24-0C5B349B0A81}" name="Column15982"/>
    <tableColumn id="15983" xr3:uid="{06AAF59C-8BA8-45D9-827A-516313484791}" name="Column15983"/>
    <tableColumn id="15984" xr3:uid="{59E757AF-49AC-4471-91B4-915670AB55E1}" name="Column15984"/>
    <tableColumn id="15985" xr3:uid="{F90D0927-AA6B-4D72-BFDB-6E3B0A9CBC92}" name="Column15985"/>
    <tableColumn id="15986" xr3:uid="{6850179C-367C-41EC-B278-11CDA8661E16}" name="Column15986"/>
    <tableColumn id="15987" xr3:uid="{6D4EC9C6-5B07-48B4-B746-49A606D002DE}" name="Column15987"/>
    <tableColumn id="15988" xr3:uid="{F573C5F0-F23F-483D-AEB6-8CBC3B43D49D}" name="Column15988"/>
    <tableColumn id="15989" xr3:uid="{FB829E19-4B37-49F2-967A-263FC0D429CB}" name="Column15989"/>
    <tableColumn id="15990" xr3:uid="{A4FB1AF8-D874-4DF2-AEA2-E49EC05C48D3}" name="Column15990"/>
    <tableColumn id="15991" xr3:uid="{6A98FCDF-2F81-49F8-9589-7D1326534266}" name="Column15991"/>
    <tableColumn id="15992" xr3:uid="{4E85D4CF-6052-45B4-9C15-E061647ACAD8}" name="Column15992"/>
    <tableColumn id="15993" xr3:uid="{244165A0-51F6-480C-BA95-00AAE53712B1}" name="Column15993"/>
    <tableColumn id="15994" xr3:uid="{4765F61E-ADEB-47A3-8A03-DFF46B33C0A7}" name="Column15994"/>
    <tableColumn id="15995" xr3:uid="{CFF4C202-4986-4525-A59D-6F126CA3DC54}" name="Column15995"/>
    <tableColumn id="15996" xr3:uid="{35F80DA3-166F-4859-B46A-FF563D1C4594}" name="Column15996"/>
    <tableColumn id="15997" xr3:uid="{ABFE8F29-F674-4831-98A9-42C4D58C9032}" name="Column15997"/>
    <tableColumn id="15998" xr3:uid="{32B8D106-75B3-483C-AF58-4789CC176E07}" name="Column15998"/>
    <tableColumn id="15999" xr3:uid="{F86941F0-0E2A-4E55-B0CB-4684CCD1D5CA}" name="Column15999"/>
    <tableColumn id="16000" xr3:uid="{D2FF1959-9F53-4D6E-899A-37CD65A99D9E}" name="Column16000"/>
    <tableColumn id="16001" xr3:uid="{0F3C8F01-7230-4C4C-97D7-8B92E63D4A95}" name="Column16001"/>
    <tableColumn id="16002" xr3:uid="{94630B4B-7D0D-4626-8329-1FEF438E4E11}" name="Column16002"/>
    <tableColumn id="16003" xr3:uid="{5943A6E5-F71F-46A7-8C8A-95768A2BDBA3}" name="Column16003"/>
    <tableColumn id="16004" xr3:uid="{9346A8D3-CC86-4583-979D-9736C32A2B4D}" name="Column16004"/>
    <tableColumn id="16005" xr3:uid="{0212E0F2-BD68-40DB-BCB0-FBB0E7D43ACB}" name="Column16005"/>
    <tableColumn id="16006" xr3:uid="{45FDE991-B468-465E-BCFE-1605CDF83D4A}" name="Column16006"/>
    <tableColumn id="16007" xr3:uid="{14CD7E03-BEFC-41BD-844A-AE3FADE30D9A}" name="Column16007"/>
    <tableColumn id="16008" xr3:uid="{71E30229-1C06-4B37-8FB2-E92A38A395E2}" name="Column16008"/>
    <tableColumn id="16009" xr3:uid="{F70B957C-2D7A-4ECA-A85C-C30CBCF646A2}" name="Column16009"/>
    <tableColumn id="16010" xr3:uid="{D13F74C8-5047-4E64-A59C-36F77A9444F2}" name="Column16010"/>
    <tableColumn id="16011" xr3:uid="{39D57220-4AFC-4120-890A-B9CA6CB46DC4}" name="Column16011"/>
    <tableColumn id="16012" xr3:uid="{BC2562CA-7571-4AD4-8AA3-830096F46038}" name="Column16012"/>
    <tableColumn id="16013" xr3:uid="{A82DB08E-4992-4DED-AEFC-5EC23E032B3C}" name="Column16013"/>
    <tableColumn id="16014" xr3:uid="{2E3844A8-2A67-44A4-8877-FA2572EEEC5B}" name="Column16014"/>
    <tableColumn id="16015" xr3:uid="{7C58E57D-AE98-46FD-B6FF-DEDB53E7C9BB}" name="Column16015"/>
    <tableColumn id="16016" xr3:uid="{4225EECC-1D02-4BB9-A8FA-71DD661CBF68}" name="Column16016"/>
    <tableColumn id="16017" xr3:uid="{C87BC383-1E77-4FAE-8BC0-BA72344671B6}" name="Column16017"/>
    <tableColumn id="16018" xr3:uid="{0478849B-467A-46DF-883D-256949F524A7}" name="Column16018"/>
    <tableColumn id="16019" xr3:uid="{6FE2C20A-11EE-45F5-9196-70209C0ADE3D}" name="Column16019"/>
    <tableColumn id="16020" xr3:uid="{E05DD254-DAD1-4392-86C2-28C6121EE45D}" name="Column16020"/>
    <tableColumn id="16021" xr3:uid="{2CD47326-F563-4469-991E-6476B9B8411D}" name="Column16021"/>
    <tableColumn id="16022" xr3:uid="{C72DA95F-4E39-4F2B-B572-3EDEEE56B1B6}" name="Column16022"/>
    <tableColumn id="16023" xr3:uid="{2DACC028-1863-4911-917F-5198DE0F1645}" name="Column16023"/>
    <tableColumn id="16024" xr3:uid="{E35F6134-878B-4322-9362-E0A431D4FF6B}" name="Column16024"/>
    <tableColumn id="16025" xr3:uid="{D3A60743-DECE-408C-B0E9-6E2876ECB115}" name="Column16025"/>
    <tableColumn id="16026" xr3:uid="{BBC143BE-A8F6-411F-BF66-E45C9B4A140A}" name="Column16026"/>
    <tableColumn id="16027" xr3:uid="{F179E7B4-5AEC-4C29-B15D-0CB9E713784E}" name="Column16027"/>
    <tableColumn id="16028" xr3:uid="{4A9645E5-5DEF-4AD9-AAFF-0E55881B404B}" name="Column16028"/>
    <tableColumn id="16029" xr3:uid="{A15729B9-72D5-48B7-AA29-70F499D97B87}" name="Column16029"/>
    <tableColumn id="16030" xr3:uid="{59A0DBD5-6D7A-4D82-A217-272119348DE3}" name="Column16030"/>
    <tableColumn id="16031" xr3:uid="{AFD8883C-ECC6-4B5B-87EF-4D1C75060037}" name="Column16031"/>
    <tableColumn id="16032" xr3:uid="{6F90F947-82F7-449C-B076-DB792DBF4AF8}" name="Column16032"/>
    <tableColumn id="16033" xr3:uid="{1898C107-6E4E-4078-A524-18AC3FD2B87D}" name="Column16033"/>
    <tableColumn id="16034" xr3:uid="{B17F728D-5BD7-4C1B-B97B-DF268C641346}" name="Column16034"/>
    <tableColumn id="16035" xr3:uid="{40027379-69C3-4B69-8165-6407CB11AF30}" name="Column16035"/>
    <tableColumn id="16036" xr3:uid="{4F15BB13-BC5D-4458-8CAF-26B802DA6E1C}" name="Column16036"/>
    <tableColumn id="16037" xr3:uid="{5AF5E5BF-5E1E-449B-BAAD-8822F71CF23A}" name="Column16037"/>
    <tableColumn id="16038" xr3:uid="{199FF820-BD46-448D-B0FA-9B97C0C7A103}" name="Column16038"/>
    <tableColumn id="16039" xr3:uid="{78FF64DF-E94E-44BE-8BB8-9E4079C18324}" name="Column16039"/>
    <tableColumn id="16040" xr3:uid="{DCD55DEA-67B8-4FD8-AE26-49EDAB3DC770}" name="Column16040"/>
    <tableColumn id="16041" xr3:uid="{F1CBEDC5-5E16-4B25-A371-08F1864038DD}" name="Column16041"/>
    <tableColumn id="16042" xr3:uid="{4C4C0DF0-03F5-4172-BDE8-ED12FD1C285F}" name="Column16042"/>
    <tableColumn id="16043" xr3:uid="{14631020-EDE1-4766-8DA8-1C956FAFEF33}" name="Column16043"/>
    <tableColumn id="16044" xr3:uid="{AA9AFCBC-EB72-44D4-91FD-CF44C1F4F5C8}" name="Column16044"/>
    <tableColumn id="16045" xr3:uid="{9D7A6234-D752-45BE-B507-DD60573F7712}" name="Column16045"/>
    <tableColumn id="16046" xr3:uid="{DB1B473F-EB9F-4B97-9544-CD491B061D1A}" name="Column16046"/>
    <tableColumn id="16047" xr3:uid="{E95491CF-3716-4A5E-B3A8-F792BB0DD446}" name="Column16047"/>
    <tableColumn id="16048" xr3:uid="{F1C3C556-81CC-41A5-BE73-6CEF85160664}" name="Column16048"/>
    <tableColumn id="16049" xr3:uid="{35ECA4F5-B471-426E-B244-5685AD0AD05C}" name="Column16049"/>
    <tableColumn id="16050" xr3:uid="{1E8A1507-093C-4992-83F8-A5A2362497F8}" name="Column16050"/>
    <tableColumn id="16051" xr3:uid="{30FE3E66-0D60-4A42-9AD7-696D05A862D1}" name="Column16051"/>
    <tableColumn id="16052" xr3:uid="{BD4E77A3-BB0F-49B3-A93F-F6FCEA4D2F99}" name="Column16052"/>
    <tableColumn id="16053" xr3:uid="{FAA80CAD-5739-4BB2-A224-DFD343AA8842}" name="Column16053"/>
    <tableColumn id="16054" xr3:uid="{93A46F13-1351-49F1-B17D-AF29D6E99AFA}" name="Column16054"/>
    <tableColumn id="16055" xr3:uid="{82C7E0BA-7775-4249-87AF-A48FC0AD13FA}" name="Column16055"/>
    <tableColumn id="16056" xr3:uid="{9F7A31DB-3BB0-4817-89B5-90905D0DFB64}" name="Column16056"/>
    <tableColumn id="16057" xr3:uid="{EA9C1E66-5329-4E04-9FDF-69DCE4DE51FF}" name="Column16057"/>
    <tableColumn id="16058" xr3:uid="{F1C9A374-FA06-4AE5-821E-B6B6601A9713}" name="Column16058"/>
    <tableColumn id="16059" xr3:uid="{2814E679-1B85-4387-8F2A-A833FEC90B83}" name="Column16059"/>
    <tableColumn id="16060" xr3:uid="{A21ACE0E-BCF1-4907-A79A-4BD242A6DDBA}" name="Column16060"/>
    <tableColumn id="16061" xr3:uid="{4F7E7194-0CCD-4595-A9E5-F487C1F08599}" name="Column16061"/>
    <tableColumn id="16062" xr3:uid="{20570CBB-1334-4BB7-AF49-47D150706850}" name="Column16062"/>
    <tableColumn id="16063" xr3:uid="{AFF0000B-34C7-4354-8D99-6B757B277AB3}" name="Column16063"/>
    <tableColumn id="16064" xr3:uid="{BAE2D5DF-CC45-4A94-9F60-E68FDD5D5226}" name="Column16064"/>
    <tableColumn id="16065" xr3:uid="{E4FDF8EE-8082-4FD7-9931-72F3A17C1945}" name="Column16065"/>
    <tableColumn id="16066" xr3:uid="{CCBD92CD-F8F6-4181-9701-D41576D701B5}" name="Column16066"/>
    <tableColumn id="16067" xr3:uid="{CD4F3E99-28AC-4CAE-9B63-20973A66C312}" name="Column16067"/>
    <tableColumn id="16068" xr3:uid="{D1CD270C-3F4A-476A-9C32-B8D7A68F2539}" name="Column16068"/>
    <tableColumn id="16069" xr3:uid="{A5ACACFF-0CB7-464F-9BD0-E63FBDCF307C}" name="Column16069"/>
    <tableColumn id="16070" xr3:uid="{D8EDE5F6-36D8-4D24-91AE-5F2561C650B0}" name="Column16070"/>
    <tableColumn id="16071" xr3:uid="{D8833A62-F584-4C49-A41D-4501EEE8A75E}" name="Column16071"/>
    <tableColumn id="16072" xr3:uid="{93528EBD-8B95-4817-9571-7E5D7A04604E}" name="Column16072"/>
    <tableColumn id="16073" xr3:uid="{F46BFB5F-171D-4304-B010-53ACDA0AA82D}" name="Column16073"/>
    <tableColumn id="16074" xr3:uid="{77BA851E-43DE-4D4F-A12F-994109B26997}" name="Column16074"/>
    <tableColumn id="16075" xr3:uid="{03F76DC6-AB60-4A76-8BE3-9B4746F941CE}" name="Column16075"/>
    <tableColumn id="16076" xr3:uid="{098E4016-9993-4DF9-B501-AE6DBF96A21C}" name="Column16076"/>
    <tableColumn id="16077" xr3:uid="{7A770BD4-253E-47BA-9B3A-633979EF41AB}" name="Column16077"/>
    <tableColumn id="16078" xr3:uid="{CF822948-FA66-43A8-9E82-3C8B223273DF}" name="Column16078"/>
    <tableColumn id="16079" xr3:uid="{DCFD55CF-0F52-45E6-90B2-975437994204}" name="Column16079"/>
    <tableColumn id="16080" xr3:uid="{4EB777F8-BF6B-41BF-9D8E-6D4E61FE21ED}" name="Column16080"/>
    <tableColumn id="16081" xr3:uid="{74C42966-7864-4CFB-9793-FC7AC17C657C}" name="Column16081"/>
    <tableColumn id="16082" xr3:uid="{823BE864-602D-40AE-8657-A119BD5148AA}" name="Column16082"/>
    <tableColumn id="16083" xr3:uid="{DF91E73C-F207-4739-8563-60B9DBA6620F}" name="Column16083"/>
    <tableColumn id="16084" xr3:uid="{1A915105-1809-42D4-8AB0-4FAC7985FC29}" name="Column16084"/>
    <tableColumn id="16085" xr3:uid="{BAC037E5-F1E1-4AAA-AFE4-A38F13579C87}" name="Column16085"/>
    <tableColumn id="16086" xr3:uid="{779AAB92-7AFC-4260-9590-D7F84957D477}" name="Column16086"/>
    <tableColumn id="16087" xr3:uid="{A69356F0-C729-4493-B898-840B53F8A75D}" name="Column16087"/>
    <tableColumn id="16088" xr3:uid="{4656807C-BD21-4D24-BC0E-1EF30BE4E85B}" name="Column16088"/>
    <tableColumn id="16089" xr3:uid="{BDB17D66-5C4B-4D1A-8EBC-0B4AC83B3979}" name="Column16089"/>
    <tableColumn id="16090" xr3:uid="{0850CA1B-FA29-47F7-8EDF-E029749DB1D3}" name="Column16090"/>
    <tableColumn id="16091" xr3:uid="{B2428C8B-1D28-459B-BB98-EB1D04B4ADE0}" name="Column16091"/>
    <tableColumn id="16092" xr3:uid="{0EFB3A42-849E-4567-AB13-2D5F62B89826}" name="Column16092"/>
    <tableColumn id="16093" xr3:uid="{935739C3-028C-4BB9-86F8-E6A0BED5D418}" name="Column16093"/>
    <tableColumn id="16094" xr3:uid="{8449F041-BBE8-40B2-B780-8E4649C85052}" name="Column16094"/>
    <tableColumn id="16095" xr3:uid="{264B0746-D2F0-45A4-9E10-2C4A8F0575B4}" name="Column16095"/>
    <tableColumn id="16096" xr3:uid="{30BAEBF4-4866-40D4-ADB6-B5C747A3ED7E}" name="Column16096"/>
    <tableColumn id="16097" xr3:uid="{A1C8581C-E13B-418A-812E-3AD58F0029F7}" name="Column16097"/>
    <tableColumn id="16098" xr3:uid="{A91CED5E-2980-4850-A547-54FF565C8066}" name="Column16098"/>
    <tableColumn id="16099" xr3:uid="{B51A2435-02C1-4CFF-AB94-C0F3D13BCF1A}" name="Column16099"/>
    <tableColumn id="16100" xr3:uid="{BEFEDC39-5F6E-41C4-95CE-0C71CBFDBC18}" name="Column16100"/>
    <tableColumn id="16101" xr3:uid="{2EF9D116-B9C1-47F9-8DF6-AF12C831F990}" name="Column16101"/>
    <tableColumn id="16102" xr3:uid="{1724033B-C25F-4495-9E5A-91FF6D30775A}" name="Column16102"/>
    <tableColumn id="16103" xr3:uid="{98D37A78-9C62-4E1E-818F-C1EDB177D630}" name="Column16103"/>
    <tableColumn id="16104" xr3:uid="{E10F61B0-AE68-4A37-A60D-F5DF7B284DE3}" name="Column16104"/>
    <tableColumn id="16105" xr3:uid="{6ACF0895-0B72-4B2D-B672-458C03BABFF6}" name="Column16105"/>
    <tableColumn id="16106" xr3:uid="{F0FD1423-D39A-4795-9AF4-9AAF4C1E4F20}" name="Column16106"/>
    <tableColumn id="16107" xr3:uid="{A76D1260-618F-46E7-B333-E74B986F0889}" name="Column16107"/>
    <tableColumn id="16108" xr3:uid="{3930ACBD-7970-475E-9E23-DD31B76C869E}" name="Column16108"/>
    <tableColumn id="16109" xr3:uid="{9C78F5F9-A6D3-4F48-96D8-DD27DB241B94}" name="Column16109"/>
    <tableColumn id="16110" xr3:uid="{950CE514-A470-4574-998D-B224FC74F0DD}" name="Column16110"/>
    <tableColumn id="16111" xr3:uid="{8064757C-8881-4D14-A6C0-30E3E7318B38}" name="Column16111"/>
    <tableColumn id="16112" xr3:uid="{1495B2CF-B84C-45B8-91F0-754BCD22539E}" name="Column16112"/>
    <tableColumn id="16113" xr3:uid="{0545490C-37FE-4770-8FCA-999175919A4C}" name="Column16113"/>
    <tableColumn id="16114" xr3:uid="{D23C3A6A-3594-471B-B4CE-3A654A48363A}" name="Column16114"/>
    <tableColumn id="16115" xr3:uid="{52530323-D78F-4D36-9317-E008E7763C26}" name="Column16115"/>
    <tableColumn id="16116" xr3:uid="{2FFFCD24-DF47-4CBF-AD83-75768B4E0D42}" name="Column16116"/>
    <tableColumn id="16117" xr3:uid="{41EA11C2-D6F5-463F-BC56-8388F7A85A54}" name="Column16117"/>
    <tableColumn id="16118" xr3:uid="{9E3B2444-FDAD-4594-84CE-AA9BBD7D793C}" name="Column16118"/>
    <tableColumn id="16119" xr3:uid="{58D36166-6331-4DB5-B5EF-FBDD34C0F8F5}" name="Column16119"/>
    <tableColumn id="16120" xr3:uid="{620BD13D-D4B7-492C-83A3-4C010A2BD2B1}" name="Column16120"/>
    <tableColumn id="16121" xr3:uid="{C99E7A8F-084F-4D7B-B794-ED0548DE5CFA}" name="Column16121"/>
    <tableColumn id="16122" xr3:uid="{90C47F06-A062-4387-A527-8D6DB3F31B4F}" name="Column16122"/>
    <tableColumn id="16123" xr3:uid="{965948DF-358F-45F5-A370-D361B472F275}" name="Column16123"/>
    <tableColumn id="16124" xr3:uid="{7BFC4B47-A72E-4DC3-B33F-E6E99AD5ED8E}" name="Column16124"/>
    <tableColumn id="16125" xr3:uid="{953B2625-76BE-42F9-81FC-5ADB0F9C9FD4}" name="Column16125"/>
    <tableColumn id="16126" xr3:uid="{36ABC5B9-22EB-4B29-A5F2-E39E64577D91}" name="Column16126"/>
    <tableColumn id="16127" xr3:uid="{F345F864-4CE4-4FE1-9C28-73298A6B1354}" name="Column16127"/>
    <tableColumn id="16128" xr3:uid="{C5846F53-0406-4DB4-A152-D2A6909ADEE7}" name="Column16128"/>
    <tableColumn id="16129" xr3:uid="{7E26C861-E25D-41CC-9EA0-8C358E10F479}" name="Column16129"/>
    <tableColumn id="16130" xr3:uid="{E2A7CB95-FE70-4D61-8C0A-8EE285512A8C}" name="Column16130"/>
    <tableColumn id="16131" xr3:uid="{58060993-9F31-47FA-8BDB-AD6A057766A1}" name="Column16131"/>
    <tableColumn id="16132" xr3:uid="{A33BAF18-A27D-49BA-8409-E971CCC1B1CA}" name="Column16132"/>
    <tableColumn id="16133" xr3:uid="{9FA830D2-386A-43B1-9AAD-E091F5F51D59}" name="Column16133"/>
    <tableColumn id="16134" xr3:uid="{EF22DEA4-9378-4C17-A205-B845B95758E8}" name="Column16134"/>
    <tableColumn id="16135" xr3:uid="{227AE7F8-23D8-4490-A893-2D002698E368}" name="Column16135"/>
    <tableColumn id="16136" xr3:uid="{9A5A506D-2181-413C-82F1-DC4D2854445F}" name="Column16136"/>
    <tableColumn id="16137" xr3:uid="{34FCF4CE-44F3-4E89-8DA4-C42B4FB637E8}" name="Column16137"/>
    <tableColumn id="16138" xr3:uid="{B204CC5B-519D-46DF-ADBB-0BB3D758B41F}" name="Column16138"/>
    <tableColumn id="16139" xr3:uid="{AC95076C-AD8F-4F6C-BFC2-5AE1272697C1}" name="Column16139"/>
    <tableColumn id="16140" xr3:uid="{DBAE63AF-FDAC-4348-8474-40B4C606D24C}" name="Column16140"/>
    <tableColumn id="16141" xr3:uid="{D174122E-1C50-471A-B5A0-F3E8CA89D421}" name="Column16141"/>
    <tableColumn id="16142" xr3:uid="{5444FFFA-A4C0-4C61-A46B-4A845AECC295}" name="Column16142"/>
    <tableColumn id="16143" xr3:uid="{8808662B-0643-4221-8785-08E3423B9940}" name="Column16143"/>
    <tableColumn id="16144" xr3:uid="{ADCC9F8A-6930-4E5F-83E6-B14B10DB70C1}" name="Column16144"/>
    <tableColumn id="16145" xr3:uid="{0FFD3F92-58C3-4488-8266-A8C9F5EA2BCF}" name="Column16145"/>
    <tableColumn id="16146" xr3:uid="{D856315F-1546-4DAF-9370-401A779C4BAA}" name="Column16146"/>
    <tableColumn id="16147" xr3:uid="{B1CDC275-9629-4E30-9A55-8299C713750A}" name="Column16147"/>
    <tableColumn id="16148" xr3:uid="{732ED0DE-F6B8-412F-8D84-C1036180B7B9}" name="Column16148"/>
    <tableColumn id="16149" xr3:uid="{C5728218-2F8A-4FD1-8488-B1A1E1BD783D}" name="Column16149"/>
    <tableColumn id="16150" xr3:uid="{1F872DD6-4CA1-42FE-86C6-1EEEBDE0A56E}" name="Column16150"/>
    <tableColumn id="16151" xr3:uid="{A02D61B1-9441-4AED-9B6B-26782186965B}" name="Column16151"/>
    <tableColumn id="16152" xr3:uid="{FE642937-C334-455C-9FC5-DA56CBCA1749}" name="Column16152"/>
    <tableColumn id="16153" xr3:uid="{B2CB4A0C-5294-401B-96AF-A2169E60E3F0}" name="Column16153"/>
    <tableColumn id="16154" xr3:uid="{56E7F3BD-8C4E-4430-9616-7BBEB0CFF997}" name="Column16154"/>
    <tableColumn id="16155" xr3:uid="{3C2C43A3-F3E8-4BFE-9CDA-BE70C9A49497}" name="Column16155"/>
    <tableColumn id="16156" xr3:uid="{01CB93C1-795E-45AF-94EB-9A195EE52F26}" name="Column16156"/>
    <tableColumn id="16157" xr3:uid="{271D2B67-CCA0-4BF8-AE77-486FD3068F98}" name="Column16157"/>
    <tableColumn id="16158" xr3:uid="{A4322FBB-9853-4A7E-BDA3-CC8BC2698A68}" name="Column16158"/>
    <tableColumn id="16159" xr3:uid="{C1A55085-95CE-44E4-85C6-31C43CA09B09}" name="Column16159"/>
    <tableColumn id="16160" xr3:uid="{7F33BD08-3771-4C4B-9A05-E7C5C414199B}" name="Column16160"/>
    <tableColumn id="16161" xr3:uid="{CE5A4516-E832-4B9B-8216-F14798FB24BF}" name="Column16161"/>
    <tableColumn id="16162" xr3:uid="{DD305DB8-2473-4E16-A203-2C98F67BE404}" name="Column16162"/>
    <tableColumn id="16163" xr3:uid="{E2546A38-9BC3-4047-8ADD-627119A38731}" name="Column16163"/>
    <tableColumn id="16164" xr3:uid="{75A5DDEB-9A46-44E7-A65D-B0AD223C9FDB}" name="Column16164"/>
    <tableColumn id="16165" xr3:uid="{8C50D9D0-527E-4E88-BEA8-CB71453A19A8}" name="Column16165"/>
    <tableColumn id="16166" xr3:uid="{CCF32D39-952B-4EB7-9CA9-D7BB2F088A4C}" name="Column16166"/>
    <tableColumn id="16167" xr3:uid="{E71837AB-1E39-4BA9-BA0F-34AB2C2157AC}" name="Column16167"/>
    <tableColumn id="16168" xr3:uid="{1B060BA3-148C-40DA-B249-A89E72CB9CB5}" name="Column16168"/>
    <tableColumn id="16169" xr3:uid="{7684E399-14C5-4263-ABFA-F8CFCB2731C8}" name="Column16169"/>
    <tableColumn id="16170" xr3:uid="{6ECBBD59-3806-4A07-919E-DDD23BFE482E}" name="Column16170"/>
    <tableColumn id="16171" xr3:uid="{1D8DEC5A-2234-443B-AD3F-A37EB2C2BC3A}" name="Column16171"/>
    <tableColumn id="16172" xr3:uid="{59CCB016-340B-4718-AD27-E414D810A5B3}" name="Column16172"/>
    <tableColumn id="16173" xr3:uid="{759865EE-4A95-4AF7-9F50-F328CEAA2C27}" name="Column16173"/>
    <tableColumn id="16174" xr3:uid="{4FD516B6-0613-4875-981C-07DF8F54601D}" name="Column16174"/>
    <tableColumn id="16175" xr3:uid="{7A8188B0-AEE9-4431-A887-72B5FB45E016}" name="Column16175"/>
    <tableColumn id="16176" xr3:uid="{3C215EFA-B924-402B-A890-9FA44DE28EB9}" name="Column16176"/>
    <tableColumn id="16177" xr3:uid="{03C65071-1ED8-4100-B5C6-BC22D99918A9}" name="Column16177"/>
    <tableColumn id="16178" xr3:uid="{851E1FB6-1B76-4EE6-8721-86BBE13D2E50}" name="Column16178"/>
    <tableColumn id="16179" xr3:uid="{D895F55C-8A31-4C48-8932-860E7B4DBEA3}" name="Column16179"/>
    <tableColumn id="16180" xr3:uid="{7DBE022B-A7D2-4CE9-B60A-AA8444C04EE1}" name="Column16180"/>
    <tableColumn id="16181" xr3:uid="{8A0D4041-DA20-4BAE-BCCF-1DCD0A90092D}" name="Column16181"/>
    <tableColumn id="16182" xr3:uid="{2E1B8688-2BCF-4135-84ED-BC424C8C29CE}" name="Column16182"/>
    <tableColumn id="16183" xr3:uid="{006B4215-7039-440B-8E82-167BAAB79992}" name="Column16183"/>
    <tableColumn id="16184" xr3:uid="{AFCD5908-A958-4619-9775-6C5750E62531}" name="Column16184"/>
    <tableColumn id="16185" xr3:uid="{F5E4D5E3-E7A3-486F-9715-7D387861AEAE}" name="Column16185"/>
    <tableColumn id="16186" xr3:uid="{5E87CDF2-9BA9-46B6-886C-4E5B443000AD}" name="Column16186"/>
    <tableColumn id="16187" xr3:uid="{0F4950B3-F7BA-4027-9CE8-778DC25CC335}" name="Column16187"/>
    <tableColumn id="16188" xr3:uid="{CA912FA6-B185-4EA2-BBF7-FBC851B8E68B}" name="Column16188"/>
    <tableColumn id="16189" xr3:uid="{41D575E1-F297-456B-9833-AF152DCB9C5C}" name="Column16189"/>
    <tableColumn id="16190" xr3:uid="{DA51D2DC-D214-437B-BE18-75E9F9381B7F}" name="Column16190"/>
    <tableColumn id="16191" xr3:uid="{D53DF352-E61D-4668-B98F-AD07F74A13EE}" name="Column16191"/>
    <tableColumn id="16192" xr3:uid="{2410C333-31A6-460A-947A-7BED0AA9FB82}" name="Column16192"/>
    <tableColumn id="16193" xr3:uid="{CC2149E4-DA0E-4A4E-BF76-113538B143A1}" name="Column16193"/>
    <tableColumn id="16194" xr3:uid="{4DEA7897-E8DD-4484-8EC9-3B1029300CC0}" name="Column16194"/>
    <tableColumn id="16195" xr3:uid="{1EEE63B7-ED2A-4E1D-8BEF-C06A9E4B4A4D}" name="Column16195"/>
    <tableColumn id="16196" xr3:uid="{F37679A6-6767-4FBA-BB29-904730C51E14}" name="Column16196"/>
    <tableColumn id="16197" xr3:uid="{72B93A3C-A431-41FA-B34B-03EF4DDBC4A1}" name="Column16197"/>
    <tableColumn id="16198" xr3:uid="{BB065EE9-B487-4F9C-827B-253E6026EC8D}" name="Column16198"/>
    <tableColumn id="16199" xr3:uid="{493027D0-85D0-450B-8160-727E5241F85D}" name="Column16199"/>
    <tableColumn id="16200" xr3:uid="{FBD028E4-60CD-4940-8E03-FF956CF44626}" name="Column16200"/>
    <tableColumn id="16201" xr3:uid="{56679A38-8695-4920-A0AA-21E034380223}" name="Column16201"/>
    <tableColumn id="16202" xr3:uid="{2783592C-0599-46B4-B0B4-47240E181391}" name="Column16202"/>
    <tableColumn id="16203" xr3:uid="{77AFF829-767C-4DF7-9D28-A80A0EC6E2F4}" name="Column16203"/>
    <tableColumn id="16204" xr3:uid="{C475789F-6B22-494D-9C16-72341309347B}" name="Column16204"/>
    <tableColumn id="16205" xr3:uid="{9659287B-FDFC-4D32-95B5-2E568E6EDCAB}" name="Column16205"/>
    <tableColumn id="16206" xr3:uid="{F715DA5C-68CB-4391-B4F2-AE1DE219931C}" name="Column16206"/>
    <tableColumn id="16207" xr3:uid="{4C096572-EA82-47B7-BE93-626CD02E4B7A}" name="Column16207"/>
    <tableColumn id="16208" xr3:uid="{962FF245-0B4C-4354-B5A8-4A4C6B2427F8}" name="Column16208"/>
    <tableColumn id="16209" xr3:uid="{4E72B366-36E1-4C09-98BB-09795CF0B204}" name="Column16209"/>
    <tableColumn id="16210" xr3:uid="{94602A3C-169E-4275-820B-A72F8427B57F}" name="Column16210"/>
    <tableColumn id="16211" xr3:uid="{1F04C238-C9FC-4E0D-B1C4-EE89AC95A90D}" name="Column16211"/>
    <tableColumn id="16212" xr3:uid="{5A7E2DE5-8010-4893-BE89-453E80130252}" name="Column16212"/>
    <tableColumn id="16213" xr3:uid="{5B29FA41-4FAA-4785-9D94-B0C6AB40DF33}" name="Column16213"/>
    <tableColumn id="16214" xr3:uid="{C00AD222-413E-46EE-B9B0-902BA8218D3E}" name="Column16214"/>
    <tableColumn id="16215" xr3:uid="{6ED1761B-4188-4FBB-AD2A-D176B9C85860}" name="Column16215"/>
    <tableColumn id="16216" xr3:uid="{9120C35A-03E3-468D-9D6C-0F36FEAEA35A}" name="Column16216"/>
    <tableColumn id="16217" xr3:uid="{F2435B54-A606-46BC-8707-6A50895A1651}" name="Column16217"/>
    <tableColumn id="16218" xr3:uid="{6B35BEC4-4798-4E28-A3FB-0182E37ADF67}" name="Column16218"/>
    <tableColumn id="16219" xr3:uid="{DF2C73BF-B0EB-444F-BCFA-75BBA946FB56}" name="Column16219"/>
    <tableColumn id="16220" xr3:uid="{476D97F5-D01D-4726-9E1A-B562C68938FE}" name="Column16220"/>
    <tableColumn id="16221" xr3:uid="{EED8AED0-B5F1-407B-B7AC-E6763BB47804}" name="Column16221"/>
    <tableColumn id="16222" xr3:uid="{28AFBB0C-33FF-48D7-9C26-078D85182852}" name="Column16222"/>
    <tableColumn id="16223" xr3:uid="{07EE7161-94A6-4A5A-9BD6-AB4E5D2E3148}" name="Column16223"/>
    <tableColumn id="16224" xr3:uid="{D20442CC-5219-4D90-80D5-F6D0A95B93F5}" name="Column16224"/>
    <tableColumn id="16225" xr3:uid="{24CA9858-2430-49F3-B784-697366BAF958}" name="Column16225"/>
    <tableColumn id="16226" xr3:uid="{7E8E4667-6288-4F6A-8D1F-02C892E8FD1B}" name="Column16226"/>
    <tableColumn id="16227" xr3:uid="{40EBD122-418F-4617-9379-A7B5BB2FE0EA}" name="Column16227"/>
    <tableColumn id="16228" xr3:uid="{B45DAAB8-1442-4F6F-9FAA-4F4214300717}" name="Column16228"/>
    <tableColumn id="16229" xr3:uid="{153927FC-56FA-41A2-9DC9-0A0D50A5CDAB}" name="Column16229"/>
    <tableColumn id="16230" xr3:uid="{6318B082-3665-484E-8E84-7D52E2EA5D0F}" name="Column16230"/>
    <tableColumn id="16231" xr3:uid="{31A83CC4-B3B4-407D-AB05-E9A172C44576}" name="Column16231"/>
    <tableColumn id="16232" xr3:uid="{24725063-CC9A-413E-91DC-594F27F079F1}" name="Column16232"/>
    <tableColumn id="16233" xr3:uid="{6ADBAFF8-5742-4261-9E36-CDA48CC2BDC4}" name="Column16233"/>
    <tableColumn id="16234" xr3:uid="{C4959AF2-2484-42E0-A022-A4146789CB71}" name="Column16234"/>
    <tableColumn id="16235" xr3:uid="{E645609B-55C5-43CD-A88A-8098F3774B4A}" name="Column16235"/>
    <tableColumn id="16236" xr3:uid="{D09C826E-2EA3-468D-BAF4-A9F2F30C1B58}" name="Column16236"/>
    <tableColumn id="16237" xr3:uid="{6BF370C0-5997-4EE2-A6D5-161B81E6D125}" name="Column16237"/>
    <tableColumn id="16238" xr3:uid="{A2EE0298-BE38-4D69-9568-904022FA45AB}" name="Column16238"/>
    <tableColumn id="16239" xr3:uid="{DD5C5053-DC5E-4186-9B2F-4D6AE019C230}" name="Column16239"/>
    <tableColumn id="16240" xr3:uid="{CB11D855-3E57-499B-B8BD-1D0981AE506D}" name="Column16240"/>
    <tableColumn id="16241" xr3:uid="{562C7587-3CB6-4AC3-B578-BE20A7E356C5}" name="Column16241"/>
    <tableColumn id="16242" xr3:uid="{8A56E80E-EDB5-4538-B3D4-576AB76EC8A6}" name="Column16242"/>
    <tableColumn id="16243" xr3:uid="{B1B2DB12-30AB-478F-A134-BB8EDA7ABEA0}" name="Column16243"/>
    <tableColumn id="16244" xr3:uid="{2CC0518A-F948-4A43-9784-6F89E9073EE9}" name="Column16244"/>
    <tableColumn id="16245" xr3:uid="{E8A85603-9AAD-4455-88FE-2BEB8C3A3A70}" name="Column16245"/>
    <tableColumn id="16246" xr3:uid="{48FC80B7-CF26-4596-83FA-0A8E164D0560}" name="Column16246"/>
    <tableColumn id="16247" xr3:uid="{4D8CDD74-8D42-48AB-8B5E-F6D1FB84001D}" name="Column16247"/>
    <tableColumn id="16248" xr3:uid="{2E3B23B4-3058-48D9-864B-CF4079B584C8}" name="Column16248"/>
    <tableColumn id="16249" xr3:uid="{4DF3DD14-CBBB-4C85-BCCA-B32380ABE546}" name="Column16249"/>
    <tableColumn id="16250" xr3:uid="{C1B7A88F-DA75-4584-A8BA-BE4A27A833CB}" name="Column16250"/>
    <tableColumn id="16251" xr3:uid="{861277CD-F130-4DB7-8705-2DDDDBEFC36E}" name="Column16251"/>
    <tableColumn id="16252" xr3:uid="{3BADC898-8B55-460F-9E91-20E0BCCA409A}" name="Column16252"/>
    <tableColumn id="16253" xr3:uid="{DBAACA43-3D82-4F76-B1CB-1F3E6E06FE8C}" name="Column16253"/>
    <tableColumn id="16254" xr3:uid="{95D0C704-A5CC-4345-989A-36C9703F9F0A}" name="Column16254"/>
    <tableColumn id="16255" xr3:uid="{ABFBC2A8-0CCE-4776-9F83-8FB518C3ABF0}" name="Column16255"/>
    <tableColumn id="16256" xr3:uid="{81B54275-C92C-44C7-BAC9-BB1086B076BD}" name="Column16256"/>
    <tableColumn id="16257" xr3:uid="{642A696D-EFE6-4399-A816-176CB81010AC}" name="Column16257"/>
    <tableColumn id="16258" xr3:uid="{2B380A32-570A-47E6-B5EA-30E4713B9320}" name="Column16258"/>
    <tableColumn id="16259" xr3:uid="{96EFD8FE-6FE2-49C9-8850-0072EE3EB738}" name="Column16259"/>
    <tableColumn id="16260" xr3:uid="{5D60ADEB-C0C3-410D-A049-8B9339028684}" name="Column16260"/>
    <tableColumn id="16261" xr3:uid="{FB9D6910-C761-43AB-BAA6-AA26C423A221}" name="Column16261"/>
    <tableColumn id="16262" xr3:uid="{C0CBD2DC-963B-4754-8BEC-A646E5C8544A}" name="Column16262"/>
    <tableColumn id="16263" xr3:uid="{5485148B-577A-4A7A-A7C4-DA34922D975D}" name="Column16263"/>
    <tableColumn id="16264" xr3:uid="{CD9B9B3C-6E8D-42D0-8BA5-72683E575254}" name="Column16264"/>
    <tableColumn id="16265" xr3:uid="{17519511-12C7-47BD-8979-9BCE4697E345}" name="Column16265"/>
    <tableColumn id="16266" xr3:uid="{A0B2FCD9-7B1D-46B8-AEB5-086A5849A703}" name="Column16266"/>
    <tableColumn id="16267" xr3:uid="{7616E042-5AB1-419D-AA11-1DE5F263A8FB}" name="Column16267"/>
    <tableColumn id="16268" xr3:uid="{E85685EB-196F-4465-80CA-EBD129CD3C2B}" name="Column16268"/>
    <tableColumn id="16269" xr3:uid="{5ABAC61B-ACE9-42A3-A885-BEF0E354245F}" name="Column16269"/>
    <tableColumn id="16270" xr3:uid="{5A84259D-14CA-4397-8C7E-430BD790BECB}" name="Column16270"/>
    <tableColumn id="16271" xr3:uid="{BB4F683E-8670-427C-90CF-E1FD168E74D0}" name="Column16271"/>
    <tableColumn id="16272" xr3:uid="{BA61D83F-E58B-4948-8CC8-1E0FEC40EFE3}" name="Column16272"/>
    <tableColumn id="16273" xr3:uid="{1C69FED6-7BB9-4731-8087-9D406A11B230}" name="Column16273"/>
    <tableColumn id="16274" xr3:uid="{194660E7-A5E6-4B3C-A1ED-9F59561652CA}" name="Column16274"/>
    <tableColumn id="16275" xr3:uid="{488EE61F-4A46-4D95-AEFD-4E8A4F5EFEF9}" name="Column16275"/>
    <tableColumn id="16276" xr3:uid="{ED10E883-E723-403C-B98D-C600508C0DD9}" name="Column16276"/>
    <tableColumn id="16277" xr3:uid="{80B4386C-4551-4686-A390-270C3BE5B617}" name="Column16277"/>
    <tableColumn id="16278" xr3:uid="{7443F4EB-E347-4C4C-A5BA-F503316FED7F}" name="Column16278"/>
    <tableColumn id="16279" xr3:uid="{CD0DDE58-E6C4-4BD3-B6E4-24F04B37D86C}" name="Column16279"/>
    <tableColumn id="16280" xr3:uid="{CF1159EF-427F-4166-A51C-E88493BBF9B6}" name="Column16280"/>
    <tableColumn id="16281" xr3:uid="{B241D53E-1560-4BB8-9BB0-1A6BD1C92518}" name="Column16281"/>
    <tableColumn id="16282" xr3:uid="{DD65628E-638E-403C-A868-82330FAEF46F}" name="Column16282"/>
    <tableColumn id="16283" xr3:uid="{4E50D7F0-AF47-41D7-A5A4-56AD37E80015}" name="Column16283"/>
    <tableColumn id="16284" xr3:uid="{BB14DEFE-D638-4C32-852B-13F31CB1E478}" name="Column16284"/>
    <tableColumn id="16285" xr3:uid="{4C9E122D-C266-4B68-8430-FFBD4C96B27A}" name="Column16285"/>
    <tableColumn id="16286" xr3:uid="{B476778A-C4B9-48ED-A2CE-A7A4A7273332}" name="Column16286"/>
    <tableColumn id="16287" xr3:uid="{DDE6148E-2AA6-4B1A-B70A-A2259AF4C892}" name="Column16287"/>
    <tableColumn id="16288" xr3:uid="{8FFFE37B-4A49-40AA-874D-686F5E033669}" name="Column16288"/>
    <tableColumn id="16289" xr3:uid="{8BBF48D0-AF29-43C7-847B-9C4F6326EFA6}" name="Column16289"/>
    <tableColumn id="16290" xr3:uid="{6EBC58CE-EFDE-4454-8BD7-14CA7A7BBC81}" name="Column16290"/>
    <tableColumn id="16291" xr3:uid="{A156BEB0-50B8-4FE4-9FC7-82590E9B91E7}" name="Column16291"/>
    <tableColumn id="16292" xr3:uid="{11E9FB4E-1871-4855-BEA1-ADC20EC73E4F}" name="Column16292"/>
    <tableColumn id="16293" xr3:uid="{DADE5925-818D-4CD2-8027-289FF7D5E524}" name="Column16293"/>
    <tableColumn id="16294" xr3:uid="{73E8DD4A-6E7D-43BA-9D5C-6C6E8537CA4B}" name="Column16294"/>
    <tableColumn id="16295" xr3:uid="{53FC69DB-F882-47FD-9B96-ED9849D47928}" name="Column16295"/>
    <tableColumn id="16296" xr3:uid="{FD455AB0-A7F3-464E-B59D-9309983263E3}" name="Column16296"/>
    <tableColumn id="16297" xr3:uid="{B0458E87-28E2-45AE-A5B2-A2FB1336F94C}" name="Column16297"/>
    <tableColumn id="16298" xr3:uid="{6681DFC4-ADC8-48E8-8EE4-DA6615CDAA2B}" name="Column16298"/>
    <tableColumn id="16299" xr3:uid="{CEA757CC-E69C-490A-9F4B-6A3AD7F26514}" name="Column16299"/>
    <tableColumn id="16300" xr3:uid="{BA9DBDB2-D2C4-465A-B9AE-50B3A095DAC2}" name="Column16300"/>
    <tableColumn id="16301" xr3:uid="{116F168F-8C01-4CAE-990A-A2525235C665}" name="Column16301"/>
    <tableColumn id="16302" xr3:uid="{A519FEBC-BE5C-44AD-BE43-2AB7C808CACD}" name="Column16302"/>
    <tableColumn id="16303" xr3:uid="{C04AD3EC-2EBC-4F78-80B7-8F78C0806D50}" name="Column16303"/>
    <tableColumn id="16304" xr3:uid="{7A1F5A1B-2077-4405-B8EB-E84827FAD3AB}" name="Column16304"/>
    <tableColumn id="16305" xr3:uid="{5509C5A7-525B-4AE0-9E44-2D47C12E596D}" name="Column16305"/>
    <tableColumn id="16306" xr3:uid="{92C92FAC-80D7-4CB3-9F0D-63A32B77EAB4}" name="Column16306"/>
    <tableColumn id="16307" xr3:uid="{942CFE54-5E03-431E-85D7-E3077C164ABE}" name="Column16307"/>
    <tableColumn id="16308" xr3:uid="{A541DF37-441B-404B-9451-6D874A77FEA3}" name="Column16308"/>
    <tableColumn id="16309" xr3:uid="{77010E2A-1960-41BB-9778-8C23E9FC011A}" name="Column16309"/>
    <tableColumn id="16310" xr3:uid="{6D0D13C9-6D23-42E4-BEE2-B01876EFB12B}" name="Column16310"/>
    <tableColumn id="16311" xr3:uid="{4AADC4CA-84B7-40F3-9091-DF2334B24A5A}" name="Column16311"/>
    <tableColumn id="16312" xr3:uid="{C486B39E-D893-4CA7-BCAC-52CB3993EB67}" name="Column16312"/>
    <tableColumn id="16313" xr3:uid="{A8708083-AD9D-4408-B022-CC22E11C499F}" name="Column16313"/>
    <tableColumn id="16314" xr3:uid="{2A4EC5ED-30DF-4A15-A16B-B2113457F623}" name="Column16314"/>
    <tableColumn id="16315" xr3:uid="{3DA61801-13CB-46D7-BD29-4056CE9EE9B9}" name="Column16315"/>
    <tableColumn id="16316" xr3:uid="{B1C84539-F01F-4767-B4BF-1CF2E9D5C024}" name="Column16316"/>
    <tableColumn id="16317" xr3:uid="{84F995EF-3ADD-4CC9-88DD-438C6803EA59}" name="Column16317"/>
    <tableColumn id="16318" xr3:uid="{B6A88030-D2CB-4537-BA1F-D4797EF1DA1A}" name="Column16318"/>
    <tableColumn id="16319" xr3:uid="{FC8E4E0F-E439-4960-9273-3309A62E788B}" name="Column16319"/>
    <tableColumn id="16320" xr3:uid="{D57D5317-B4AD-4A93-BD27-AAF17E0AEE99}" name="Column16320"/>
    <tableColumn id="16321" xr3:uid="{2E174AB3-FA0F-4563-BCE6-C776D4683D78}" name="Column16321"/>
    <tableColumn id="16322" xr3:uid="{0CC7BDCC-0DF3-418E-AFA6-00876867BEC8}" name="Column16322"/>
    <tableColumn id="16323" xr3:uid="{25532445-9685-4FBB-A192-7504EDFC73EC}" name="Column16323"/>
    <tableColumn id="16324" xr3:uid="{7536048E-F4F1-46B8-989A-DC55D3E7940A}" name="Column16324"/>
    <tableColumn id="16325" xr3:uid="{4057F65B-7E1F-4753-BE16-AB3314A49734}" name="Column16325"/>
    <tableColumn id="16326" xr3:uid="{E038D4B0-BE20-4E17-8B2F-79682FCAB94A}" name="Column16326"/>
    <tableColumn id="16327" xr3:uid="{3FB7D77E-7F35-46FD-A970-144CDA15FFA7}" name="Column16327"/>
    <tableColumn id="16328" xr3:uid="{756D0736-AECD-4422-8235-190D2E18F15F}" name="Column16328"/>
    <tableColumn id="16329" xr3:uid="{8731502A-A207-49FA-973C-A5BD1D43C73B}" name="Column16329"/>
    <tableColumn id="16330" xr3:uid="{453D8EEE-FEC9-4331-8838-8C43465B919D}" name="Column16330"/>
    <tableColumn id="16331" xr3:uid="{81C98CF6-8671-418E-86F9-98CF820670B1}" name="Column16331"/>
    <tableColumn id="16332" xr3:uid="{6EB9D456-1FD2-4C39-9D48-0D5E0291E76B}" name="Column16332"/>
    <tableColumn id="16333" xr3:uid="{8D34099B-D9CE-4279-AA25-FF4B763ED36E}" name="Column16333"/>
    <tableColumn id="16334" xr3:uid="{BF1BEAC8-0105-43D9-8141-92B58D7BECA1}" name="Column16334"/>
    <tableColumn id="16335" xr3:uid="{3C002C7C-A52C-47A2-8C35-640B8AC55083}" name="Column16335"/>
    <tableColumn id="16336" xr3:uid="{B2F140B2-1ADB-4E88-B99B-4D1C9B18EBBA}" name="Column16336"/>
    <tableColumn id="16337" xr3:uid="{BAE207A8-DF61-411B-9E4B-1FE1388548E2}" name="Column16337"/>
    <tableColumn id="16338" xr3:uid="{14AF40E8-4D6D-4D0E-B627-55B7C5913F4C}" name="Column16338"/>
    <tableColumn id="16339" xr3:uid="{69C509B0-2B05-4096-82C4-B1FBA66BEC42}" name="Column16339"/>
    <tableColumn id="16340" xr3:uid="{3F2F2456-35B8-4728-AB81-3B1F9C6753C3}" name="Column16340"/>
    <tableColumn id="16341" xr3:uid="{410D53CF-1B41-4A9B-872D-45AA826963D8}" name="Column16341"/>
    <tableColumn id="16342" xr3:uid="{738D2910-FCEC-47B5-907B-5F1100B86466}" name="Column16342"/>
    <tableColumn id="16343" xr3:uid="{561E8470-4620-4159-AEFF-F0BF36E65710}" name="Column16343"/>
    <tableColumn id="16344" xr3:uid="{3F435EFB-2C4E-4490-BAAD-58CA766117C1}" name="Column16344"/>
    <tableColumn id="16345" xr3:uid="{91AB8E8D-5200-4430-B50F-95091CEE2142}" name="Column16345"/>
    <tableColumn id="16346" xr3:uid="{E540264F-FC3C-45B4-8883-506B1F23DF91}" name="Column16346"/>
    <tableColumn id="16347" xr3:uid="{193661E5-DE3B-4EB7-8264-7DB430626B88}" name="Column16347"/>
    <tableColumn id="16348" xr3:uid="{90F0962E-B809-4DD6-AD58-2F63046022E1}" name="Column16348"/>
    <tableColumn id="16349" xr3:uid="{A5768C3F-BB57-423C-9450-88134E741C7B}" name="Column16349"/>
    <tableColumn id="16350" xr3:uid="{CB47072B-24EA-4AE4-ACBF-63C389763CAB}" name="Column16350"/>
    <tableColumn id="16351" xr3:uid="{F0EEC231-977D-4428-B6F9-CF7B38757749}" name="Column16351"/>
    <tableColumn id="16352" xr3:uid="{96E1C726-9A00-49FE-BE55-C7E4A8D2CFF4}" name="Column16352"/>
    <tableColumn id="16353" xr3:uid="{49C68B4B-C784-48AF-8203-3A7BDFB78AFA}" name="Column16353"/>
    <tableColumn id="16354" xr3:uid="{52B02423-658C-4EE5-923C-1747B6FA0EE5}" name="Column16354"/>
    <tableColumn id="16355" xr3:uid="{5D953821-89CC-49C8-B777-DBC981A6E22F}" name="Column16355"/>
    <tableColumn id="16356" xr3:uid="{3399CDF7-5903-4AF1-8D7A-A67B2E15211B}" name="Column16356"/>
    <tableColumn id="16357" xr3:uid="{2A4EBF4C-8CB3-4A92-B4D2-ABE26265DBE3}" name="Column16357"/>
    <tableColumn id="16358" xr3:uid="{5C544E23-650A-45C0-A206-4398CF3B0D22}" name="Column16358"/>
    <tableColumn id="16359" xr3:uid="{C4496224-B91E-401B-A066-98CA75B88A9D}" name="Column16359"/>
    <tableColumn id="16360" xr3:uid="{3D6FC0B5-0EF2-4916-9D24-D90DDC6DF38B}" name="Column16360"/>
    <tableColumn id="16361" xr3:uid="{4070232A-AE36-47C7-94D9-C4E951C78E86}" name="Column16361"/>
    <tableColumn id="16362" xr3:uid="{A6792FD4-CC43-4678-9FD8-B827573B48CB}" name="Column16362"/>
    <tableColumn id="16363" xr3:uid="{6BF5F5E3-8C7F-41CC-807F-15C8753BE535}" name="Column16363"/>
    <tableColumn id="16364" xr3:uid="{AC0CD9F8-7AEB-43AC-B98D-C17B096E944F}" name="Column16364"/>
    <tableColumn id="16365" xr3:uid="{1CF1DCA3-C6B4-42AF-9EF5-49DFDD5907B9}" name="Column16365"/>
    <tableColumn id="16366" xr3:uid="{43F3486F-1666-40EE-A6B9-2845C7844A67}" name="Column16366"/>
    <tableColumn id="16367" xr3:uid="{F011462E-40BD-4DB3-8165-46B724391CD9}" name="Column16367"/>
    <tableColumn id="16368" xr3:uid="{5597A0D9-8AB0-4358-8BBA-040E5250BDA9}" name="Column16368"/>
    <tableColumn id="16369" xr3:uid="{4F9A24AB-AD6A-4B35-9016-64B5F75A0604}" name="Column16369"/>
    <tableColumn id="16370" xr3:uid="{85FFFF41-1492-4CF7-BF2A-A5FBDF08D926}" name="Column16370"/>
    <tableColumn id="16371" xr3:uid="{02BE7331-8B3E-4C18-A4F5-0854B7446E28}" name="Column16371"/>
    <tableColumn id="16372" xr3:uid="{3FCFBDFA-FCC9-4709-8B76-357193A583D7}" name="Column16372"/>
    <tableColumn id="16373" xr3:uid="{339EE001-5FB6-4687-B4C4-5738B129FBA6}" name="Column16373"/>
    <tableColumn id="16374" xr3:uid="{7FA31F5D-2954-4E96-B2E6-99CF553CE959}" name="Column16374"/>
    <tableColumn id="16375" xr3:uid="{537AFBFD-CB86-4940-8831-F1994F21BCE3}" name="Column16375"/>
    <tableColumn id="16376" xr3:uid="{68C39657-0A68-4BDC-B0C0-8A9C68829B30}" name="Column16376"/>
    <tableColumn id="16377" xr3:uid="{F6D25694-7D8B-48CB-A279-0EEF8322FEBB}" name="Column16377"/>
    <tableColumn id="16378" xr3:uid="{06FB7F62-04DE-4DC8-9B45-C84167816E99}" name="Column16378"/>
    <tableColumn id="16379" xr3:uid="{92DD745A-AEF8-4649-AE9F-167F074B823F}" name="Column16379"/>
    <tableColumn id="16380" xr3:uid="{F57CF87F-8C23-4ED5-BF06-86FE73BB24BA}" name="Column16380"/>
    <tableColumn id="16381" xr3:uid="{B4275D4A-FF39-40C5-8774-BBE2728DE88F}" name="Column16381"/>
    <tableColumn id="16382" xr3:uid="{9F8B7B66-51F3-44EF-8814-222906A85E41}" name="Column16382"/>
    <tableColumn id="16383" xr3:uid="{4DC67F7D-EAC5-4192-BF1B-0F093F32EC87}" name="Column16383"/>
    <tableColumn id="16384" xr3:uid="{211DCB8F-3C18-4411-B6A8-B75A663EDBC8}" name="Column1638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0D88-D428-45AC-BE6A-F7A67DF84858}">
  <dimension ref="A1:O1201"/>
  <sheetViews>
    <sheetView topLeftCell="A1111" workbookViewId="0">
      <selection activeCell="J1182" sqref="J1182"/>
    </sheetView>
  </sheetViews>
  <sheetFormatPr defaultRowHeight="14.4" x14ac:dyDescent="0.3"/>
  <cols>
    <col min="1" max="1" width="12" style="6" bestFit="1" customWidth="1"/>
    <col min="2" max="2" width="10.33203125" style="2" bestFit="1" customWidth="1"/>
    <col min="3" max="3" width="15.33203125" style="6" bestFit="1" customWidth="1"/>
    <col min="4" max="4" width="12.109375" style="6" bestFit="1" customWidth="1"/>
    <col min="5" max="5" width="12.77734375" style="9" bestFit="1" customWidth="1"/>
    <col min="6" max="6" width="13.109375" style="4" bestFit="1" customWidth="1"/>
    <col min="7" max="7" width="16.88671875" customWidth="1"/>
    <col min="8" max="8" width="17.21875" style="6" customWidth="1"/>
    <col min="9" max="9" width="12.88671875" style="6" customWidth="1"/>
    <col min="10" max="10" width="16.88671875" style="6" customWidth="1"/>
    <col min="11" max="11" width="15.21875" style="9" bestFit="1" customWidth="1"/>
    <col min="12" max="12" width="16.44140625" style="6" bestFit="1" customWidth="1"/>
    <col min="13" max="13" width="17.88671875" style="6" bestFit="1" customWidth="1"/>
    <col min="14" max="14" width="13.77734375" style="4" bestFit="1" customWidth="1"/>
  </cols>
  <sheetData>
    <row r="1" spans="1:15" x14ac:dyDescent="0.3">
      <c r="A1" s="5" t="s">
        <v>0</v>
      </c>
      <c r="B1" s="7" t="s">
        <v>1</v>
      </c>
      <c r="C1" s="5" t="s">
        <v>2</v>
      </c>
      <c r="D1" s="5" t="s">
        <v>3</v>
      </c>
      <c r="E1" s="8" t="s">
        <v>4</v>
      </c>
      <c r="F1" s="3" t="s">
        <v>5</v>
      </c>
      <c r="G1" s="1" t="s">
        <v>6</v>
      </c>
      <c r="H1" s="5" t="s">
        <v>7</v>
      </c>
      <c r="I1" s="5" t="s">
        <v>8</v>
      </c>
      <c r="J1" s="5" t="s">
        <v>9</v>
      </c>
      <c r="K1" s="8" t="s">
        <v>10</v>
      </c>
      <c r="L1" s="5" t="s">
        <v>11</v>
      </c>
      <c r="M1" s="5" t="s">
        <v>12</v>
      </c>
      <c r="N1" s="3" t="s">
        <v>13</v>
      </c>
      <c r="O1" s="1" t="s">
        <v>4289</v>
      </c>
    </row>
    <row r="2" spans="1:15" x14ac:dyDescent="0.3">
      <c r="A2" s="6" t="s">
        <v>14</v>
      </c>
      <c r="B2" s="2">
        <v>44930</v>
      </c>
      <c r="C2" s="6" t="s">
        <v>1214</v>
      </c>
      <c r="D2" s="6" t="s">
        <v>2403</v>
      </c>
      <c r="E2" s="9">
        <v>5</v>
      </c>
      <c r="F2" s="4">
        <v>570.62</v>
      </c>
      <c r="G2" t="s">
        <v>2410</v>
      </c>
      <c r="H2" s="6" t="s">
        <v>3065</v>
      </c>
      <c r="I2" s="6" t="s">
        <v>3070</v>
      </c>
      <c r="J2" s="6" t="s">
        <v>3075</v>
      </c>
      <c r="K2" s="9">
        <v>7</v>
      </c>
      <c r="L2" s="6" t="s">
        <v>4275</v>
      </c>
      <c r="M2" s="6" t="s">
        <v>4278</v>
      </c>
      <c r="N2" s="4">
        <v>2853.1</v>
      </c>
      <c r="O2" s="6">
        <f t="shared" ref="O2:O65" si="0">COUNTA(_xlfn.UNIQUE(C1:C1200))</f>
        <v>1189</v>
      </c>
    </row>
    <row r="3" spans="1:15" x14ac:dyDescent="0.3">
      <c r="A3" s="6" t="s">
        <v>15</v>
      </c>
      <c r="B3" s="2">
        <v>45527</v>
      </c>
      <c r="C3" s="6" t="s">
        <v>1215</v>
      </c>
      <c r="D3" s="6" t="s">
        <v>2404</v>
      </c>
      <c r="E3" s="9">
        <v>2</v>
      </c>
      <c r="F3" s="4">
        <v>151.35</v>
      </c>
      <c r="G3" t="s">
        <v>2411</v>
      </c>
      <c r="H3" s="6" t="s">
        <v>3066</v>
      </c>
      <c r="I3" s="6" t="s">
        <v>3070</v>
      </c>
      <c r="J3" s="6" t="s">
        <v>3076</v>
      </c>
      <c r="K3" s="9">
        <v>3</v>
      </c>
      <c r="L3" s="6" t="s">
        <v>4275</v>
      </c>
      <c r="M3" s="6" t="s">
        <v>4279</v>
      </c>
      <c r="N3" s="4">
        <v>302.7</v>
      </c>
      <c r="O3" s="6">
        <f t="shared" si="0"/>
        <v>1189</v>
      </c>
    </row>
    <row r="4" spans="1:15" x14ac:dyDescent="0.3">
      <c r="A4" s="6" t="s">
        <v>16</v>
      </c>
      <c r="B4" s="2">
        <v>45349</v>
      </c>
      <c r="C4" s="6" t="s">
        <v>1216</v>
      </c>
      <c r="D4" s="6" t="s">
        <v>2405</v>
      </c>
      <c r="E4" s="9">
        <v>5</v>
      </c>
      <c r="F4" s="4">
        <v>550.67999999999995</v>
      </c>
      <c r="G4" t="s">
        <v>2412</v>
      </c>
      <c r="H4" s="6" t="s">
        <v>3067</v>
      </c>
      <c r="I4" s="6" t="s">
        <v>3071</v>
      </c>
      <c r="J4" s="6" t="s">
        <v>3077</v>
      </c>
      <c r="K4" s="9">
        <v>8</v>
      </c>
      <c r="L4" s="6" t="s">
        <v>4276</v>
      </c>
      <c r="M4" s="6" t="s">
        <v>4280</v>
      </c>
      <c r="N4" s="4">
        <v>2753.4</v>
      </c>
      <c r="O4" s="6">
        <f t="shared" si="0"/>
        <v>1189</v>
      </c>
    </row>
    <row r="5" spans="1:15" x14ac:dyDescent="0.3">
      <c r="A5" s="6" t="s">
        <v>17</v>
      </c>
      <c r="B5" s="2">
        <v>45214</v>
      </c>
      <c r="C5" s="6" t="s">
        <v>1217</v>
      </c>
      <c r="D5" s="6" t="s">
        <v>2406</v>
      </c>
      <c r="E5" s="9">
        <v>1</v>
      </c>
      <c r="F5" s="4">
        <v>273.19</v>
      </c>
      <c r="G5" t="s">
        <v>2413</v>
      </c>
      <c r="H5" s="6" t="s">
        <v>3065</v>
      </c>
      <c r="I5" s="6" t="s">
        <v>3072</v>
      </c>
      <c r="J5" s="6" t="s">
        <v>3078</v>
      </c>
      <c r="K5" s="9">
        <v>5</v>
      </c>
      <c r="L5" s="6" t="s">
        <v>4275</v>
      </c>
      <c r="M5" s="6" t="s">
        <v>4281</v>
      </c>
      <c r="N5" s="4">
        <v>273.19</v>
      </c>
      <c r="O5" s="6">
        <f t="shared" si="0"/>
        <v>1188</v>
      </c>
    </row>
    <row r="6" spans="1:15" x14ac:dyDescent="0.3">
      <c r="A6" s="6" t="s">
        <v>18</v>
      </c>
      <c r="B6" s="2">
        <v>45785</v>
      </c>
      <c r="C6" s="6" t="s">
        <v>1218</v>
      </c>
      <c r="D6" s="6" t="s">
        <v>2407</v>
      </c>
      <c r="E6" s="9">
        <v>4</v>
      </c>
      <c r="F6" s="4">
        <v>626.01</v>
      </c>
      <c r="G6" t="s">
        <v>2414</v>
      </c>
      <c r="H6" s="6" t="s">
        <v>3066</v>
      </c>
      <c r="I6" s="6" t="s">
        <v>3073</v>
      </c>
      <c r="J6" s="6" t="s">
        <v>3079</v>
      </c>
      <c r="K6" s="9">
        <v>8</v>
      </c>
      <c r="L6" s="6" t="s">
        <v>4275</v>
      </c>
      <c r="M6" s="6" t="s">
        <v>4280</v>
      </c>
      <c r="N6" s="4">
        <v>2504.04</v>
      </c>
      <c r="O6" s="6">
        <f t="shared" si="0"/>
        <v>1187</v>
      </c>
    </row>
    <row r="7" spans="1:15" x14ac:dyDescent="0.3">
      <c r="A7" s="6" t="s">
        <v>19</v>
      </c>
      <c r="B7" s="2">
        <v>45222</v>
      </c>
      <c r="C7" s="6" t="s">
        <v>1219</v>
      </c>
      <c r="D7" s="6" t="s">
        <v>2404</v>
      </c>
      <c r="E7" s="9">
        <v>2</v>
      </c>
      <c r="F7" s="4">
        <v>245.86</v>
      </c>
      <c r="G7" t="s">
        <v>2415</v>
      </c>
      <c r="H7" s="6" t="s">
        <v>3067</v>
      </c>
      <c r="I7" s="6" t="s">
        <v>3070</v>
      </c>
      <c r="J7" s="6" t="s">
        <v>3080</v>
      </c>
      <c r="K7" s="9">
        <v>4</v>
      </c>
      <c r="L7" s="6" t="s">
        <v>4275</v>
      </c>
      <c r="M7" s="6" t="s">
        <v>4278</v>
      </c>
      <c r="N7" s="4">
        <v>491.72</v>
      </c>
      <c r="O7" s="6">
        <f t="shared" si="0"/>
        <v>1186</v>
      </c>
    </row>
    <row r="8" spans="1:15" x14ac:dyDescent="0.3">
      <c r="A8" s="6" t="s">
        <v>20</v>
      </c>
      <c r="B8" s="2">
        <v>45825</v>
      </c>
      <c r="C8" s="6" t="s">
        <v>1220</v>
      </c>
      <c r="D8" s="6" t="s">
        <v>2408</v>
      </c>
      <c r="E8" s="9">
        <v>1</v>
      </c>
      <c r="F8" s="4">
        <v>664.42</v>
      </c>
      <c r="G8" t="s">
        <v>2416</v>
      </c>
      <c r="H8" s="6" t="s">
        <v>3068</v>
      </c>
      <c r="I8" s="6" t="s">
        <v>3072</v>
      </c>
      <c r="J8" s="6" t="s">
        <v>3081</v>
      </c>
      <c r="K8" s="9">
        <v>6</v>
      </c>
      <c r="L8" s="6" t="s">
        <v>4275</v>
      </c>
      <c r="M8" s="6" t="s">
        <v>4281</v>
      </c>
      <c r="N8" s="4">
        <v>664.42</v>
      </c>
      <c r="O8" s="6">
        <f t="shared" si="0"/>
        <v>1185</v>
      </c>
    </row>
    <row r="9" spans="1:15" x14ac:dyDescent="0.3">
      <c r="A9" s="6" t="s">
        <v>21</v>
      </c>
      <c r="B9" s="2">
        <v>45058</v>
      </c>
      <c r="C9" s="6" t="s">
        <v>1221</v>
      </c>
      <c r="D9" s="6" t="s">
        <v>2403</v>
      </c>
      <c r="E9" s="9">
        <v>5</v>
      </c>
      <c r="F9" s="4">
        <v>149.55000000000001</v>
      </c>
      <c r="G9" t="s">
        <v>2417</v>
      </c>
      <c r="H9" s="6" t="s">
        <v>3069</v>
      </c>
      <c r="I9" s="6" t="s">
        <v>3070</v>
      </c>
      <c r="J9" s="6" t="s">
        <v>3082</v>
      </c>
      <c r="K9" s="9">
        <v>9</v>
      </c>
      <c r="L9" s="6" t="s">
        <v>4276</v>
      </c>
      <c r="M9" s="6" t="s">
        <v>4281</v>
      </c>
      <c r="N9" s="4">
        <v>747.75</v>
      </c>
      <c r="O9" s="6">
        <f t="shared" si="0"/>
        <v>1184</v>
      </c>
    </row>
    <row r="10" spans="1:15" x14ac:dyDescent="0.3">
      <c r="A10" s="6" t="s">
        <v>22</v>
      </c>
      <c r="B10" s="2">
        <v>45749</v>
      </c>
      <c r="C10" s="6" t="s">
        <v>1222</v>
      </c>
      <c r="D10" s="6" t="s">
        <v>2404</v>
      </c>
      <c r="E10" s="9">
        <v>2</v>
      </c>
      <c r="F10" s="4">
        <v>134.28</v>
      </c>
      <c r="G10" t="s">
        <v>2418</v>
      </c>
      <c r="H10" s="6" t="s">
        <v>3068</v>
      </c>
      <c r="I10" s="6" t="s">
        <v>3071</v>
      </c>
      <c r="J10" s="6" t="s">
        <v>3083</v>
      </c>
      <c r="K10" s="9">
        <v>2</v>
      </c>
      <c r="L10" s="6" t="s">
        <v>4283</v>
      </c>
      <c r="M10" s="6" t="s">
        <v>4280</v>
      </c>
      <c r="N10" s="4">
        <v>268.56</v>
      </c>
      <c r="O10" s="6">
        <f t="shared" si="0"/>
        <v>1183</v>
      </c>
    </row>
    <row r="11" spans="1:15" x14ac:dyDescent="0.3">
      <c r="A11" s="6" t="s">
        <v>23</v>
      </c>
      <c r="B11" s="2">
        <v>45251</v>
      </c>
      <c r="C11" s="6" t="s">
        <v>1223</v>
      </c>
      <c r="D11" s="6" t="s">
        <v>2409</v>
      </c>
      <c r="E11" s="9">
        <v>4</v>
      </c>
      <c r="F11" s="4">
        <v>509.38</v>
      </c>
      <c r="G11" t="s">
        <v>2419</v>
      </c>
      <c r="H11" s="6" t="s">
        <v>3067</v>
      </c>
      <c r="I11" s="6" t="s">
        <v>3070</v>
      </c>
      <c r="J11" s="6" t="s">
        <v>3084</v>
      </c>
      <c r="K11" s="9">
        <v>6</v>
      </c>
      <c r="L11" s="6" t="s">
        <v>4275</v>
      </c>
      <c r="M11" s="6" t="s">
        <v>4282</v>
      </c>
      <c r="N11" s="4">
        <v>2037.52</v>
      </c>
      <c r="O11" s="6">
        <f t="shared" si="0"/>
        <v>1182</v>
      </c>
    </row>
    <row r="12" spans="1:15" x14ac:dyDescent="0.3">
      <c r="A12" s="6" t="s">
        <v>24</v>
      </c>
      <c r="B12" s="2">
        <v>45289</v>
      </c>
      <c r="C12" s="6" t="s">
        <v>1224</v>
      </c>
      <c r="D12" s="6" t="s">
        <v>2405</v>
      </c>
      <c r="E12" s="9">
        <v>5</v>
      </c>
      <c r="F12" s="4">
        <v>625.97</v>
      </c>
      <c r="G12" t="s">
        <v>2420</v>
      </c>
      <c r="H12" s="6" t="s">
        <v>3067</v>
      </c>
      <c r="I12" s="6" t="s">
        <v>3072</v>
      </c>
      <c r="J12" s="6" t="s">
        <v>3085</v>
      </c>
      <c r="K12" s="9">
        <v>9</v>
      </c>
      <c r="L12" s="6" t="s">
        <v>4277</v>
      </c>
      <c r="M12" s="6" t="s">
        <v>4278</v>
      </c>
      <c r="N12" s="4">
        <v>3129.85</v>
      </c>
      <c r="O12" s="6">
        <f t="shared" si="0"/>
        <v>1181</v>
      </c>
    </row>
    <row r="13" spans="1:15" x14ac:dyDescent="0.3">
      <c r="A13" s="6" t="s">
        <v>25</v>
      </c>
      <c r="B13" s="2">
        <v>45339</v>
      </c>
      <c r="C13" s="6" t="s">
        <v>1225</v>
      </c>
      <c r="D13" s="6" t="s">
        <v>2403</v>
      </c>
      <c r="E13" s="9">
        <v>3</v>
      </c>
      <c r="F13" s="4">
        <v>49.14</v>
      </c>
      <c r="G13" t="s">
        <v>2421</v>
      </c>
      <c r="H13" s="6" t="s">
        <v>3066</v>
      </c>
      <c r="I13" s="6" t="s">
        <v>3072</v>
      </c>
      <c r="J13" s="6" t="s">
        <v>3086</v>
      </c>
      <c r="K13" s="9">
        <v>7</v>
      </c>
      <c r="L13" s="6" t="s">
        <v>4275</v>
      </c>
      <c r="M13" s="6" t="s">
        <v>4280</v>
      </c>
      <c r="N13" s="4">
        <v>147.41999999999999</v>
      </c>
      <c r="O13" s="6">
        <f t="shared" si="0"/>
        <v>1180</v>
      </c>
    </row>
    <row r="14" spans="1:15" x14ac:dyDescent="0.3">
      <c r="A14" s="6" t="s">
        <v>26</v>
      </c>
      <c r="B14" s="2">
        <v>45580</v>
      </c>
      <c r="C14" s="6" t="s">
        <v>1226</v>
      </c>
      <c r="D14" s="6" t="s">
        <v>2403</v>
      </c>
      <c r="E14" s="9">
        <v>2</v>
      </c>
      <c r="F14" s="4">
        <v>180.5</v>
      </c>
      <c r="G14" t="s">
        <v>2422</v>
      </c>
      <c r="H14" s="6" t="s">
        <v>3065</v>
      </c>
      <c r="I14" s="6" t="s">
        <v>3074</v>
      </c>
      <c r="J14" s="6" t="s">
        <v>3087</v>
      </c>
      <c r="K14" s="9">
        <v>6</v>
      </c>
      <c r="L14" s="6" t="s">
        <v>4276</v>
      </c>
      <c r="M14" s="6" t="s">
        <v>4279</v>
      </c>
      <c r="N14" s="4">
        <v>361</v>
      </c>
      <c r="O14" s="6">
        <f t="shared" si="0"/>
        <v>1179</v>
      </c>
    </row>
    <row r="15" spans="1:15" x14ac:dyDescent="0.3">
      <c r="A15" s="6" t="s">
        <v>27</v>
      </c>
      <c r="B15" s="2">
        <v>45168</v>
      </c>
      <c r="C15" s="6" t="s">
        <v>1227</v>
      </c>
      <c r="D15" s="6" t="s">
        <v>2408</v>
      </c>
      <c r="E15" s="9">
        <v>3</v>
      </c>
      <c r="F15" s="4">
        <v>201.49</v>
      </c>
      <c r="G15" t="s">
        <v>2423</v>
      </c>
      <c r="H15" s="6" t="s">
        <v>3067</v>
      </c>
      <c r="I15" s="6" t="s">
        <v>3072</v>
      </c>
      <c r="J15" s="6" t="s">
        <v>3088</v>
      </c>
      <c r="K15" s="9">
        <v>4</v>
      </c>
      <c r="L15" s="6" t="s">
        <v>4276</v>
      </c>
      <c r="M15" s="6" t="s">
        <v>4281</v>
      </c>
      <c r="N15" s="4">
        <v>604.47</v>
      </c>
      <c r="O15" s="6">
        <f t="shared" si="0"/>
        <v>1178</v>
      </c>
    </row>
    <row r="16" spans="1:15" x14ac:dyDescent="0.3">
      <c r="A16" s="6" t="s">
        <v>28</v>
      </c>
      <c r="B16" s="2">
        <v>45012</v>
      </c>
      <c r="C16" s="6" t="s">
        <v>1228</v>
      </c>
      <c r="D16" s="6" t="s">
        <v>2405</v>
      </c>
      <c r="E16" s="9">
        <v>2</v>
      </c>
      <c r="F16" s="4">
        <v>393.33</v>
      </c>
      <c r="G16" t="s">
        <v>2424</v>
      </c>
      <c r="H16" s="6" t="s">
        <v>3065</v>
      </c>
      <c r="I16" s="6" t="s">
        <v>3074</v>
      </c>
      <c r="J16" s="6" t="s">
        <v>3089</v>
      </c>
      <c r="K16" s="9">
        <v>3</v>
      </c>
      <c r="L16" s="6" t="s">
        <v>4275</v>
      </c>
      <c r="M16" s="6" t="s">
        <v>4278</v>
      </c>
      <c r="N16" s="4">
        <v>786.66</v>
      </c>
      <c r="O16" s="6">
        <f t="shared" si="0"/>
        <v>1177</v>
      </c>
    </row>
    <row r="17" spans="1:15" x14ac:dyDescent="0.3">
      <c r="A17" s="6" t="s">
        <v>29</v>
      </c>
      <c r="B17" s="2">
        <v>45124</v>
      </c>
      <c r="C17" s="6" t="s">
        <v>1229</v>
      </c>
      <c r="D17" s="6" t="s">
        <v>2407</v>
      </c>
      <c r="E17" s="9">
        <v>1</v>
      </c>
      <c r="F17" s="4">
        <v>473.96</v>
      </c>
      <c r="G17" t="s">
        <v>2425</v>
      </c>
      <c r="H17" s="6" t="s">
        <v>3069</v>
      </c>
      <c r="I17" s="6" t="s">
        <v>3073</v>
      </c>
      <c r="J17" s="6" t="s">
        <v>3090</v>
      </c>
      <c r="K17" s="9">
        <v>3</v>
      </c>
      <c r="L17" s="6" t="s">
        <v>4283</v>
      </c>
      <c r="M17" s="6" t="s">
        <v>4282</v>
      </c>
      <c r="N17" s="4">
        <v>473.96</v>
      </c>
      <c r="O17" s="6">
        <f t="shared" si="0"/>
        <v>1176</v>
      </c>
    </row>
    <row r="18" spans="1:15" x14ac:dyDescent="0.3">
      <c r="A18" s="6" t="s">
        <v>30</v>
      </c>
      <c r="B18" s="2">
        <v>44950</v>
      </c>
      <c r="C18" s="6" t="s">
        <v>1230</v>
      </c>
      <c r="D18" s="6" t="s">
        <v>2407</v>
      </c>
      <c r="E18" s="9">
        <v>2</v>
      </c>
      <c r="F18" s="4">
        <v>533.80999999999995</v>
      </c>
      <c r="G18" t="s">
        <v>2426</v>
      </c>
      <c r="H18" s="6" t="s">
        <v>3067</v>
      </c>
      <c r="I18" s="6" t="s">
        <v>3074</v>
      </c>
      <c r="J18" s="6" t="s">
        <v>3091</v>
      </c>
      <c r="K18" s="9">
        <v>3</v>
      </c>
      <c r="L18" s="6" t="s">
        <v>4276</v>
      </c>
      <c r="M18" s="6" t="s">
        <v>4280</v>
      </c>
      <c r="N18" s="4">
        <v>1067.6199999999999</v>
      </c>
      <c r="O18" s="6">
        <f t="shared" si="0"/>
        <v>1176</v>
      </c>
    </row>
    <row r="19" spans="1:15" x14ac:dyDescent="0.3">
      <c r="A19" s="6" t="s">
        <v>31</v>
      </c>
      <c r="B19" s="2">
        <v>45353</v>
      </c>
      <c r="C19" s="6" t="s">
        <v>1231</v>
      </c>
      <c r="D19" s="6" t="s">
        <v>2405</v>
      </c>
      <c r="E19" s="9">
        <v>1</v>
      </c>
      <c r="F19" s="4">
        <v>423.4</v>
      </c>
      <c r="G19" t="s">
        <v>2427</v>
      </c>
      <c r="H19" s="6" t="s">
        <v>3065</v>
      </c>
      <c r="I19" s="6" t="s">
        <v>3070</v>
      </c>
      <c r="J19" s="6" t="s">
        <v>3092</v>
      </c>
      <c r="K19" s="9">
        <v>3</v>
      </c>
      <c r="L19" s="6" t="s">
        <v>4283</v>
      </c>
      <c r="M19" s="6" t="s">
        <v>4279</v>
      </c>
      <c r="N19" s="4">
        <v>423.4</v>
      </c>
      <c r="O19" s="6">
        <f t="shared" si="0"/>
        <v>1175</v>
      </c>
    </row>
    <row r="20" spans="1:15" x14ac:dyDescent="0.3">
      <c r="A20" s="6" t="s">
        <v>32</v>
      </c>
      <c r="B20" s="2">
        <v>45742</v>
      </c>
      <c r="C20" s="6" t="s">
        <v>1232</v>
      </c>
      <c r="D20" s="6" t="s">
        <v>2409</v>
      </c>
      <c r="E20" s="9">
        <v>1</v>
      </c>
      <c r="F20" s="4">
        <v>431.44</v>
      </c>
      <c r="G20" t="s">
        <v>2428</v>
      </c>
      <c r="H20" s="6" t="s">
        <v>3068</v>
      </c>
      <c r="I20" s="6" t="s">
        <v>3074</v>
      </c>
      <c r="J20" s="6" t="s">
        <v>3093</v>
      </c>
      <c r="K20" s="9">
        <v>3</v>
      </c>
      <c r="L20" s="6" t="s">
        <v>4275</v>
      </c>
      <c r="M20" s="6" t="s">
        <v>4281</v>
      </c>
      <c r="N20" s="4">
        <v>431.44</v>
      </c>
      <c r="O20" s="6">
        <f t="shared" si="0"/>
        <v>1174</v>
      </c>
    </row>
    <row r="21" spans="1:15" x14ac:dyDescent="0.3">
      <c r="A21" s="6" t="s">
        <v>33</v>
      </c>
      <c r="B21" s="2">
        <v>44949</v>
      </c>
      <c r="C21" s="6" t="s">
        <v>1233</v>
      </c>
      <c r="D21" s="6" t="s">
        <v>2403</v>
      </c>
      <c r="E21" s="9">
        <v>5</v>
      </c>
      <c r="F21" s="4">
        <v>224</v>
      </c>
      <c r="G21" t="s">
        <v>2429</v>
      </c>
      <c r="H21" s="6" t="s">
        <v>3069</v>
      </c>
      <c r="I21" s="6" t="s">
        <v>3072</v>
      </c>
      <c r="J21" s="6" t="s">
        <v>3094</v>
      </c>
      <c r="K21" s="9">
        <v>9</v>
      </c>
      <c r="L21" s="6" t="s">
        <v>4275</v>
      </c>
      <c r="M21" s="6" t="s">
        <v>4282</v>
      </c>
      <c r="N21" s="4">
        <v>1120</v>
      </c>
      <c r="O21" s="6">
        <f t="shared" si="0"/>
        <v>1173</v>
      </c>
    </row>
    <row r="22" spans="1:15" x14ac:dyDescent="0.3">
      <c r="A22" s="6" t="s">
        <v>34</v>
      </c>
      <c r="B22" s="2">
        <v>45054</v>
      </c>
      <c r="C22" s="6" t="s">
        <v>1234</v>
      </c>
      <c r="D22" s="6" t="s">
        <v>2406</v>
      </c>
      <c r="E22" s="9">
        <v>5</v>
      </c>
      <c r="F22" s="4">
        <v>62.51</v>
      </c>
      <c r="G22" t="s">
        <v>2430</v>
      </c>
      <c r="H22" s="6" t="s">
        <v>3069</v>
      </c>
      <c r="I22" s="6" t="s">
        <v>3074</v>
      </c>
      <c r="J22" s="6" t="s">
        <v>3095</v>
      </c>
      <c r="K22" s="9">
        <v>9</v>
      </c>
      <c r="L22" s="6" t="s">
        <v>4277</v>
      </c>
      <c r="M22" s="6" t="s">
        <v>4278</v>
      </c>
      <c r="N22" s="4">
        <v>312.55</v>
      </c>
      <c r="O22" s="6">
        <f t="shared" si="0"/>
        <v>1172</v>
      </c>
    </row>
    <row r="23" spans="1:15" x14ac:dyDescent="0.3">
      <c r="A23" s="6" t="s">
        <v>35</v>
      </c>
      <c r="B23" s="2">
        <v>45613</v>
      </c>
      <c r="C23" s="6" t="s">
        <v>1235</v>
      </c>
      <c r="D23" s="6" t="s">
        <v>2403</v>
      </c>
      <c r="E23" s="9">
        <v>4</v>
      </c>
      <c r="F23" s="4">
        <v>342.95</v>
      </c>
      <c r="G23" t="s">
        <v>2431</v>
      </c>
      <c r="H23" s="6" t="s">
        <v>3069</v>
      </c>
      <c r="I23" s="6" t="s">
        <v>3073</v>
      </c>
      <c r="J23" s="6" t="s">
        <v>3096</v>
      </c>
      <c r="K23" s="9">
        <v>6</v>
      </c>
      <c r="L23" s="6" t="s">
        <v>4283</v>
      </c>
      <c r="M23" s="6" t="s">
        <v>4282</v>
      </c>
      <c r="N23" s="4">
        <v>1371.8</v>
      </c>
      <c r="O23" s="6">
        <f t="shared" si="0"/>
        <v>1171</v>
      </c>
    </row>
    <row r="24" spans="1:15" x14ac:dyDescent="0.3">
      <c r="A24" s="6" t="s">
        <v>36</v>
      </c>
      <c r="B24" s="2">
        <v>44955</v>
      </c>
      <c r="C24" s="6" t="s">
        <v>1236</v>
      </c>
      <c r="D24" s="6" t="s">
        <v>2403</v>
      </c>
      <c r="E24" s="9">
        <v>2</v>
      </c>
      <c r="F24" s="4">
        <v>49.62</v>
      </c>
      <c r="G24" t="s">
        <v>2432</v>
      </c>
      <c r="H24" s="6" t="s">
        <v>3066</v>
      </c>
      <c r="I24" s="6" t="s">
        <v>3074</v>
      </c>
      <c r="J24" s="6" t="s">
        <v>3097</v>
      </c>
      <c r="K24" s="9">
        <v>2</v>
      </c>
      <c r="L24" s="6" t="s">
        <v>4275</v>
      </c>
      <c r="M24" s="6" t="s">
        <v>4282</v>
      </c>
      <c r="N24" s="4">
        <v>99.24</v>
      </c>
      <c r="O24" s="6">
        <f t="shared" si="0"/>
        <v>1170</v>
      </c>
    </row>
    <row r="25" spans="1:15" x14ac:dyDescent="0.3">
      <c r="A25" s="6" t="s">
        <v>37</v>
      </c>
      <c r="B25" s="2">
        <v>45756</v>
      </c>
      <c r="C25" s="6" t="s">
        <v>1237</v>
      </c>
      <c r="D25" s="6" t="s">
        <v>2404</v>
      </c>
      <c r="E25" s="9">
        <v>4</v>
      </c>
      <c r="F25" s="4">
        <v>273.25</v>
      </c>
      <c r="G25" t="s">
        <v>2433</v>
      </c>
      <c r="H25" s="6" t="s">
        <v>3065</v>
      </c>
      <c r="I25" s="6" t="s">
        <v>3071</v>
      </c>
      <c r="J25" s="6" t="s">
        <v>3098</v>
      </c>
      <c r="K25" s="9">
        <v>5</v>
      </c>
      <c r="L25" s="6" t="s">
        <v>4276</v>
      </c>
      <c r="M25" s="6" t="s">
        <v>4279</v>
      </c>
      <c r="N25" s="4">
        <v>1093</v>
      </c>
      <c r="O25" s="6">
        <f t="shared" si="0"/>
        <v>1169</v>
      </c>
    </row>
    <row r="26" spans="1:15" x14ac:dyDescent="0.3">
      <c r="A26" s="6" t="s">
        <v>38</v>
      </c>
      <c r="B26" s="2">
        <v>45595</v>
      </c>
      <c r="C26" s="6" t="s">
        <v>1238</v>
      </c>
      <c r="D26" s="6" t="s">
        <v>2408</v>
      </c>
      <c r="E26" s="9">
        <v>2</v>
      </c>
      <c r="F26" s="4">
        <v>230.95</v>
      </c>
      <c r="G26" t="s">
        <v>2434</v>
      </c>
      <c r="H26" s="6" t="s">
        <v>3066</v>
      </c>
      <c r="I26" s="6" t="s">
        <v>3073</v>
      </c>
      <c r="J26" s="6" t="s">
        <v>3099</v>
      </c>
      <c r="K26" s="9">
        <v>3</v>
      </c>
      <c r="L26" s="6" t="s">
        <v>4277</v>
      </c>
      <c r="M26" s="6" t="s">
        <v>4279</v>
      </c>
      <c r="N26" s="4">
        <v>461.9</v>
      </c>
      <c r="O26" s="6">
        <f t="shared" si="0"/>
        <v>1168</v>
      </c>
    </row>
    <row r="27" spans="1:15" x14ac:dyDescent="0.3">
      <c r="A27" s="6" t="s">
        <v>39</v>
      </c>
      <c r="B27" s="2">
        <v>45497</v>
      </c>
      <c r="C27" s="6" t="s">
        <v>1239</v>
      </c>
      <c r="D27" s="6" t="s">
        <v>2403</v>
      </c>
      <c r="E27" s="9">
        <v>1</v>
      </c>
      <c r="F27" s="4">
        <v>399.98</v>
      </c>
      <c r="G27" t="s">
        <v>2435</v>
      </c>
      <c r="H27" s="6" t="s">
        <v>3065</v>
      </c>
      <c r="I27" s="6" t="s">
        <v>3073</v>
      </c>
      <c r="J27" s="6" t="s">
        <v>3100</v>
      </c>
      <c r="K27" s="9">
        <v>3</v>
      </c>
      <c r="L27" s="6" t="s">
        <v>4277</v>
      </c>
      <c r="M27" s="6" t="s">
        <v>4280</v>
      </c>
      <c r="N27" s="4">
        <v>399.98</v>
      </c>
      <c r="O27" s="6">
        <f t="shared" si="0"/>
        <v>1167</v>
      </c>
    </row>
    <row r="28" spans="1:15" x14ac:dyDescent="0.3">
      <c r="A28" s="6" t="s">
        <v>40</v>
      </c>
      <c r="B28" s="2">
        <v>45357</v>
      </c>
      <c r="C28" s="6" t="s">
        <v>1240</v>
      </c>
      <c r="D28" s="6" t="s">
        <v>2408</v>
      </c>
      <c r="E28" s="9">
        <v>5</v>
      </c>
      <c r="F28" s="4">
        <v>59.55</v>
      </c>
      <c r="G28" t="s">
        <v>2436</v>
      </c>
      <c r="H28" s="6" t="s">
        <v>3066</v>
      </c>
      <c r="I28" s="6" t="s">
        <v>3073</v>
      </c>
      <c r="J28" s="6" t="s">
        <v>3101</v>
      </c>
      <c r="K28" s="9">
        <v>6</v>
      </c>
      <c r="L28" s="6" t="s">
        <v>4283</v>
      </c>
      <c r="M28" s="6" t="s">
        <v>4279</v>
      </c>
      <c r="N28" s="4">
        <v>297.75</v>
      </c>
      <c r="O28" s="6">
        <f t="shared" si="0"/>
        <v>1166</v>
      </c>
    </row>
    <row r="29" spans="1:15" x14ac:dyDescent="0.3">
      <c r="A29" s="6" t="s">
        <v>41</v>
      </c>
      <c r="B29" s="2">
        <v>45344</v>
      </c>
      <c r="C29" s="6" t="s">
        <v>1241</v>
      </c>
      <c r="D29" s="6" t="s">
        <v>2407</v>
      </c>
      <c r="E29" s="9">
        <v>1</v>
      </c>
      <c r="F29" s="4">
        <v>472.74</v>
      </c>
      <c r="G29" t="s">
        <v>2437</v>
      </c>
      <c r="H29" s="6" t="s">
        <v>3066</v>
      </c>
      <c r="I29" s="6" t="s">
        <v>3070</v>
      </c>
      <c r="J29" s="6" t="s">
        <v>3102</v>
      </c>
      <c r="K29" s="9">
        <v>6</v>
      </c>
      <c r="L29" s="6" t="s">
        <v>4277</v>
      </c>
      <c r="M29" s="6" t="s">
        <v>4282</v>
      </c>
      <c r="N29" s="4">
        <v>472.74</v>
      </c>
      <c r="O29" s="6">
        <f t="shared" si="0"/>
        <v>1165</v>
      </c>
    </row>
    <row r="30" spans="1:15" x14ac:dyDescent="0.3">
      <c r="A30" s="6" t="s">
        <v>42</v>
      </c>
      <c r="B30" s="2">
        <v>45251</v>
      </c>
      <c r="C30" s="6" t="s">
        <v>1242</v>
      </c>
      <c r="D30" s="6" t="s">
        <v>2404</v>
      </c>
      <c r="E30" s="9">
        <v>4</v>
      </c>
      <c r="F30" s="4">
        <v>160.07</v>
      </c>
      <c r="G30" t="s">
        <v>2438</v>
      </c>
      <c r="H30" s="6" t="s">
        <v>3066</v>
      </c>
      <c r="I30" s="6" t="s">
        <v>3074</v>
      </c>
      <c r="J30" s="6" t="s">
        <v>3103</v>
      </c>
      <c r="K30" s="9">
        <v>5</v>
      </c>
      <c r="L30" s="6" t="s">
        <v>4283</v>
      </c>
      <c r="M30" s="6" t="s">
        <v>4280</v>
      </c>
      <c r="N30" s="4">
        <v>640.28</v>
      </c>
      <c r="O30" s="6">
        <f t="shared" si="0"/>
        <v>1164</v>
      </c>
    </row>
    <row r="31" spans="1:15" x14ac:dyDescent="0.3">
      <c r="A31" s="6" t="s">
        <v>43</v>
      </c>
      <c r="B31" s="2">
        <v>45555</v>
      </c>
      <c r="C31" s="6" t="s">
        <v>1243</v>
      </c>
      <c r="D31" s="6" t="s">
        <v>2409</v>
      </c>
      <c r="E31" s="9">
        <v>3</v>
      </c>
      <c r="F31" s="4">
        <v>423.53</v>
      </c>
      <c r="G31" t="s">
        <v>2439</v>
      </c>
      <c r="H31" s="6" t="s">
        <v>3067</v>
      </c>
      <c r="I31" s="6" t="s">
        <v>3073</v>
      </c>
      <c r="J31" s="6" t="s">
        <v>3104</v>
      </c>
      <c r="K31" s="9">
        <v>6</v>
      </c>
      <c r="L31" s="6" t="s">
        <v>4275</v>
      </c>
      <c r="M31" s="6" t="s">
        <v>4279</v>
      </c>
      <c r="N31" s="4">
        <v>1270.5899999999999</v>
      </c>
      <c r="O31" s="6">
        <f t="shared" si="0"/>
        <v>1164</v>
      </c>
    </row>
    <row r="32" spans="1:15" x14ac:dyDescent="0.3">
      <c r="A32" s="6" t="s">
        <v>44</v>
      </c>
      <c r="B32" s="2">
        <v>45738</v>
      </c>
      <c r="C32" s="6" t="s">
        <v>1244</v>
      </c>
      <c r="D32" s="6" t="s">
        <v>2403</v>
      </c>
      <c r="E32" s="9">
        <v>2</v>
      </c>
      <c r="F32" s="4">
        <v>426.7</v>
      </c>
      <c r="G32" t="s">
        <v>2440</v>
      </c>
      <c r="H32" s="6" t="s">
        <v>3066</v>
      </c>
      <c r="I32" s="6" t="s">
        <v>3074</v>
      </c>
      <c r="J32" s="6" t="s">
        <v>3105</v>
      </c>
      <c r="K32" s="9">
        <v>5</v>
      </c>
      <c r="L32" s="6" t="s">
        <v>4275</v>
      </c>
      <c r="M32" s="6" t="s">
        <v>4279</v>
      </c>
      <c r="N32" s="4">
        <v>853.4</v>
      </c>
      <c r="O32" s="6">
        <f t="shared" si="0"/>
        <v>1163</v>
      </c>
    </row>
    <row r="33" spans="1:15" x14ac:dyDescent="0.3">
      <c r="A33" s="6" t="s">
        <v>45</v>
      </c>
      <c r="B33" s="2">
        <v>45107</v>
      </c>
      <c r="C33" s="6" t="s">
        <v>1245</v>
      </c>
      <c r="D33" s="6" t="s">
        <v>2406</v>
      </c>
      <c r="E33" s="9">
        <v>3</v>
      </c>
      <c r="F33" s="4">
        <v>500.08</v>
      </c>
      <c r="G33" t="s">
        <v>2441</v>
      </c>
      <c r="H33" s="6" t="s">
        <v>3065</v>
      </c>
      <c r="I33" s="6" t="s">
        <v>3072</v>
      </c>
      <c r="J33" s="6" t="s">
        <v>3106</v>
      </c>
      <c r="K33" s="9">
        <v>6</v>
      </c>
      <c r="L33" s="6" t="s">
        <v>4283</v>
      </c>
      <c r="M33" s="6" t="s">
        <v>4281</v>
      </c>
      <c r="N33" s="4">
        <v>1500.24</v>
      </c>
      <c r="O33" s="6">
        <f t="shared" si="0"/>
        <v>1162</v>
      </c>
    </row>
    <row r="34" spans="1:15" x14ac:dyDescent="0.3">
      <c r="A34" s="6" t="s">
        <v>46</v>
      </c>
      <c r="B34" s="2">
        <v>45047</v>
      </c>
      <c r="C34" s="6" t="s">
        <v>1246</v>
      </c>
      <c r="D34" s="6" t="s">
        <v>2405</v>
      </c>
      <c r="E34" s="9">
        <v>5</v>
      </c>
      <c r="F34" s="4">
        <v>536.72</v>
      </c>
      <c r="G34" t="s">
        <v>2442</v>
      </c>
      <c r="H34" s="6" t="s">
        <v>3069</v>
      </c>
      <c r="I34" s="6" t="s">
        <v>3073</v>
      </c>
      <c r="J34" s="6" t="s">
        <v>3107</v>
      </c>
      <c r="K34" s="9">
        <v>10</v>
      </c>
      <c r="L34" s="6" t="s">
        <v>4283</v>
      </c>
      <c r="M34" s="6" t="s">
        <v>4280</v>
      </c>
      <c r="N34" s="4">
        <v>2683.6</v>
      </c>
      <c r="O34" s="6">
        <f t="shared" si="0"/>
        <v>1161</v>
      </c>
    </row>
    <row r="35" spans="1:15" x14ac:dyDescent="0.3">
      <c r="A35" s="6" t="s">
        <v>47</v>
      </c>
      <c r="B35" s="2">
        <v>45082</v>
      </c>
      <c r="C35" s="6" t="s">
        <v>1247</v>
      </c>
      <c r="D35" s="6" t="s">
        <v>2406</v>
      </c>
      <c r="E35" s="9">
        <v>1</v>
      </c>
      <c r="F35" s="4">
        <v>162.77000000000001</v>
      </c>
      <c r="G35" t="s">
        <v>2443</v>
      </c>
      <c r="H35" s="6" t="s">
        <v>3066</v>
      </c>
      <c r="I35" s="6" t="s">
        <v>3071</v>
      </c>
      <c r="J35" s="6" t="s">
        <v>3108</v>
      </c>
      <c r="K35" s="9">
        <v>4</v>
      </c>
      <c r="L35" s="6" t="s">
        <v>4277</v>
      </c>
      <c r="M35" s="6" t="s">
        <v>4281</v>
      </c>
      <c r="N35" s="4">
        <v>162.77000000000001</v>
      </c>
      <c r="O35" s="6">
        <f t="shared" si="0"/>
        <v>1160</v>
      </c>
    </row>
    <row r="36" spans="1:15" x14ac:dyDescent="0.3">
      <c r="A36" s="6" t="s">
        <v>48</v>
      </c>
      <c r="B36" s="2">
        <v>44933</v>
      </c>
      <c r="C36" s="6" t="s">
        <v>1248</v>
      </c>
      <c r="D36" s="6" t="s">
        <v>2406</v>
      </c>
      <c r="E36" s="9">
        <v>4</v>
      </c>
      <c r="F36" s="4">
        <v>576.52</v>
      </c>
      <c r="G36" t="s">
        <v>2444</v>
      </c>
      <c r="H36" s="6" t="s">
        <v>3067</v>
      </c>
      <c r="I36" s="6" t="s">
        <v>3074</v>
      </c>
      <c r="J36" s="6" t="s">
        <v>3109</v>
      </c>
      <c r="K36" s="9">
        <v>5</v>
      </c>
      <c r="L36" s="6" t="s">
        <v>4277</v>
      </c>
      <c r="M36" s="6" t="s">
        <v>4281</v>
      </c>
      <c r="N36" s="4">
        <v>2306.08</v>
      </c>
      <c r="O36" s="6">
        <f t="shared" si="0"/>
        <v>1159</v>
      </c>
    </row>
    <row r="37" spans="1:15" x14ac:dyDescent="0.3">
      <c r="A37" s="6" t="s">
        <v>49</v>
      </c>
      <c r="B37" s="2">
        <v>45633</v>
      </c>
      <c r="C37" s="6" t="s">
        <v>1249</v>
      </c>
      <c r="D37" s="6" t="s">
        <v>2403</v>
      </c>
      <c r="E37" s="9">
        <v>2</v>
      </c>
      <c r="F37" s="4">
        <v>465.15</v>
      </c>
      <c r="G37" t="s">
        <v>2445</v>
      </c>
      <c r="H37" s="6" t="s">
        <v>3066</v>
      </c>
      <c r="I37" s="6" t="s">
        <v>3070</v>
      </c>
      <c r="J37" s="6" t="s">
        <v>3110</v>
      </c>
      <c r="K37" s="9">
        <v>2</v>
      </c>
      <c r="L37" s="6" t="s">
        <v>4275</v>
      </c>
      <c r="M37" s="6" t="s">
        <v>4281</v>
      </c>
      <c r="N37" s="4">
        <v>930.3</v>
      </c>
      <c r="O37" s="6">
        <f t="shared" si="0"/>
        <v>1158</v>
      </c>
    </row>
    <row r="38" spans="1:15" x14ac:dyDescent="0.3">
      <c r="A38" s="6" t="s">
        <v>50</v>
      </c>
      <c r="B38" s="2">
        <v>45785</v>
      </c>
      <c r="C38" s="6" t="s">
        <v>1250</v>
      </c>
      <c r="D38" s="6" t="s">
        <v>2408</v>
      </c>
      <c r="E38" s="9">
        <v>2</v>
      </c>
      <c r="F38" s="4">
        <v>534.42999999999995</v>
      </c>
      <c r="G38" t="s">
        <v>2446</v>
      </c>
      <c r="H38" s="6" t="s">
        <v>3065</v>
      </c>
      <c r="I38" s="6" t="s">
        <v>3074</v>
      </c>
      <c r="J38" s="6" t="s">
        <v>3111</v>
      </c>
      <c r="K38" s="9">
        <v>5</v>
      </c>
      <c r="L38" s="6" t="s">
        <v>4283</v>
      </c>
      <c r="M38" s="6" t="s">
        <v>4281</v>
      </c>
      <c r="N38" s="4">
        <v>1068.8599999999999</v>
      </c>
      <c r="O38" s="6">
        <f t="shared" si="0"/>
        <v>1157</v>
      </c>
    </row>
    <row r="39" spans="1:15" x14ac:dyDescent="0.3">
      <c r="A39" s="6" t="s">
        <v>51</v>
      </c>
      <c r="B39" s="2">
        <v>45579</v>
      </c>
      <c r="C39" s="6" t="s">
        <v>1251</v>
      </c>
      <c r="D39" s="6" t="s">
        <v>2408</v>
      </c>
      <c r="E39" s="9">
        <v>2</v>
      </c>
      <c r="F39" s="4">
        <v>76.739999999999995</v>
      </c>
      <c r="G39" t="s">
        <v>2447</v>
      </c>
      <c r="H39" s="6" t="s">
        <v>3069</v>
      </c>
      <c r="I39" s="6" t="s">
        <v>3072</v>
      </c>
      <c r="J39" s="6" t="s">
        <v>3112</v>
      </c>
      <c r="K39" s="9">
        <v>7</v>
      </c>
      <c r="L39" s="6" t="s">
        <v>4275</v>
      </c>
      <c r="M39" s="6" t="s">
        <v>4278</v>
      </c>
      <c r="N39" s="4">
        <v>153.47999999999999</v>
      </c>
      <c r="O39" s="6">
        <f t="shared" si="0"/>
        <v>1156</v>
      </c>
    </row>
    <row r="40" spans="1:15" x14ac:dyDescent="0.3">
      <c r="A40" s="6" t="s">
        <v>52</v>
      </c>
      <c r="B40" s="2">
        <v>45645</v>
      </c>
      <c r="C40" s="6" t="s">
        <v>1252</v>
      </c>
      <c r="D40" s="6" t="s">
        <v>2408</v>
      </c>
      <c r="E40" s="9">
        <v>1</v>
      </c>
      <c r="F40" s="4">
        <v>245.89</v>
      </c>
      <c r="G40" t="s">
        <v>2448</v>
      </c>
      <c r="H40" s="6" t="s">
        <v>3065</v>
      </c>
      <c r="I40" s="6" t="s">
        <v>3073</v>
      </c>
      <c r="J40" s="6" t="s">
        <v>3113</v>
      </c>
      <c r="K40" s="9">
        <v>3</v>
      </c>
      <c r="L40" s="6" t="s">
        <v>4275</v>
      </c>
      <c r="M40" s="6" t="s">
        <v>4282</v>
      </c>
      <c r="N40" s="4">
        <v>245.89</v>
      </c>
      <c r="O40" s="6">
        <f t="shared" si="0"/>
        <v>1155</v>
      </c>
    </row>
    <row r="41" spans="1:15" x14ac:dyDescent="0.3">
      <c r="A41" s="6" t="s">
        <v>53</v>
      </c>
      <c r="B41" s="2">
        <v>45715</v>
      </c>
      <c r="C41" s="6" t="s">
        <v>1253</v>
      </c>
      <c r="D41" s="6" t="s">
        <v>2407</v>
      </c>
      <c r="E41" s="9">
        <v>3</v>
      </c>
      <c r="F41" s="4">
        <v>256.45999999999998</v>
      </c>
      <c r="G41" t="s">
        <v>2449</v>
      </c>
      <c r="H41" s="6" t="s">
        <v>3067</v>
      </c>
      <c r="I41" s="6" t="s">
        <v>3073</v>
      </c>
      <c r="J41" s="6" t="s">
        <v>3114</v>
      </c>
      <c r="K41" s="9">
        <v>4</v>
      </c>
      <c r="L41" s="6" t="s">
        <v>4275</v>
      </c>
      <c r="M41" s="6" t="s">
        <v>4279</v>
      </c>
      <c r="N41" s="4">
        <v>769.37999999999988</v>
      </c>
      <c r="O41" s="6">
        <f t="shared" si="0"/>
        <v>1154</v>
      </c>
    </row>
    <row r="42" spans="1:15" x14ac:dyDescent="0.3">
      <c r="A42" s="6" t="s">
        <v>54</v>
      </c>
      <c r="B42" s="2">
        <v>45158</v>
      </c>
      <c r="C42" s="6" t="s">
        <v>1254</v>
      </c>
      <c r="D42" s="6" t="s">
        <v>2409</v>
      </c>
      <c r="E42" s="9">
        <v>2</v>
      </c>
      <c r="F42" s="4">
        <v>344.02</v>
      </c>
      <c r="G42" t="s">
        <v>2450</v>
      </c>
      <c r="H42" s="6" t="s">
        <v>3066</v>
      </c>
      <c r="I42" s="6" t="s">
        <v>3073</v>
      </c>
      <c r="J42" s="6" t="s">
        <v>3115</v>
      </c>
      <c r="K42" s="9">
        <v>4</v>
      </c>
      <c r="L42" s="6" t="s">
        <v>4276</v>
      </c>
      <c r="M42" s="6" t="s">
        <v>4278</v>
      </c>
      <c r="N42" s="4">
        <v>688.04</v>
      </c>
      <c r="O42" s="6">
        <f t="shared" si="0"/>
        <v>1153</v>
      </c>
    </row>
    <row r="43" spans="1:15" x14ac:dyDescent="0.3">
      <c r="A43" s="6" t="s">
        <v>55</v>
      </c>
      <c r="B43" s="2">
        <v>45265</v>
      </c>
      <c r="C43" s="6" t="s">
        <v>1255</v>
      </c>
      <c r="D43" s="6" t="s">
        <v>2403</v>
      </c>
      <c r="E43" s="9">
        <v>3</v>
      </c>
      <c r="F43" s="4">
        <v>611.45000000000005</v>
      </c>
      <c r="G43" t="s">
        <v>2451</v>
      </c>
      <c r="H43" s="6" t="s">
        <v>3068</v>
      </c>
      <c r="I43" s="6" t="s">
        <v>3074</v>
      </c>
      <c r="J43" s="6" t="s">
        <v>3116</v>
      </c>
      <c r="K43" s="9">
        <v>4</v>
      </c>
      <c r="L43" s="6" t="s">
        <v>4276</v>
      </c>
      <c r="M43" s="6" t="s">
        <v>4278</v>
      </c>
      <c r="N43" s="4">
        <v>1834.35</v>
      </c>
      <c r="O43" s="6">
        <f t="shared" si="0"/>
        <v>1152</v>
      </c>
    </row>
    <row r="44" spans="1:15" x14ac:dyDescent="0.3">
      <c r="A44" s="6" t="s">
        <v>56</v>
      </c>
      <c r="B44" s="2">
        <v>45418</v>
      </c>
      <c r="C44" s="6" t="s">
        <v>1256</v>
      </c>
      <c r="D44" s="6" t="s">
        <v>2407</v>
      </c>
      <c r="E44" s="9">
        <v>2</v>
      </c>
      <c r="F44" s="4">
        <v>151.66</v>
      </c>
      <c r="G44" t="s">
        <v>2424</v>
      </c>
      <c r="H44" s="6" t="s">
        <v>3069</v>
      </c>
      <c r="I44" s="6" t="s">
        <v>3071</v>
      </c>
      <c r="J44" s="6" t="s">
        <v>3117</v>
      </c>
      <c r="K44" s="9">
        <v>6</v>
      </c>
      <c r="L44" s="6" t="s">
        <v>4283</v>
      </c>
      <c r="M44" s="6" t="s">
        <v>4278</v>
      </c>
      <c r="N44" s="4">
        <v>303.32</v>
      </c>
      <c r="O44" s="6">
        <f t="shared" si="0"/>
        <v>1151</v>
      </c>
    </row>
    <row r="45" spans="1:15" x14ac:dyDescent="0.3">
      <c r="A45" s="6" t="s">
        <v>57</v>
      </c>
      <c r="B45" s="2">
        <v>45274</v>
      </c>
      <c r="C45" s="6" t="s">
        <v>1257</v>
      </c>
      <c r="D45" s="6" t="s">
        <v>2406</v>
      </c>
      <c r="E45" s="9">
        <v>3</v>
      </c>
      <c r="F45" s="4">
        <v>499.21</v>
      </c>
      <c r="G45" t="s">
        <v>2452</v>
      </c>
      <c r="H45" s="6" t="s">
        <v>3066</v>
      </c>
      <c r="I45" s="6" t="s">
        <v>3071</v>
      </c>
      <c r="J45" s="6" t="s">
        <v>3118</v>
      </c>
      <c r="K45" s="9">
        <v>8</v>
      </c>
      <c r="L45" s="6" t="s">
        <v>4283</v>
      </c>
      <c r="M45" s="6" t="s">
        <v>4278</v>
      </c>
      <c r="N45" s="4">
        <v>1497.63</v>
      </c>
      <c r="O45" s="6">
        <f t="shared" si="0"/>
        <v>1150</v>
      </c>
    </row>
    <row r="46" spans="1:15" x14ac:dyDescent="0.3">
      <c r="A46" s="6" t="s">
        <v>58</v>
      </c>
      <c r="B46" s="2">
        <v>45768</v>
      </c>
      <c r="C46" s="6" t="s">
        <v>1258</v>
      </c>
      <c r="D46" s="6" t="s">
        <v>2404</v>
      </c>
      <c r="E46" s="9">
        <v>2</v>
      </c>
      <c r="F46" s="4">
        <v>550.17999999999995</v>
      </c>
      <c r="G46" t="s">
        <v>2441</v>
      </c>
      <c r="H46" s="6" t="s">
        <v>3068</v>
      </c>
      <c r="I46" s="6" t="s">
        <v>3072</v>
      </c>
      <c r="J46" s="6" t="s">
        <v>3119</v>
      </c>
      <c r="K46" s="9">
        <v>3</v>
      </c>
      <c r="L46" s="6" t="s">
        <v>4276</v>
      </c>
      <c r="M46" s="6" t="s">
        <v>4279</v>
      </c>
      <c r="N46" s="4">
        <v>1100.3599999999999</v>
      </c>
      <c r="O46" s="6">
        <f t="shared" si="0"/>
        <v>1149</v>
      </c>
    </row>
    <row r="47" spans="1:15" x14ac:dyDescent="0.3">
      <c r="A47" s="6" t="s">
        <v>59</v>
      </c>
      <c r="B47" s="2">
        <v>45332</v>
      </c>
      <c r="C47" s="6" t="s">
        <v>1259</v>
      </c>
      <c r="D47" s="6" t="s">
        <v>2406</v>
      </c>
      <c r="E47" s="9">
        <v>1</v>
      </c>
      <c r="F47" s="4">
        <v>317.25</v>
      </c>
      <c r="G47" t="s">
        <v>2453</v>
      </c>
      <c r="H47" s="6" t="s">
        <v>3065</v>
      </c>
      <c r="I47" s="6" t="s">
        <v>3072</v>
      </c>
      <c r="J47" s="6" t="s">
        <v>3120</v>
      </c>
      <c r="K47" s="9">
        <v>1</v>
      </c>
      <c r="L47" s="6" t="s">
        <v>4275</v>
      </c>
      <c r="M47" s="6" t="s">
        <v>4281</v>
      </c>
      <c r="N47" s="4">
        <v>317.25</v>
      </c>
      <c r="O47" s="6">
        <f t="shared" si="0"/>
        <v>1148</v>
      </c>
    </row>
    <row r="48" spans="1:15" x14ac:dyDescent="0.3">
      <c r="A48" s="6" t="s">
        <v>60</v>
      </c>
      <c r="B48" s="2">
        <v>45469</v>
      </c>
      <c r="C48" s="6" t="s">
        <v>1260</v>
      </c>
      <c r="D48" s="6" t="s">
        <v>2403</v>
      </c>
      <c r="E48" s="9">
        <v>4</v>
      </c>
      <c r="F48" s="4">
        <v>550.14</v>
      </c>
      <c r="G48" t="s">
        <v>2454</v>
      </c>
      <c r="H48" s="6" t="s">
        <v>3065</v>
      </c>
      <c r="I48" s="6" t="s">
        <v>3074</v>
      </c>
      <c r="J48" s="6" t="s">
        <v>3121</v>
      </c>
      <c r="K48" s="9">
        <v>4</v>
      </c>
      <c r="L48" s="6" t="s">
        <v>4276</v>
      </c>
      <c r="M48" s="6" t="s">
        <v>4278</v>
      </c>
      <c r="N48" s="4">
        <v>2200.56</v>
      </c>
      <c r="O48" s="6">
        <f t="shared" si="0"/>
        <v>1147</v>
      </c>
    </row>
    <row r="49" spans="1:15" x14ac:dyDescent="0.3">
      <c r="A49" s="6" t="s">
        <v>61</v>
      </c>
      <c r="B49" s="2">
        <v>45126</v>
      </c>
      <c r="C49" s="6" t="s">
        <v>1261</v>
      </c>
      <c r="D49" s="6" t="s">
        <v>2409</v>
      </c>
      <c r="E49" s="9">
        <v>2</v>
      </c>
      <c r="F49" s="4">
        <v>209.94</v>
      </c>
      <c r="G49" t="s">
        <v>2455</v>
      </c>
      <c r="H49" s="6" t="s">
        <v>3067</v>
      </c>
      <c r="I49" s="6" t="s">
        <v>3072</v>
      </c>
      <c r="J49" s="6" t="s">
        <v>3122</v>
      </c>
      <c r="K49" s="9">
        <v>3</v>
      </c>
      <c r="L49" s="6" t="s">
        <v>4276</v>
      </c>
      <c r="M49" s="6" t="s">
        <v>4280</v>
      </c>
      <c r="N49" s="4">
        <v>419.88</v>
      </c>
      <c r="O49" s="6">
        <f t="shared" si="0"/>
        <v>1146</v>
      </c>
    </row>
    <row r="50" spans="1:15" x14ac:dyDescent="0.3">
      <c r="A50" s="6" t="s">
        <v>62</v>
      </c>
      <c r="B50" s="2">
        <v>45164</v>
      </c>
      <c r="C50" s="6" t="s">
        <v>1262</v>
      </c>
      <c r="D50" s="6" t="s">
        <v>2403</v>
      </c>
      <c r="E50" s="9">
        <v>2</v>
      </c>
      <c r="F50" s="4">
        <v>80.77</v>
      </c>
      <c r="G50" t="s">
        <v>2456</v>
      </c>
      <c r="H50" s="6" t="s">
        <v>3065</v>
      </c>
      <c r="I50" s="6" t="s">
        <v>3070</v>
      </c>
      <c r="J50" s="6" t="s">
        <v>3123</v>
      </c>
      <c r="K50" s="9">
        <v>4</v>
      </c>
      <c r="L50" s="6" t="s">
        <v>4283</v>
      </c>
      <c r="M50" s="6" t="s">
        <v>4282</v>
      </c>
      <c r="N50" s="4">
        <v>161.54</v>
      </c>
      <c r="O50" s="6">
        <f t="shared" si="0"/>
        <v>1145</v>
      </c>
    </row>
    <row r="51" spans="1:15" x14ac:dyDescent="0.3">
      <c r="A51" s="6" t="s">
        <v>63</v>
      </c>
      <c r="B51" s="2">
        <v>45206</v>
      </c>
      <c r="C51" s="6" t="s">
        <v>1263</v>
      </c>
      <c r="D51" s="6" t="s">
        <v>2407</v>
      </c>
      <c r="E51" s="9">
        <v>1</v>
      </c>
      <c r="F51" s="4">
        <v>30.44</v>
      </c>
      <c r="G51" t="s">
        <v>2432</v>
      </c>
      <c r="H51" s="6" t="s">
        <v>3067</v>
      </c>
      <c r="I51" s="6" t="s">
        <v>3070</v>
      </c>
      <c r="J51" s="6" t="s">
        <v>3124</v>
      </c>
      <c r="K51" s="9">
        <v>1</v>
      </c>
      <c r="L51" s="6" t="s">
        <v>4275</v>
      </c>
      <c r="M51" s="6" t="s">
        <v>4280</v>
      </c>
      <c r="N51" s="4">
        <v>30.44</v>
      </c>
      <c r="O51" s="6">
        <f t="shared" si="0"/>
        <v>1144</v>
      </c>
    </row>
    <row r="52" spans="1:15" x14ac:dyDescent="0.3">
      <c r="A52" s="6" t="s">
        <v>64</v>
      </c>
      <c r="B52" s="2">
        <v>45138</v>
      </c>
      <c r="C52" s="6" t="s">
        <v>1264</v>
      </c>
      <c r="D52" s="6" t="s">
        <v>2405</v>
      </c>
      <c r="E52" s="9">
        <v>1</v>
      </c>
      <c r="F52" s="4">
        <v>179.22</v>
      </c>
      <c r="G52" t="s">
        <v>2457</v>
      </c>
      <c r="H52" s="6" t="s">
        <v>3066</v>
      </c>
      <c r="I52" s="6" t="s">
        <v>3071</v>
      </c>
      <c r="J52" s="6" t="s">
        <v>3125</v>
      </c>
      <c r="K52" s="9">
        <v>6</v>
      </c>
      <c r="L52" s="6" t="s">
        <v>4276</v>
      </c>
      <c r="M52" s="6" t="s">
        <v>4278</v>
      </c>
      <c r="N52" s="4">
        <v>179.22</v>
      </c>
      <c r="O52" s="6">
        <f t="shared" si="0"/>
        <v>1143</v>
      </c>
    </row>
    <row r="53" spans="1:15" x14ac:dyDescent="0.3">
      <c r="A53" s="6" t="s">
        <v>65</v>
      </c>
      <c r="B53" s="2">
        <v>45656</v>
      </c>
      <c r="C53" s="6" t="s">
        <v>1265</v>
      </c>
      <c r="D53" s="6" t="s">
        <v>2405</v>
      </c>
      <c r="E53" s="9">
        <v>1</v>
      </c>
      <c r="F53" s="4">
        <v>388.33</v>
      </c>
      <c r="G53" t="s">
        <v>2458</v>
      </c>
      <c r="H53" s="6" t="s">
        <v>3069</v>
      </c>
      <c r="I53" s="6" t="s">
        <v>3072</v>
      </c>
      <c r="J53" s="6" t="s">
        <v>3126</v>
      </c>
      <c r="K53" s="9">
        <v>2</v>
      </c>
      <c r="L53" s="6" t="s">
        <v>4275</v>
      </c>
      <c r="M53" s="6" t="s">
        <v>4281</v>
      </c>
      <c r="N53" s="4">
        <v>388.33</v>
      </c>
      <c r="O53" s="6">
        <f t="shared" si="0"/>
        <v>1142</v>
      </c>
    </row>
    <row r="54" spans="1:15" x14ac:dyDescent="0.3">
      <c r="A54" s="6" t="s">
        <v>66</v>
      </c>
      <c r="B54" s="2">
        <v>45543</v>
      </c>
      <c r="C54" s="6" t="s">
        <v>1266</v>
      </c>
      <c r="D54" s="6" t="s">
        <v>2405</v>
      </c>
      <c r="E54" s="9">
        <v>1</v>
      </c>
      <c r="F54" s="4">
        <v>586.44000000000005</v>
      </c>
      <c r="G54" t="s">
        <v>2459</v>
      </c>
      <c r="H54" s="6" t="s">
        <v>3066</v>
      </c>
      <c r="I54" s="6" t="s">
        <v>3072</v>
      </c>
      <c r="J54" s="6" t="s">
        <v>3127</v>
      </c>
      <c r="K54" s="9">
        <v>5</v>
      </c>
      <c r="L54" s="6" t="s">
        <v>4275</v>
      </c>
      <c r="M54" s="6" t="s">
        <v>4281</v>
      </c>
      <c r="N54" s="4">
        <v>586.44000000000005</v>
      </c>
      <c r="O54" s="6">
        <f t="shared" si="0"/>
        <v>1141</v>
      </c>
    </row>
    <row r="55" spans="1:15" x14ac:dyDescent="0.3">
      <c r="A55" s="6" t="s">
        <v>67</v>
      </c>
      <c r="B55" s="2">
        <v>45430</v>
      </c>
      <c r="C55" s="6" t="s">
        <v>1267</v>
      </c>
      <c r="D55" s="6" t="s">
        <v>2404</v>
      </c>
      <c r="E55" s="9">
        <v>4</v>
      </c>
      <c r="F55" s="4">
        <v>488.78</v>
      </c>
      <c r="G55" t="s">
        <v>2412</v>
      </c>
      <c r="H55" s="6" t="s">
        <v>3066</v>
      </c>
      <c r="I55" s="6" t="s">
        <v>3072</v>
      </c>
      <c r="J55" s="6" t="s">
        <v>3128</v>
      </c>
      <c r="K55" s="9">
        <v>5</v>
      </c>
      <c r="L55" s="6" t="s">
        <v>4276</v>
      </c>
      <c r="M55" s="6" t="s">
        <v>4282</v>
      </c>
      <c r="N55" s="4">
        <v>1955.12</v>
      </c>
      <c r="O55" s="6">
        <f t="shared" si="0"/>
        <v>1140</v>
      </c>
    </row>
    <row r="56" spans="1:15" x14ac:dyDescent="0.3">
      <c r="A56" s="6" t="s">
        <v>68</v>
      </c>
      <c r="B56" s="2">
        <v>45743</v>
      </c>
      <c r="C56" s="6" t="s">
        <v>1268</v>
      </c>
      <c r="D56" s="6" t="s">
        <v>2406</v>
      </c>
      <c r="E56" s="9">
        <v>1</v>
      </c>
      <c r="F56" s="4">
        <v>280.25</v>
      </c>
      <c r="G56" t="s">
        <v>2460</v>
      </c>
      <c r="H56" s="6" t="s">
        <v>3066</v>
      </c>
      <c r="I56" s="6" t="s">
        <v>3074</v>
      </c>
      <c r="J56" s="6" t="s">
        <v>3129</v>
      </c>
      <c r="K56" s="9">
        <v>5</v>
      </c>
      <c r="L56" s="6" t="s">
        <v>4277</v>
      </c>
      <c r="M56" s="6" t="s">
        <v>4280</v>
      </c>
      <c r="N56" s="4">
        <v>280.25</v>
      </c>
      <c r="O56" s="6">
        <f t="shared" si="0"/>
        <v>1139</v>
      </c>
    </row>
    <row r="57" spans="1:15" x14ac:dyDescent="0.3">
      <c r="A57" s="6" t="s">
        <v>69</v>
      </c>
      <c r="B57" s="2">
        <v>45832</v>
      </c>
      <c r="C57" s="6" t="s">
        <v>1269</v>
      </c>
      <c r="D57" s="6" t="s">
        <v>2407</v>
      </c>
      <c r="E57" s="9">
        <v>3</v>
      </c>
      <c r="F57" s="4">
        <v>344.4</v>
      </c>
      <c r="G57" t="s">
        <v>2461</v>
      </c>
      <c r="H57" s="6" t="s">
        <v>3066</v>
      </c>
      <c r="I57" s="6" t="s">
        <v>3071</v>
      </c>
      <c r="J57" s="6" t="s">
        <v>3130</v>
      </c>
      <c r="K57" s="9">
        <v>3</v>
      </c>
      <c r="L57" s="6" t="s">
        <v>4283</v>
      </c>
      <c r="M57" s="6" t="s">
        <v>4281</v>
      </c>
      <c r="N57" s="4">
        <v>1033.2</v>
      </c>
      <c r="O57" s="6">
        <f t="shared" si="0"/>
        <v>1138</v>
      </c>
    </row>
    <row r="58" spans="1:15" x14ac:dyDescent="0.3">
      <c r="A58" s="6" t="s">
        <v>70</v>
      </c>
      <c r="B58" s="2">
        <v>45067</v>
      </c>
      <c r="C58" s="6" t="s">
        <v>1270</v>
      </c>
      <c r="D58" s="6" t="s">
        <v>2405</v>
      </c>
      <c r="E58" s="9">
        <v>3</v>
      </c>
      <c r="F58" s="4">
        <v>479.21</v>
      </c>
      <c r="G58" t="s">
        <v>2462</v>
      </c>
      <c r="H58" s="6" t="s">
        <v>3069</v>
      </c>
      <c r="I58" s="6" t="s">
        <v>3071</v>
      </c>
      <c r="J58" s="6" t="s">
        <v>3131</v>
      </c>
      <c r="K58" s="9">
        <v>5</v>
      </c>
      <c r="L58" s="6" t="s">
        <v>4277</v>
      </c>
      <c r="M58" s="6" t="s">
        <v>4279</v>
      </c>
      <c r="N58" s="4">
        <v>1437.63</v>
      </c>
      <c r="O58" s="6">
        <f t="shared" si="0"/>
        <v>1137</v>
      </c>
    </row>
    <row r="59" spans="1:15" x14ac:dyDescent="0.3">
      <c r="A59" s="6" t="s">
        <v>71</v>
      </c>
      <c r="B59" s="2">
        <v>44948</v>
      </c>
      <c r="C59" s="6" t="s">
        <v>1271</v>
      </c>
      <c r="D59" s="6" t="s">
        <v>2407</v>
      </c>
      <c r="E59" s="9">
        <v>5</v>
      </c>
      <c r="F59" s="4">
        <v>314.27</v>
      </c>
      <c r="G59" t="s">
        <v>2463</v>
      </c>
      <c r="H59" s="6" t="s">
        <v>3069</v>
      </c>
      <c r="I59" s="6" t="s">
        <v>3072</v>
      </c>
      <c r="J59" s="6" t="s">
        <v>3132</v>
      </c>
      <c r="K59" s="9">
        <v>6</v>
      </c>
      <c r="L59" s="6" t="s">
        <v>4275</v>
      </c>
      <c r="M59" s="6" t="s">
        <v>4278</v>
      </c>
      <c r="N59" s="4">
        <v>1571.35</v>
      </c>
      <c r="O59" s="6">
        <f t="shared" si="0"/>
        <v>1136</v>
      </c>
    </row>
    <row r="60" spans="1:15" x14ac:dyDescent="0.3">
      <c r="A60" s="6" t="s">
        <v>72</v>
      </c>
      <c r="B60" s="2">
        <v>44941</v>
      </c>
      <c r="C60" s="6" t="s">
        <v>1272</v>
      </c>
      <c r="D60" s="6" t="s">
        <v>2404</v>
      </c>
      <c r="E60" s="9">
        <v>4</v>
      </c>
      <c r="F60" s="4">
        <v>474.69</v>
      </c>
      <c r="G60" t="s">
        <v>2464</v>
      </c>
      <c r="H60" s="6" t="s">
        <v>3068</v>
      </c>
      <c r="I60" s="6" t="s">
        <v>3071</v>
      </c>
      <c r="J60" s="6" t="s">
        <v>3133</v>
      </c>
      <c r="K60" s="9">
        <v>6</v>
      </c>
      <c r="L60" s="6" t="s">
        <v>4275</v>
      </c>
      <c r="M60" s="6" t="s">
        <v>4282</v>
      </c>
      <c r="N60" s="4">
        <v>1898.76</v>
      </c>
      <c r="O60" s="6">
        <f t="shared" si="0"/>
        <v>1135</v>
      </c>
    </row>
    <row r="61" spans="1:15" x14ac:dyDescent="0.3">
      <c r="A61" s="6" t="s">
        <v>73</v>
      </c>
      <c r="B61" s="2">
        <v>45546</v>
      </c>
      <c r="C61" s="6" t="s">
        <v>1273</v>
      </c>
      <c r="D61" s="6" t="s">
        <v>2406</v>
      </c>
      <c r="E61" s="9">
        <v>4</v>
      </c>
      <c r="F61" s="4">
        <v>593.27</v>
      </c>
      <c r="G61" t="s">
        <v>2465</v>
      </c>
      <c r="H61" s="6" t="s">
        <v>3066</v>
      </c>
      <c r="I61" s="6" t="s">
        <v>3070</v>
      </c>
      <c r="J61" s="6" t="s">
        <v>3134</v>
      </c>
      <c r="K61" s="9">
        <v>5</v>
      </c>
      <c r="L61" s="6" t="s">
        <v>4283</v>
      </c>
      <c r="M61" s="6" t="s">
        <v>4281</v>
      </c>
      <c r="N61" s="4">
        <v>2373.08</v>
      </c>
      <c r="O61" s="6">
        <f t="shared" si="0"/>
        <v>1134</v>
      </c>
    </row>
    <row r="62" spans="1:15" x14ac:dyDescent="0.3">
      <c r="A62" s="6" t="s">
        <v>74</v>
      </c>
      <c r="B62" s="2">
        <v>45525</v>
      </c>
      <c r="C62" s="6" t="s">
        <v>1274</v>
      </c>
      <c r="D62" s="6" t="s">
        <v>2409</v>
      </c>
      <c r="E62" s="9">
        <v>1</v>
      </c>
      <c r="F62" s="4">
        <v>417.1</v>
      </c>
      <c r="G62" t="s">
        <v>2466</v>
      </c>
      <c r="H62" s="6" t="s">
        <v>3065</v>
      </c>
      <c r="I62" s="6" t="s">
        <v>3072</v>
      </c>
      <c r="J62" s="6" t="s">
        <v>3135</v>
      </c>
      <c r="K62" s="9">
        <v>3</v>
      </c>
      <c r="L62" s="6" t="s">
        <v>4276</v>
      </c>
      <c r="M62" s="6" t="s">
        <v>4279</v>
      </c>
      <c r="N62" s="4">
        <v>417.1</v>
      </c>
      <c r="O62" s="6">
        <f t="shared" si="0"/>
        <v>1133</v>
      </c>
    </row>
    <row r="63" spans="1:15" x14ac:dyDescent="0.3">
      <c r="A63" s="6" t="s">
        <v>75</v>
      </c>
      <c r="B63" s="2">
        <v>45375</v>
      </c>
      <c r="C63" s="6" t="s">
        <v>1275</v>
      </c>
      <c r="D63" s="6" t="s">
        <v>2409</v>
      </c>
      <c r="E63" s="9">
        <v>4</v>
      </c>
      <c r="F63" s="4">
        <v>122.2</v>
      </c>
      <c r="G63" t="s">
        <v>2467</v>
      </c>
      <c r="H63" s="6" t="s">
        <v>3069</v>
      </c>
      <c r="I63" s="6" t="s">
        <v>3073</v>
      </c>
      <c r="J63" s="6" t="s">
        <v>3136</v>
      </c>
      <c r="K63" s="9">
        <v>7</v>
      </c>
      <c r="L63" s="6" t="s">
        <v>4276</v>
      </c>
      <c r="M63" s="6" t="s">
        <v>4281</v>
      </c>
      <c r="N63" s="4">
        <v>488.8</v>
      </c>
      <c r="O63" s="6">
        <f t="shared" si="0"/>
        <v>1132</v>
      </c>
    </row>
    <row r="64" spans="1:15" x14ac:dyDescent="0.3">
      <c r="A64" s="6" t="s">
        <v>76</v>
      </c>
      <c r="B64" s="2">
        <v>45160</v>
      </c>
      <c r="C64" s="6" t="s">
        <v>1276</v>
      </c>
      <c r="D64" s="6" t="s">
        <v>2409</v>
      </c>
      <c r="E64" s="9">
        <v>2</v>
      </c>
      <c r="F64" s="4">
        <v>43.15</v>
      </c>
      <c r="G64" t="s">
        <v>2468</v>
      </c>
      <c r="H64" s="6" t="s">
        <v>3065</v>
      </c>
      <c r="I64" s="6" t="s">
        <v>3074</v>
      </c>
      <c r="J64" s="6" t="s">
        <v>3137</v>
      </c>
      <c r="K64" s="9">
        <v>3</v>
      </c>
      <c r="L64" s="6" t="s">
        <v>4277</v>
      </c>
      <c r="M64" s="6" t="s">
        <v>4280</v>
      </c>
      <c r="N64" s="4">
        <v>86.3</v>
      </c>
      <c r="O64" s="6">
        <f t="shared" si="0"/>
        <v>1131</v>
      </c>
    </row>
    <row r="65" spans="1:15" x14ac:dyDescent="0.3">
      <c r="A65" s="6" t="s">
        <v>77</v>
      </c>
      <c r="B65" s="2">
        <v>45690</v>
      </c>
      <c r="C65" s="6" t="s">
        <v>1277</v>
      </c>
      <c r="D65" s="6" t="s">
        <v>2406</v>
      </c>
      <c r="E65" s="9">
        <v>1</v>
      </c>
      <c r="F65" s="4">
        <v>564.86</v>
      </c>
      <c r="G65" t="s">
        <v>2469</v>
      </c>
      <c r="H65" s="6" t="s">
        <v>3065</v>
      </c>
      <c r="I65" s="6" t="s">
        <v>3070</v>
      </c>
      <c r="J65" s="6" t="s">
        <v>3138</v>
      </c>
      <c r="K65" s="9">
        <v>6</v>
      </c>
      <c r="L65" s="6" t="s">
        <v>4277</v>
      </c>
      <c r="M65" s="6" t="s">
        <v>4279</v>
      </c>
      <c r="N65" s="4">
        <v>564.86</v>
      </c>
      <c r="O65" s="6">
        <f t="shared" si="0"/>
        <v>1130</v>
      </c>
    </row>
    <row r="66" spans="1:15" x14ac:dyDescent="0.3">
      <c r="A66" s="6" t="s">
        <v>78</v>
      </c>
      <c r="B66" s="2">
        <v>45833</v>
      </c>
      <c r="C66" s="6" t="s">
        <v>1278</v>
      </c>
      <c r="D66" s="6" t="s">
        <v>2407</v>
      </c>
      <c r="E66" s="9">
        <v>3</v>
      </c>
      <c r="F66" s="4">
        <v>130.61000000000001</v>
      </c>
      <c r="G66" t="s">
        <v>2470</v>
      </c>
      <c r="H66" s="6" t="s">
        <v>3065</v>
      </c>
      <c r="I66" s="6" t="s">
        <v>3071</v>
      </c>
      <c r="J66" s="6" t="s">
        <v>3139</v>
      </c>
      <c r="K66" s="9">
        <v>4</v>
      </c>
      <c r="L66" s="6" t="s">
        <v>4276</v>
      </c>
      <c r="M66" s="6" t="s">
        <v>4281</v>
      </c>
      <c r="N66" s="4">
        <v>391.83</v>
      </c>
      <c r="O66" s="6">
        <f t="shared" ref="O66:O129" si="1">COUNTA(_xlfn.UNIQUE(C65:C1264))</f>
        <v>1129</v>
      </c>
    </row>
    <row r="67" spans="1:15" x14ac:dyDescent="0.3">
      <c r="A67" s="6" t="s">
        <v>79</v>
      </c>
      <c r="B67" s="2">
        <v>45290</v>
      </c>
      <c r="C67" s="6" t="s">
        <v>1279</v>
      </c>
      <c r="D67" s="6" t="s">
        <v>2403</v>
      </c>
      <c r="E67" s="9">
        <v>5</v>
      </c>
      <c r="F67" s="4">
        <v>81.7</v>
      </c>
      <c r="G67" t="s">
        <v>2471</v>
      </c>
      <c r="H67" s="6" t="s">
        <v>3067</v>
      </c>
      <c r="I67" s="6" t="s">
        <v>3073</v>
      </c>
      <c r="J67" s="6" t="s">
        <v>3140</v>
      </c>
      <c r="K67" s="9">
        <v>6</v>
      </c>
      <c r="L67" s="6" t="s">
        <v>4283</v>
      </c>
      <c r="M67" s="6" t="s">
        <v>4278</v>
      </c>
      <c r="N67" s="4">
        <v>408.5</v>
      </c>
      <c r="O67" s="6">
        <f t="shared" si="1"/>
        <v>1128</v>
      </c>
    </row>
    <row r="68" spans="1:15" x14ac:dyDescent="0.3">
      <c r="A68" s="6" t="s">
        <v>80</v>
      </c>
      <c r="B68" s="2">
        <v>45611</v>
      </c>
      <c r="C68" s="6" t="s">
        <v>1280</v>
      </c>
      <c r="D68" s="6" t="s">
        <v>2406</v>
      </c>
      <c r="E68" s="9">
        <v>5</v>
      </c>
      <c r="F68" s="4">
        <v>127.18</v>
      </c>
      <c r="G68" t="s">
        <v>2472</v>
      </c>
      <c r="H68" s="6" t="s">
        <v>3069</v>
      </c>
      <c r="I68" s="6" t="s">
        <v>3071</v>
      </c>
      <c r="J68" s="6" t="s">
        <v>3141</v>
      </c>
      <c r="K68" s="9">
        <v>9</v>
      </c>
      <c r="L68" s="6" t="s">
        <v>4275</v>
      </c>
      <c r="M68" s="6" t="s">
        <v>4279</v>
      </c>
      <c r="N68" s="4">
        <v>635.90000000000009</v>
      </c>
      <c r="O68" s="6">
        <f t="shared" si="1"/>
        <v>1127</v>
      </c>
    </row>
    <row r="69" spans="1:15" x14ac:dyDescent="0.3">
      <c r="A69" s="6" t="s">
        <v>81</v>
      </c>
      <c r="B69" s="2">
        <v>45635</v>
      </c>
      <c r="C69" s="6" t="s">
        <v>1281</v>
      </c>
      <c r="D69" s="6" t="s">
        <v>2407</v>
      </c>
      <c r="E69" s="9">
        <v>4</v>
      </c>
      <c r="F69" s="4">
        <v>12.1</v>
      </c>
      <c r="G69" t="s">
        <v>2473</v>
      </c>
      <c r="H69" s="6" t="s">
        <v>3065</v>
      </c>
      <c r="I69" s="6" t="s">
        <v>3071</v>
      </c>
      <c r="J69" s="6" t="s">
        <v>3142</v>
      </c>
      <c r="K69" s="9">
        <v>8</v>
      </c>
      <c r="L69" s="6" t="s">
        <v>4283</v>
      </c>
      <c r="M69" s="6" t="s">
        <v>4282</v>
      </c>
      <c r="N69" s="4">
        <v>48.4</v>
      </c>
      <c r="O69" s="6">
        <f t="shared" si="1"/>
        <v>1126</v>
      </c>
    </row>
    <row r="70" spans="1:15" x14ac:dyDescent="0.3">
      <c r="A70" s="6" t="s">
        <v>82</v>
      </c>
      <c r="B70" s="2">
        <v>45271</v>
      </c>
      <c r="C70" s="6" t="s">
        <v>1282</v>
      </c>
      <c r="D70" s="6" t="s">
        <v>2406</v>
      </c>
      <c r="E70" s="9">
        <v>3</v>
      </c>
      <c r="F70" s="4">
        <v>490.92</v>
      </c>
      <c r="G70" t="s">
        <v>2435</v>
      </c>
      <c r="H70" s="6" t="s">
        <v>3067</v>
      </c>
      <c r="I70" s="6" t="s">
        <v>3074</v>
      </c>
      <c r="J70" s="6" t="s">
        <v>3143</v>
      </c>
      <c r="K70" s="9">
        <v>5</v>
      </c>
      <c r="L70" s="6" t="s">
        <v>4276</v>
      </c>
      <c r="M70" s="6" t="s">
        <v>4280</v>
      </c>
      <c r="N70" s="4">
        <v>1472.76</v>
      </c>
      <c r="O70" s="6">
        <f t="shared" si="1"/>
        <v>1125</v>
      </c>
    </row>
    <row r="71" spans="1:15" x14ac:dyDescent="0.3">
      <c r="A71" s="6" t="s">
        <v>83</v>
      </c>
      <c r="B71" s="2">
        <v>45057</v>
      </c>
      <c r="C71" s="6" t="s">
        <v>1283</v>
      </c>
      <c r="D71" s="6" t="s">
        <v>2403</v>
      </c>
      <c r="E71" s="9">
        <v>3</v>
      </c>
      <c r="F71" s="4">
        <v>478.65</v>
      </c>
      <c r="G71" t="s">
        <v>2474</v>
      </c>
      <c r="H71" s="6" t="s">
        <v>3066</v>
      </c>
      <c r="I71" s="6" t="s">
        <v>3070</v>
      </c>
      <c r="J71" s="6" t="s">
        <v>3144</v>
      </c>
      <c r="K71" s="9">
        <v>4</v>
      </c>
      <c r="L71" s="6" t="s">
        <v>4283</v>
      </c>
      <c r="M71" s="6" t="s">
        <v>4279</v>
      </c>
      <c r="N71" s="4">
        <v>1435.95</v>
      </c>
      <c r="O71" s="6">
        <f t="shared" si="1"/>
        <v>1124</v>
      </c>
    </row>
    <row r="72" spans="1:15" x14ac:dyDescent="0.3">
      <c r="A72" s="6" t="s">
        <v>84</v>
      </c>
      <c r="B72" s="2">
        <v>45072</v>
      </c>
      <c r="C72" s="6" t="s">
        <v>1284</v>
      </c>
      <c r="D72" s="6" t="s">
        <v>2409</v>
      </c>
      <c r="E72" s="9">
        <v>1</v>
      </c>
      <c r="F72" s="4">
        <v>629.21</v>
      </c>
      <c r="G72" t="s">
        <v>2475</v>
      </c>
      <c r="H72" s="6" t="s">
        <v>3068</v>
      </c>
      <c r="I72" s="6" t="s">
        <v>3074</v>
      </c>
      <c r="J72" s="6" t="s">
        <v>3145</v>
      </c>
      <c r="K72" s="9">
        <v>2</v>
      </c>
      <c r="L72" s="6" t="s">
        <v>4276</v>
      </c>
      <c r="M72" s="6" t="s">
        <v>4278</v>
      </c>
      <c r="N72" s="4">
        <v>629.21</v>
      </c>
      <c r="O72" s="6">
        <f t="shared" si="1"/>
        <v>1123</v>
      </c>
    </row>
    <row r="73" spans="1:15" x14ac:dyDescent="0.3">
      <c r="A73" s="6" t="s">
        <v>85</v>
      </c>
      <c r="B73" s="2">
        <v>45818</v>
      </c>
      <c r="C73" s="6" t="s">
        <v>1285</v>
      </c>
      <c r="D73" s="6" t="s">
        <v>2403</v>
      </c>
      <c r="E73" s="9">
        <v>3</v>
      </c>
      <c r="F73" s="4">
        <v>434.45</v>
      </c>
      <c r="G73" t="s">
        <v>2476</v>
      </c>
      <c r="H73" s="6" t="s">
        <v>3067</v>
      </c>
      <c r="I73" s="6" t="s">
        <v>3074</v>
      </c>
      <c r="J73" s="6" t="s">
        <v>3146</v>
      </c>
      <c r="K73" s="9">
        <v>4</v>
      </c>
      <c r="L73" s="6" t="s">
        <v>4283</v>
      </c>
      <c r="M73" s="6" t="s">
        <v>4279</v>
      </c>
      <c r="N73" s="4">
        <v>1303.3499999999999</v>
      </c>
      <c r="O73" s="6">
        <f t="shared" si="1"/>
        <v>1122</v>
      </c>
    </row>
    <row r="74" spans="1:15" x14ac:dyDescent="0.3">
      <c r="A74" s="6" t="s">
        <v>86</v>
      </c>
      <c r="B74" s="2">
        <v>45648</v>
      </c>
      <c r="C74" s="6" t="s">
        <v>1286</v>
      </c>
      <c r="D74" s="6" t="s">
        <v>2405</v>
      </c>
      <c r="E74" s="9">
        <v>4</v>
      </c>
      <c r="F74" s="4">
        <v>589.44000000000005</v>
      </c>
      <c r="G74" t="s">
        <v>2425</v>
      </c>
      <c r="H74" s="6" t="s">
        <v>3068</v>
      </c>
      <c r="I74" s="6" t="s">
        <v>3072</v>
      </c>
      <c r="J74" s="6" t="s">
        <v>3147</v>
      </c>
      <c r="K74" s="9">
        <v>5</v>
      </c>
      <c r="L74" s="6" t="s">
        <v>4283</v>
      </c>
      <c r="M74" s="6" t="s">
        <v>4281</v>
      </c>
      <c r="N74" s="4">
        <v>2357.7600000000002</v>
      </c>
      <c r="O74" s="6">
        <f t="shared" si="1"/>
        <v>1121</v>
      </c>
    </row>
    <row r="75" spans="1:15" x14ac:dyDescent="0.3">
      <c r="A75" s="6" t="s">
        <v>87</v>
      </c>
      <c r="B75" s="2">
        <v>45049</v>
      </c>
      <c r="C75" s="6" t="s">
        <v>1287</v>
      </c>
      <c r="D75" s="6" t="s">
        <v>2403</v>
      </c>
      <c r="E75" s="9">
        <v>4</v>
      </c>
      <c r="F75" s="4">
        <v>433.45</v>
      </c>
      <c r="G75" t="s">
        <v>2477</v>
      </c>
      <c r="H75" s="6" t="s">
        <v>3068</v>
      </c>
      <c r="I75" s="6" t="s">
        <v>3071</v>
      </c>
      <c r="J75" s="6" t="s">
        <v>3148</v>
      </c>
      <c r="K75" s="9">
        <v>4</v>
      </c>
      <c r="L75" s="6" t="s">
        <v>4283</v>
      </c>
      <c r="M75" s="6" t="s">
        <v>4281</v>
      </c>
      <c r="N75" s="4">
        <v>1733.8</v>
      </c>
      <c r="O75" s="6">
        <f t="shared" si="1"/>
        <v>1120</v>
      </c>
    </row>
    <row r="76" spans="1:15" x14ac:dyDescent="0.3">
      <c r="A76" s="6" t="s">
        <v>88</v>
      </c>
      <c r="B76" s="2">
        <v>45101</v>
      </c>
      <c r="C76" s="6" t="s">
        <v>1288</v>
      </c>
      <c r="D76" s="6" t="s">
        <v>2404</v>
      </c>
      <c r="E76" s="9">
        <v>5</v>
      </c>
      <c r="F76" s="4">
        <v>90.87</v>
      </c>
      <c r="G76" t="s">
        <v>2478</v>
      </c>
      <c r="H76" s="6" t="s">
        <v>3069</v>
      </c>
      <c r="I76" s="6" t="s">
        <v>3074</v>
      </c>
      <c r="J76" s="6" t="s">
        <v>3149</v>
      </c>
      <c r="K76" s="9">
        <v>5</v>
      </c>
      <c r="L76" s="6" t="s">
        <v>4283</v>
      </c>
      <c r="M76" s="6" t="s">
        <v>4278</v>
      </c>
      <c r="N76" s="4">
        <v>454.35</v>
      </c>
      <c r="O76" s="6">
        <f t="shared" si="1"/>
        <v>1119</v>
      </c>
    </row>
    <row r="77" spans="1:15" x14ac:dyDescent="0.3">
      <c r="A77" s="6" t="s">
        <v>89</v>
      </c>
      <c r="B77" s="2">
        <v>45195</v>
      </c>
      <c r="C77" s="6" t="s">
        <v>1289</v>
      </c>
      <c r="D77" s="6" t="s">
        <v>2405</v>
      </c>
      <c r="E77" s="9">
        <v>3</v>
      </c>
      <c r="F77" s="4">
        <v>398.17</v>
      </c>
      <c r="G77" t="s">
        <v>2479</v>
      </c>
      <c r="H77" s="6" t="s">
        <v>3065</v>
      </c>
      <c r="I77" s="6" t="s">
        <v>3073</v>
      </c>
      <c r="J77" s="6" t="s">
        <v>3150</v>
      </c>
      <c r="K77" s="9">
        <v>5</v>
      </c>
      <c r="L77" s="6" t="s">
        <v>4275</v>
      </c>
      <c r="M77" s="6" t="s">
        <v>4280</v>
      </c>
      <c r="N77" s="4">
        <v>1194.51</v>
      </c>
      <c r="O77" s="6">
        <f t="shared" si="1"/>
        <v>1118</v>
      </c>
    </row>
    <row r="78" spans="1:15" x14ac:dyDescent="0.3">
      <c r="A78" s="6" t="s">
        <v>90</v>
      </c>
      <c r="B78" s="2">
        <v>45382</v>
      </c>
      <c r="C78" s="6" t="s">
        <v>1290</v>
      </c>
      <c r="D78" s="6" t="s">
        <v>2408</v>
      </c>
      <c r="E78" s="9">
        <v>4</v>
      </c>
      <c r="F78" s="4">
        <v>382.88</v>
      </c>
      <c r="G78" t="s">
        <v>2480</v>
      </c>
      <c r="H78" s="6" t="s">
        <v>3069</v>
      </c>
      <c r="I78" s="6" t="s">
        <v>3071</v>
      </c>
      <c r="J78" s="6" t="s">
        <v>3151</v>
      </c>
      <c r="K78" s="9">
        <v>6</v>
      </c>
      <c r="L78" s="6" t="s">
        <v>4277</v>
      </c>
      <c r="M78" s="6" t="s">
        <v>4280</v>
      </c>
      <c r="N78" s="4">
        <v>1531.52</v>
      </c>
      <c r="O78" s="6">
        <f t="shared" si="1"/>
        <v>1117</v>
      </c>
    </row>
    <row r="79" spans="1:15" x14ac:dyDescent="0.3">
      <c r="A79" s="6" t="s">
        <v>91</v>
      </c>
      <c r="B79" s="2">
        <v>45436</v>
      </c>
      <c r="C79" s="6" t="s">
        <v>1291</v>
      </c>
      <c r="D79" s="6" t="s">
        <v>2404</v>
      </c>
      <c r="E79" s="9">
        <v>1</v>
      </c>
      <c r="F79" s="4">
        <v>583.17999999999995</v>
      </c>
      <c r="G79" t="s">
        <v>2481</v>
      </c>
      <c r="H79" s="6" t="s">
        <v>3067</v>
      </c>
      <c r="I79" s="6" t="s">
        <v>3072</v>
      </c>
      <c r="J79" s="6" t="s">
        <v>3152</v>
      </c>
      <c r="K79" s="9">
        <v>5</v>
      </c>
      <c r="L79" s="6" t="s">
        <v>4283</v>
      </c>
      <c r="M79" s="6" t="s">
        <v>4282</v>
      </c>
      <c r="N79" s="4">
        <v>583.17999999999995</v>
      </c>
      <c r="O79" s="6">
        <f t="shared" si="1"/>
        <v>1116</v>
      </c>
    </row>
    <row r="80" spans="1:15" x14ac:dyDescent="0.3">
      <c r="A80" s="6" t="s">
        <v>92</v>
      </c>
      <c r="B80" s="2">
        <v>45510</v>
      </c>
      <c r="C80" s="6" t="s">
        <v>1292</v>
      </c>
      <c r="D80" s="6" t="s">
        <v>2407</v>
      </c>
      <c r="E80" s="9">
        <v>4</v>
      </c>
      <c r="F80" s="4">
        <v>175.36</v>
      </c>
      <c r="G80" t="s">
        <v>2482</v>
      </c>
      <c r="H80" s="6" t="s">
        <v>3065</v>
      </c>
      <c r="I80" s="6" t="s">
        <v>3073</v>
      </c>
      <c r="J80" s="6" t="s">
        <v>3153</v>
      </c>
      <c r="K80" s="9">
        <v>4</v>
      </c>
      <c r="L80" s="6" t="s">
        <v>4276</v>
      </c>
      <c r="M80" s="6" t="s">
        <v>4278</v>
      </c>
      <c r="N80" s="4">
        <v>701.44</v>
      </c>
      <c r="O80" s="6">
        <f t="shared" si="1"/>
        <v>1115</v>
      </c>
    </row>
    <row r="81" spans="1:15" x14ac:dyDescent="0.3">
      <c r="A81" s="6" t="s">
        <v>93</v>
      </c>
      <c r="B81" s="2">
        <v>45726</v>
      </c>
      <c r="C81" s="6" t="s">
        <v>1293</v>
      </c>
      <c r="D81" s="6" t="s">
        <v>2405</v>
      </c>
      <c r="E81" s="9">
        <v>2</v>
      </c>
      <c r="F81" s="4">
        <v>311.91000000000003</v>
      </c>
      <c r="G81" t="s">
        <v>2483</v>
      </c>
      <c r="H81" s="6" t="s">
        <v>3066</v>
      </c>
      <c r="I81" s="6" t="s">
        <v>3070</v>
      </c>
      <c r="J81" s="6" t="s">
        <v>3154</v>
      </c>
      <c r="K81" s="9">
        <v>2</v>
      </c>
      <c r="L81" s="6" t="s">
        <v>4283</v>
      </c>
      <c r="M81" s="6" t="s">
        <v>4281</v>
      </c>
      <c r="N81" s="4">
        <v>623.82000000000005</v>
      </c>
      <c r="O81" s="6">
        <f t="shared" si="1"/>
        <v>1114</v>
      </c>
    </row>
    <row r="82" spans="1:15" x14ac:dyDescent="0.3">
      <c r="A82" s="6" t="s">
        <v>94</v>
      </c>
      <c r="B82" s="2">
        <v>45104</v>
      </c>
      <c r="C82" s="6" t="s">
        <v>1294</v>
      </c>
      <c r="D82" s="6" t="s">
        <v>2404</v>
      </c>
      <c r="E82" s="9">
        <v>3</v>
      </c>
      <c r="F82" s="4">
        <v>589.55999999999995</v>
      </c>
      <c r="G82" t="s">
        <v>2484</v>
      </c>
      <c r="H82" s="6" t="s">
        <v>3066</v>
      </c>
      <c r="I82" s="6" t="s">
        <v>3072</v>
      </c>
      <c r="J82" s="6" t="s">
        <v>3155</v>
      </c>
      <c r="K82" s="9">
        <v>6</v>
      </c>
      <c r="L82" s="6" t="s">
        <v>4283</v>
      </c>
      <c r="M82" s="6" t="s">
        <v>4281</v>
      </c>
      <c r="N82" s="4">
        <v>1768.68</v>
      </c>
      <c r="O82" s="6">
        <f t="shared" si="1"/>
        <v>1113</v>
      </c>
    </row>
    <row r="83" spans="1:15" x14ac:dyDescent="0.3">
      <c r="A83" s="6" t="s">
        <v>95</v>
      </c>
      <c r="B83" s="2">
        <v>45085</v>
      </c>
      <c r="C83" s="6" t="s">
        <v>1295</v>
      </c>
      <c r="D83" s="6" t="s">
        <v>2403</v>
      </c>
      <c r="E83" s="9">
        <v>2</v>
      </c>
      <c r="F83" s="4">
        <v>394.3</v>
      </c>
      <c r="G83" t="s">
        <v>2485</v>
      </c>
      <c r="H83" s="6" t="s">
        <v>3069</v>
      </c>
      <c r="I83" s="6" t="s">
        <v>3070</v>
      </c>
      <c r="J83" s="6" t="s">
        <v>3156</v>
      </c>
      <c r="K83" s="9">
        <v>6</v>
      </c>
      <c r="L83" s="6" t="s">
        <v>4276</v>
      </c>
      <c r="M83" s="6" t="s">
        <v>4280</v>
      </c>
      <c r="N83" s="4">
        <v>788.6</v>
      </c>
      <c r="O83" s="6">
        <f t="shared" si="1"/>
        <v>1112</v>
      </c>
    </row>
    <row r="84" spans="1:15" x14ac:dyDescent="0.3">
      <c r="A84" s="6" t="s">
        <v>96</v>
      </c>
      <c r="B84" s="2">
        <v>45296</v>
      </c>
      <c r="C84" s="6" t="s">
        <v>1296</v>
      </c>
      <c r="D84" s="6" t="s">
        <v>2405</v>
      </c>
      <c r="E84" s="9">
        <v>4</v>
      </c>
      <c r="F84" s="4">
        <v>565.20000000000005</v>
      </c>
      <c r="G84" t="s">
        <v>2486</v>
      </c>
      <c r="H84" s="6" t="s">
        <v>3065</v>
      </c>
      <c r="I84" s="6" t="s">
        <v>3070</v>
      </c>
      <c r="J84" s="6" t="s">
        <v>3157</v>
      </c>
      <c r="K84" s="9">
        <v>9</v>
      </c>
      <c r="L84" s="6" t="s">
        <v>4275</v>
      </c>
      <c r="M84" s="6" t="s">
        <v>4282</v>
      </c>
      <c r="N84" s="4">
        <v>2260.8000000000002</v>
      </c>
      <c r="O84" s="6">
        <f t="shared" si="1"/>
        <v>1111</v>
      </c>
    </row>
    <row r="85" spans="1:15" x14ac:dyDescent="0.3">
      <c r="A85" s="6" t="s">
        <v>97</v>
      </c>
      <c r="B85" s="2">
        <v>45160</v>
      </c>
      <c r="C85" s="6" t="s">
        <v>1297</v>
      </c>
      <c r="D85" s="6" t="s">
        <v>2408</v>
      </c>
      <c r="E85" s="9">
        <v>4</v>
      </c>
      <c r="F85" s="4">
        <v>540.41</v>
      </c>
      <c r="G85" t="s">
        <v>2487</v>
      </c>
      <c r="H85" s="6" t="s">
        <v>3067</v>
      </c>
      <c r="I85" s="6" t="s">
        <v>3071</v>
      </c>
      <c r="J85" s="6" t="s">
        <v>3158</v>
      </c>
      <c r="K85" s="9">
        <v>6</v>
      </c>
      <c r="L85" s="6" t="s">
        <v>4283</v>
      </c>
      <c r="M85" s="6" t="s">
        <v>4279</v>
      </c>
      <c r="N85" s="4">
        <v>2161.64</v>
      </c>
      <c r="O85" s="6">
        <f t="shared" si="1"/>
        <v>1110</v>
      </c>
    </row>
    <row r="86" spans="1:15" x14ac:dyDescent="0.3">
      <c r="A86" s="6" t="s">
        <v>98</v>
      </c>
      <c r="B86" s="2">
        <v>45166</v>
      </c>
      <c r="C86" s="6" t="s">
        <v>1298</v>
      </c>
      <c r="D86" s="6" t="s">
        <v>2403</v>
      </c>
      <c r="E86" s="9">
        <v>2</v>
      </c>
      <c r="F86" s="4">
        <v>165.49</v>
      </c>
      <c r="G86" t="s">
        <v>2488</v>
      </c>
      <c r="H86" s="6" t="s">
        <v>3066</v>
      </c>
      <c r="I86" s="6" t="s">
        <v>3070</v>
      </c>
      <c r="J86" s="6" t="s">
        <v>3159</v>
      </c>
      <c r="K86" s="9">
        <v>4</v>
      </c>
      <c r="L86" s="6" t="s">
        <v>4277</v>
      </c>
      <c r="M86" s="6" t="s">
        <v>4278</v>
      </c>
      <c r="N86" s="4">
        <v>330.98</v>
      </c>
      <c r="O86" s="6">
        <f t="shared" si="1"/>
        <v>1109</v>
      </c>
    </row>
    <row r="87" spans="1:15" x14ac:dyDescent="0.3">
      <c r="A87" s="6" t="s">
        <v>99</v>
      </c>
      <c r="B87" s="2">
        <v>45544</v>
      </c>
      <c r="C87" s="6" t="s">
        <v>1299</v>
      </c>
      <c r="D87" s="6" t="s">
        <v>2405</v>
      </c>
      <c r="E87" s="9">
        <v>3</v>
      </c>
      <c r="F87" s="4">
        <v>146.72999999999999</v>
      </c>
      <c r="G87" t="s">
        <v>2489</v>
      </c>
      <c r="H87" s="6" t="s">
        <v>3069</v>
      </c>
      <c r="I87" s="6" t="s">
        <v>3073</v>
      </c>
      <c r="J87" s="6" t="s">
        <v>3160</v>
      </c>
      <c r="K87" s="9">
        <v>8</v>
      </c>
      <c r="L87" s="6" t="s">
        <v>4276</v>
      </c>
      <c r="M87" s="6" t="s">
        <v>4280</v>
      </c>
      <c r="N87" s="4">
        <v>440.18999999999988</v>
      </c>
      <c r="O87" s="6">
        <f t="shared" si="1"/>
        <v>1108</v>
      </c>
    </row>
    <row r="88" spans="1:15" x14ac:dyDescent="0.3">
      <c r="A88" s="6" t="s">
        <v>100</v>
      </c>
      <c r="B88" s="2">
        <v>45462</v>
      </c>
      <c r="C88" s="6" t="s">
        <v>1300</v>
      </c>
      <c r="D88" s="6" t="s">
        <v>2407</v>
      </c>
      <c r="E88" s="9">
        <v>5</v>
      </c>
      <c r="F88" s="4">
        <v>643.03</v>
      </c>
      <c r="G88" t="s">
        <v>2490</v>
      </c>
      <c r="H88" s="6" t="s">
        <v>3066</v>
      </c>
      <c r="I88" s="6" t="s">
        <v>3071</v>
      </c>
      <c r="J88" s="6" t="s">
        <v>3161</v>
      </c>
      <c r="K88" s="9">
        <v>5</v>
      </c>
      <c r="L88" s="6" t="s">
        <v>4276</v>
      </c>
      <c r="M88" s="6" t="s">
        <v>4279</v>
      </c>
      <c r="N88" s="4">
        <v>3215.15</v>
      </c>
      <c r="O88" s="6">
        <f t="shared" si="1"/>
        <v>1107</v>
      </c>
    </row>
    <row r="89" spans="1:15" x14ac:dyDescent="0.3">
      <c r="A89" s="6" t="s">
        <v>101</v>
      </c>
      <c r="B89" s="2">
        <v>45575</v>
      </c>
      <c r="C89" s="6" t="s">
        <v>1301</v>
      </c>
      <c r="D89" s="6" t="s">
        <v>2405</v>
      </c>
      <c r="E89" s="9">
        <v>3</v>
      </c>
      <c r="F89" s="4">
        <v>225.11</v>
      </c>
      <c r="G89" t="s">
        <v>2491</v>
      </c>
      <c r="H89" s="6" t="s">
        <v>3069</v>
      </c>
      <c r="I89" s="6" t="s">
        <v>3070</v>
      </c>
      <c r="J89" s="6" t="s">
        <v>3162</v>
      </c>
      <c r="K89" s="9">
        <v>4</v>
      </c>
      <c r="L89" s="6" t="s">
        <v>4275</v>
      </c>
      <c r="M89" s="6" t="s">
        <v>4281</v>
      </c>
      <c r="N89" s="4">
        <v>675.33</v>
      </c>
      <c r="O89" s="6">
        <f t="shared" si="1"/>
        <v>1106</v>
      </c>
    </row>
    <row r="90" spans="1:15" x14ac:dyDescent="0.3">
      <c r="A90" s="6" t="s">
        <v>102</v>
      </c>
      <c r="B90" s="2">
        <v>45813</v>
      </c>
      <c r="C90" s="6" t="s">
        <v>1302</v>
      </c>
      <c r="D90" s="6" t="s">
        <v>2409</v>
      </c>
      <c r="E90" s="9">
        <v>3</v>
      </c>
      <c r="F90" s="4">
        <v>114.81</v>
      </c>
      <c r="G90" t="s">
        <v>2492</v>
      </c>
      <c r="H90" s="6" t="s">
        <v>3068</v>
      </c>
      <c r="I90" s="6" t="s">
        <v>3071</v>
      </c>
      <c r="J90" s="6" t="s">
        <v>3163</v>
      </c>
      <c r="K90" s="9">
        <v>7</v>
      </c>
      <c r="L90" s="6" t="s">
        <v>4283</v>
      </c>
      <c r="M90" s="6" t="s">
        <v>4282</v>
      </c>
      <c r="N90" s="4">
        <v>344.43</v>
      </c>
      <c r="O90" s="6">
        <f t="shared" si="1"/>
        <v>1105</v>
      </c>
    </row>
    <row r="91" spans="1:15" x14ac:dyDescent="0.3">
      <c r="A91" s="6" t="s">
        <v>103</v>
      </c>
      <c r="B91" s="2">
        <v>45713</v>
      </c>
      <c r="C91" s="6" t="s">
        <v>1303</v>
      </c>
      <c r="D91" s="6" t="s">
        <v>2407</v>
      </c>
      <c r="E91" s="9">
        <v>5</v>
      </c>
      <c r="F91" s="4">
        <v>455.33</v>
      </c>
      <c r="G91" t="s">
        <v>2493</v>
      </c>
      <c r="H91" s="6" t="s">
        <v>3067</v>
      </c>
      <c r="I91" s="6" t="s">
        <v>3071</v>
      </c>
      <c r="J91" s="6" t="s">
        <v>3164</v>
      </c>
      <c r="K91" s="9">
        <v>8</v>
      </c>
      <c r="L91" s="6" t="s">
        <v>4276</v>
      </c>
      <c r="M91" s="6" t="s">
        <v>4282</v>
      </c>
      <c r="N91" s="4">
        <v>2276.65</v>
      </c>
      <c r="O91" s="6">
        <f t="shared" si="1"/>
        <v>1104</v>
      </c>
    </row>
    <row r="92" spans="1:15" x14ac:dyDescent="0.3">
      <c r="A92" s="6" t="s">
        <v>104</v>
      </c>
      <c r="B92" s="2">
        <v>45187</v>
      </c>
      <c r="C92" s="6" t="s">
        <v>1304</v>
      </c>
      <c r="D92" s="6" t="s">
        <v>2406</v>
      </c>
      <c r="E92" s="9">
        <v>4</v>
      </c>
      <c r="F92" s="4">
        <v>182.08</v>
      </c>
      <c r="G92" t="s">
        <v>2494</v>
      </c>
      <c r="H92" s="6" t="s">
        <v>3068</v>
      </c>
      <c r="I92" s="6" t="s">
        <v>3073</v>
      </c>
      <c r="J92" s="6" t="s">
        <v>3165</v>
      </c>
      <c r="K92" s="9">
        <v>4</v>
      </c>
      <c r="L92" s="6" t="s">
        <v>4275</v>
      </c>
      <c r="M92" s="6" t="s">
        <v>4280</v>
      </c>
      <c r="N92" s="4">
        <v>728.32</v>
      </c>
      <c r="O92" s="6">
        <f t="shared" si="1"/>
        <v>1103</v>
      </c>
    </row>
    <row r="93" spans="1:15" x14ac:dyDescent="0.3">
      <c r="A93" s="6" t="s">
        <v>105</v>
      </c>
      <c r="B93" s="2">
        <v>45000</v>
      </c>
      <c r="C93" s="6" t="s">
        <v>1305</v>
      </c>
      <c r="D93" s="6" t="s">
        <v>2408</v>
      </c>
      <c r="E93" s="9">
        <v>5</v>
      </c>
      <c r="F93" s="4">
        <v>492.75</v>
      </c>
      <c r="G93" t="s">
        <v>2495</v>
      </c>
      <c r="H93" s="6" t="s">
        <v>3069</v>
      </c>
      <c r="I93" s="6" t="s">
        <v>3070</v>
      </c>
      <c r="J93" s="6" t="s">
        <v>3166</v>
      </c>
      <c r="K93" s="9">
        <v>6</v>
      </c>
      <c r="L93" s="6" t="s">
        <v>4277</v>
      </c>
      <c r="M93" s="6" t="s">
        <v>4279</v>
      </c>
      <c r="N93" s="4">
        <v>2463.75</v>
      </c>
      <c r="O93" s="6">
        <f t="shared" si="1"/>
        <v>1102</v>
      </c>
    </row>
    <row r="94" spans="1:15" x14ac:dyDescent="0.3">
      <c r="A94" s="6" t="s">
        <v>106</v>
      </c>
      <c r="B94" s="2">
        <v>45453</v>
      </c>
      <c r="C94" s="6" t="s">
        <v>1306</v>
      </c>
      <c r="D94" s="6" t="s">
        <v>2407</v>
      </c>
      <c r="E94" s="9">
        <v>4</v>
      </c>
      <c r="F94" s="4">
        <v>48.61</v>
      </c>
      <c r="G94" t="s">
        <v>2496</v>
      </c>
      <c r="H94" s="6" t="s">
        <v>3066</v>
      </c>
      <c r="I94" s="6" t="s">
        <v>3070</v>
      </c>
      <c r="J94" s="6" t="s">
        <v>3167</v>
      </c>
      <c r="K94" s="9">
        <v>7</v>
      </c>
      <c r="L94" s="6" t="s">
        <v>4276</v>
      </c>
      <c r="M94" s="6" t="s">
        <v>4281</v>
      </c>
      <c r="N94" s="4">
        <v>194.44</v>
      </c>
      <c r="O94" s="6">
        <f t="shared" si="1"/>
        <v>1101</v>
      </c>
    </row>
    <row r="95" spans="1:15" x14ac:dyDescent="0.3">
      <c r="A95" s="6" t="s">
        <v>107</v>
      </c>
      <c r="B95" s="2">
        <v>44940</v>
      </c>
      <c r="C95" s="6" t="s">
        <v>1307</v>
      </c>
      <c r="D95" s="6" t="s">
        <v>2409</v>
      </c>
      <c r="E95" s="9">
        <v>4</v>
      </c>
      <c r="F95" s="4">
        <v>431.01</v>
      </c>
      <c r="G95" t="s">
        <v>2497</v>
      </c>
      <c r="H95" s="6" t="s">
        <v>3067</v>
      </c>
      <c r="I95" s="6" t="s">
        <v>3072</v>
      </c>
      <c r="J95" s="6" t="s">
        <v>3168</v>
      </c>
      <c r="K95" s="9">
        <v>7</v>
      </c>
      <c r="L95" s="6" t="s">
        <v>4283</v>
      </c>
      <c r="M95" s="6" t="s">
        <v>4279</v>
      </c>
      <c r="N95" s="4">
        <v>1724.04</v>
      </c>
      <c r="O95" s="6">
        <f t="shared" si="1"/>
        <v>1100</v>
      </c>
    </row>
    <row r="96" spans="1:15" x14ac:dyDescent="0.3">
      <c r="A96" s="6" t="s">
        <v>108</v>
      </c>
      <c r="B96" s="2">
        <v>44968</v>
      </c>
      <c r="C96" s="6" t="s">
        <v>1308</v>
      </c>
      <c r="D96" s="6" t="s">
        <v>2406</v>
      </c>
      <c r="E96" s="9">
        <v>1</v>
      </c>
      <c r="F96" s="4">
        <v>531.17999999999995</v>
      </c>
      <c r="G96" t="s">
        <v>2498</v>
      </c>
      <c r="H96" s="6" t="s">
        <v>3068</v>
      </c>
      <c r="I96" s="6" t="s">
        <v>3072</v>
      </c>
      <c r="J96" s="6" t="s">
        <v>3169</v>
      </c>
      <c r="K96" s="9">
        <v>6</v>
      </c>
      <c r="L96" s="6" t="s">
        <v>4277</v>
      </c>
      <c r="M96" s="6" t="s">
        <v>4278</v>
      </c>
      <c r="N96" s="4">
        <v>531.17999999999995</v>
      </c>
      <c r="O96" s="6">
        <f t="shared" si="1"/>
        <v>1099</v>
      </c>
    </row>
    <row r="97" spans="1:15" x14ac:dyDescent="0.3">
      <c r="A97" s="6" t="s">
        <v>109</v>
      </c>
      <c r="B97" s="2">
        <v>45009</v>
      </c>
      <c r="C97" s="6" t="s">
        <v>1309</v>
      </c>
      <c r="D97" s="6" t="s">
        <v>2407</v>
      </c>
      <c r="E97" s="9">
        <v>4</v>
      </c>
      <c r="F97" s="4">
        <v>117.51</v>
      </c>
      <c r="G97" t="s">
        <v>2499</v>
      </c>
      <c r="H97" s="6" t="s">
        <v>3065</v>
      </c>
      <c r="I97" s="6" t="s">
        <v>3072</v>
      </c>
      <c r="J97" s="6" t="s">
        <v>3170</v>
      </c>
      <c r="K97" s="9">
        <v>7</v>
      </c>
      <c r="L97" s="6" t="s">
        <v>4283</v>
      </c>
      <c r="M97" s="6" t="s">
        <v>4279</v>
      </c>
      <c r="N97" s="4">
        <v>470.04</v>
      </c>
      <c r="O97" s="6">
        <f t="shared" si="1"/>
        <v>1098</v>
      </c>
    </row>
    <row r="98" spans="1:15" x14ac:dyDescent="0.3">
      <c r="A98" s="6" t="s">
        <v>110</v>
      </c>
      <c r="B98" s="2">
        <v>45444</v>
      </c>
      <c r="C98" s="6" t="s">
        <v>1310</v>
      </c>
      <c r="D98" s="6" t="s">
        <v>2404</v>
      </c>
      <c r="E98" s="9">
        <v>2</v>
      </c>
      <c r="F98" s="4">
        <v>232.83</v>
      </c>
      <c r="G98" t="s">
        <v>2483</v>
      </c>
      <c r="H98" s="6" t="s">
        <v>3068</v>
      </c>
      <c r="I98" s="6" t="s">
        <v>3073</v>
      </c>
      <c r="J98" s="6" t="s">
        <v>3171</v>
      </c>
      <c r="K98" s="9">
        <v>7</v>
      </c>
      <c r="L98" s="6" t="s">
        <v>4283</v>
      </c>
      <c r="M98" s="6" t="s">
        <v>4278</v>
      </c>
      <c r="N98" s="4">
        <v>465.66</v>
      </c>
      <c r="O98" s="6">
        <f t="shared" si="1"/>
        <v>1097</v>
      </c>
    </row>
    <row r="99" spans="1:15" x14ac:dyDescent="0.3">
      <c r="A99" s="6" t="s">
        <v>111</v>
      </c>
      <c r="B99" s="2">
        <v>45678</v>
      </c>
      <c r="C99" s="6" t="s">
        <v>1311</v>
      </c>
      <c r="D99" s="6" t="s">
        <v>2405</v>
      </c>
      <c r="E99" s="9">
        <v>5</v>
      </c>
      <c r="F99" s="4">
        <v>619.52</v>
      </c>
      <c r="G99" t="s">
        <v>2500</v>
      </c>
      <c r="H99" s="6" t="s">
        <v>3065</v>
      </c>
      <c r="I99" s="6" t="s">
        <v>3074</v>
      </c>
      <c r="J99" s="6" t="s">
        <v>3172</v>
      </c>
      <c r="K99" s="9">
        <v>9</v>
      </c>
      <c r="L99" s="6" t="s">
        <v>4283</v>
      </c>
      <c r="M99" s="6" t="s">
        <v>4280</v>
      </c>
      <c r="N99" s="4">
        <v>3097.6</v>
      </c>
      <c r="O99" s="6">
        <f t="shared" si="1"/>
        <v>1096</v>
      </c>
    </row>
    <row r="100" spans="1:15" x14ac:dyDescent="0.3">
      <c r="A100" s="6" t="s">
        <v>112</v>
      </c>
      <c r="B100" s="2">
        <v>44940</v>
      </c>
      <c r="C100" s="6" t="s">
        <v>1312</v>
      </c>
      <c r="D100" s="6" t="s">
        <v>2407</v>
      </c>
      <c r="E100" s="9">
        <v>2</v>
      </c>
      <c r="F100" s="4">
        <v>228.54</v>
      </c>
      <c r="G100" t="s">
        <v>2501</v>
      </c>
      <c r="H100" s="6" t="s">
        <v>3065</v>
      </c>
      <c r="I100" s="6" t="s">
        <v>3074</v>
      </c>
      <c r="J100" s="6" t="s">
        <v>3173</v>
      </c>
      <c r="K100" s="9">
        <v>3</v>
      </c>
      <c r="L100" s="6" t="s">
        <v>4283</v>
      </c>
      <c r="M100" s="6" t="s">
        <v>4280</v>
      </c>
      <c r="N100" s="4">
        <v>457.08</v>
      </c>
      <c r="O100" s="6">
        <f t="shared" si="1"/>
        <v>1095</v>
      </c>
    </row>
    <row r="101" spans="1:15" x14ac:dyDescent="0.3">
      <c r="A101" s="6" t="s">
        <v>113</v>
      </c>
      <c r="B101" s="2">
        <v>45759</v>
      </c>
      <c r="C101" s="6" t="s">
        <v>1313</v>
      </c>
      <c r="D101" s="6" t="s">
        <v>2407</v>
      </c>
      <c r="E101" s="9">
        <v>1</v>
      </c>
      <c r="F101" s="4">
        <v>201.58</v>
      </c>
      <c r="G101" t="s">
        <v>2502</v>
      </c>
      <c r="H101" s="6" t="s">
        <v>3065</v>
      </c>
      <c r="I101" s="6" t="s">
        <v>3071</v>
      </c>
      <c r="J101" s="6" t="s">
        <v>3174</v>
      </c>
      <c r="K101" s="9">
        <v>2</v>
      </c>
      <c r="L101" s="6" t="s">
        <v>4277</v>
      </c>
      <c r="M101" s="6" t="s">
        <v>4280</v>
      </c>
      <c r="N101" s="4">
        <v>201.58</v>
      </c>
      <c r="O101" s="6">
        <f t="shared" si="1"/>
        <v>1094</v>
      </c>
    </row>
    <row r="102" spans="1:15" x14ac:dyDescent="0.3">
      <c r="A102" s="6" t="s">
        <v>114</v>
      </c>
      <c r="B102" s="2">
        <v>44974</v>
      </c>
      <c r="C102" s="6" t="s">
        <v>1314</v>
      </c>
      <c r="D102" s="6" t="s">
        <v>2404</v>
      </c>
      <c r="E102" s="9">
        <v>3</v>
      </c>
      <c r="F102" s="4">
        <v>664.79</v>
      </c>
      <c r="G102" t="s">
        <v>2503</v>
      </c>
      <c r="H102" s="6" t="s">
        <v>3066</v>
      </c>
      <c r="I102" s="6" t="s">
        <v>3073</v>
      </c>
      <c r="J102" s="6" t="s">
        <v>3175</v>
      </c>
      <c r="K102" s="9">
        <v>6</v>
      </c>
      <c r="L102" s="6" t="s">
        <v>4283</v>
      </c>
      <c r="M102" s="6" t="s">
        <v>4281</v>
      </c>
      <c r="N102" s="4">
        <v>1994.37</v>
      </c>
      <c r="O102" s="6">
        <f t="shared" si="1"/>
        <v>1093</v>
      </c>
    </row>
    <row r="103" spans="1:15" x14ac:dyDescent="0.3">
      <c r="A103" s="6" t="s">
        <v>115</v>
      </c>
      <c r="B103" s="2">
        <v>45255</v>
      </c>
      <c r="C103" s="6" t="s">
        <v>1315</v>
      </c>
      <c r="D103" s="6" t="s">
        <v>2407</v>
      </c>
      <c r="E103" s="9">
        <v>1</v>
      </c>
      <c r="F103" s="4">
        <v>381.02</v>
      </c>
      <c r="G103" t="s">
        <v>2504</v>
      </c>
      <c r="H103" s="6" t="s">
        <v>3069</v>
      </c>
      <c r="I103" s="6" t="s">
        <v>3070</v>
      </c>
      <c r="J103" s="6" t="s">
        <v>3176</v>
      </c>
      <c r="K103" s="9">
        <v>6</v>
      </c>
      <c r="L103" s="6" t="s">
        <v>4283</v>
      </c>
      <c r="M103" s="6" t="s">
        <v>4282</v>
      </c>
      <c r="N103" s="4">
        <v>381.02</v>
      </c>
      <c r="O103" s="6">
        <f t="shared" si="1"/>
        <v>1092</v>
      </c>
    </row>
    <row r="104" spans="1:15" x14ac:dyDescent="0.3">
      <c r="A104" s="6" t="s">
        <v>116</v>
      </c>
      <c r="B104" s="2">
        <v>44993</v>
      </c>
      <c r="C104" s="6" t="s">
        <v>1316</v>
      </c>
      <c r="D104" s="6" t="s">
        <v>2408</v>
      </c>
      <c r="E104" s="9">
        <v>2</v>
      </c>
      <c r="F104" s="4">
        <v>70.34</v>
      </c>
      <c r="G104" t="s">
        <v>2505</v>
      </c>
      <c r="H104" s="6" t="s">
        <v>3068</v>
      </c>
      <c r="I104" s="6" t="s">
        <v>3071</v>
      </c>
      <c r="J104" s="6" t="s">
        <v>3177</v>
      </c>
      <c r="K104" s="9">
        <v>3</v>
      </c>
      <c r="L104" s="6" t="s">
        <v>4276</v>
      </c>
      <c r="M104" s="6" t="s">
        <v>4280</v>
      </c>
      <c r="N104" s="4">
        <v>140.68</v>
      </c>
      <c r="O104" s="6">
        <f t="shared" si="1"/>
        <v>1091</v>
      </c>
    </row>
    <row r="105" spans="1:15" x14ac:dyDescent="0.3">
      <c r="A105" s="6" t="s">
        <v>117</v>
      </c>
      <c r="B105" s="2">
        <v>45682</v>
      </c>
      <c r="C105" s="6" t="s">
        <v>1317</v>
      </c>
      <c r="D105" s="6" t="s">
        <v>2404</v>
      </c>
      <c r="E105" s="9">
        <v>4</v>
      </c>
      <c r="F105" s="4">
        <v>218.43</v>
      </c>
      <c r="G105" t="s">
        <v>2506</v>
      </c>
      <c r="H105" s="6" t="s">
        <v>3067</v>
      </c>
      <c r="I105" s="6" t="s">
        <v>3071</v>
      </c>
      <c r="J105" s="6" t="s">
        <v>3178</v>
      </c>
      <c r="K105" s="9">
        <v>9</v>
      </c>
      <c r="L105" s="6" t="s">
        <v>4275</v>
      </c>
      <c r="M105" s="6" t="s">
        <v>4280</v>
      </c>
      <c r="N105" s="4">
        <v>873.72</v>
      </c>
      <c r="O105" s="6">
        <f t="shared" si="1"/>
        <v>1090</v>
      </c>
    </row>
    <row r="106" spans="1:15" x14ac:dyDescent="0.3">
      <c r="A106" s="6" t="s">
        <v>118</v>
      </c>
      <c r="B106" s="2">
        <v>45503</v>
      </c>
      <c r="C106" s="6" t="s">
        <v>1318</v>
      </c>
      <c r="D106" s="6" t="s">
        <v>2404</v>
      </c>
      <c r="E106" s="9">
        <v>1</v>
      </c>
      <c r="F106" s="4">
        <v>582.04</v>
      </c>
      <c r="G106" t="s">
        <v>2507</v>
      </c>
      <c r="H106" s="6" t="s">
        <v>3068</v>
      </c>
      <c r="I106" s="6" t="s">
        <v>3073</v>
      </c>
      <c r="J106" s="6" t="s">
        <v>3179</v>
      </c>
      <c r="K106" s="9">
        <v>1</v>
      </c>
      <c r="L106" s="6" t="s">
        <v>4276</v>
      </c>
      <c r="M106" s="6" t="s">
        <v>4280</v>
      </c>
      <c r="N106" s="4">
        <v>582.04</v>
      </c>
      <c r="O106" s="6">
        <f t="shared" si="1"/>
        <v>1089</v>
      </c>
    </row>
    <row r="107" spans="1:15" x14ac:dyDescent="0.3">
      <c r="A107" s="6" t="s">
        <v>119</v>
      </c>
      <c r="B107" s="2">
        <v>45589</v>
      </c>
      <c r="C107" s="6" t="s">
        <v>1319</v>
      </c>
      <c r="D107" s="6" t="s">
        <v>2407</v>
      </c>
      <c r="E107" s="9">
        <v>3</v>
      </c>
      <c r="F107" s="4">
        <v>185.4</v>
      </c>
      <c r="G107" t="s">
        <v>2508</v>
      </c>
      <c r="H107" s="6" t="s">
        <v>3068</v>
      </c>
      <c r="I107" s="6" t="s">
        <v>3071</v>
      </c>
      <c r="J107" s="6" t="s">
        <v>3180</v>
      </c>
      <c r="K107" s="9">
        <v>7</v>
      </c>
      <c r="L107" s="6" t="s">
        <v>4283</v>
      </c>
      <c r="M107" s="6" t="s">
        <v>4281</v>
      </c>
      <c r="N107" s="4">
        <v>556.20000000000005</v>
      </c>
      <c r="O107" s="6">
        <f t="shared" si="1"/>
        <v>1088</v>
      </c>
    </row>
    <row r="108" spans="1:15" x14ac:dyDescent="0.3">
      <c r="A108" s="6" t="s">
        <v>120</v>
      </c>
      <c r="B108" s="2">
        <v>45177</v>
      </c>
      <c r="C108" s="6" t="s">
        <v>1320</v>
      </c>
      <c r="D108" s="6" t="s">
        <v>2409</v>
      </c>
      <c r="E108" s="9">
        <v>3</v>
      </c>
      <c r="F108" s="4">
        <v>465.05</v>
      </c>
      <c r="G108" t="s">
        <v>2509</v>
      </c>
      <c r="H108" s="6" t="s">
        <v>3067</v>
      </c>
      <c r="I108" s="6" t="s">
        <v>3071</v>
      </c>
      <c r="J108" s="6" t="s">
        <v>3181</v>
      </c>
      <c r="K108" s="9">
        <v>3</v>
      </c>
      <c r="L108" s="6" t="s">
        <v>4275</v>
      </c>
      <c r="M108" s="6" t="s">
        <v>4280</v>
      </c>
      <c r="N108" s="4">
        <v>1395.15</v>
      </c>
      <c r="O108" s="6">
        <f t="shared" si="1"/>
        <v>1087</v>
      </c>
    </row>
    <row r="109" spans="1:15" x14ac:dyDescent="0.3">
      <c r="A109" s="6" t="s">
        <v>121</v>
      </c>
      <c r="B109" s="2">
        <v>45012</v>
      </c>
      <c r="C109" s="6" t="s">
        <v>1321</v>
      </c>
      <c r="D109" s="6" t="s">
        <v>2407</v>
      </c>
      <c r="E109" s="9">
        <v>5</v>
      </c>
      <c r="F109" s="4">
        <v>670.75</v>
      </c>
      <c r="G109" t="s">
        <v>2510</v>
      </c>
      <c r="H109" s="6" t="s">
        <v>3068</v>
      </c>
      <c r="I109" s="6" t="s">
        <v>3070</v>
      </c>
      <c r="J109" s="6" t="s">
        <v>3182</v>
      </c>
      <c r="K109" s="9">
        <v>8</v>
      </c>
      <c r="L109" s="6" t="s">
        <v>4276</v>
      </c>
      <c r="M109" s="6" t="s">
        <v>4278</v>
      </c>
      <c r="N109" s="4">
        <v>3353.75</v>
      </c>
      <c r="O109" s="6">
        <f t="shared" si="1"/>
        <v>1086</v>
      </c>
    </row>
    <row r="110" spans="1:15" x14ac:dyDescent="0.3">
      <c r="A110" s="6" t="s">
        <v>122</v>
      </c>
      <c r="B110" s="2">
        <v>45654</v>
      </c>
      <c r="C110" s="6" t="s">
        <v>1322</v>
      </c>
      <c r="D110" s="6" t="s">
        <v>2408</v>
      </c>
      <c r="E110" s="9">
        <v>5</v>
      </c>
      <c r="F110" s="4">
        <v>48.38</v>
      </c>
      <c r="G110" t="s">
        <v>2511</v>
      </c>
      <c r="H110" s="6" t="s">
        <v>3068</v>
      </c>
      <c r="I110" s="6" t="s">
        <v>3073</v>
      </c>
      <c r="J110" s="6" t="s">
        <v>3183</v>
      </c>
      <c r="K110" s="9">
        <v>9</v>
      </c>
      <c r="L110" s="6" t="s">
        <v>4277</v>
      </c>
      <c r="M110" s="6" t="s">
        <v>4280</v>
      </c>
      <c r="N110" s="4">
        <v>241.9</v>
      </c>
      <c r="O110" s="6">
        <f t="shared" si="1"/>
        <v>1085</v>
      </c>
    </row>
    <row r="111" spans="1:15" x14ac:dyDescent="0.3">
      <c r="A111" s="6" t="s">
        <v>123</v>
      </c>
      <c r="B111" s="2">
        <v>45186</v>
      </c>
      <c r="C111" s="6" t="s">
        <v>1323</v>
      </c>
      <c r="D111" s="6" t="s">
        <v>2409</v>
      </c>
      <c r="E111" s="9">
        <v>3</v>
      </c>
      <c r="F111" s="4">
        <v>592.87</v>
      </c>
      <c r="G111" t="s">
        <v>2512</v>
      </c>
      <c r="H111" s="6" t="s">
        <v>3068</v>
      </c>
      <c r="I111" s="6" t="s">
        <v>3070</v>
      </c>
      <c r="J111" s="6" t="s">
        <v>3184</v>
      </c>
      <c r="K111" s="9">
        <v>3</v>
      </c>
      <c r="L111" s="6" t="s">
        <v>4276</v>
      </c>
      <c r="M111" s="6" t="s">
        <v>4279</v>
      </c>
      <c r="N111" s="4">
        <v>1778.61</v>
      </c>
      <c r="O111" s="6">
        <f t="shared" si="1"/>
        <v>1084</v>
      </c>
    </row>
    <row r="112" spans="1:15" x14ac:dyDescent="0.3">
      <c r="A112" s="6" t="s">
        <v>124</v>
      </c>
      <c r="B112" s="2">
        <v>45403</v>
      </c>
      <c r="C112" s="6" t="s">
        <v>1324</v>
      </c>
      <c r="D112" s="6" t="s">
        <v>2405</v>
      </c>
      <c r="E112" s="9">
        <v>1</v>
      </c>
      <c r="F112" s="4">
        <v>220.77</v>
      </c>
      <c r="G112" t="s">
        <v>2513</v>
      </c>
      <c r="H112" s="6" t="s">
        <v>3068</v>
      </c>
      <c r="I112" s="6" t="s">
        <v>3074</v>
      </c>
      <c r="J112" s="6" t="s">
        <v>3185</v>
      </c>
      <c r="K112" s="9">
        <v>5</v>
      </c>
      <c r="L112" s="6" t="s">
        <v>4276</v>
      </c>
      <c r="M112" s="6" t="s">
        <v>4278</v>
      </c>
      <c r="N112" s="4">
        <v>220.77</v>
      </c>
      <c r="O112" s="6">
        <f t="shared" si="1"/>
        <v>1083</v>
      </c>
    </row>
    <row r="113" spans="1:15" x14ac:dyDescent="0.3">
      <c r="A113" s="6" t="s">
        <v>125</v>
      </c>
      <c r="B113" s="2">
        <v>45784</v>
      </c>
      <c r="C113" s="6" t="s">
        <v>1325</v>
      </c>
      <c r="D113" s="6" t="s">
        <v>2409</v>
      </c>
      <c r="E113" s="9">
        <v>3</v>
      </c>
      <c r="F113" s="4">
        <v>309.22000000000003</v>
      </c>
      <c r="G113" t="s">
        <v>2514</v>
      </c>
      <c r="H113" s="6" t="s">
        <v>3066</v>
      </c>
      <c r="I113" s="6" t="s">
        <v>3071</v>
      </c>
      <c r="J113" s="6" t="s">
        <v>3186</v>
      </c>
      <c r="K113" s="9">
        <v>7</v>
      </c>
      <c r="L113" s="6" t="s">
        <v>4276</v>
      </c>
      <c r="M113" s="6" t="s">
        <v>4282</v>
      </c>
      <c r="N113" s="4">
        <v>927.66000000000008</v>
      </c>
      <c r="O113" s="6">
        <f t="shared" si="1"/>
        <v>1082</v>
      </c>
    </row>
    <row r="114" spans="1:15" x14ac:dyDescent="0.3">
      <c r="A114" s="6" t="s">
        <v>126</v>
      </c>
      <c r="B114" s="2">
        <v>44927</v>
      </c>
      <c r="C114" s="6" t="s">
        <v>1326</v>
      </c>
      <c r="D114" s="6" t="s">
        <v>2403</v>
      </c>
      <c r="E114" s="9">
        <v>1</v>
      </c>
      <c r="F114" s="4">
        <v>410.6</v>
      </c>
      <c r="G114" t="s">
        <v>2515</v>
      </c>
      <c r="H114" s="6" t="s">
        <v>3066</v>
      </c>
      <c r="I114" s="6" t="s">
        <v>3071</v>
      </c>
      <c r="J114" s="6" t="s">
        <v>3187</v>
      </c>
      <c r="K114" s="9">
        <v>2</v>
      </c>
      <c r="L114" s="6" t="s">
        <v>4277</v>
      </c>
      <c r="M114" s="6" t="s">
        <v>4279</v>
      </c>
      <c r="N114" s="4">
        <v>410.6</v>
      </c>
      <c r="O114" s="6">
        <f t="shared" si="1"/>
        <v>1081</v>
      </c>
    </row>
    <row r="115" spans="1:15" x14ac:dyDescent="0.3">
      <c r="A115" s="6" t="s">
        <v>127</v>
      </c>
      <c r="B115" s="2">
        <v>45308</v>
      </c>
      <c r="C115" s="6" t="s">
        <v>1327</v>
      </c>
      <c r="D115" s="6" t="s">
        <v>2408</v>
      </c>
      <c r="E115" s="9">
        <v>5</v>
      </c>
      <c r="F115" s="4">
        <v>190.08</v>
      </c>
      <c r="G115" t="s">
        <v>2516</v>
      </c>
      <c r="H115" s="6" t="s">
        <v>3069</v>
      </c>
      <c r="I115" s="6" t="s">
        <v>3070</v>
      </c>
      <c r="J115" s="6" t="s">
        <v>3188</v>
      </c>
      <c r="K115" s="9">
        <v>9</v>
      </c>
      <c r="L115" s="6" t="s">
        <v>4276</v>
      </c>
      <c r="M115" s="6" t="s">
        <v>4278</v>
      </c>
      <c r="N115" s="4">
        <v>950.40000000000009</v>
      </c>
      <c r="O115" s="6">
        <f t="shared" si="1"/>
        <v>1080</v>
      </c>
    </row>
    <row r="116" spans="1:15" x14ac:dyDescent="0.3">
      <c r="A116" s="6" t="s">
        <v>128</v>
      </c>
      <c r="B116" s="2">
        <v>45684</v>
      </c>
      <c r="C116" s="6" t="s">
        <v>1328</v>
      </c>
      <c r="D116" s="6" t="s">
        <v>2403</v>
      </c>
      <c r="E116" s="9">
        <v>5</v>
      </c>
      <c r="F116" s="4">
        <v>498.48</v>
      </c>
      <c r="G116" t="s">
        <v>2517</v>
      </c>
      <c r="H116" s="6" t="s">
        <v>3066</v>
      </c>
      <c r="I116" s="6" t="s">
        <v>3074</v>
      </c>
      <c r="J116" s="6" t="s">
        <v>3189</v>
      </c>
      <c r="K116" s="9">
        <v>8</v>
      </c>
      <c r="L116" s="6" t="s">
        <v>4275</v>
      </c>
      <c r="M116" s="6" t="s">
        <v>4282</v>
      </c>
      <c r="N116" s="4">
        <v>2492.4</v>
      </c>
      <c r="O116" s="6">
        <f t="shared" si="1"/>
        <v>1079</v>
      </c>
    </row>
    <row r="117" spans="1:15" x14ac:dyDescent="0.3">
      <c r="A117" s="6" t="s">
        <v>129</v>
      </c>
      <c r="B117" s="2">
        <v>45257</v>
      </c>
      <c r="C117" s="6" t="s">
        <v>1329</v>
      </c>
      <c r="D117" s="6" t="s">
        <v>2404</v>
      </c>
      <c r="E117" s="9">
        <v>5</v>
      </c>
      <c r="F117" s="4">
        <v>374.99</v>
      </c>
      <c r="G117" t="s">
        <v>2518</v>
      </c>
      <c r="H117" s="6" t="s">
        <v>3066</v>
      </c>
      <c r="I117" s="6" t="s">
        <v>3070</v>
      </c>
      <c r="J117" s="6" t="s">
        <v>3190</v>
      </c>
      <c r="K117" s="9">
        <v>9</v>
      </c>
      <c r="L117" s="6" t="s">
        <v>4275</v>
      </c>
      <c r="M117" s="6" t="s">
        <v>4281</v>
      </c>
      <c r="N117" s="4">
        <v>1874.95</v>
      </c>
      <c r="O117" s="6">
        <f t="shared" si="1"/>
        <v>1078</v>
      </c>
    </row>
    <row r="118" spans="1:15" x14ac:dyDescent="0.3">
      <c r="A118" s="6" t="s">
        <v>130</v>
      </c>
      <c r="B118" s="2">
        <v>45004</v>
      </c>
      <c r="C118" s="6" t="s">
        <v>1330</v>
      </c>
      <c r="D118" s="6" t="s">
        <v>2407</v>
      </c>
      <c r="E118" s="9">
        <v>4</v>
      </c>
      <c r="F118" s="4">
        <v>291.35000000000002</v>
      </c>
      <c r="G118" t="s">
        <v>2519</v>
      </c>
      <c r="H118" s="6" t="s">
        <v>3067</v>
      </c>
      <c r="I118" s="6" t="s">
        <v>3071</v>
      </c>
      <c r="J118" s="6" t="s">
        <v>3191</v>
      </c>
      <c r="K118" s="9">
        <v>6</v>
      </c>
      <c r="L118" s="6" t="s">
        <v>4277</v>
      </c>
      <c r="M118" s="6" t="s">
        <v>4281</v>
      </c>
      <c r="N118" s="4">
        <v>1165.4000000000001</v>
      </c>
      <c r="O118" s="6">
        <f t="shared" si="1"/>
        <v>1077</v>
      </c>
    </row>
    <row r="119" spans="1:15" x14ac:dyDescent="0.3">
      <c r="A119" s="6" t="s">
        <v>131</v>
      </c>
      <c r="B119" s="2">
        <v>44993</v>
      </c>
      <c r="C119" s="6" t="s">
        <v>1331</v>
      </c>
      <c r="D119" s="6" t="s">
        <v>2405</v>
      </c>
      <c r="E119" s="9">
        <v>1</v>
      </c>
      <c r="F119" s="4">
        <v>535.5</v>
      </c>
      <c r="G119" t="s">
        <v>2520</v>
      </c>
      <c r="H119" s="6" t="s">
        <v>3068</v>
      </c>
      <c r="I119" s="6" t="s">
        <v>3071</v>
      </c>
      <c r="J119" s="6" t="s">
        <v>3192</v>
      </c>
      <c r="K119" s="9">
        <v>5</v>
      </c>
      <c r="L119" s="6" t="s">
        <v>4277</v>
      </c>
      <c r="M119" s="6" t="s">
        <v>4279</v>
      </c>
      <c r="N119" s="4">
        <v>535.5</v>
      </c>
      <c r="O119" s="6">
        <f t="shared" si="1"/>
        <v>1076</v>
      </c>
    </row>
    <row r="120" spans="1:15" x14ac:dyDescent="0.3">
      <c r="A120" s="6" t="s">
        <v>132</v>
      </c>
      <c r="B120" s="2">
        <v>45208</v>
      </c>
      <c r="C120" s="6" t="s">
        <v>1332</v>
      </c>
      <c r="D120" s="6" t="s">
        <v>2407</v>
      </c>
      <c r="E120" s="9">
        <v>5</v>
      </c>
      <c r="F120" s="4">
        <v>502.71</v>
      </c>
      <c r="G120" t="s">
        <v>2521</v>
      </c>
      <c r="H120" s="6" t="s">
        <v>3068</v>
      </c>
      <c r="I120" s="6" t="s">
        <v>3070</v>
      </c>
      <c r="J120" s="6" t="s">
        <v>3193</v>
      </c>
      <c r="K120" s="9">
        <v>7</v>
      </c>
      <c r="L120" s="6" t="s">
        <v>4276</v>
      </c>
      <c r="M120" s="6" t="s">
        <v>4282</v>
      </c>
      <c r="N120" s="4">
        <v>2513.5500000000002</v>
      </c>
      <c r="O120" s="6">
        <f t="shared" si="1"/>
        <v>1075</v>
      </c>
    </row>
    <row r="121" spans="1:15" x14ac:dyDescent="0.3">
      <c r="A121" s="6" t="s">
        <v>133</v>
      </c>
      <c r="B121" s="2">
        <v>45819</v>
      </c>
      <c r="C121" s="6" t="s">
        <v>1333</v>
      </c>
      <c r="D121" s="6" t="s">
        <v>2409</v>
      </c>
      <c r="E121" s="9">
        <v>2</v>
      </c>
      <c r="F121" s="4">
        <v>534.66999999999996</v>
      </c>
      <c r="G121" t="s">
        <v>2522</v>
      </c>
      <c r="H121" s="6" t="s">
        <v>3065</v>
      </c>
      <c r="I121" s="6" t="s">
        <v>3070</v>
      </c>
      <c r="J121" s="6" t="s">
        <v>3194</v>
      </c>
      <c r="K121" s="9">
        <v>7</v>
      </c>
      <c r="L121" s="6" t="s">
        <v>4276</v>
      </c>
      <c r="M121" s="6" t="s">
        <v>4279</v>
      </c>
      <c r="N121" s="4">
        <v>1069.3399999999999</v>
      </c>
      <c r="O121" s="6">
        <f t="shared" si="1"/>
        <v>1074</v>
      </c>
    </row>
    <row r="122" spans="1:15" x14ac:dyDescent="0.3">
      <c r="A122" s="6" t="s">
        <v>134</v>
      </c>
      <c r="B122" s="2">
        <v>45027</v>
      </c>
      <c r="C122" s="6" t="s">
        <v>1334</v>
      </c>
      <c r="D122" s="6" t="s">
        <v>2405</v>
      </c>
      <c r="E122" s="9">
        <v>4</v>
      </c>
      <c r="F122" s="4">
        <v>629.34</v>
      </c>
      <c r="G122" t="s">
        <v>2416</v>
      </c>
      <c r="H122" s="6" t="s">
        <v>3069</v>
      </c>
      <c r="I122" s="6" t="s">
        <v>3071</v>
      </c>
      <c r="J122" s="6" t="s">
        <v>3195</v>
      </c>
      <c r="K122" s="9">
        <v>4</v>
      </c>
      <c r="L122" s="6" t="s">
        <v>4277</v>
      </c>
      <c r="M122" s="6" t="s">
        <v>4278</v>
      </c>
      <c r="N122" s="4">
        <v>2517.36</v>
      </c>
      <c r="O122" s="6">
        <f t="shared" si="1"/>
        <v>1073</v>
      </c>
    </row>
    <row r="123" spans="1:15" x14ac:dyDescent="0.3">
      <c r="A123" s="6" t="s">
        <v>135</v>
      </c>
      <c r="B123" s="2">
        <v>45260</v>
      </c>
      <c r="C123" s="6" t="s">
        <v>1335</v>
      </c>
      <c r="D123" s="6" t="s">
        <v>2409</v>
      </c>
      <c r="E123" s="9">
        <v>1</v>
      </c>
      <c r="F123" s="4">
        <v>410.78</v>
      </c>
      <c r="G123" t="s">
        <v>2523</v>
      </c>
      <c r="H123" s="6" t="s">
        <v>3069</v>
      </c>
      <c r="I123" s="6" t="s">
        <v>3071</v>
      </c>
      <c r="J123" s="6" t="s">
        <v>3196</v>
      </c>
      <c r="K123" s="9">
        <v>1</v>
      </c>
      <c r="L123" s="6" t="s">
        <v>4276</v>
      </c>
      <c r="M123" s="6" t="s">
        <v>4278</v>
      </c>
      <c r="N123" s="4">
        <v>410.78</v>
      </c>
      <c r="O123" s="6">
        <f t="shared" si="1"/>
        <v>1072</v>
      </c>
    </row>
    <row r="124" spans="1:15" x14ac:dyDescent="0.3">
      <c r="A124" s="6" t="s">
        <v>136</v>
      </c>
      <c r="B124" s="2">
        <v>45397</v>
      </c>
      <c r="C124" s="6" t="s">
        <v>1336</v>
      </c>
      <c r="D124" s="6" t="s">
        <v>2408</v>
      </c>
      <c r="E124" s="9">
        <v>2</v>
      </c>
      <c r="F124" s="4">
        <v>533.02</v>
      </c>
      <c r="G124" t="s">
        <v>2524</v>
      </c>
      <c r="H124" s="6" t="s">
        <v>3068</v>
      </c>
      <c r="I124" s="6" t="s">
        <v>3070</v>
      </c>
      <c r="J124" s="6" t="s">
        <v>3197</v>
      </c>
      <c r="K124" s="9">
        <v>2</v>
      </c>
      <c r="L124" s="6" t="s">
        <v>4283</v>
      </c>
      <c r="M124" s="6" t="s">
        <v>4281</v>
      </c>
      <c r="N124" s="4">
        <v>1066.04</v>
      </c>
      <c r="O124" s="6">
        <f t="shared" si="1"/>
        <v>1071</v>
      </c>
    </row>
    <row r="125" spans="1:15" x14ac:dyDescent="0.3">
      <c r="A125" s="6" t="s">
        <v>137</v>
      </c>
      <c r="B125" s="2">
        <v>45113</v>
      </c>
      <c r="C125" s="6" t="s">
        <v>1337</v>
      </c>
      <c r="D125" s="6" t="s">
        <v>2409</v>
      </c>
      <c r="E125" s="9">
        <v>3</v>
      </c>
      <c r="F125" s="4">
        <v>278.04000000000002</v>
      </c>
      <c r="G125" t="s">
        <v>2525</v>
      </c>
      <c r="H125" s="6" t="s">
        <v>3066</v>
      </c>
      <c r="I125" s="6" t="s">
        <v>3073</v>
      </c>
      <c r="J125" s="6" t="s">
        <v>3198</v>
      </c>
      <c r="K125" s="9">
        <v>5</v>
      </c>
      <c r="L125" s="6" t="s">
        <v>4283</v>
      </c>
      <c r="M125" s="6" t="s">
        <v>4278</v>
      </c>
      <c r="N125" s="4">
        <v>834.12000000000012</v>
      </c>
      <c r="O125" s="6">
        <f t="shared" si="1"/>
        <v>1070</v>
      </c>
    </row>
    <row r="126" spans="1:15" x14ac:dyDescent="0.3">
      <c r="A126" s="6" t="s">
        <v>138</v>
      </c>
      <c r="B126" s="2">
        <v>45501</v>
      </c>
      <c r="C126" s="6" t="s">
        <v>1338</v>
      </c>
      <c r="D126" s="6" t="s">
        <v>2407</v>
      </c>
      <c r="E126" s="9">
        <v>4</v>
      </c>
      <c r="F126" s="4">
        <v>283.79000000000002</v>
      </c>
      <c r="G126" t="s">
        <v>2526</v>
      </c>
      <c r="H126" s="6" t="s">
        <v>3066</v>
      </c>
      <c r="I126" s="6" t="s">
        <v>3074</v>
      </c>
      <c r="J126" s="6" t="s">
        <v>3199</v>
      </c>
      <c r="K126" s="9">
        <v>8</v>
      </c>
      <c r="L126" s="6" t="s">
        <v>4283</v>
      </c>
      <c r="M126" s="6" t="s">
        <v>4282</v>
      </c>
      <c r="N126" s="4">
        <v>1135.1600000000001</v>
      </c>
      <c r="O126" s="6">
        <f t="shared" si="1"/>
        <v>1069</v>
      </c>
    </row>
    <row r="127" spans="1:15" x14ac:dyDescent="0.3">
      <c r="A127" s="6" t="s">
        <v>139</v>
      </c>
      <c r="B127" s="2">
        <v>45602</v>
      </c>
      <c r="C127" s="6" t="s">
        <v>1339</v>
      </c>
      <c r="D127" s="6" t="s">
        <v>2404</v>
      </c>
      <c r="E127" s="9">
        <v>2</v>
      </c>
      <c r="F127" s="4">
        <v>512.65</v>
      </c>
      <c r="G127" t="s">
        <v>2527</v>
      </c>
      <c r="H127" s="6" t="s">
        <v>3067</v>
      </c>
      <c r="I127" s="6" t="s">
        <v>3070</v>
      </c>
      <c r="J127" s="6" t="s">
        <v>3200</v>
      </c>
      <c r="K127" s="9">
        <v>5</v>
      </c>
      <c r="L127" s="6" t="s">
        <v>4275</v>
      </c>
      <c r="M127" s="6" t="s">
        <v>4280</v>
      </c>
      <c r="N127" s="4">
        <v>1025.3</v>
      </c>
      <c r="O127" s="6">
        <f t="shared" si="1"/>
        <v>1068</v>
      </c>
    </row>
    <row r="128" spans="1:15" x14ac:dyDescent="0.3">
      <c r="A128" s="6" t="s">
        <v>140</v>
      </c>
      <c r="B128" s="2">
        <v>45780</v>
      </c>
      <c r="C128" s="6" t="s">
        <v>1340</v>
      </c>
      <c r="D128" s="6" t="s">
        <v>2409</v>
      </c>
      <c r="E128" s="9">
        <v>4</v>
      </c>
      <c r="F128" s="4">
        <v>275.5</v>
      </c>
      <c r="G128" t="s">
        <v>2528</v>
      </c>
      <c r="H128" s="6" t="s">
        <v>3068</v>
      </c>
      <c r="I128" s="6" t="s">
        <v>3070</v>
      </c>
      <c r="J128" s="6" t="s">
        <v>3201</v>
      </c>
      <c r="K128" s="9">
        <v>8</v>
      </c>
      <c r="L128" s="6" t="s">
        <v>4276</v>
      </c>
      <c r="M128" s="6" t="s">
        <v>4282</v>
      </c>
      <c r="N128" s="4">
        <v>1102</v>
      </c>
      <c r="O128" s="6">
        <f t="shared" si="1"/>
        <v>1067</v>
      </c>
    </row>
    <row r="129" spans="1:15" x14ac:dyDescent="0.3">
      <c r="A129" s="6" t="s">
        <v>141</v>
      </c>
      <c r="B129" s="2">
        <v>45148</v>
      </c>
      <c r="C129" s="6" t="s">
        <v>1341</v>
      </c>
      <c r="D129" s="6" t="s">
        <v>2409</v>
      </c>
      <c r="E129" s="9">
        <v>3</v>
      </c>
      <c r="F129" s="4">
        <v>469.32</v>
      </c>
      <c r="G129" t="s">
        <v>2529</v>
      </c>
      <c r="H129" s="6" t="s">
        <v>3065</v>
      </c>
      <c r="I129" s="6" t="s">
        <v>3070</v>
      </c>
      <c r="J129" s="6" t="s">
        <v>3202</v>
      </c>
      <c r="K129" s="9">
        <v>3</v>
      </c>
      <c r="L129" s="6" t="s">
        <v>4283</v>
      </c>
      <c r="M129" s="6" t="s">
        <v>4282</v>
      </c>
      <c r="N129" s="4">
        <v>1407.96</v>
      </c>
      <c r="O129" s="6">
        <f t="shared" si="1"/>
        <v>1066</v>
      </c>
    </row>
    <row r="130" spans="1:15" x14ac:dyDescent="0.3">
      <c r="A130" s="6" t="s">
        <v>142</v>
      </c>
      <c r="B130" s="2">
        <v>44974</v>
      </c>
      <c r="C130" s="6" t="s">
        <v>1342</v>
      </c>
      <c r="D130" s="6" t="s">
        <v>2405</v>
      </c>
      <c r="E130" s="9">
        <v>4</v>
      </c>
      <c r="F130" s="4">
        <v>21.07</v>
      </c>
      <c r="G130" t="s">
        <v>2530</v>
      </c>
      <c r="H130" s="6" t="s">
        <v>3068</v>
      </c>
      <c r="I130" s="6" t="s">
        <v>3073</v>
      </c>
      <c r="J130" s="6" t="s">
        <v>3203</v>
      </c>
      <c r="K130" s="9">
        <v>4</v>
      </c>
      <c r="L130" s="6" t="s">
        <v>4276</v>
      </c>
      <c r="M130" s="6" t="s">
        <v>4282</v>
      </c>
      <c r="N130" s="4">
        <v>84.28</v>
      </c>
      <c r="O130" s="6">
        <f t="shared" ref="O130:O193" si="2">COUNTA(_xlfn.UNIQUE(C129:C1328))</f>
        <v>1065</v>
      </c>
    </row>
    <row r="131" spans="1:15" x14ac:dyDescent="0.3">
      <c r="A131" s="6" t="s">
        <v>143</v>
      </c>
      <c r="B131" s="2">
        <v>45226</v>
      </c>
      <c r="C131" s="6" t="s">
        <v>1343</v>
      </c>
      <c r="D131" s="6" t="s">
        <v>2408</v>
      </c>
      <c r="E131" s="9">
        <v>4</v>
      </c>
      <c r="F131" s="4">
        <v>263.93</v>
      </c>
      <c r="G131" t="s">
        <v>2531</v>
      </c>
      <c r="H131" s="6" t="s">
        <v>3065</v>
      </c>
      <c r="I131" s="6" t="s">
        <v>3070</v>
      </c>
      <c r="J131" s="6" t="s">
        <v>3204</v>
      </c>
      <c r="K131" s="9">
        <v>4</v>
      </c>
      <c r="L131" s="6" t="s">
        <v>4276</v>
      </c>
      <c r="M131" s="6" t="s">
        <v>4281</v>
      </c>
      <c r="N131" s="4">
        <v>1055.72</v>
      </c>
      <c r="O131" s="6">
        <f t="shared" si="2"/>
        <v>1064</v>
      </c>
    </row>
    <row r="132" spans="1:15" x14ac:dyDescent="0.3">
      <c r="A132" s="6" t="s">
        <v>144</v>
      </c>
      <c r="B132" s="2">
        <v>45679</v>
      </c>
      <c r="C132" s="6" t="s">
        <v>1344</v>
      </c>
      <c r="D132" s="6" t="s">
        <v>2409</v>
      </c>
      <c r="E132" s="9">
        <v>3</v>
      </c>
      <c r="F132" s="4">
        <v>501.3</v>
      </c>
      <c r="G132" t="s">
        <v>2532</v>
      </c>
      <c r="H132" s="6" t="s">
        <v>3066</v>
      </c>
      <c r="I132" s="6" t="s">
        <v>3071</v>
      </c>
      <c r="J132" s="6" t="s">
        <v>3205</v>
      </c>
      <c r="K132" s="9">
        <v>3</v>
      </c>
      <c r="L132" s="6" t="s">
        <v>4277</v>
      </c>
      <c r="M132" s="6" t="s">
        <v>4281</v>
      </c>
      <c r="N132" s="4">
        <v>1503.9</v>
      </c>
      <c r="O132" s="6">
        <f t="shared" si="2"/>
        <v>1063</v>
      </c>
    </row>
    <row r="133" spans="1:15" x14ac:dyDescent="0.3">
      <c r="A133" s="6" t="s">
        <v>145</v>
      </c>
      <c r="B133" s="2">
        <v>44934</v>
      </c>
      <c r="C133" s="6" t="s">
        <v>1345</v>
      </c>
      <c r="D133" s="6" t="s">
        <v>2405</v>
      </c>
      <c r="E133" s="9">
        <v>1</v>
      </c>
      <c r="F133" s="4">
        <v>84.8</v>
      </c>
      <c r="G133" t="s">
        <v>2533</v>
      </c>
      <c r="H133" s="6" t="s">
        <v>3068</v>
      </c>
      <c r="I133" s="6" t="s">
        <v>3074</v>
      </c>
      <c r="J133" s="6" t="s">
        <v>3206</v>
      </c>
      <c r="K133" s="9">
        <v>5</v>
      </c>
      <c r="L133" s="6" t="s">
        <v>4283</v>
      </c>
      <c r="M133" s="6" t="s">
        <v>4278</v>
      </c>
      <c r="N133" s="4">
        <v>84.8</v>
      </c>
      <c r="O133" s="6">
        <f t="shared" si="2"/>
        <v>1062</v>
      </c>
    </row>
    <row r="134" spans="1:15" x14ac:dyDescent="0.3">
      <c r="A134" s="6" t="s">
        <v>146</v>
      </c>
      <c r="B134" s="2">
        <v>45013</v>
      </c>
      <c r="C134" s="6" t="s">
        <v>1346</v>
      </c>
      <c r="D134" s="6" t="s">
        <v>2405</v>
      </c>
      <c r="E134" s="9">
        <v>4</v>
      </c>
      <c r="F134" s="4">
        <v>450.75</v>
      </c>
      <c r="G134" t="s">
        <v>2534</v>
      </c>
      <c r="H134" s="6" t="s">
        <v>3067</v>
      </c>
      <c r="I134" s="6" t="s">
        <v>3070</v>
      </c>
      <c r="J134" s="6" t="s">
        <v>3207</v>
      </c>
      <c r="K134" s="9">
        <v>6</v>
      </c>
      <c r="L134" s="6" t="s">
        <v>4277</v>
      </c>
      <c r="M134" s="6" t="s">
        <v>4280</v>
      </c>
      <c r="N134" s="4">
        <v>1803</v>
      </c>
      <c r="O134" s="6">
        <f t="shared" si="2"/>
        <v>1061</v>
      </c>
    </row>
    <row r="135" spans="1:15" x14ac:dyDescent="0.3">
      <c r="A135" s="6" t="s">
        <v>147</v>
      </c>
      <c r="B135" s="2">
        <v>45828</v>
      </c>
      <c r="C135" s="6" t="s">
        <v>1347</v>
      </c>
      <c r="D135" s="6" t="s">
        <v>2406</v>
      </c>
      <c r="E135" s="9">
        <v>4</v>
      </c>
      <c r="F135" s="4">
        <v>302.05</v>
      </c>
      <c r="G135" t="s">
        <v>2535</v>
      </c>
      <c r="H135" s="6" t="s">
        <v>3065</v>
      </c>
      <c r="I135" s="6" t="s">
        <v>3071</v>
      </c>
      <c r="J135" s="6" t="s">
        <v>3208</v>
      </c>
      <c r="K135" s="9">
        <v>6</v>
      </c>
      <c r="L135" s="6" t="s">
        <v>4275</v>
      </c>
      <c r="M135" s="6" t="s">
        <v>4282</v>
      </c>
      <c r="N135" s="4">
        <v>1208.2</v>
      </c>
      <c r="O135" s="6">
        <f t="shared" si="2"/>
        <v>1060</v>
      </c>
    </row>
    <row r="136" spans="1:15" x14ac:dyDescent="0.3">
      <c r="A136" s="6" t="s">
        <v>148</v>
      </c>
      <c r="B136" s="2">
        <v>45831</v>
      </c>
      <c r="C136" s="6" t="s">
        <v>1348</v>
      </c>
      <c r="D136" s="6" t="s">
        <v>2408</v>
      </c>
      <c r="E136" s="9">
        <v>2</v>
      </c>
      <c r="F136" s="4">
        <v>199.7</v>
      </c>
      <c r="G136" t="s">
        <v>2534</v>
      </c>
      <c r="H136" s="6" t="s">
        <v>3069</v>
      </c>
      <c r="I136" s="6" t="s">
        <v>3074</v>
      </c>
      <c r="J136" s="6" t="s">
        <v>3209</v>
      </c>
      <c r="K136" s="9">
        <v>4</v>
      </c>
      <c r="L136" s="6" t="s">
        <v>4283</v>
      </c>
      <c r="M136" s="6" t="s">
        <v>4280</v>
      </c>
      <c r="N136" s="4">
        <v>399.4</v>
      </c>
      <c r="O136" s="6">
        <f t="shared" si="2"/>
        <v>1059</v>
      </c>
    </row>
    <row r="137" spans="1:15" x14ac:dyDescent="0.3">
      <c r="A137" s="6" t="s">
        <v>149</v>
      </c>
      <c r="B137" s="2">
        <v>45142</v>
      </c>
      <c r="C137" s="6" t="s">
        <v>1349</v>
      </c>
      <c r="D137" s="6" t="s">
        <v>2407</v>
      </c>
      <c r="E137" s="9">
        <v>2</v>
      </c>
      <c r="F137" s="4">
        <v>68.81</v>
      </c>
      <c r="G137" t="s">
        <v>2536</v>
      </c>
      <c r="H137" s="6" t="s">
        <v>3068</v>
      </c>
      <c r="I137" s="6" t="s">
        <v>3070</v>
      </c>
      <c r="J137" s="6" t="s">
        <v>3210</v>
      </c>
      <c r="K137" s="9">
        <v>5</v>
      </c>
      <c r="L137" s="6" t="s">
        <v>4275</v>
      </c>
      <c r="M137" s="6" t="s">
        <v>4279</v>
      </c>
      <c r="N137" s="4">
        <v>137.62</v>
      </c>
      <c r="O137" s="6">
        <f t="shared" si="2"/>
        <v>1058</v>
      </c>
    </row>
    <row r="138" spans="1:15" x14ac:dyDescent="0.3">
      <c r="A138" s="6" t="s">
        <v>150</v>
      </c>
      <c r="B138" s="2">
        <v>45409</v>
      </c>
      <c r="C138" s="6" t="s">
        <v>1350</v>
      </c>
      <c r="D138" s="6" t="s">
        <v>2408</v>
      </c>
      <c r="E138" s="9">
        <v>1</v>
      </c>
      <c r="F138" s="4">
        <v>44.35</v>
      </c>
      <c r="G138" t="s">
        <v>2537</v>
      </c>
      <c r="H138" s="6" t="s">
        <v>3068</v>
      </c>
      <c r="I138" s="6" t="s">
        <v>3071</v>
      </c>
      <c r="J138" s="6" t="s">
        <v>3211</v>
      </c>
      <c r="K138" s="9">
        <v>1</v>
      </c>
      <c r="L138" s="6" t="s">
        <v>4275</v>
      </c>
      <c r="M138" s="6" t="s">
        <v>4278</v>
      </c>
      <c r="N138" s="4">
        <v>44.35</v>
      </c>
      <c r="O138" s="6">
        <f t="shared" si="2"/>
        <v>1057</v>
      </c>
    </row>
    <row r="139" spans="1:15" x14ac:dyDescent="0.3">
      <c r="A139" s="6" t="s">
        <v>151</v>
      </c>
      <c r="B139" s="2">
        <v>45622</v>
      </c>
      <c r="C139" s="6" t="s">
        <v>1351</v>
      </c>
      <c r="D139" s="6" t="s">
        <v>2403</v>
      </c>
      <c r="E139" s="9">
        <v>2</v>
      </c>
      <c r="F139" s="4">
        <v>250.98</v>
      </c>
      <c r="G139" t="s">
        <v>2538</v>
      </c>
      <c r="H139" s="6" t="s">
        <v>3067</v>
      </c>
      <c r="I139" s="6" t="s">
        <v>3073</v>
      </c>
      <c r="J139" s="6" t="s">
        <v>3212</v>
      </c>
      <c r="K139" s="9">
        <v>5</v>
      </c>
      <c r="L139" s="6" t="s">
        <v>4283</v>
      </c>
      <c r="M139" s="6" t="s">
        <v>4282</v>
      </c>
      <c r="N139" s="4">
        <v>501.96</v>
      </c>
      <c r="O139" s="6">
        <f t="shared" si="2"/>
        <v>1056</v>
      </c>
    </row>
    <row r="140" spans="1:15" x14ac:dyDescent="0.3">
      <c r="A140" s="6" t="s">
        <v>152</v>
      </c>
      <c r="B140" s="2">
        <v>45281</v>
      </c>
      <c r="C140" s="6" t="s">
        <v>1352</v>
      </c>
      <c r="D140" s="6" t="s">
        <v>2405</v>
      </c>
      <c r="E140" s="9">
        <v>1</v>
      </c>
      <c r="F140" s="4">
        <v>298.06</v>
      </c>
      <c r="G140" t="s">
        <v>2539</v>
      </c>
      <c r="H140" s="6" t="s">
        <v>3065</v>
      </c>
      <c r="I140" s="6" t="s">
        <v>3074</v>
      </c>
      <c r="J140" s="6" t="s">
        <v>3213</v>
      </c>
      <c r="K140" s="9">
        <v>3</v>
      </c>
      <c r="L140" s="6" t="s">
        <v>4277</v>
      </c>
      <c r="M140" s="6" t="s">
        <v>4282</v>
      </c>
      <c r="N140" s="4">
        <v>298.06</v>
      </c>
      <c r="O140" s="6">
        <f t="shared" si="2"/>
        <v>1055</v>
      </c>
    </row>
    <row r="141" spans="1:15" x14ac:dyDescent="0.3">
      <c r="A141" s="6" t="s">
        <v>153</v>
      </c>
      <c r="B141" s="2">
        <v>45026</v>
      </c>
      <c r="C141" s="6" t="s">
        <v>1353</v>
      </c>
      <c r="D141" s="6" t="s">
        <v>2404</v>
      </c>
      <c r="E141" s="9">
        <v>1</v>
      </c>
      <c r="F141" s="4">
        <v>583.9</v>
      </c>
      <c r="G141" t="s">
        <v>2540</v>
      </c>
      <c r="H141" s="6" t="s">
        <v>3069</v>
      </c>
      <c r="I141" s="6" t="s">
        <v>3072</v>
      </c>
      <c r="J141" s="6" t="s">
        <v>3214</v>
      </c>
      <c r="K141" s="9">
        <v>1</v>
      </c>
      <c r="L141" s="6" t="s">
        <v>4283</v>
      </c>
      <c r="M141" s="6" t="s">
        <v>4280</v>
      </c>
      <c r="N141" s="4">
        <v>583.9</v>
      </c>
      <c r="O141" s="6">
        <f t="shared" si="2"/>
        <v>1054</v>
      </c>
    </row>
    <row r="142" spans="1:15" x14ac:dyDescent="0.3">
      <c r="A142" s="6" t="s">
        <v>154</v>
      </c>
      <c r="B142" s="2">
        <v>45808</v>
      </c>
      <c r="C142" s="6" t="s">
        <v>1354</v>
      </c>
      <c r="D142" s="6" t="s">
        <v>2406</v>
      </c>
      <c r="E142" s="9">
        <v>3</v>
      </c>
      <c r="F142" s="4">
        <v>528.14</v>
      </c>
      <c r="G142" t="s">
        <v>2513</v>
      </c>
      <c r="H142" s="6" t="s">
        <v>3066</v>
      </c>
      <c r="I142" s="6" t="s">
        <v>3073</v>
      </c>
      <c r="J142" s="6" t="s">
        <v>3215</v>
      </c>
      <c r="K142" s="9">
        <v>3</v>
      </c>
      <c r="L142" s="6" t="s">
        <v>4276</v>
      </c>
      <c r="M142" s="6" t="s">
        <v>4280</v>
      </c>
      <c r="N142" s="4">
        <v>1584.42</v>
      </c>
      <c r="O142" s="6">
        <f t="shared" si="2"/>
        <v>1053</v>
      </c>
    </row>
    <row r="143" spans="1:15" x14ac:dyDescent="0.3">
      <c r="A143" s="6" t="s">
        <v>155</v>
      </c>
      <c r="B143" s="2">
        <v>45248</v>
      </c>
      <c r="C143" s="6" t="s">
        <v>1355</v>
      </c>
      <c r="D143" s="6" t="s">
        <v>2407</v>
      </c>
      <c r="E143" s="9">
        <v>3</v>
      </c>
      <c r="F143" s="4">
        <v>684.14</v>
      </c>
      <c r="G143" t="s">
        <v>2541</v>
      </c>
      <c r="H143" s="6" t="s">
        <v>3069</v>
      </c>
      <c r="I143" s="6" t="s">
        <v>3071</v>
      </c>
      <c r="J143" s="6" t="s">
        <v>3216</v>
      </c>
      <c r="K143" s="9">
        <v>3</v>
      </c>
      <c r="L143" s="6" t="s">
        <v>4277</v>
      </c>
      <c r="M143" s="6" t="s">
        <v>4278</v>
      </c>
      <c r="N143" s="4">
        <v>2052.42</v>
      </c>
      <c r="O143" s="6">
        <f t="shared" si="2"/>
        <v>1052</v>
      </c>
    </row>
    <row r="144" spans="1:15" x14ac:dyDescent="0.3">
      <c r="A144" s="6" t="s">
        <v>156</v>
      </c>
      <c r="B144" s="2">
        <v>45175</v>
      </c>
      <c r="C144" s="6" t="s">
        <v>1356</v>
      </c>
      <c r="D144" s="6" t="s">
        <v>2409</v>
      </c>
      <c r="E144" s="9">
        <v>5</v>
      </c>
      <c r="F144" s="4">
        <v>272.77</v>
      </c>
      <c r="G144" t="s">
        <v>2542</v>
      </c>
      <c r="H144" s="6" t="s">
        <v>3069</v>
      </c>
      <c r="I144" s="6" t="s">
        <v>3074</v>
      </c>
      <c r="J144" s="6" t="s">
        <v>3217</v>
      </c>
      <c r="K144" s="9">
        <v>7</v>
      </c>
      <c r="L144" s="6" t="s">
        <v>4277</v>
      </c>
      <c r="M144" s="6" t="s">
        <v>4280</v>
      </c>
      <c r="N144" s="4">
        <v>1363.85</v>
      </c>
      <c r="O144" s="6">
        <f t="shared" si="2"/>
        <v>1051</v>
      </c>
    </row>
    <row r="145" spans="1:15" x14ac:dyDescent="0.3">
      <c r="A145" s="6" t="s">
        <v>157</v>
      </c>
      <c r="B145" s="2">
        <v>45456</v>
      </c>
      <c r="C145" s="6" t="s">
        <v>1357</v>
      </c>
      <c r="D145" s="6" t="s">
        <v>2406</v>
      </c>
      <c r="E145" s="9">
        <v>4</v>
      </c>
      <c r="F145" s="4">
        <v>400.07</v>
      </c>
      <c r="G145" t="s">
        <v>2543</v>
      </c>
      <c r="H145" s="6" t="s">
        <v>3066</v>
      </c>
      <c r="I145" s="6" t="s">
        <v>3070</v>
      </c>
      <c r="J145" s="6" t="s">
        <v>3218</v>
      </c>
      <c r="K145" s="9">
        <v>5</v>
      </c>
      <c r="L145" s="6" t="s">
        <v>4283</v>
      </c>
      <c r="M145" s="6" t="s">
        <v>4279</v>
      </c>
      <c r="N145" s="4">
        <v>1600.28</v>
      </c>
      <c r="O145" s="6">
        <f t="shared" si="2"/>
        <v>1050</v>
      </c>
    </row>
    <row r="146" spans="1:15" x14ac:dyDescent="0.3">
      <c r="A146" s="6" t="s">
        <v>158</v>
      </c>
      <c r="B146" s="2">
        <v>45142</v>
      </c>
      <c r="C146" s="6" t="s">
        <v>1358</v>
      </c>
      <c r="D146" s="6" t="s">
        <v>2409</v>
      </c>
      <c r="E146" s="9">
        <v>5</v>
      </c>
      <c r="F146" s="4">
        <v>219.78</v>
      </c>
      <c r="G146" t="s">
        <v>2440</v>
      </c>
      <c r="H146" s="6" t="s">
        <v>3067</v>
      </c>
      <c r="I146" s="6" t="s">
        <v>3074</v>
      </c>
      <c r="J146" s="6" t="s">
        <v>3219</v>
      </c>
      <c r="K146" s="9">
        <v>8</v>
      </c>
      <c r="L146" s="6" t="s">
        <v>4283</v>
      </c>
      <c r="M146" s="6" t="s">
        <v>4281</v>
      </c>
      <c r="N146" s="4">
        <v>1098.9000000000001</v>
      </c>
      <c r="O146" s="6">
        <f t="shared" si="2"/>
        <v>1049</v>
      </c>
    </row>
    <row r="147" spans="1:15" x14ac:dyDescent="0.3">
      <c r="A147" s="6" t="s">
        <v>159</v>
      </c>
      <c r="B147" s="2">
        <v>45353</v>
      </c>
      <c r="C147" s="6" t="s">
        <v>1359</v>
      </c>
      <c r="D147" s="6" t="s">
        <v>2407</v>
      </c>
      <c r="E147" s="9">
        <v>3</v>
      </c>
      <c r="F147" s="4">
        <v>146.91</v>
      </c>
      <c r="G147" t="s">
        <v>2544</v>
      </c>
      <c r="H147" s="6" t="s">
        <v>3067</v>
      </c>
      <c r="I147" s="6" t="s">
        <v>3073</v>
      </c>
      <c r="J147" s="6" t="s">
        <v>3220</v>
      </c>
      <c r="K147" s="9">
        <v>6</v>
      </c>
      <c r="L147" s="6" t="s">
        <v>4276</v>
      </c>
      <c r="M147" s="6" t="s">
        <v>4282</v>
      </c>
      <c r="N147" s="4">
        <v>440.73</v>
      </c>
      <c r="O147" s="6">
        <f t="shared" si="2"/>
        <v>1048</v>
      </c>
    </row>
    <row r="148" spans="1:15" x14ac:dyDescent="0.3">
      <c r="A148" s="6" t="s">
        <v>160</v>
      </c>
      <c r="B148" s="2">
        <v>45777</v>
      </c>
      <c r="C148" s="6" t="s">
        <v>1360</v>
      </c>
      <c r="D148" s="6" t="s">
        <v>2405</v>
      </c>
      <c r="E148" s="9">
        <v>2</v>
      </c>
      <c r="F148" s="4">
        <v>411.49</v>
      </c>
      <c r="G148" t="s">
        <v>2545</v>
      </c>
      <c r="H148" s="6" t="s">
        <v>3067</v>
      </c>
      <c r="I148" s="6" t="s">
        <v>3072</v>
      </c>
      <c r="J148" s="6" t="s">
        <v>3221</v>
      </c>
      <c r="K148" s="9">
        <v>4</v>
      </c>
      <c r="L148" s="6" t="s">
        <v>4283</v>
      </c>
      <c r="M148" s="6" t="s">
        <v>4278</v>
      </c>
      <c r="N148" s="4">
        <v>822.98</v>
      </c>
      <c r="O148" s="6">
        <f t="shared" si="2"/>
        <v>1047</v>
      </c>
    </row>
    <row r="149" spans="1:15" x14ac:dyDescent="0.3">
      <c r="A149" s="6" t="s">
        <v>161</v>
      </c>
      <c r="B149" s="2">
        <v>45783</v>
      </c>
      <c r="C149" s="6" t="s">
        <v>1361</v>
      </c>
      <c r="D149" s="6" t="s">
        <v>2408</v>
      </c>
      <c r="E149" s="9">
        <v>2</v>
      </c>
      <c r="F149" s="4">
        <v>465.18</v>
      </c>
      <c r="G149" t="s">
        <v>2546</v>
      </c>
      <c r="H149" s="6" t="s">
        <v>3067</v>
      </c>
      <c r="I149" s="6" t="s">
        <v>3071</v>
      </c>
      <c r="J149" s="6" t="s">
        <v>3222</v>
      </c>
      <c r="K149" s="9">
        <v>2</v>
      </c>
      <c r="L149" s="6" t="s">
        <v>4275</v>
      </c>
      <c r="M149" s="6" t="s">
        <v>4282</v>
      </c>
      <c r="N149" s="4">
        <v>930.36</v>
      </c>
      <c r="O149" s="6">
        <f t="shared" si="2"/>
        <v>1046</v>
      </c>
    </row>
    <row r="150" spans="1:15" x14ac:dyDescent="0.3">
      <c r="A150" s="6" t="s">
        <v>162</v>
      </c>
      <c r="B150" s="2">
        <v>45641</v>
      </c>
      <c r="C150" s="6" t="s">
        <v>1362</v>
      </c>
      <c r="D150" s="6" t="s">
        <v>2404</v>
      </c>
      <c r="E150" s="9">
        <v>2</v>
      </c>
      <c r="F150" s="4">
        <v>319.91000000000003</v>
      </c>
      <c r="G150" t="s">
        <v>2547</v>
      </c>
      <c r="H150" s="6" t="s">
        <v>3067</v>
      </c>
      <c r="I150" s="6" t="s">
        <v>3071</v>
      </c>
      <c r="J150" s="6" t="s">
        <v>3223</v>
      </c>
      <c r="K150" s="9">
        <v>3</v>
      </c>
      <c r="L150" s="6" t="s">
        <v>4277</v>
      </c>
      <c r="M150" s="6" t="s">
        <v>4282</v>
      </c>
      <c r="N150" s="4">
        <v>639.82000000000005</v>
      </c>
      <c r="O150" s="6">
        <f t="shared" si="2"/>
        <v>1045</v>
      </c>
    </row>
    <row r="151" spans="1:15" x14ac:dyDescent="0.3">
      <c r="A151" s="6" t="s">
        <v>163</v>
      </c>
      <c r="B151" s="2">
        <v>45287</v>
      </c>
      <c r="C151" s="6" t="s">
        <v>1363</v>
      </c>
      <c r="D151" s="6" t="s">
        <v>2408</v>
      </c>
      <c r="E151" s="9">
        <v>1</v>
      </c>
      <c r="F151" s="4">
        <v>217.56</v>
      </c>
      <c r="G151" t="s">
        <v>2548</v>
      </c>
      <c r="H151" s="6" t="s">
        <v>3065</v>
      </c>
      <c r="I151" s="6" t="s">
        <v>3073</v>
      </c>
      <c r="J151" s="6" t="s">
        <v>3224</v>
      </c>
      <c r="K151" s="9">
        <v>3</v>
      </c>
      <c r="L151" s="6" t="s">
        <v>4283</v>
      </c>
      <c r="M151" s="6" t="s">
        <v>4281</v>
      </c>
      <c r="N151" s="4">
        <v>217.56</v>
      </c>
      <c r="O151" s="6">
        <f t="shared" si="2"/>
        <v>1044</v>
      </c>
    </row>
    <row r="152" spans="1:15" x14ac:dyDescent="0.3">
      <c r="A152" s="6" t="s">
        <v>164</v>
      </c>
      <c r="B152" s="2">
        <v>45273</v>
      </c>
      <c r="C152" s="6" t="s">
        <v>1364</v>
      </c>
      <c r="D152" s="6" t="s">
        <v>2404</v>
      </c>
      <c r="E152" s="9">
        <v>2</v>
      </c>
      <c r="F152" s="4">
        <v>105.57</v>
      </c>
      <c r="G152" t="s">
        <v>2549</v>
      </c>
      <c r="H152" s="6" t="s">
        <v>3065</v>
      </c>
      <c r="I152" s="6" t="s">
        <v>3072</v>
      </c>
      <c r="J152" s="6" t="s">
        <v>3225</v>
      </c>
      <c r="K152" s="9">
        <v>5</v>
      </c>
      <c r="L152" s="6" t="s">
        <v>4277</v>
      </c>
      <c r="M152" s="6" t="s">
        <v>4282</v>
      </c>
      <c r="N152" s="4">
        <v>211.14</v>
      </c>
      <c r="O152" s="6">
        <f t="shared" si="2"/>
        <v>1043</v>
      </c>
    </row>
    <row r="153" spans="1:15" x14ac:dyDescent="0.3">
      <c r="A153" s="6" t="s">
        <v>165</v>
      </c>
      <c r="B153" s="2">
        <v>45261</v>
      </c>
      <c r="C153" s="6" t="s">
        <v>1365</v>
      </c>
      <c r="D153" s="6" t="s">
        <v>2407</v>
      </c>
      <c r="E153" s="9">
        <v>5</v>
      </c>
      <c r="F153" s="4">
        <v>444.76</v>
      </c>
      <c r="G153" t="s">
        <v>2550</v>
      </c>
      <c r="H153" s="6" t="s">
        <v>3065</v>
      </c>
      <c r="I153" s="6" t="s">
        <v>3072</v>
      </c>
      <c r="J153" s="6" t="s">
        <v>3226</v>
      </c>
      <c r="K153" s="9">
        <v>7</v>
      </c>
      <c r="L153" s="6" t="s">
        <v>4283</v>
      </c>
      <c r="M153" s="6" t="s">
        <v>4280</v>
      </c>
      <c r="N153" s="4">
        <v>2223.8000000000002</v>
      </c>
      <c r="O153" s="6">
        <f t="shared" si="2"/>
        <v>1042</v>
      </c>
    </row>
    <row r="154" spans="1:15" x14ac:dyDescent="0.3">
      <c r="A154" s="6" t="s">
        <v>166</v>
      </c>
      <c r="B154" s="2">
        <v>45659</v>
      </c>
      <c r="C154" s="6" t="s">
        <v>1366</v>
      </c>
      <c r="D154" s="6" t="s">
        <v>2406</v>
      </c>
      <c r="E154" s="9">
        <v>2</v>
      </c>
      <c r="F154" s="4">
        <v>399.04</v>
      </c>
      <c r="G154" t="s">
        <v>2551</v>
      </c>
      <c r="H154" s="6" t="s">
        <v>3069</v>
      </c>
      <c r="I154" s="6" t="s">
        <v>3071</v>
      </c>
      <c r="J154" s="6" t="s">
        <v>3227</v>
      </c>
      <c r="K154" s="9">
        <v>3</v>
      </c>
      <c r="L154" s="6" t="s">
        <v>4276</v>
      </c>
      <c r="M154" s="6" t="s">
        <v>4279</v>
      </c>
      <c r="N154" s="4">
        <v>798.08</v>
      </c>
      <c r="O154" s="6">
        <f t="shared" si="2"/>
        <v>1041</v>
      </c>
    </row>
    <row r="155" spans="1:15" x14ac:dyDescent="0.3">
      <c r="A155" s="6" t="s">
        <v>167</v>
      </c>
      <c r="B155" s="2">
        <v>45644</v>
      </c>
      <c r="C155" s="6" t="s">
        <v>1367</v>
      </c>
      <c r="D155" s="6" t="s">
        <v>2406</v>
      </c>
      <c r="E155" s="9">
        <v>4</v>
      </c>
      <c r="F155" s="4">
        <v>534.48</v>
      </c>
      <c r="G155" t="s">
        <v>2552</v>
      </c>
      <c r="H155" s="6" t="s">
        <v>3066</v>
      </c>
      <c r="I155" s="6" t="s">
        <v>3072</v>
      </c>
      <c r="J155" s="6" t="s">
        <v>3228</v>
      </c>
      <c r="K155" s="9">
        <v>9</v>
      </c>
      <c r="L155" s="6" t="s">
        <v>4277</v>
      </c>
      <c r="M155" s="6" t="s">
        <v>4278</v>
      </c>
      <c r="N155" s="4">
        <v>2137.92</v>
      </c>
      <c r="O155" s="6">
        <f t="shared" si="2"/>
        <v>1040</v>
      </c>
    </row>
    <row r="156" spans="1:15" x14ac:dyDescent="0.3">
      <c r="A156" s="6" t="s">
        <v>168</v>
      </c>
      <c r="B156" s="2">
        <v>45127</v>
      </c>
      <c r="C156" s="6" t="s">
        <v>1368</v>
      </c>
      <c r="D156" s="6" t="s">
        <v>2404</v>
      </c>
      <c r="E156" s="9">
        <v>4</v>
      </c>
      <c r="F156" s="4">
        <v>408.21</v>
      </c>
      <c r="G156" t="s">
        <v>2525</v>
      </c>
      <c r="H156" s="6" t="s">
        <v>3067</v>
      </c>
      <c r="I156" s="6" t="s">
        <v>3074</v>
      </c>
      <c r="J156" s="6" t="s">
        <v>3229</v>
      </c>
      <c r="K156" s="9">
        <v>9</v>
      </c>
      <c r="L156" s="6" t="s">
        <v>4283</v>
      </c>
      <c r="M156" s="6" t="s">
        <v>4278</v>
      </c>
      <c r="N156" s="4">
        <v>1632.84</v>
      </c>
      <c r="O156" s="6">
        <f t="shared" si="2"/>
        <v>1039</v>
      </c>
    </row>
    <row r="157" spans="1:15" x14ac:dyDescent="0.3">
      <c r="A157" s="6" t="s">
        <v>169</v>
      </c>
      <c r="B157" s="2">
        <v>44984</v>
      </c>
      <c r="C157" s="6" t="s">
        <v>1369</v>
      </c>
      <c r="D157" s="6" t="s">
        <v>2404</v>
      </c>
      <c r="E157" s="9">
        <v>1</v>
      </c>
      <c r="F157" s="4">
        <v>424.4</v>
      </c>
      <c r="G157" t="s">
        <v>2457</v>
      </c>
      <c r="H157" s="6" t="s">
        <v>3066</v>
      </c>
      <c r="I157" s="6" t="s">
        <v>3070</v>
      </c>
      <c r="J157" s="6" t="s">
        <v>3230</v>
      </c>
      <c r="K157" s="9">
        <v>6</v>
      </c>
      <c r="L157" s="6" t="s">
        <v>4277</v>
      </c>
      <c r="M157" s="6" t="s">
        <v>4279</v>
      </c>
      <c r="N157" s="4">
        <v>424.4</v>
      </c>
      <c r="O157" s="6">
        <f t="shared" si="2"/>
        <v>1038</v>
      </c>
    </row>
    <row r="158" spans="1:15" x14ac:dyDescent="0.3">
      <c r="A158" s="6" t="s">
        <v>170</v>
      </c>
      <c r="B158" s="2">
        <v>45604</v>
      </c>
      <c r="C158" s="6" t="s">
        <v>1370</v>
      </c>
      <c r="D158" s="6" t="s">
        <v>2406</v>
      </c>
      <c r="E158" s="9">
        <v>2</v>
      </c>
      <c r="F158" s="4">
        <v>269.83</v>
      </c>
      <c r="G158" t="s">
        <v>2553</v>
      </c>
      <c r="H158" s="6" t="s">
        <v>3066</v>
      </c>
      <c r="I158" s="6" t="s">
        <v>3073</v>
      </c>
      <c r="J158" s="6" t="s">
        <v>3231</v>
      </c>
      <c r="K158" s="9">
        <v>4</v>
      </c>
      <c r="L158" s="6" t="s">
        <v>4275</v>
      </c>
      <c r="M158" s="6" t="s">
        <v>4280</v>
      </c>
      <c r="N158" s="4">
        <v>539.66</v>
      </c>
      <c r="O158" s="6">
        <f t="shared" si="2"/>
        <v>1037</v>
      </c>
    </row>
    <row r="159" spans="1:15" x14ac:dyDescent="0.3">
      <c r="A159" s="6" t="s">
        <v>171</v>
      </c>
      <c r="B159" s="2">
        <v>45709</v>
      </c>
      <c r="C159" s="6" t="s">
        <v>1371</v>
      </c>
      <c r="D159" s="6" t="s">
        <v>2403</v>
      </c>
      <c r="E159" s="9">
        <v>2</v>
      </c>
      <c r="F159" s="4">
        <v>564.58000000000004</v>
      </c>
      <c r="G159" t="s">
        <v>2535</v>
      </c>
      <c r="H159" s="6" t="s">
        <v>3066</v>
      </c>
      <c r="I159" s="6" t="s">
        <v>3072</v>
      </c>
      <c r="J159" s="6" t="s">
        <v>3232</v>
      </c>
      <c r="K159" s="9">
        <v>4</v>
      </c>
      <c r="L159" s="6" t="s">
        <v>4277</v>
      </c>
      <c r="M159" s="6" t="s">
        <v>4281</v>
      </c>
      <c r="N159" s="4">
        <v>1129.1600000000001</v>
      </c>
      <c r="O159" s="6">
        <f t="shared" si="2"/>
        <v>1036</v>
      </c>
    </row>
    <row r="160" spans="1:15" x14ac:dyDescent="0.3">
      <c r="A160" s="6" t="s">
        <v>172</v>
      </c>
      <c r="B160" s="2">
        <v>45428</v>
      </c>
      <c r="C160" s="6" t="s">
        <v>1372</v>
      </c>
      <c r="D160" s="6" t="s">
        <v>2405</v>
      </c>
      <c r="E160" s="9">
        <v>1</v>
      </c>
      <c r="F160" s="4">
        <v>331.06</v>
      </c>
      <c r="G160" t="s">
        <v>2554</v>
      </c>
      <c r="H160" s="6" t="s">
        <v>3067</v>
      </c>
      <c r="I160" s="6" t="s">
        <v>3074</v>
      </c>
      <c r="J160" s="6" t="s">
        <v>3233</v>
      </c>
      <c r="K160" s="9">
        <v>5</v>
      </c>
      <c r="L160" s="6" t="s">
        <v>4277</v>
      </c>
      <c r="M160" s="6" t="s">
        <v>4278</v>
      </c>
      <c r="N160" s="4">
        <v>331.06</v>
      </c>
      <c r="O160" s="6">
        <f t="shared" si="2"/>
        <v>1035</v>
      </c>
    </row>
    <row r="161" spans="1:15" x14ac:dyDescent="0.3">
      <c r="A161" s="6" t="s">
        <v>173</v>
      </c>
      <c r="B161" s="2">
        <v>45230</v>
      </c>
      <c r="C161" s="6" t="s">
        <v>1373</v>
      </c>
      <c r="D161" s="6" t="s">
        <v>2407</v>
      </c>
      <c r="E161" s="9">
        <v>1</v>
      </c>
      <c r="F161" s="4">
        <v>299.35000000000002</v>
      </c>
      <c r="G161" t="s">
        <v>2555</v>
      </c>
      <c r="H161" s="6" t="s">
        <v>3067</v>
      </c>
      <c r="I161" s="6" t="s">
        <v>3071</v>
      </c>
      <c r="J161" s="6" t="s">
        <v>3234</v>
      </c>
      <c r="K161" s="9">
        <v>5</v>
      </c>
      <c r="L161" s="6" t="s">
        <v>4277</v>
      </c>
      <c r="M161" s="6" t="s">
        <v>4280</v>
      </c>
      <c r="N161" s="4">
        <v>299.35000000000002</v>
      </c>
      <c r="O161" s="6">
        <f t="shared" si="2"/>
        <v>1034</v>
      </c>
    </row>
    <row r="162" spans="1:15" x14ac:dyDescent="0.3">
      <c r="A162" s="6" t="s">
        <v>174</v>
      </c>
      <c r="B162" s="2">
        <v>44974</v>
      </c>
      <c r="C162" s="6" t="s">
        <v>1374</v>
      </c>
      <c r="D162" s="6" t="s">
        <v>2403</v>
      </c>
      <c r="E162" s="9">
        <v>4</v>
      </c>
      <c r="F162" s="4">
        <v>101.32</v>
      </c>
      <c r="G162" t="s">
        <v>2556</v>
      </c>
      <c r="H162" s="6" t="s">
        <v>3069</v>
      </c>
      <c r="I162" s="6" t="s">
        <v>3074</v>
      </c>
      <c r="J162" s="6" t="s">
        <v>3235</v>
      </c>
      <c r="K162" s="9">
        <v>7</v>
      </c>
      <c r="L162" s="6" t="s">
        <v>4283</v>
      </c>
      <c r="M162" s="6" t="s">
        <v>4279</v>
      </c>
      <c r="N162" s="4">
        <v>405.28</v>
      </c>
      <c r="O162" s="6">
        <f t="shared" si="2"/>
        <v>1033</v>
      </c>
    </row>
    <row r="163" spans="1:15" x14ac:dyDescent="0.3">
      <c r="A163" s="6" t="s">
        <v>175</v>
      </c>
      <c r="B163" s="2">
        <v>45380</v>
      </c>
      <c r="C163" s="6" t="s">
        <v>1375</v>
      </c>
      <c r="D163" s="6" t="s">
        <v>2403</v>
      </c>
      <c r="E163" s="9">
        <v>1</v>
      </c>
      <c r="F163" s="4">
        <v>211.14</v>
      </c>
      <c r="G163" t="s">
        <v>2532</v>
      </c>
      <c r="H163" s="6" t="s">
        <v>3067</v>
      </c>
      <c r="I163" s="6" t="s">
        <v>3071</v>
      </c>
      <c r="J163" s="6" t="s">
        <v>3236</v>
      </c>
      <c r="K163" s="9">
        <v>1</v>
      </c>
      <c r="L163" s="6" t="s">
        <v>4275</v>
      </c>
      <c r="M163" s="6" t="s">
        <v>4281</v>
      </c>
      <c r="N163" s="4">
        <v>211.14</v>
      </c>
      <c r="O163" s="6">
        <f t="shared" si="2"/>
        <v>1032</v>
      </c>
    </row>
    <row r="164" spans="1:15" x14ac:dyDescent="0.3">
      <c r="A164" s="6" t="s">
        <v>176</v>
      </c>
      <c r="B164" s="2">
        <v>45134</v>
      </c>
      <c r="C164" s="6" t="s">
        <v>1376</v>
      </c>
      <c r="D164" s="6" t="s">
        <v>2406</v>
      </c>
      <c r="E164" s="9">
        <v>3</v>
      </c>
      <c r="F164" s="4">
        <v>65.86</v>
      </c>
      <c r="G164" t="s">
        <v>2479</v>
      </c>
      <c r="H164" s="6" t="s">
        <v>3066</v>
      </c>
      <c r="I164" s="6" t="s">
        <v>3074</v>
      </c>
      <c r="J164" s="6" t="s">
        <v>3237</v>
      </c>
      <c r="K164" s="9">
        <v>8</v>
      </c>
      <c r="L164" s="6" t="s">
        <v>4277</v>
      </c>
      <c r="M164" s="6" t="s">
        <v>4282</v>
      </c>
      <c r="N164" s="4">
        <v>197.58</v>
      </c>
      <c r="O164" s="6">
        <f t="shared" si="2"/>
        <v>1031</v>
      </c>
    </row>
    <row r="165" spans="1:15" x14ac:dyDescent="0.3">
      <c r="A165" s="6" t="s">
        <v>177</v>
      </c>
      <c r="B165" s="2">
        <v>45832</v>
      </c>
      <c r="C165" s="6" t="s">
        <v>1377</v>
      </c>
      <c r="D165" s="6" t="s">
        <v>2405</v>
      </c>
      <c r="E165" s="9">
        <v>1</v>
      </c>
      <c r="F165" s="4">
        <v>641.39</v>
      </c>
      <c r="G165" t="s">
        <v>2557</v>
      </c>
      <c r="H165" s="6" t="s">
        <v>3066</v>
      </c>
      <c r="I165" s="6" t="s">
        <v>3071</v>
      </c>
      <c r="J165" s="6" t="s">
        <v>3238</v>
      </c>
      <c r="K165" s="9">
        <v>1</v>
      </c>
      <c r="L165" s="6" t="s">
        <v>4283</v>
      </c>
      <c r="M165" s="6" t="s">
        <v>4279</v>
      </c>
      <c r="N165" s="4">
        <v>641.39</v>
      </c>
      <c r="O165" s="6">
        <f t="shared" si="2"/>
        <v>1030</v>
      </c>
    </row>
    <row r="166" spans="1:15" x14ac:dyDescent="0.3">
      <c r="A166" s="6" t="s">
        <v>178</v>
      </c>
      <c r="B166" s="2">
        <v>45288</v>
      </c>
      <c r="C166" s="6" t="s">
        <v>1378</v>
      </c>
      <c r="D166" s="6" t="s">
        <v>2409</v>
      </c>
      <c r="E166" s="9">
        <v>5</v>
      </c>
      <c r="F166" s="4">
        <v>536.58000000000004</v>
      </c>
      <c r="G166" t="s">
        <v>2558</v>
      </c>
      <c r="H166" s="6" t="s">
        <v>3068</v>
      </c>
      <c r="I166" s="6" t="s">
        <v>3074</v>
      </c>
      <c r="J166" s="6" t="s">
        <v>3239</v>
      </c>
      <c r="K166" s="9">
        <v>5</v>
      </c>
      <c r="L166" s="6" t="s">
        <v>4275</v>
      </c>
      <c r="M166" s="6" t="s">
        <v>4282</v>
      </c>
      <c r="N166" s="4">
        <v>2682.9</v>
      </c>
      <c r="O166" s="6">
        <f t="shared" si="2"/>
        <v>1029</v>
      </c>
    </row>
    <row r="167" spans="1:15" x14ac:dyDescent="0.3">
      <c r="A167" s="6" t="s">
        <v>179</v>
      </c>
      <c r="B167" s="2">
        <v>45549</v>
      </c>
      <c r="C167" s="6" t="s">
        <v>1379</v>
      </c>
      <c r="D167" s="6" t="s">
        <v>2403</v>
      </c>
      <c r="E167" s="9">
        <v>2</v>
      </c>
      <c r="F167" s="4">
        <v>500.29</v>
      </c>
      <c r="G167" t="s">
        <v>2559</v>
      </c>
      <c r="H167" s="6" t="s">
        <v>3066</v>
      </c>
      <c r="I167" s="6" t="s">
        <v>3072</v>
      </c>
      <c r="J167" s="6" t="s">
        <v>3240</v>
      </c>
      <c r="K167" s="9">
        <v>7</v>
      </c>
      <c r="L167" s="6" t="s">
        <v>4277</v>
      </c>
      <c r="M167" s="6" t="s">
        <v>4282</v>
      </c>
      <c r="N167" s="4">
        <v>1000.58</v>
      </c>
      <c r="O167" s="6">
        <f t="shared" si="2"/>
        <v>1028</v>
      </c>
    </row>
    <row r="168" spans="1:15" x14ac:dyDescent="0.3">
      <c r="A168" s="6" t="s">
        <v>180</v>
      </c>
      <c r="B168" s="2">
        <v>45720</v>
      </c>
      <c r="C168" s="6" t="s">
        <v>1380</v>
      </c>
      <c r="D168" s="6" t="s">
        <v>2406</v>
      </c>
      <c r="E168" s="9">
        <v>3</v>
      </c>
      <c r="F168" s="4">
        <v>86.29</v>
      </c>
      <c r="G168" t="s">
        <v>2461</v>
      </c>
      <c r="H168" s="6" t="s">
        <v>3069</v>
      </c>
      <c r="I168" s="6" t="s">
        <v>3073</v>
      </c>
      <c r="J168" s="6" t="s">
        <v>3241</v>
      </c>
      <c r="K168" s="9">
        <v>6</v>
      </c>
      <c r="L168" s="6" t="s">
        <v>4277</v>
      </c>
      <c r="M168" s="6" t="s">
        <v>4278</v>
      </c>
      <c r="N168" s="4">
        <v>258.87</v>
      </c>
      <c r="O168" s="6">
        <f t="shared" si="2"/>
        <v>1027</v>
      </c>
    </row>
    <row r="169" spans="1:15" x14ac:dyDescent="0.3">
      <c r="A169" s="6" t="s">
        <v>181</v>
      </c>
      <c r="B169" s="2">
        <v>45073</v>
      </c>
      <c r="C169" s="6" t="s">
        <v>1381</v>
      </c>
      <c r="D169" s="6" t="s">
        <v>2406</v>
      </c>
      <c r="E169" s="9">
        <v>2</v>
      </c>
      <c r="F169" s="4">
        <v>384.14</v>
      </c>
      <c r="G169" t="s">
        <v>2560</v>
      </c>
      <c r="H169" s="6" t="s">
        <v>3066</v>
      </c>
      <c r="I169" s="6" t="s">
        <v>3072</v>
      </c>
      <c r="J169" s="6" t="s">
        <v>3242</v>
      </c>
      <c r="K169" s="9">
        <v>2</v>
      </c>
      <c r="L169" s="6" t="s">
        <v>4277</v>
      </c>
      <c r="M169" s="6" t="s">
        <v>4280</v>
      </c>
      <c r="N169" s="4">
        <v>768.28</v>
      </c>
      <c r="O169" s="6">
        <f t="shared" si="2"/>
        <v>1026</v>
      </c>
    </row>
    <row r="170" spans="1:15" x14ac:dyDescent="0.3">
      <c r="A170" s="6" t="s">
        <v>182</v>
      </c>
      <c r="B170" s="2">
        <v>45661</v>
      </c>
      <c r="C170" s="6" t="s">
        <v>1382</v>
      </c>
      <c r="D170" s="6" t="s">
        <v>2407</v>
      </c>
      <c r="E170" s="9">
        <v>1</v>
      </c>
      <c r="F170" s="4">
        <v>594.96</v>
      </c>
      <c r="G170" t="s">
        <v>2561</v>
      </c>
      <c r="H170" s="6" t="s">
        <v>3069</v>
      </c>
      <c r="I170" s="6" t="s">
        <v>3072</v>
      </c>
      <c r="J170" s="6" t="s">
        <v>3243</v>
      </c>
      <c r="K170" s="9">
        <v>6</v>
      </c>
      <c r="L170" s="6" t="s">
        <v>4283</v>
      </c>
      <c r="M170" s="6" t="s">
        <v>4281</v>
      </c>
      <c r="N170" s="4">
        <v>594.96</v>
      </c>
      <c r="O170" s="6">
        <f t="shared" si="2"/>
        <v>1025</v>
      </c>
    </row>
    <row r="171" spans="1:15" x14ac:dyDescent="0.3">
      <c r="A171" s="6" t="s">
        <v>183</v>
      </c>
      <c r="B171" s="2">
        <v>45389</v>
      </c>
      <c r="C171" s="6" t="s">
        <v>1383</v>
      </c>
      <c r="D171" s="6" t="s">
        <v>2407</v>
      </c>
      <c r="E171" s="9">
        <v>1</v>
      </c>
      <c r="F171" s="4">
        <v>427.82</v>
      </c>
      <c r="G171" t="s">
        <v>2562</v>
      </c>
      <c r="H171" s="6" t="s">
        <v>3066</v>
      </c>
      <c r="I171" s="6" t="s">
        <v>3073</v>
      </c>
      <c r="J171" s="6" t="s">
        <v>3244</v>
      </c>
      <c r="K171" s="9">
        <v>2</v>
      </c>
      <c r="L171" s="6" t="s">
        <v>4277</v>
      </c>
      <c r="M171" s="6" t="s">
        <v>4280</v>
      </c>
      <c r="N171" s="4">
        <v>427.82</v>
      </c>
      <c r="O171" s="6">
        <f t="shared" si="2"/>
        <v>1024</v>
      </c>
    </row>
    <row r="172" spans="1:15" x14ac:dyDescent="0.3">
      <c r="A172" s="6" t="s">
        <v>184</v>
      </c>
      <c r="B172" s="2">
        <v>45751</v>
      </c>
      <c r="C172" s="6" t="s">
        <v>1384</v>
      </c>
      <c r="D172" s="6" t="s">
        <v>2409</v>
      </c>
      <c r="E172" s="9">
        <v>4</v>
      </c>
      <c r="F172" s="4">
        <v>662.94</v>
      </c>
      <c r="G172" t="s">
        <v>2563</v>
      </c>
      <c r="H172" s="6" t="s">
        <v>3069</v>
      </c>
      <c r="I172" s="6" t="s">
        <v>3071</v>
      </c>
      <c r="J172" s="6" t="s">
        <v>3245</v>
      </c>
      <c r="K172" s="9">
        <v>8</v>
      </c>
      <c r="L172" s="6" t="s">
        <v>4275</v>
      </c>
      <c r="M172" s="6" t="s">
        <v>4278</v>
      </c>
      <c r="N172" s="4">
        <v>2651.76</v>
      </c>
      <c r="O172" s="6">
        <f t="shared" si="2"/>
        <v>1023</v>
      </c>
    </row>
    <row r="173" spans="1:15" x14ac:dyDescent="0.3">
      <c r="A173" s="6" t="s">
        <v>185</v>
      </c>
      <c r="B173" s="2">
        <v>45153</v>
      </c>
      <c r="C173" s="6" t="s">
        <v>1385</v>
      </c>
      <c r="D173" s="6" t="s">
        <v>2405</v>
      </c>
      <c r="E173" s="9">
        <v>2</v>
      </c>
      <c r="F173" s="4">
        <v>148.22</v>
      </c>
      <c r="G173" t="s">
        <v>2564</v>
      </c>
      <c r="H173" s="6" t="s">
        <v>3067</v>
      </c>
      <c r="I173" s="6" t="s">
        <v>3073</v>
      </c>
      <c r="J173" s="6" t="s">
        <v>3246</v>
      </c>
      <c r="K173" s="9">
        <v>7</v>
      </c>
      <c r="L173" s="6" t="s">
        <v>4277</v>
      </c>
      <c r="M173" s="6" t="s">
        <v>4278</v>
      </c>
      <c r="N173" s="4">
        <v>296.44</v>
      </c>
      <c r="O173" s="6">
        <f t="shared" si="2"/>
        <v>1022</v>
      </c>
    </row>
    <row r="174" spans="1:15" x14ac:dyDescent="0.3">
      <c r="A174" s="6" t="s">
        <v>186</v>
      </c>
      <c r="B174" s="2">
        <v>45753</v>
      </c>
      <c r="C174" s="6" t="s">
        <v>1386</v>
      </c>
      <c r="D174" s="6" t="s">
        <v>2407</v>
      </c>
      <c r="E174" s="9">
        <v>1</v>
      </c>
      <c r="F174" s="4">
        <v>254.12</v>
      </c>
      <c r="G174" t="s">
        <v>2529</v>
      </c>
      <c r="H174" s="6" t="s">
        <v>3066</v>
      </c>
      <c r="I174" s="6" t="s">
        <v>3073</v>
      </c>
      <c r="J174" s="6" t="s">
        <v>3247</v>
      </c>
      <c r="K174" s="9">
        <v>1</v>
      </c>
      <c r="L174" s="6" t="s">
        <v>4277</v>
      </c>
      <c r="M174" s="6" t="s">
        <v>4280</v>
      </c>
      <c r="N174" s="4">
        <v>254.12</v>
      </c>
      <c r="O174" s="6">
        <f t="shared" si="2"/>
        <v>1021</v>
      </c>
    </row>
    <row r="175" spans="1:15" x14ac:dyDescent="0.3">
      <c r="A175" s="6" t="s">
        <v>187</v>
      </c>
      <c r="B175" s="2">
        <v>45375</v>
      </c>
      <c r="C175" s="6" t="s">
        <v>1387</v>
      </c>
      <c r="D175" s="6" t="s">
        <v>2404</v>
      </c>
      <c r="E175" s="9">
        <v>3</v>
      </c>
      <c r="F175" s="4">
        <v>664.46</v>
      </c>
      <c r="G175" t="s">
        <v>2565</v>
      </c>
      <c r="H175" s="6" t="s">
        <v>3066</v>
      </c>
      <c r="I175" s="6" t="s">
        <v>3073</v>
      </c>
      <c r="J175" s="6" t="s">
        <v>3248</v>
      </c>
      <c r="K175" s="9">
        <v>4</v>
      </c>
      <c r="L175" s="6" t="s">
        <v>4276</v>
      </c>
      <c r="M175" s="6" t="s">
        <v>4282</v>
      </c>
      <c r="N175" s="4">
        <v>1993.38</v>
      </c>
      <c r="O175" s="6">
        <f t="shared" si="2"/>
        <v>1020</v>
      </c>
    </row>
    <row r="176" spans="1:15" x14ac:dyDescent="0.3">
      <c r="A176" s="6" t="s">
        <v>188</v>
      </c>
      <c r="B176" s="2">
        <v>45398</v>
      </c>
      <c r="C176" s="6" t="s">
        <v>1388</v>
      </c>
      <c r="D176" s="6" t="s">
        <v>2407</v>
      </c>
      <c r="E176" s="9">
        <v>4</v>
      </c>
      <c r="F176" s="4">
        <v>600.80999999999995</v>
      </c>
      <c r="G176" t="s">
        <v>2566</v>
      </c>
      <c r="H176" s="6" t="s">
        <v>3065</v>
      </c>
      <c r="I176" s="6" t="s">
        <v>3073</v>
      </c>
      <c r="J176" s="6" t="s">
        <v>3249</v>
      </c>
      <c r="K176" s="9">
        <v>9</v>
      </c>
      <c r="L176" s="6" t="s">
        <v>4275</v>
      </c>
      <c r="M176" s="6" t="s">
        <v>4280</v>
      </c>
      <c r="N176" s="4">
        <v>2403.2399999999998</v>
      </c>
      <c r="O176" s="6">
        <f t="shared" si="2"/>
        <v>1019</v>
      </c>
    </row>
    <row r="177" spans="1:15" x14ac:dyDescent="0.3">
      <c r="A177" s="6" t="s">
        <v>189</v>
      </c>
      <c r="B177" s="2">
        <v>45696</v>
      </c>
      <c r="C177" s="6" t="s">
        <v>1389</v>
      </c>
      <c r="D177" s="6" t="s">
        <v>2406</v>
      </c>
      <c r="E177" s="9">
        <v>5</v>
      </c>
      <c r="F177" s="4">
        <v>68.34</v>
      </c>
      <c r="G177" t="s">
        <v>2567</v>
      </c>
      <c r="H177" s="6" t="s">
        <v>3065</v>
      </c>
      <c r="I177" s="6" t="s">
        <v>3074</v>
      </c>
      <c r="J177" s="6" t="s">
        <v>3250</v>
      </c>
      <c r="K177" s="9">
        <v>6</v>
      </c>
      <c r="L177" s="6" t="s">
        <v>4277</v>
      </c>
      <c r="M177" s="6" t="s">
        <v>4279</v>
      </c>
      <c r="N177" s="4">
        <v>341.7</v>
      </c>
      <c r="O177" s="6">
        <f t="shared" si="2"/>
        <v>1018</v>
      </c>
    </row>
    <row r="178" spans="1:15" x14ac:dyDescent="0.3">
      <c r="A178" s="6" t="s">
        <v>190</v>
      </c>
      <c r="B178" s="2">
        <v>45836</v>
      </c>
      <c r="C178" s="6" t="s">
        <v>1390</v>
      </c>
      <c r="D178" s="6" t="s">
        <v>2405</v>
      </c>
      <c r="E178" s="9">
        <v>4</v>
      </c>
      <c r="F178" s="4">
        <v>430.83</v>
      </c>
      <c r="G178" t="s">
        <v>2568</v>
      </c>
      <c r="H178" s="6" t="s">
        <v>3068</v>
      </c>
      <c r="I178" s="6" t="s">
        <v>3074</v>
      </c>
      <c r="J178" s="6" t="s">
        <v>3251</v>
      </c>
      <c r="K178" s="9">
        <v>8</v>
      </c>
      <c r="L178" s="6" t="s">
        <v>4277</v>
      </c>
      <c r="M178" s="6" t="s">
        <v>4279</v>
      </c>
      <c r="N178" s="4">
        <v>1723.32</v>
      </c>
      <c r="O178" s="6">
        <f t="shared" si="2"/>
        <v>1017</v>
      </c>
    </row>
    <row r="179" spans="1:15" x14ac:dyDescent="0.3">
      <c r="A179" s="6" t="s">
        <v>191</v>
      </c>
      <c r="B179" s="2">
        <v>45143</v>
      </c>
      <c r="C179" s="6" t="s">
        <v>1391</v>
      </c>
      <c r="D179" s="6" t="s">
        <v>2406</v>
      </c>
      <c r="E179" s="9">
        <v>5</v>
      </c>
      <c r="F179" s="4">
        <v>431.69</v>
      </c>
      <c r="G179" t="s">
        <v>2569</v>
      </c>
      <c r="H179" s="6" t="s">
        <v>3067</v>
      </c>
      <c r="I179" s="6" t="s">
        <v>3074</v>
      </c>
      <c r="J179" s="6" t="s">
        <v>3252</v>
      </c>
      <c r="K179" s="9">
        <v>10</v>
      </c>
      <c r="L179" s="6" t="s">
        <v>4283</v>
      </c>
      <c r="M179" s="6" t="s">
        <v>4281</v>
      </c>
      <c r="N179" s="4">
        <v>2158.4499999999998</v>
      </c>
      <c r="O179" s="6">
        <f t="shared" si="2"/>
        <v>1016</v>
      </c>
    </row>
    <row r="180" spans="1:15" x14ac:dyDescent="0.3">
      <c r="A180" s="6" t="s">
        <v>192</v>
      </c>
      <c r="B180" s="2">
        <v>45393</v>
      </c>
      <c r="C180" s="6" t="s">
        <v>1392</v>
      </c>
      <c r="D180" s="6" t="s">
        <v>2406</v>
      </c>
      <c r="E180" s="9">
        <v>4</v>
      </c>
      <c r="F180" s="4">
        <v>512.05999999999995</v>
      </c>
      <c r="G180" t="s">
        <v>2570</v>
      </c>
      <c r="H180" s="6" t="s">
        <v>3066</v>
      </c>
      <c r="I180" s="6" t="s">
        <v>3073</v>
      </c>
      <c r="J180" s="6" t="s">
        <v>3253</v>
      </c>
      <c r="K180" s="9">
        <v>5</v>
      </c>
      <c r="L180" s="6" t="s">
        <v>4275</v>
      </c>
      <c r="M180" s="6" t="s">
        <v>4282</v>
      </c>
      <c r="N180" s="4">
        <v>2048.2399999999998</v>
      </c>
      <c r="O180" s="6">
        <f t="shared" si="2"/>
        <v>1015</v>
      </c>
    </row>
    <row r="181" spans="1:15" x14ac:dyDescent="0.3">
      <c r="A181" s="6" t="s">
        <v>193</v>
      </c>
      <c r="B181" s="2">
        <v>45620</v>
      </c>
      <c r="C181" s="6" t="s">
        <v>1393</v>
      </c>
      <c r="D181" s="6" t="s">
        <v>2408</v>
      </c>
      <c r="E181" s="9">
        <v>3</v>
      </c>
      <c r="F181" s="4">
        <v>539.91</v>
      </c>
      <c r="G181" t="s">
        <v>2571</v>
      </c>
      <c r="H181" s="6" t="s">
        <v>3067</v>
      </c>
      <c r="I181" s="6" t="s">
        <v>3073</v>
      </c>
      <c r="J181" s="6" t="s">
        <v>3254</v>
      </c>
      <c r="K181" s="9">
        <v>8</v>
      </c>
      <c r="L181" s="6" t="s">
        <v>4283</v>
      </c>
      <c r="M181" s="6" t="s">
        <v>4280</v>
      </c>
      <c r="N181" s="4">
        <v>1619.73</v>
      </c>
      <c r="O181" s="6">
        <f t="shared" si="2"/>
        <v>1014</v>
      </c>
    </row>
    <row r="182" spans="1:15" x14ac:dyDescent="0.3">
      <c r="A182" s="6" t="s">
        <v>194</v>
      </c>
      <c r="B182" s="2">
        <v>45003</v>
      </c>
      <c r="C182" s="6" t="s">
        <v>1394</v>
      </c>
      <c r="D182" s="6" t="s">
        <v>2405</v>
      </c>
      <c r="E182" s="9">
        <v>5</v>
      </c>
      <c r="F182" s="4">
        <v>316.07</v>
      </c>
      <c r="G182" t="s">
        <v>2572</v>
      </c>
      <c r="H182" s="6" t="s">
        <v>3069</v>
      </c>
      <c r="I182" s="6" t="s">
        <v>3072</v>
      </c>
      <c r="J182" s="6" t="s">
        <v>3255</v>
      </c>
      <c r="K182" s="9">
        <v>10</v>
      </c>
      <c r="L182" s="6" t="s">
        <v>4283</v>
      </c>
      <c r="M182" s="6" t="s">
        <v>4282</v>
      </c>
      <c r="N182" s="4">
        <v>1580.35</v>
      </c>
      <c r="O182" s="6">
        <f t="shared" si="2"/>
        <v>1013</v>
      </c>
    </row>
    <row r="183" spans="1:15" x14ac:dyDescent="0.3">
      <c r="A183" s="6" t="s">
        <v>195</v>
      </c>
      <c r="B183" s="2">
        <v>45535</v>
      </c>
      <c r="C183" s="6" t="s">
        <v>1395</v>
      </c>
      <c r="D183" s="6" t="s">
        <v>2407</v>
      </c>
      <c r="E183" s="9">
        <v>5</v>
      </c>
      <c r="F183" s="4">
        <v>404.39</v>
      </c>
      <c r="G183" t="s">
        <v>2573</v>
      </c>
      <c r="H183" s="6" t="s">
        <v>3066</v>
      </c>
      <c r="I183" s="6" t="s">
        <v>3070</v>
      </c>
      <c r="J183" s="6" t="s">
        <v>3256</v>
      </c>
      <c r="K183" s="9">
        <v>10</v>
      </c>
      <c r="L183" s="6" t="s">
        <v>4283</v>
      </c>
      <c r="M183" s="6" t="s">
        <v>4279</v>
      </c>
      <c r="N183" s="4">
        <v>2021.95</v>
      </c>
      <c r="O183" s="6">
        <f t="shared" si="2"/>
        <v>1012</v>
      </c>
    </row>
    <row r="184" spans="1:15" x14ac:dyDescent="0.3">
      <c r="A184" s="6" t="s">
        <v>196</v>
      </c>
      <c r="B184" s="2">
        <v>45735</v>
      </c>
      <c r="C184" s="6" t="s">
        <v>1396</v>
      </c>
      <c r="D184" s="6" t="s">
        <v>2409</v>
      </c>
      <c r="E184" s="9">
        <v>1</v>
      </c>
      <c r="F184" s="4">
        <v>600.54</v>
      </c>
      <c r="G184" t="s">
        <v>2574</v>
      </c>
      <c r="H184" s="6" t="s">
        <v>3065</v>
      </c>
      <c r="I184" s="6" t="s">
        <v>3074</v>
      </c>
      <c r="J184" s="6" t="s">
        <v>3257</v>
      </c>
      <c r="K184" s="9">
        <v>4</v>
      </c>
      <c r="L184" s="6" t="s">
        <v>4277</v>
      </c>
      <c r="M184" s="6" t="s">
        <v>4282</v>
      </c>
      <c r="N184" s="4">
        <v>600.54</v>
      </c>
      <c r="O184" s="6">
        <f t="shared" si="2"/>
        <v>1011</v>
      </c>
    </row>
    <row r="185" spans="1:15" x14ac:dyDescent="0.3">
      <c r="A185" s="6" t="s">
        <v>197</v>
      </c>
      <c r="B185" s="2">
        <v>45400</v>
      </c>
      <c r="C185" s="6" t="s">
        <v>1397</v>
      </c>
      <c r="D185" s="6" t="s">
        <v>2403</v>
      </c>
      <c r="E185" s="9">
        <v>5</v>
      </c>
      <c r="F185" s="4">
        <v>186.28</v>
      </c>
      <c r="G185" t="s">
        <v>2575</v>
      </c>
      <c r="H185" s="6" t="s">
        <v>3065</v>
      </c>
      <c r="I185" s="6" t="s">
        <v>3073</v>
      </c>
      <c r="J185" s="6" t="s">
        <v>3258</v>
      </c>
      <c r="K185" s="9">
        <v>8</v>
      </c>
      <c r="L185" s="6" t="s">
        <v>4275</v>
      </c>
      <c r="M185" s="6" t="s">
        <v>4280</v>
      </c>
      <c r="N185" s="4">
        <v>931.4</v>
      </c>
      <c r="O185" s="6">
        <f t="shared" si="2"/>
        <v>1010</v>
      </c>
    </row>
    <row r="186" spans="1:15" x14ac:dyDescent="0.3">
      <c r="A186" s="6" t="s">
        <v>198</v>
      </c>
      <c r="B186" s="2">
        <v>45386</v>
      </c>
      <c r="C186" s="6" t="s">
        <v>1398</v>
      </c>
      <c r="D186" s="6" t="s">
        <v>2405</v>
      </c>
      <c r="E186" s="9">
        <v>4</v>
      </c>
      <c r="F186" s="4">
        <v>214.54</v>
      </c>
      <c r="G186" t="s">
        <v>2576</v>
      </c>
      <c r="H186" s="6" t="s">
        <v>3068</v>
      </c>
      <c r="I186" s="6" t="s">
        <v>3071</v>
      </c>
      <c r="J186" s="6" t="s">
        <v>3259</v>
      </c>
      <c r="K186" s="9">
        <v>7</v>
      </c>
      <c r="L186" s="6" t="s">
        <v>4283</v>
      </c>
      <c r="M186" s="6" t="s">
        <v>4279</v>
      </c>
      <c r="N186" s="4">
        <v>858.16</v>
      </c>
      <c r="O186" s="6">
        <f t="shared" si="2"/>
        <v>1009</v>
      </c>
    </row>
    <row r="187" spans="1:15" x14ac:dyDescent="0.3">
      <c r="A187" s="6" t="s">
        <v>199</v>
      </c>
      <c r="B187" s="2">
        <v>45690</v>
      </c>
      <c r="C187" s="6" t="s">
        <v>1399</v>
      </c>
      <c r="D187" s="6" t="s">
        <v>2408</v>
      </c>
      <c r="E187" s="9">
        <v>1</v>
      </c>
      <c r="F187" s="4">
        <v>210.7</v>
      </c>
      <c r="G187" t="s">
        <v>2577</v>
      </c>
      <c r="H187" s="6" t="s">
        <v>3066</v>
      </c>
      <c r="I187" s="6" t="s">
        <v>3070</v>
      </c>
      <c r="J187" s="6" t="s">
        <v>3260</v>
      </c>
      <c r="K187" s="9">
        <v>2</v>
      </c>
      <c r="L187" s="6" t="s">
        <v>4277</v>
      </c>
      <c r="M187" s="6" t="s">
        <v>4279</v>
      </c>
      <c r="N187" s="4">
        <v>210.7</v>
      </c>
      <c r="O187" s="6">
        <f t="shared" si="2"/>
        <v>1008</v>
      </c>
    </row>
    <row r="188" spans="1:15" x14ac:dyDescent="0.3">
      <c r="A188" s="6" t="s">
        <v>200</v>
      </c>
      <c r="B188" s="2">
        <v>45267</v>
      </c>
      <c r="C188" s="6" t="s">
        <v>1400</v>
      </c>
      <c r="D188" s="6" t="s">
        <v>2404</v>
      </c>
      <c r="E188" s="9">
        <v>2</v>
      </c>
      <c r="F188" s="4">
        <v>133.55000000000001</v>
      </c>
      <c r="G188" t="s">
        <v>2578</v>
      </c>
      <c r="H188" s="6" t="s">
        <v>3069</v>
      </c>
      <c r="I188" s="6" t="s">
        <v>3074</v>
      </c>
      <c r="J188" s="6" t="s">
        <v>3261</v>
      </c>
      <c r="K188" s="9">
        <v>7</v>
      </c>
      <c r="L188" s="6" t="s">
        <v>4276</v>
      </c>
      <c r="M188" s="6" t="s">
        <v>4281</v>
      </c>
      <c r="N188" s="4">
        <v>267.10000000000002</v>
      </c>
      <c r="O188" s="6">
        <f t="shared" si="2"/>
        <v>1007</v>
      </c>
    </row>
    <row r="189" spans="1:15" x14ac:dyDescent="0.3">
      <c r="A189" s="6" t="s">
        <v>201</v>
      </c>
      <c r="B189" s="2">
        <v>44965</v>
      </c>
      <c r="C189" s="6" t="s">
        <v>1401</v>
      </c>
      <c r="D189" s="6" t="s">
        <v>2406</v>
      </c>
      <c r="E189" s="9">
        <v>1</v>
      </c>
      <c r="F189" s="4">
        <v>590.87</v>
      </c>
      <c r="G189" t="s">
        <v>2579</v>
      </c>
      <c r="H189" s="6" t="s">
        <v>3068</v>
      </c>
      <c r="I189" s="6" t="s">
        <v>3072</v>
      </c>
      <c r="J189" s="6" t="s">
        <v>3262</v>
      </c>
      <c r="K189" s="9">
        <v>6</v>
      </c>
      <c r="L189" s="6" t="s">
        <v>4276</v>
      </c>
      <c r="M189" s="6" t="s">
        <v>4279</v>
      </c>
      <c r="N189" s="4">
        <v>590.87</v>
      </c>
      <c r="O189" s="6">
        <f t="shared" si="2"/>
        <v>1006</v>
      </c>
    </row>
    <row r="190" spans="1:15" x14ac:dyDescent="0.3">
      <c r="A190" s="6" t="s">
        <v>202</v>
      </c>
      <c r="B190" s="2">
        <v>45731</v>
      </c>
      <c r="C190" s="6" t="s">
        <v>1402</v>
      </c>
      <c r="D190" s="6" t="s">
        <v>2406</v>
      </c>
      <c r="E190" s="9">
        <v>2</v>
      </c>
      <c r="F190" s="4">
        <v>363.91</v>
      </c>
      <c r="G190" t="s">
        <v>2580</v>
      </c>
      <c r="H190" s="6" t="s">
        <v>3068</v>
      </c>
      <c r="I190" s="6" t="s">
        <v>3070</v>
      </c>
      <c r="J190" s="6" t="s">
        <v>3263</v>
      </c>
      <c r="K190" s="9">
        <v>2</v>
      </c>
      <c r="L190" s="6" t="s">
        <v>4276</v>
      </c>
      <c r="M190" s="6" t="s">
        <v>4279</v>
      </c>
      <c r="N190" s="4">
        <v>727.82</v>
      </c>
      <c r="O190" s="6">
        <f t="shared" si="2"/>
        <v>1005</v>
      </c>
    </row>
    <row r="191" spans="1:15" x14ac:dyDescent="0.3">
      <c r="A191" s="6" t="s">
        <v>203</v>
      </c>
      <c r="B191" s="2">
        <v>45112</v>
      </c>
      <c r="C191" s="6" t="s">
        <v>1403</v>
      </c>
      <c r="D191" s="6" t="s">
        <v>2407</v>
      </c>
      <c r="E191" s="9">
        <v>5</v>
      </c>
      <c r="F191" s="4">
        <v>429.45</v>
      </c>
      <c r="G191" t="s">
        <v>2581</v>
      </c>
      <c r="H191" s="6" t="s">
        <v>3068</v>
      </c>
      <c r="I191" s="6" t="s">
        <v>3071</v>
      </c>
      <c r="J191" s="6" t="s">
        <v>3264</v>
      </c>
      <c r="K191" s="9">
        <v>5</v>
      </c>
      <c r="L191" s="6" t="s">
        <v>4277</v>
      </c>
      <c r="M191" s="6" t="s">
        <v>4280</v>
      </c>
      <c r="N191" s="4">
        <v>2147.25</v>
      </c>
      <c r="O191" s="6">
        <f t="shared" si="2"/>
        <v>1004</v>
      </c>
    </row>
    <row r="192" spans="1:15" x14ac:dyDescent="0.3">
      <c r="A192" s="6" t="s">
        <v>204</v>
      </c>
      <c r="B192" s="2">
        <v>45535</v>
      </c>
      <c r="C192" s="6" t="s">
        <v>1404</v>
      </c>
      <c r="D192" s="6" t="s">
        <v>2407</v>
      </c>
      <c r="E192" s="9">
        <v>3</v>
      </c>
      <c r="F192" s="4">
        <v>223.7</v>
      </c>
      <c r="G192" t="s">
        <v>2582</v>
      </c>
      <c r="H192" s="6" t="s">
        <v>3069</v>
      </c>
      <c r="I192" s="6" t="s">
        <v>3072</v>
      </c>
      <c r="J192" s="6" t="s">
        <v>3265</v>
      </c>
      <c r="K192" s="9">
        <v>3</v>
      </c>
      <c r="L192" s="6" t="s">
        <v>4275</v>
      </c>
      <c r="M192" s="6" t="s">
        <v>4280</v>
      </c>
      <c r="N192" s="4">
        <v>671.09999999999991</v>
      </c>
      <c r="O192" s="6">
        <f t="shared" si="2"/>
        <v>1003</v>
      </c>
    </row>
    <row r="193" spans="1:15" x14ac:dyDescent="0.3">
      <c r="A193" s="6" t="s">
        <v>205</v>
      </c>
      <c r="B193" s="2">
        <v>45724</v>
      </c>
      <c r="C193" s="6" t="s">
        <v>1405</v>
      </c>
      <c r="D193" s="6" t="s">
        <v>2408</v>
      </c>
      <c r="E193" s="9">
        <v>2</v>
      </c>
      <c r="F193" s="4">
        <v>488.87</v>
      </c>
      <c r="G193" t="s">
        <v>2583</v>
      </c>
      <c r="H193" s="6" t="s">
        <v>3066</v>
      </c>
      <c r="I193" s="6" t="s">
        <v>3071</v>
      </c>
      <c r="J193" s="6" t="s">
        <v>3266</v>
      </c>
      <c r="K193" s="9">
        <v>4</v>
      </c>
      <c r="L193" s="6" t="s">
        <v>4276</v>
      </c>
      <c r="M193" s="6" t="s">
        <v>4282</v>
      </c>
      <c r="N193" s="4">
        <v>977.74</v>
      </c>
      <c r="O193" s="6">
        <f t="shared" si="2"/>
        <v>1002</v>
      </c>
    </row>
    <row r="194" spans="1:15" x14ac:dyDescent="0.3">
      <c r="A194" s="6" t="s">
        <v>206</v>
      </c>
      <c r="B194" s="2">
        <v>45149</v>
      </c>
      <c r="C194" s="6" t="s">
        <v>1406</v>
      </c>
      <c r="D194" s="6" t="s">
        <v>2409</v>
      </c>
      <c r="E194" s="9">
        <v>1</v>
      </c>
      <c r="F194" s="4">
        <v>645.46</v>
      </c>
      <c r="G194" t="s">
        <v>2541</v>
      </c>
      <c r="H194" s="6" t="s">
        <v>3068</v>
      </c>
      <c r="I194" s="6" t="s">
        <v>3071</v>
      </c>
      <c r="J194" s="6" t="s">
        <v>3267</v>
      </c>
      <c r="K194" s="9">
        <v>5</v>
      </c>
      <c r="L194" s="6" t="s">
        <v>4275</v>
      </c>
      <c r="M194" s="6" t="s">
        <v>4282</v>
      </c>
      <c r="N194" s="4">
        <v>645.46</v>
      </c>
      <c r="O194" s="6">
        <f t="shared" ref="O194:O257" si="3">COUNTA(_xlfn.UNIQUE(C193:C1392))</f>
        <v>1001</v>
      </c>
    </row>
    <row r="195" spans="1:15" x14ac:dyDescent="0.3">
      <c r="A195" s="6" t="s">
        <v>207</v>
      </c>
      <c r="B195" s="2">
        <v>45128</v>
      </c>
      <c r="C195" s="6" t="s">
        <v>1407</v>
      </c>
      <c r="D195" s="6" t="s">
        <v>2407</v>
      </c>
      <c r="E195" s="9">
        <v>1</v>
      </c>
      <c r="F195" s="4">
        <v>46.66</v>
      </c>
      <c r="G195" t="s">
        <v>2584</v>
      </c>
      <c r="H195" s="6" t="s">
        <v>3069</v>
      </c>
      <c r="I195" s="6" t="s">
        <v>3071</v>
      </c>
      <c r="J195" s="6" t="s">
        <v>3268</v>
      </c>
      <c r="K195" s="9">
        <v>6</v>
      </c>
      <c r="L195" s="6" t="s">
        <v>4283</v>
      </c>
      <c r="M195" s="6" t="s">
        <v>4282</v>
      </c>
      <c r="N195" s="4">
        <v>46.66</v>
      </c>
      <c r="O195" s="6">
        <f t="shared" si="3"/>
        <v>1000</v>
      </c>
    </row>
    <row r="196" spans="1:15" x14ac:dyDescent="0.3">
      <c r="A196" s="6" t="s">
        <v>208</v>
      </c>
      <c r="B196" s="2">
        <v>45451</v>
      </c>
      <c r="C196" s="6" t="s">
        <v>1408</v>
      </c>
      <c r="D196" s="6" t="s">
        <v>2403</v>
      </c>
      <c r="E196" s="9">
        <v>1</v>
      </c>
      <c r="F196" s="4">
        <v>249.57</v>
      </c>
      <c r="G196" t="s">
        <v>2585</v>
      </c>
      <c r="H196" s="6" t="s">
        <v>3069</v>
      </c>
      <c r="I196" s="6" t="s">
        <v>3070</v>
      </c>
      <c r="J196" s="6" t="s">
        <v>3269</v>
      </c>
      <c r="K196" s="9">
        <v>3</v>
      </c>
      <c r="L196" s="6" t="s">
        <v>4276</v>
      </c>
      <c r="M196" s="6" t="s">
        <v>4282</v>
      </c>
      <c r="N196" s="4">
        <v>249.57</v>
      </c>
      <c r="O196" s="6">
        <f t="shared" si="3"/>
        <v>999</v>
      </c>
    </row>
    <row r="197" spans="1:15" x14ac:dyDescent="0.3">
      <c r="A197" s="6" t="s">
        <v>209</v>
      </c>
      <c r="B197" s="2">
        <v>45404</v>
      </c>
      <c r="C197" s="6" t="s">
        <v>1409</v>
      </c>
      <c r="D197" s="6" t="s">
        <v>2406</v>
      </c>
      <c r="E197" s="9">
        <v>3</v>
      </c>
      <c r="F197" s="4">
        <v>619.21</v>
      </c>
      <c r="G197" t="s">
        <v>2586</v>
      </c>
      <c r="H197" s="6" t="s">
        <v>3065</v>
      </c>
      <c r="I197" s="6" t="s">
        <v>3071</v>
      </c>
      <c r="J197" s="6" t="s">
        <v>3270</v>
      </c>
      <c r="K197" s="9">
        <v>6</v>
      </c>
      <c r="L197" s="6" t="s">
        <v>4283</v>
      </c>
      <c r="M197" s="6" t="s">
        <v>4280</v>
      </c>
      <c r="N197" s="4">
        <v>1857.63</v>
      </c>
      <c r="O197" s="6">
        <f t="shared" si="3"/>
        <v>998</v>
      </c>
    </row>
    <row r="198" spans="1:15" x14ac:dyDescent="0.3">
      <c r="A198" s="6" t="s">
        <v>210</v>
      </c>
      <c r="B198" s="2">
        <v>45681</v>
      </c>
      <c r="C198" s="6" t="s">
        <v>1410</v>
      </c>
      <c r="D198" s="6" t="s">
        <v>2409</v>
      </c>
      <c r="E198" s="9">
        <v>4</v>
      </c>
      <c r="F198" s="4">
        <v>217.13</v>
      </c>
      <c r="G198" t="s">
        <v>2587</v>
      </c>
      <c r="H198" s="6" t="s">
        <v>3069</v>
      </c>
      <c r="I198" s="6" t="s">
        <v>3073</v>
      </c>
      <c r="J198" s="6" t="s">
        <v>3271</v>
      </c>
      <c r="K198" s="9">
        <v>8</v>
      </c>
      <c r="L198" s="6" t="s">
        <v>4277</v>
      </c>
      <c r="M198" s="6" t="s">
        <v>4280</v>
      </c>
      <c r="N198" s="4">
        <v>868.52</v>
      </c>
      <c r="O198" s="6">
        <f t="shared" si="3"/>
        <v>997</v>
      </c>
    </row>
    <row r="199" spans="1:15" x14ac:dyDescent="0.3">
      <c r="A199" s="6" t="s">
        <v>211</v>
      </c>
      <c r="B199" s="2">
        <v>45165</v>
      </c>
      <c r="C199" s="6" t="s">
        <v>1411</v>
      </c>
      <c r="D199" s="6" t="s">
        <v>2408</v>
      </c>
      <c r="E199" s="9">
        <v>5</v>
      </c>
      <c r="F199" s="4">
        <v>221.51</v>
      </c>
      <c r="G199" t="s">
        <v>2588</v>
      </c>
      <c r="H199" s="6" t="s">
        <v>3069</v>
      </c>
      <c r="I199" s="6" t="s">
        <v>3072</v>
      </c>
      <c r="J199" s="6" t="s">
        <v>3272</v>
      </c>
      <c r="K199" s="9">
        <v>5</v>
      </c>
      <c r="L199" s="6" t="s">
        <v>4277</v>
      </c>
      <c r="M199" s="6" t="s">
        <v>4279</v>
      </c>
      <c r="N199" s="4">
        <v>1107.55</v>
      </c>
      <c r="O199" s="6">
        <f t="shared" si="3"/>
        <v>996</v>
      </c>
    </row>
    <row r="200" spans="1:15" x14ac:dyDescent="0.3">
      <c r="A200" s="6" t="s">
        <v>212</v>
      </c>
      <c r="B200" s="2">
        <v>45454</v>
      </c>
      <c r="C200" s="6" t="s">
        <v>1412</v>
      </c>
      <c r="D200" s="6" t="s">
        <v>2408</v>
      </c>
      <c r="E200" s="9">
        <v>4</v>
      </c>
      <c r="F200" s="4">
        <v>340.3</v>
      </c>
      <c r="G200" t="s">
        <v>2444</v>
      </c>
      <c r="H200" s="6" t="s">
        <v>3069</v>
      </c>
      <c r="I200" s="6" t="s">
        <v>3071</v>
      </c>
      <c r="J200" s="6" t="s">
        <v>3273</v>
      </c>
      <c r="K200" s="9">
        <v>8</v>
      </c>
      <c r="L200" s="6" t="s">
        <v>4275</v>
      </c>
      <c r="M200" s="6" t="s">
        <v>4279</v>
      </c>
      <c r="N200" s="4">
        <v>1361.2</v>
      </c>
      <c r="O200" s="6">
        <f t="shared" si="3"/>
        <v>995</v>
      </c>
    </row>
    <row r="201" spans="1:15" x14ac:dyDescent="0.3">
      <c r="A201" s="6" t="s">
        <v>213</v>
      </c>
      <c r="B201" s="2">
        <v>45680</v>
      </c>
      <c r="C201" s="6" t="s">
        <v>1413</v>
      </c>
      <c r="D201" s="6" t="s">
        <v>2404</v>
      </c>
      <c r="E201" s="9">
        <v>1</v>
      </c>
      <c r="F201" s="4">
        <v>625</v>
      </c>
      <c r="G201" t="s">
        <v>2589</v>
      </c>
      <c r="H201" s="6" t="s">
        <v>3066</v>
      </c>
      <c r="I201" s="6" t="s">
        <v>3072</v>
      </c>
      <c r="J201" s="6" t="s">
        <v>3274</v>
      </c>
      <c r="K201" s="9">
        <v>5</v>
      </c>
      <c r="L201" s="6" t="s">
        <v>4277</v>
      </c>
      <c r="M201" s="6" t="s">
        <v>4282</v>
      </c>
      <c r="N201" s="4">
        <v>625</v>
      </c>
      <c r="O201" s="6">
        <f t="shared" si="3"/>
        <v>994</v>
      </c>
    </row>
    <row r="202" spans="1:15" x14ac:dyDescent="0.3">
      <c r="A202" s="6" t="s">
        <v>214</v>
      </c>
      <c r="B202" s="2">
        <v>45815</v>
      </c>
      <c r="C202" s="6" t="s">
        <v>1414</v>
      </c>
      <c r="D202" s="6" t="s">
        <v>2405</v>
      </c>
      <c r="E202" s="9">
        <v>5</v>
      </c>
      <c r="F202" s="4">
        <v>433.26</v>
      </c>
      <c r="G202" t="s">
        <v>2440</v>
      </c>
      <c r="H202" s="6" t="s">
        <v>3067</v>
      </c>
      <c r="I202" s="6" t="s">
        <v>3073</v>
      </c>
      <c r="J202" s="6" t="s">
        <v>3275</v>
      </c>
      <c r="K202" s="9">
        <v>9</v>
      </c>
      <c r="L202" s="6" t="s">
        <v>4275</v>
      </c>
      <c r="M202" s="6" t="s">
        <v>4282</v>
      </c>
      <c r="N202" s="4">
        <v>2166.3000000000002</v>
      </c>
      <c r="O202" s="6">
        <f t="shared" si="3"/>
        <v>993</v>
      </c>
    </row>
    <row r="203" spans="1:15" x14ac:dyDescent="0.3">
      <c r="A203" s="6" t="s">
        <v>215</v>
      </c>
      <c r="B203" s="2">
        <v>45095</v>
      </c>
      <c r="C203" s="6" t="s">
        <v>1415</v>
      </c>
      <c r="D203" s="6" t="s">
        <v>2403</v>
      </c>
      <c r="E203" s="9">
        <v>2</v>
      </c>
      <c r="F203" s="4">
        <v>674.9</v>
      </c>
      <c r="G203" t="s">
        <v>2482</v>
      </c>
      <c r="H203" s="6" t="s">
        <v>3066</v>
      </c>
      <c r="I203" s="6" t="s">
        <v>3070</v>
      </c>
      <c r="J203" s="6" t="s">
        <v>3276</v>
      </c>
      <c r="K203" s="9">
        <v>4</v>
      </c>
      <c r="L203" s="6" t="s">
        <v>4275</v>
      </c>
      <c r="M203" s="6" t="s">
        <v>4281</v>
      </c>
      <c r="N203" s="4">
        <v>1349.8</v>
      </c>
      <c r="O203" s="6">
        <f t="shared" si="3"/>
        <v>992</v>
      </c>
    </row>
    <row r="204" spans="1:15" x14ac:dyDescent="0.3">
      <c r="A204" s="6" t="s">
        <v>216</v>
      </c>
      <c r="B204" s="2">
        <v>45694</v>
      </c>
      <c r="C204" s="6" t="s">
        <v>1416</v>
      </c>
      <c r="D204" s="6" t="s">
        <v>2403</v>
      </c>
      <c r="E204" s="9">
        <v>3</v>
      </c>
      <c r="F204" s="4">
        <v>253.98</v>
      </c>
      <c r="G204" t="s">
        <v>2535</v>
      </c>
      <c r="H204" s="6" t="s">
        <v>3067</v>
      </c>
      <c r="I204" s="6" t="s">
        <v>3071</v>
      </c>
      <c r="J204" s="6" t="s">
        <v>3277</v>
      </c>
      <c r="K204" s="9">
        <v>3</v>
      </c>
      <c r="L204" s="6" t="s">
        <v>4276</v>
      </c>
      <c r="M204" s="6" t="s">
        <v>4280</v>
      </c>
      <c r="N204" s="4">
        <v>761.93999999999994</v>
      </c>
      <c r="O204" s="6">
        <f t="shared" si="3"/>
        <v>991</v>
      </c>
    </row>
    <row r="205" spans="1:15" x14ac:dyDescent="0.3">
      <c r="A205" s="6" t="s">
        <v>217</v>
      </c>
      <c r="B205" s="2">
        <v>45678</v>
      </c>
      <c r="C205" s="6" t="s">
        <v>1417</v>
      </c>
      <c r="D205" s="6" t="s">
        <v>2407</v>
      </c>
      <c r="E205" s="9">
        <v>3</v>
      </c>
      <c r="F205" s="4">
        <v>356.84</v>
      </c>
      <c r="G205" t="s">
        <v>2590</v>
      </c>
      <c r="H205" s="6" t="s">
        <v>3066</v>
      </c>
      <c r="I205" s="6" t="s">
        <v>3070</v>
      </c>
      <c r="J205" s="6" t="s">
        <v>3278</v>
      </c>
      <c r="K205" s="9">
        <v>5</v>
      </c>
      <c r="L205" s="6" t="s">
        <v>4275</v>
      </c>
      <c r="M205" s="6" t="s">
        <v>4278</v>
      </c>
      <c r="N205" s="4">
        <v>1070.52</v>
      </c>
      <c r="O205" s="6">
        <f t="shared" si="3"/>
        <v>990</v>
      </c>
    </row>
    <row r="206" spans="1:15" x14ac:dyDescent="0.3">
      <c r="A206" s="6" t="s">
        <v>218</v>
      </c>
      <c r="B206" s="2">
        <v>45174</v>
      </c>
      <c r="C206" s="6" t="s">
        <v>1418</v>
      </c>
      <c r="D206" s="6" t="s">
        <v>2408</v>
      </c>
      <c r="E206" s="9">
        <v>4</v>
      </c>
      <c r="F206" s="4">
        <v>413.71</v>
      </c>
      <c r="G206" t="s">
        <v>2539</v>
      </c>
      <c r="H206" s="6" t="s">
        <v>3068</v>
      </c>
      <c r="I206" s="6" t="s">
        <v>3071</v>
      </c>
      <c r="J206" s="6" t="s">
        <v>3279</v>
      </c>
      <c r="K206" s="9">
        <v>9</v>
      </c>
      <c r="L206" s="6" t="s">
        <v>4276</v>
      </c>
      <c r="M206" s="6" t="s">
        <v>4281</v>
      </c>
      <c r="N206" s="4">
        <v>1654.84</v>
      </c>
      <c r="O206" s="6">
        <f t="shared" si="3"/>
        <v>989</v>
      </c>
    </row>
    <row r="207" spans="1:15" x14ac:dyDescent="0.3">
      <c r="A207" s="6" t="s">
        <v>219</v>
      </c>
      <c r="B207" s="2">
        <v>44989</v>
      </c>
      <c r="C207" s="6" t="s">
        <v>1419</v>
      </c>
      <c r="D207" s="6" t="s">
        <v>2409</v>
      </c>
      <c r="E207" s="9">
        <v>3</v>
      </c>
      <c r="F207" s="4">
        <v>147.38999999999999</v>
      </c>
      <c r="G207" t="s">
        <v>2591</v>
      </c>
      <c r="H207" s="6" t="s">
        <v>3065</v>
      </c>
      <c r="I207" s="6" t="s">
        <v>3072</v>
      </c>
      <c r="J207" s="6" t="s">
        <v>3280</v>
      </c>
      <c r="K207" s="9">
        <v>3</v>
      </c>
      <c r="L207" s="6" t="s">
        <v>4283</v>
      </c>
      <c r="M207" s="6" t="s">
        <v>4280</v>
      </c>
      <c r="N207" s="4">
        <v>442.17</v>
      </c>
      <c r="O207" s="6">
        <f t="shared" si="3"/>
        <v>988</v>
      </c>
    </row>
    <row r="208" spans="1:15" x14ac:dyDescent="0.3">
      <c r="A208" s="6" t="s">
        <v>220</v>
      </c>
      <c r="B208" s="2">
        <v>45398</v>
      </c>
      <c r="C208" s="6" t="s">
        <v>1420</v>
      </c>
      <c r="D208" s="6" t="s">
        <v>2408</v>
      </c>
      <c r="E208" s="9">
        <v>4</v>
      </c>
      <c r="F208" s="4">
        <v>229.1</v>
      </c>
      <c r="G208" t="s">
        <v>2592</v>
      </c>
      <c r="H208" s="6" t="s">
        <v>3068</v>
      </c>
      <c r="I208" s="6" t="s">
        <v>3072</v>
      </c>
      <c r="J208" s="6" t="s">
        <v>3281</v>
      </c>
      <c r="K208" s="9">
        <v>8</v>
      </c>
      <c r="L208" s="6" t="s">
        <v>4277</v>
      </c>
      <c r="M208" s="6" t="s">
        <v>4280</v>
      </c>
      <c r="N208" s="4">
        <v>916.4</v>
      </c>
      <c r="O208" s="6">
        <f t="shared" si="3"/>
        <v>987</v>
      </c>
    </row>
    <row r="209" spans="1:15" x14ac:dyDescent="0.3">
      <c r="A209" s="6" t="s">
        <v>221</v>
      </c>
      <c r="B209" s="2">
        <v>45734</v>
      </c>
      <c r="C209" s="6" t="s">
        <v>1421</v>
      </c>
      <c r="D209" s="6" t="s">
        <v>2404</v>
      </c>
      <c r="E209" s="9">
        <v>1</v>
      </c>
      <c r="F209" s="4">
        <v>121.96</v>
      </c>
      <c r="G209" t="s">
        <v>2593</v>
      </c>
      <c r="H209" s="6" t="s">
        <v>3065</v>
      </c>
      <c r="I209" s="6" t="s">
        <v>3073</v>
      </c>
      <c r="J209" s="6" t="s">
        <v>3282</v>
      </c>
      <c r="K209" s="9">
        <v>3</v>
      </c>
      <c r="L209" s="6" t="s">
        <v>4283</v>
      </c>
      <c r="M209" s="6" t="s">
        <v>4282</v>
      </c>
      <c r="N209" s="4">
        <v>121.96</v>
      </c>
      <c r="O209" s="6">
        <f t="shared" si="3"/>
        <v>986</v>
      </c>
    </row>
    <row r="210" spans="1:15" x14ac:dyDescent="0.3">
      <c r="A210" s="6" t="s">
        <v>222</v>
      </c>
      <c r="B210" s="2">
        <v>45573</v>
      </c>
      <c r="C210" s="6" t="s">
        <v>1422</v>
      </c>
      <c r="D210" s="6" t="s">
        <v>2409</v>
      </c>
      <c r="E210" s="9">
        <v>2</v>
      </c>
      <c r="F210" s="4">
        <v>408.32</v>
      </c>
      <c r="G210" t="s">
        <v>2581</v>
      </c>
      <c r="H210" s="6" t="s">
        <v>3066</v>
      </c>
      <c r="I210" s="6" t="s">
        <v>3070</v>
      </c>
      <c r="J210" s="6" t="s">
        <v>3283</v>
      </c>
      <c r="K210" s="9">
        <v>3</v>
      </c>
      <c r="L210" s="6" t="s">
        <v>4276</v>
      </c>
      <c r="M210" s="6" t="s">
        <v>4281</v>
      </c>
      <c r="N210" s="4">
        <v>816.64</v>
      </c>
      <c r="O210" s="6">
        <f t="shared" si="3"/>
        <v>985</v>
      </c>
    </row>
    <row r="211" spans="1:15" x14ac:dyDescent="0.3">
      <c r="A211" s="6" t="s">
        <v>223</v>
      </c>
      <c r="B211" s="2">
        <v>45167</v>
      </c>
      <c r="C211" s="6" t="s">
        <v>1423</v>
      </c>
      <c r="D211" s="6" t="s">
        <v>2405</v>
      </c>
      <c r="E211" s="9">
        <v>5</v>
      </c>
      <c r="F211" s="4">
        <v>187.97</v>
      </c>
      <c r="G211" t="s">
        <v>2417</v>
      </c>
      <c r="H211" s="6" t="s">
        <v>3069</v>
      </c>
      <c r="I211" s="6" t="s">
        <v>3072</v>
      </c>
      <c r="J211" s="6" t="s">
        <v>3284</v>
      </c>
      <c r="K211" s="9">
        <v>9</v>
      </c>
      <c r="L211" s="6" t="s">
        <v>4275</v>
      </c>
      <c r="M211" s="6" t="s">
        <v>4282</v>
      </c>
      <c r="N211" s="4">
        <v>939.85</v>
      </c>
      <c r="O211" s="6">
        <f t="shared" si="3"/>
        <v>984</v>
      </c>
    </row>
    <row r="212" spans="1:15" x14ac:dyDescent="0.3">
      <c r="A212" s="6" t="s">
        <v>224</v>
      </c>
      <c r="B212" s="2">
        <v>45631</v>
      </c>
      <c r="C212" s="6" t="s">
        <v>1424</v>
      </c>
      <c r="D212" s="6" t="s">
        <v>2406</v>
      </c>
      <c r="E212" s="9">
        <v>3</v>
      </c>
      <c r="F212" s="4">
        <v>358.48</v>
      </c>
      <c r="G212" t="s">
        <v>2532</v>
      </c>
      <c r="H212" s="6" t="s">
        <v>3068</v>
      </c>
      <c r="I212" s="6" t="s">
        <v>3073</v>
      </c>
      <c r="J212" s="6" t="s">
        <v>3285</v>
      </c>
      <c r="K212" s="9">
        <v>7</v>
      </c>
      <c r="L212" s="6" t="s">
        <v>4276</v>
      </c>
      <c r="M212" s="6" t="s">
        <v>4281</v>
      </c>
      <c r="N212" s="4">
        <v>1075.44</v>
      </c>
      <c r="O212" s="6">
        <f t="shared" si="3"/>
        <v>983</v>
      </c>
    </row>
    <row r="213" spans="1:15" x14ac:dyDescent="0.3">
      <c r="A213" s="6" t="s">
        <v>225</v>
      </c>
      <c r="B213" s="2">
        <v>45660</v>
      </c>
      <c r="C213" s="6" t="s">
        <v>1425</v>
      </c>
      <c r="D213" s="6" t="s">
        <v>2407</v>
      </c>
      <c r="E213" s="9">
        <v>3</v>
      </c>
      <c r="F213" s="4">
        <v>193.58</v>
      </c>
      <c r="G213" t="s">
        <v>2594</v>
      </c>
      <c r="H213" s="6" t="s">
        <v>3068</v>
      </c>
      <c r="I213" s="6" t="s">
        <v>3074</v>
      </c>
      <c r="J213" s="6" t="s">
        <v>3286</v>
      </c>
      <c r="K213" s="9">
        <v>7</v>
      </c>
      <c r="L213" s="6" t="s">
        <v>4276</v>
      </c>
      <c r="M213" s="6" t="s">
        <v>4280</v>
      </c>
      <c r="N213" s="4">
        <v>580.74</v>
      </c>
      <c r="O213" s="6">
        <f t="shared" si="3"/>
        <v>982</v>
      </c>
    </row>
    <row r="214" spans="1:15" x14ac:dyDescent="0.3">
      <c r="A214" s="6" t="s">
        <v>226</v>
      </c>
      <c r="B214" s="2">
        <v>45097</v>
      </c>
      <c r="C214" s="6" t="s">
        <v>1426</v>
      </c>
      <c r="D214" s="6" t="s">
        <v>2403</v>
      </c>
      <c r="E214" s="9">
        <v>1</v>
      </c>
      <c r="F214" s="4">
        <v>265.38</v>
      </c>
      <c r="G214" t="s">
        <v>2595</v>
      </c>
      <c r="H214" s="6" t="s">
        <v>3067</v>
      </c>
      <c r="I214" s="6" t="s">
        <v>3071</v>
      </c>
      <c r="J214" s="6" t="s">
        <v>3287</v>
      </c>
      <c r="K214" s="9">
        <v>6</v>
      </c>
      <c r="L214" s="6" t="s">
        <v>4277</v>
      </c>
      <c r="M214" s="6" t="s">
        <v>4280</v>
      </c>
      <c r="N214" s="4">
        <v>265.38</v>
      </c>
      <c r="O214" s="6">
        <f t="shared" si="3"/>
        <v>981</v>
      </c>
    </row>
    <row r="215" spans="1:15" x14ac:dyDescent="0.3">
      <c r="A215" s="6" t="s">
        <v>227</v>
      </c>
      <c r="B215" s="2">
        <v>45036</v>
      </c>
      <c r="C215" s="6" t="s">
        <v>1427</v>
      </c>
      <c r="D215" s="6" t="s">
        <v>2408</v>
      </c>
      <c r="E215" s="9">
        <v>1</v>
      </c>
      <c r="F215" s="4">
        <v>634.4</v>
      </c>
      <c r="G215" t="s">
        <v>2596</v>
      </c>
      <c r="H215" s="6" t="s">
        <v>3069</v>
      </c>
      <c r="I215" s="6" t="s">
        <v>3071</v>
      </c>
      <c r="J215" s="6" t="s">
        <v>3288</v>
      </c>
      <c r="K215" s="9">
        <v>6</v>
      </c>
      <c r="L215" s="6" t="s">
        <v>4275</v>
      </c>
      <c r="M215" s="6" t="s">
        <v>4280</v>
      </c>
      <c r="N215" s="4">
        <v>634.4</v>
      </c>
      <c r="O215" s="6">
        <f t="shared" si="3"/>
        <v>980</v>
      </c>
    </row>
    <row r="216" spans="1:15" x14ac:dyDescent="0.3">
      <c r="A216" s="6" t="s">
        <v>228</v>
      </c>
      <c r="B216" s="2">
        <v>45525</v>
      </c>
      <c r="C216" s="6" t="s">
        <v>1428</v>
      </c>
      <c r="D216" s="6" t="s">
        <v>2409</v>
      </c>
      <c r="E216" s="9">
        <v>4</v>
      </c>
      <c r="F216" s="4">
        <v>305.72000000000003</v>
      </c>
      <c r="G216" t="s">
        <v>2523</v>
      </c>
      <c r="H216" s="6" t="s">
        <v>3066</v>
      </c>
      <c r="I216" s="6" t="s">
        <v>3073</v>
      </c>
      <c r="J216" s="6" t="s">
        <v>3289</v>
      </c>
      <c r="K216" s="9">
        <v>5</v>
      </c>
      <c r="L216" s="6" t="s">
        <v>4283</v>
      </c>
      <c r="M216" s="6" t="s">
        <v>4281</v>
      </c>
      <c r="N216" s="4">
        <v>1222.8800000000001</v>
      </c>
      <c r="O216" s="6">
        <f t="shared" si="3"/>
        <v>979</v>
      </c>
    </row>
    <row r="217" spans="1:15" x14ac:dyDescent="0.3">
      <c r="A217" s="6" t="s">
        <v>229</v>
      </c>
      <c r="B217" s="2">
        <v>45148</v>
      </c>
      <c r="C217" s="6" t="s">
        <v>1429</v>
      </c>
      <c r="D217" s="6" t="s">
        <v>2407</v>
      </c>
      <c r="E217" s="9">
        <v>1</v>
      </c>
      <c r="F217" s="4">
        <v>303.60000000000002</v>
      </c>
      <c r="G217" t="s">
        <v>2597</v>
      </c>
      <c r="H217" s="6" t="s">
        <v>3069</v>
      </c>
      <c r="I217" s="6" t="s">
        <v>3070</v>
      </c>
      <c r="J217" s="6" t="s">
        <v>3290</v>
      </c>
      <c r="K217" s="9">
        <v>5</v>
      </c>
      <c r="L217" s="6" t="s">
        <v>4276</v>
      </c>
      <c r="M217" s="6" t="s">
        <v>4281</v>
      </c>
      <c r="N217" s="4">
        <v>303.60000000000002</v>
      </c>
      <c r="O217" s="6">
        <f t="shared" si="3"/>
        <v>978</v>
      </c>
    </row>
    <row r="218" spans="1:15" x14ac:dyDescent="0.3">
      <c r="A218" s="6" t="s">
        <v>230</v>
      </c>
      <c r="B218" s="2">
        <v>45762</v>
      </c>
      <c r="C218" s="6" t="s">
        <v>1430</v>
      </c>
      <c r="D218" s="6" t="s">
        <v>2403</v>
      </c>
      <c r="E218" s="9">
        <v>4</v>
      </c>
      <c r="F218" s="4">
        <v>496</v>
      </c>
      <c r="G218" t="s">
        <v>2465</v>
      </c>
      <c r="H218" s="6" t="s">
        <v>3066</v>
      </c>
      <c r="I218" s="6" t="s">
        <v>3071</v>
      </c>
      <c r="J218" s="6" t="s">
        <v>3291</v>
      </c>
      <c r="K218" s="9">
        <v>8</v>
      </c>
      <c r="L218" s="6" t="s">
        <v>4277</v>
      </c>
      <c r="M218" s="6" t="s">
        <v>4282</v>
      </c>
      <c r="N218" s="4">
        <v>1984</v>
      </c>
      <c r="O218" s="6">
        <f t="shared" si="3"/>
        <v>977</v>
      </c>
    </row>
    <row r="219" spans="1:15" x14ac:dyDescent="0.3">
      <c r="A219" s="6" t="s">
        <v>231</v>
      </c>
      <c r="B219" s="2">
        <v>45432</v>
      </c>
      <c r="C219" s="6" t="s">
        <v>1431</v>
      </c>
      <c r="D219" s="6" t="s">
        <v>2409</v>
      </c>
      <c r="E219" s="9">
        <v>4</v>
      </c>
      <c r="F219" s="4">
        <v>321.51</v>
      </c>
      <c r="G219" t="s">
        <v>2598</v>
      </c>
      <c r="H219" s="6" t="s">
        <v>3069</v>
      </c>
      <c r="I219" s="6" t="s">
        <v>3072</v>
      </c>
      <c r="J219" s="6" t="s">
        <v>3292</v>
      </c>
      <c r="K219" s="9">
        <v>9</v>
      </c>
      <c r="L219" s="6" t="s">
        <v>4283</v>
      </c>
      <c r="M219" s="6" t="s">
        <v>4282</v>
      </c>
      <c r="N219" s="4">
        <v>1286.04</v>
      </c>
      <c r="O219" s="6">
        <f t="shared" si="3"/>
        <v>976</v>
      </c>
    </row>
    <row r="220" spans="1:15" x14ac:dyDescent="0.3">
      <c r="A220" s="6" t="s">
        <v>232</v>
      </c>
      <c r="B220" s="2">
        <v>45044</v>
      </c>
      <c r="C220" s="6" t="s">
        <v>1432</v>
      </c>
      <c r="D220" s="6" t="s">
        <v>2405</v>
      </c>
      <c r="E220" s="9">
        <v>3</v>
      </c>
      <c r="F220" s="4">
        <v>112.46</v>
      </c>
      <c r="G220" t="s">
        <v>2599</v>
      </c>
      <c r="H220" s="6" t="s">
        <v>3068</v>
      </c>
      <c r="I220" s="6" t="s">
        <v>3070</v>
      </c>
      <c r="J220" s="6" t="s">
        <v>3293</v>
      </c>
      <c r="K220" s="9">
        <v>6</v>
      </c>
      <c r="L220" s="6" t="s">
        <v>4275</v>
      </c>
      <c r="M220" s="6" t="s">
        <v>4278</v>
      </c>
      <c r="N220" s="4">
        <v>337.38</v>
      </c>
      <c r="O220" s="6">
        <f t="shared" si="3"/>
        <v>975</v>
      </c>
    </row>
    <row r="221" spans="1:15" x14ac:dyDescent="0.3">
      <c r="A221" s="6" t="s">
        <v>233</v>
      </c>
      <c r="B221" s="2">
        <v>45779</v>
      </c>
      <c r="C221" s="6" t="s">
        <v>1433</v>
      </c>
      <c r="D221" s="6" t="s">
        <v>2408</v>
      </c>
      <c r="E221" s="9">
        <v>5</v>
      </c>
      <c r="F221" s="4">
        <v>61.97</v>
      </c>
      <c r="G221" t="s">
        <v>2600</v>
      </c>
      <c r="H221" s="6" t="s">
        <v>3069</v>
      </c>
      <c r="I221" s="6" t="s">
        <v>3073</v>
      </c>
      <c r="J221" s="6" t="s">
        <v>3294</v>
      </c>
      <c r="K221" s="9">
        <v>6</v>
      </c>
      <c r="L221" s="6" t="s">
        <v>4275</v>
      </c>
      <c r="M221" s="6" t="s">
        <v>4280</v>
      </c>
      <c r="N221" s="4">
        <v>309.85000000000002</v>
      </c>
      <c r="O221" s="6">
        <f t="shared" si="3"/>
        <v>974</v>
      </c>
    </row>
    <row r="222" spans="1:15" x14ac:dyDescent="0.3">
      <c r="A222" s="6" t="s">
        <v>234</v>
      </c>
      <c r="B222" s="2">
        <v>45125</v>
      </c>
      <c r="C222" s="6" t="s">
        <v>1434</v>
      </c>
      <c r="D222" s="6" t="s">
        <v>2408</v>
      </c>
      <c r="E222" s="9">
        <v>2</v>
      </c>
      <c r="F222" s="4">
        <v>373.17</v>
      </c>
      <c r="G222" t="s">
        <v>2601</v>
      </c>
      <c r="H222" s="6" t="s">
        <v>3067</v>
      </c>
      <c r="I222" s="6" t="s">
        <v>3074</v>
      </c>
      <c r="J222" s="6" t="s">
        <v>3295</v>
      </c>
      <c r="K222" s="9">
        <v>6</v>
      </c>
      <c r="L222" s="6" t="s">
        <v>4275</v>
      </c>
      <c r="M222" s="6" t="s">
        <v>4279</v>
      </c>
      <c r="N222" s="4">
        <v>746.34</v>
      </c>
      <c r="O222" s="6">
        <f t="shared" si="3"/>
        <v>973</v>
      </c>
    </row>
    <row r="223" spans="1:15" x14ac:dyDescent="0.3">
      <c r="A223" s="6" t="s">
        <v>235</v>
      </c>
      <c r="B223" s="2">
        <v>45345</v>
      </c>
      <c r="C223" s="6" t="s">
        <v>1435</v>
      </c>
      <c r="D223" s="6" t="s">
        <v>2405</v>
      </c>
      <c r="E223" s="9">
        <v>5</v>
      </c>
      <c r="F223" s="4">
        <v>639.37</v>
      </c>
      <c r="G223" t="s">
        <v>2474</v>
      </c>
      <c r="H223" s="6" t="s">
        <v>3065</v>
      </c>
      <c r="I223" s="6" t="s">
        <v>3074</v>
      </c>
      <c r="J223" s="6" t="s">
        <v>3296</v>
      </c>
      <c r="K223" s="9">
        <v>6</v>
      </c>
      <c r="L223" s="6" t="s">
        <v>4275</v>
      </c>
      <c r="M223" s="6" t="s">
        <v>4282</v>
      </c>
      <c r="N223" s="4">
        <v>3196.85</v>
      </c>
      <c r="O223" s="6">
        <f t="shared" si="3"/>
        <v>972</v>
      </c>
    </row>
    <row r="224" spans="1:15" x14ac:dyDescent="0.3">
      <c r="A224" s="6" t="s">
        <v>236</v>
      </c>
      <c r="B224" s="2">
        <v>45050</v>
      </c>
      <c r="C224" s="6" t="s">
        <v>1436</v>
      </c>
      <c r="D224" s="6" t="s">
        <v>2406</v>
      </c>
      <c r="E224" s="9">
        <v>4</v>
      </c>
      <c r="F224" s="4">
        <v>693.36</v>
      </c>
      <c r="G224" t="s">
        <v>2602</v>
      </c>
      <c r="H224" s="6" t="s">
        <v>3066</v>
      </c>
      <c r="I224" s="6" t="s">
        <v>3070</v>
      </c>
      <c r="J224" s="6" t="s">
        <v>3297</v>
      </c>
      <c r="K224" s="9">
        <v>8</v>
      </c>
      <c r="L224" s="6" t="s">
        <v>4283</v>
      </c>
      <c r="M224" s="6" t="s">
        <v>4278</v>
      </c>
      <c r="N224" s="4">
        <v>2773.44</v>
      </c>
      <c r="O224" s="6">
        <f t="shared" si="3"/>
        <v>971</v>
      </c>
    </row>
    <row r="225" spans="1:15" x14ac:dyDescent="0.3">
      <c r="A225" s="6" t="s">
        <v>237</v>
      </c>
      <c r="B225" s="2">
        <v>45546</v>
      </c>
      <c r="C225" s="6" t="s">
        <v>1437</v>
      </c>
      <c r="D225" s="6" t="s">
        <v>2404</v>
      </c>
      <c r="E225" s="9">
        <v>4</v>
      </c>
      <c r="F225" s="4">
        <v>692.91</v>
      </c>
      <c r="G225" t="s">
        <v>2523</v>
      </c>
      <c r="H225" s="6" t="s">
        <v>3067</v>
      </c>
      <c r="I225" s="6" t="s">
        <v>3074</v>
      </c>
      <c r="J225" s="6" t="s">
        <v>3298</v>
      </c>
      <c r="K225" s="9">
        <v>9</v>
      </c>
      <c r="L225" s="6" t="s">
        <v>4275</v>
      </c>
      <c r="M225" s="6" t="s">
        <v>4278</v>
      </c>
      <c r="N225" s="4">
        <v>2771.64</v>
      </c>
      <c r="O225" s="6">
        <f t="shared" si="3"/>
        <v>970</v>
      </c>
    </row>
    <row r="226" spans="1:15" x14ac:dyDescent="0.3">
      <c r="A226" s="6" t="s">
        <v>238</v>
      </c>
      <c r="B226" s="2">
        <v>45192</v>
      </c>
      <c r="C226" s="6" t="s">
        <v>1438</v>
      </c>
      <c r="D226" s="6" t="s">
        <v>2407</v>
      </c>
      <c r="E226" s="9">
        <v>4</v>
      </c>
      <c r="F226" s="4">
        <v>91.46</v>
      </c>
      <c r="G226" t="s">
        <v>2603</v>
      </c>
      <c r="H226" s="6" t="s">
        <v>3069</v>
      </c>
      <c r="I226" s="6" t="s">
        <v>3071</v>
      </c>
      <c r="J226" s="6" t="s">
        <v>3299</v>
      </c>
      <c r="K226" s="9">
        <v>9</v>
      </c>
      <c r="L226" s="6" t="s">
        <v>4275</v>
      </c>
      <c r="M226" s="6" t="s">
        <v>4279</v>
      </c>
      <c r="N226" s="4">
        <v>365.84</v>
      </c>
      <c r="O226" s="6">
        <f t="shared" si="3"/>
        <v>969</v>
      </c>
    </row>
    <row r="227" spans="1:15" x14ac:dyDescent="0.3">
      <c r="A227" s="6" t="s">
        <v>239</v>
      </c>
      <c r="B227" s="2">
        <v>45364</v>
      </c>
      <c r="C227" s="6" t="s">
        <v>1439</v>
      </c>
      <c r="D227" s="6" t="s">
        <v>2404</v>
      </c>
      <c r="E227" s="9">
        <v>3</v>
      </c>
      <c r="F227" s="4">
        <v>273.95999999999998</v>
      </c>
      <c r="G227" t="s">
        <v>2604</v>
      </c>
      <c r="H227" s="6" t="s">
        <v>3065</v>
      </c>
      <c r="I227" s="6" t="s">
        <v>3072</v>
      </c>
      <c r="J227" s="6" t="s">
        <v>3300</v>
      </c>
      <c r="K227" s="9">
        <v>8</v>
      </c>
      <c r="L227" s="6" t="s">
        <v>4275</v>
      </c>
      <c r="M227" s="6" t="s">
        <v>4282</v>
      </c>
      <c r="N227" s="4">
        <v>821.87999999999988</v>
      </c>
      <c r="O227" s="6">
        <f t="shared" si="3"/>
        <v>968</v>
      </c>
    </row>
    <row r="228" spans="1:15" x14ac:dyDescent="0.3">
      <c r="A228" s="6" t="s">
        <v>240</v>
      </c>
      <c r="B228" s="2">
        <v>45835</v>
      </c>
      <c r="C228" s="6" t="s">
        <v>1440</v>
      </c>
      <c r="D228" s="6" t="s">
        <v>2409</v>
      </c>
      <c r="E228" s="9">
        <v>3</v>
      </c>
      <c r="F228" s="4">
        <v>588.04999999999995</v>
      </c>
      <c r="G228" t="s">
        <v>2605</v>
      </c>
      <c r="H228" s="6" t="s">
        <v>3068</v>
      </c>
      <c r="I228" s="6" t="s">
        <v>3073</v>
      </c>
      <c r="J228" s="6" t="s">
        <v>3301</v>
      </c>
      <c r="K228" s="9">
        <v>8</v>
      </c>
      <c r="L228" s="6" t="s">
        <v>4283</v>
      </c>
      <c r="M228" s="6" t="s">
        <v>4278</v>
      </c>
      <c r="N228" s="4">
        <v>1764.15</v>
      </c>
      <c r="O228" s="6">
        <f t="shared" si="3"/>
        <v>967</v>
      </c>
    </row>
    <row r="229" spans="1:15" x14ac:dyDescent="0.3">
      <c r="A229" s="6" t="s">
        <v>241</v>
      </c>
      <c r="B229" s="2">
        <v>45232</v>
      </c>
      <c r="C229" s="6" t="s">
        <v>1441</v>
      </c>
      <c r="D229" s="6" t="s">
        <v>2403</v>
      </c>
      <c r="E229" s="9">
        <v>2</v>
      </c>
      <c r="F229" s="4">
        <v>365.17</v>
      </c>
      <c r="G229" t="s">
        <v>2528</v>
      </c>
      <c r="H229" s="6" t="s">
        <v>3066</v>
      </c>
      <c r="I229" s="6" t="s">
        <v>3071</v>
      </c>
      <c r="J229" s="6" t="s">
        <v>3302</v>
      </c>
      <c r="K229" s="9">
        <v>4</v>
      </c>
      <c r="L229" s="6" t="s">
        <v>4276</v>
      </c>
      <c r="M229" s="6" t="s">
        <v>4281</v>
      </c>
      <c r="N229" s="4">
        <v>730.34</v>
      </c>
      <c r="O229" s="6">
        <f t="shared" si="3"/>
        <v>966</v>
      </c>
    </row>
    <row r="230" spans="1:15" x14ac:dyDescent="0.3">
      <c r="A230" s="6" t="s">
        <v>242</v>
      </c>
      <c r="B230" s="2">
        <v>45063</v>
      </c>
      <c r="C230" s="6" t="s">
        <v>1442</v>
      </c>
      <c r="D230" s="6" t="s">
        <v>2406</v>
      </c>
      <c r="E230" s="9">
        <v>4</v>
      </c>
      <c r="F230" s="4">
        <v>385.92</v>
      </c>
      <c r="G230" t="s">
        <v>2606</v>
      </c>
      <c r="H230" s="6" t="s">
        <v>3067</v>
      </c>
      <c r="I230" s="6" t="s">
        <v>3071</v>
      </c>
      <c r="J230" s="6" t="s">
        <v>3303</v>
      </c>
      <c r="K230" s="9">
        <v>8</v>
      </c>
      <c r="L230" s="6" t="s">
        <v>4283</v>
      </c>
      <c r="M230" s="6" t="s">
        <v>4278</v>
      </c>
      <c r="N230" s="4">
        <v>1543.68</v>
      </c>
      <c r="O230" s="6">
        <f t="shared" si="3"/>
        <v>965</v>
      </c>
    </row>
    <row r="231" spans="1:15" x14ac:dyDescent="0.3">
      <c r="A231" s="6" t="s">
        <v>243</v>
      </c>
      <c r="B231" s="2">
        <v>45744</v>
      </c>
      <c r="C231" s="6" t="s">
        <v>1443</v>
      </c>
      <c r="D231" s="6" t="s">
        <v>2405</v>
      </c>
      <c r="E231" s="9">
        <v>1</v>
      </c>
      <c r="F231" s="4">
        <v>562.61</v>
      </c>
      <c r="G231" t="s">
        <v>2607</v>
      </c>
      <c r="H231" s="6" t="s">
        <v>3067</v>
      </c>
      <c r="I231" s="6" t="s">
        <v>3073</v>
      </c>
      <c r="J231" s="6" t="s">
        <v>3304</v>
      </c>
      <c r="K231" s="9">
        <v>3</v>
      </c>
      <c r="L231" s="6" t="s">
        <v>4277</v>
      </c>
      <c r="M231" s="6" t="s">
        <v>4281</v>
      </c>
      <c r="N231" s="4">
        <v>562.61</v>
      </c>
      <c r="O231" s="6">
        <f t="shared" si="3"/>
        <v>964</v>
      </c>
    </row>
    <row r="232" spans="1:15" x14ac:dyDescent="0.3">
      <c r="A232" s="6" t="s">
        <v>244</v>
      </c>
      <c r="B232" s="2">
        <v>45276</v>
      </c>
      <c r="C232" s="6" t="s">
        <v>1444</v>
      </c>
      <c r="D232" s="6" t="s">
        <v>2409</v>
      </c>
      <c r="E232" s="9">
        <v>4</v>
      </c>
      <c r="F232" s="4">
        <v>61.91</v>
      </c>
      <c r="G232" t="s">
        <v>2608</v>
      </c>
      <c r="H232" s="6" t="s">
        <v>3068</v>
      </c>
      <c r="I232" s="6" t="s">
        <v>3073</v>
      </c>
      <c r="J232" s="6" t="s">
        <v>3305</v>
      </c>
      <c r="K232" s="9">
        <v>6</v>
      </c>
      <c r="L232" s="6" t="s">
        <v>4277</v>
      </c>
      <c r="M232" s="6" t="s">
        <v>4280</v>
      </c>
      <c r="N232" s="4">
        <v>247.64</v>
      </c>
      <c r="O232" s="6">
        <f t="shared" si="3"/>
        <v>963</v>
      </c>
    </row>
    <row r="233" spans="1:15" x14ac:dyDescent="0.3">
      <c r="A233" s="6" t="s">
        <v>245</v>
      </c>
      <c r="B233" s="2">
        <v>45235</v>
      </c>
      <c r="C233" s="6" t="s">
        <v>1445</v>
      </c>
      <c r="D233" s="6" t="s">
        <v>2404</v>
      </c>
      <c r="E233" s="9">
        <v>4</v>
      </c>
      <c r="F233" s="4">
        <v>41.9</v>
      </c>
      <c r="G233" t="s">
        <v>2609</v>
      </c>
      <c r="H233" s="6" t="s">
        <v>3068</v>
      </c>
      <c r="I233" s="6" t="s">
        <v>3074</v>
      </c>
      <c r="J233" s="6" t="s">
        <v>3306</v>
      </c>
      <c r="K233" s="9">
        <v>9</v>
      </c>
      <c r="L233" s="6" t="s">
        <v>4276</v>
      </c>
      <c r="M233" s="6" t="s">
        <v>4278</v>
      </c>
      <c r="N233" s="4">
        <v>167.6</v>
      </c>
      <c r="O233" s="6">
        <f t="shared" si="3"/>
        <v>962</v>
      </c>
    </row>
    <row r="234" spans="1:15" x14ac:dyDescent="0.3">
      <c r="A234" s="6" t="s">
        <v>246</v>
      </c>
      <c r="B234" s="2">
        <v>45065</v>
      </c>
      <c r="C234" s="6" t="s">
        <v>1446</v>
      </c>
      <c r="D234" s="6" t="s">
        <v>2407</v>
      </c>
      <c r="E234" s="9">
        <v>4</v>
      </c>
      <c r="F234" s="4">
        <v>444.44</v>
      </c>
      <c r="G234" t="s">
        <v>2610</v>
      </c>
      <c r="H234" s="6" t="s">
        <v>3065</v>
      </c>
      <c r="I234" s="6" t="s">
        <v>3071</v>
      </c>
      <c r="J234" s="6" t="s">
        <v>3307</v>
      </c>
      <c r="K234" s="9">
        <v>8</v>
      </c>
      <c r="L234" s="6" t="s">
        <v>4277</v>
      </c>
      <c r="M234" s="6" t="s">
        <v>4282</v>
      </c>
      <c r="N234" s="4">
        <v>1777.76</v>
      </c>
      <c r="O234" s="6">
        <f t="shared" si="3"/>
        <v>961</v>
      </c>
    </row>
    <row r="235" spans="1:15" x14ac:dyDescent="0.3">
      <c r="A235" s="6" t="s">
        <v>247</v>
      </c>
      <c r="B235" s="2">
        <v>45528</v>
      </c>
      <c r="C235" s="6" t="s">
        <v>1447</v>
      </c>
      <c r="D235" s="6" t="s">
        <v>2404</v>
      </c>
      <c r="E235" s="9">
        <v>3</v>
      </c>
      <c r="F235" s="4">
        <v>311.33</v>
      </c>
      <c r="G235" t="s">
        <v>2482</v>
      </c>
      <c r="H235" s="6" t="s">
        <v>3069</v>
      </c>
      <c r="I235" s="6" t="s">
        <v>3071</v>
      </c>
      <c r="J235" s="6" t="s">
        <v>3308</v>
      </c>
      <c r="K235" s="9">
        <v>3</v>
      </c>
      <c r="L235" s="6" t="s">
        <v>4277</v>
      </c>
      <c r="M235" s="6" t="s">
        <v>4278</v>
      </c>
      <c r="N235" s="4">
        <v>933.99</v>
      </c>
      <c r="O235" s="6">
        <f t="shared" si="3"/>
        <v>960</v>
      </c>
    </row>
    <row r="236" spans="1:15" x14ac:dyDescent="0.3">
      <c r="A236" s="6" t="s">
        <v>248</v>
      </c>
      <c r="B236" s="2">
        <v>45622</v>
      </c>
      <c r="C236" s="6" t="s">
        <v>1448</v>
      </c>
      <c r="D236" s="6" t="s">
        <v>2407</v>
      </c>
      <c r="E236" s="9">
        <v>4</v>
      </c>
      <c r="F236" s="4">
        <v>236.41</v>
      </c>
      <c r="G236" t="s">
        <v>2611</v>
      </c>
      <c r="H236" s="6" t="s">
        <v>3065</v>
      </c>
      <c r="I236" s="6" t="s">
        <v>3074</v>
      </c>
      <c r="J236" s="6" t="s">
        <v>3309</v>
      </c>
      <c r="K236" s="9">
        <v>7</v>
      </c>
      <c r="L236" s="6" t="s">
        <v>4275</v>
      </c>
      <c r="M236" s="6" t="s">
        <v>4282</v>
      </c>
      <c r="N236" s="4">
        <v>945.64</v>
      </c>
      <c r="O236" s="6">
        <f t="shared" si="3"/>
        <v>959</v>
      </c>
    </row>
    <row r="237" spans="1:15" x14ac:dyDescent="0.3">
      <c r="A237" s="6" t="s">
        <v>249</v>
      </c>
      <c r="B237" s="2">
        <v>44977</v>
      </c>
      <c r="C237" s="6" t="s">
        <v>1449</v>
      </c>
      <c r="D237" s="6" t="s">
        <v>2409</v>
      </c>
      <c r="E237" s="9">
        <v>1</v>
      </c>
      <c r="F237" s="4">
        <v>65.45</v>
      </c>
      <c r="G237" t="s">
        <v>2612</v>
      </c>
      <c r="H237" s="6" t="s">
        <v>3069</v>
      </c>
      <c r="I237" s="6" t="s">
        <v>3074</v>
      </c>
      <c r="J237" s="6" t="s">
        <v>3310</v>
      </c>
      <c r="K237" s="9">
        <v>2</v>
      </c>
      <c r="L237" s="6" t="s">
        <v>4277</v>
      </c>
      <c r="M237" s="6" t="s">
        <v>4282</v>
      </c>
      <c r="N237" s="4">
        <v>65.45</v>
      </c>
      <c r="O237" s="6">
        <f t="shared" si="3"/>
        <v>958</v>
      </c>
    </row>
    <row r="238" spans="1:15" x14ac:dyDescent="0.3">
      <c r="A238" s="6" t="s">
        <v>250</v>
      </c>
      <c r="B238" s="2">
        <v>44927</v>
      </c>
      <c r="C238" s="6" t="s">
        <v>1450</v>
      </c>
      <c r="D238" s="6" t="s">
        <v>2403</v>
      </c>
      <c r="E238" s="9">
        <v>1</v>
      </c>
      <c r="F238" s="4">
        <v>318.81</v>
      </c>
      <c r="G238" t="s">
        <v>2613</v>
      </c>
      <c r="H238" s="6" t="s">
        <v>3065</v>
      </c>
      <c r="I238" s="6" t="s">
        <v>3074</v>
      </c>
      <c r="J238" s="6" t="s">
        <v>3311</v>
      </c>
      <c r="K238" s="9">
        <v>3</v>
      </c>
      <c r="L238" s="6" t="s">
        <v>4277</v>
      </c>
      <c r="M238" s="6" t="s">
        <v>4280</v>
      </c>
      <c r="N238" s="4">
        <v>318.81</v>
      </c>
      <c r="O238" s="6">
        <f t="shared" si="3"/>
        <v>957</v>
      </c>
    </row>
    <row r="239" spans="1:15" x14ac:dyDescent="0.3">
      <c r="A239" s="6" t="s">
        <v>251</v>
      </c>
      <c r="B239" s="2">
        <v>45365</v>
      </c>
      <c r="C239" s="6" t="s">
        <v>1451</v>
      </c>
      <c r="D239" s="6" t="s">
        <v>2403</v>
      </c>
      <c r="E239" s="9">
        <v>3</v>
      </c>
      <c r="F239" s="4">
        <v>583.72</v>
      </c>
      <c r="G239" t="s">
        <v>2614</v>
      </c>
      <c r="H239" s="6" t="s">
        <v>3067</v>
      </c>
      <c r="I239" s="6" t="s">
        <v>3070</v>
      </c>
      <c r="J239" s="6" t="s">
        <v>3312</v>
      </c>
      <c r="K239" s="9">
        <v>5</v>
      </c>
      <c r="L239" s="6" t="s">
        <v>4276</v>
      </c>
      <c r="M239" s="6" t="s">
        <v>4281</v>
      </c>
      <c r="N239" s="4">
        <v>1751.16</v>
      </c>
      <c r="O239" s="6">
        <f t="shared" si="3"/>
        <v>956</v>
      </c>
    </row>
    <row r="240" spans="1:15" x14ac:dyDescent="0.3">
      <c r="A240" s="6" t="s">
        <v>252</v>
      </c>
      <c r="B240" s="2">
        <v>45639</v>
      </c>
      <c r="C240" s="6" t="s">
        <v>1452</v>
      </c>
      <c r="D240" s="6" t="s">
        <v>2409</v>
      </c>
      <c r="E240" s="9">
        <v>4</v>
      </c>
      <c r="F240" s="4">
        <v>384.32</v>
      </c>
      <c r="G240" t="s">
        <v>2615</v>
      </c>
      <c r="H240" s="6" t="s">
        <v>3067</v>
      </c>
      <c r="I240" s="6" t="s">
        <v>3074</v>
      </c>
      <c r="J240" s="6" t="s">
        <v>3313</v>
      </c>
      <c r="K240" s="9">
        <v>6</v>
      </c>
      <c r="L240" s="6" t="s">
        <v>4277</v>
      </c>
      <c r="M240" s="6" t="s">
        <v>4282</v>
      </c>
      <c r="N240" s="4">
        <v>1537.28</v>
      </c>
      <c r="O240" s="6">
        <f t="shared" si="3"/>
        <v>956</v>
      </c>
    </row>
    <row r="241" spans="1:15" x14ac:dyDescent="0.3">
      <c r="A241" s="6" t="s">
        <v>253</v>
      </c>
      <c r="B241" s="2">
        <v>45637</v>
      </c>
      <c r="C241" s="6" t="s">
        <v>1453</v>
      </c>
      <c r="D241" s="6" t="s">
        <v>2405</v>
      </c>
      <c r="E241" s="9">
        <v>3</v>
      </c>
      <c r="F241" s="4">
        <v>538.74</v>
      </c>
      <c r="G241" t="s">
        <v>2616</v>
      </c>
      <c r="H241" s="6" t="s">
        <v>3066</v>
      </c>
      <c r="I241" s="6" t="s">
        <v>3070</v>
      </c>
      <c r="J241" s="6" t="s">
        <v>3314</v>
      </c>
      <c r="K241" s="9">
        <v>6</v>
      </c>
      <c r="L241" s="6" t="s">
        <v>4276</v>
      </c>
      <c r="M241" s="6" t="s">
        <v>4280</v>
      </c>
      <c r="N241" s="4">
        <v>1616.22</v>
      </c>
      <c r="O241" s="6">
        <f t="shared" si="3"/>
        <v>955</v>
      </c>
    </row>
    <row r="242" spans="1:15" x14ac:dyDescent="0.3">
      <c r="A242" s="6" t="s">
        <v>254</v>
      </c>
      <c r="B242" s="2">
        <v>45119</v>
      </c>
      <c r="C242" s="6" t="s">
        <v>1454</v>
      </c>
      <c r="D242" s="6" t="s">
        <v>2405</v>
      </c>
      <c r="E242" s="9">
        <v>1</v>
      </c>
      <c r="F242" s="4">
        <v>17.239999999999998</v>
      </c>
      <c r="G242" t="s">
        <v>2617</v>
      </c>
      <c r="H242" s="6" t="s">
        <v>3066</v>
      </c>
      <c r="I242" s="6" t="s">
        <v>3074</v>
      </c>
      <c r="J242" s="6" t="s">
        <v>3315</v>
      </c>
      <c r="K242" s="9">
        <v>2</v>
      </c>
      <c r="L242" s="6" t="s">
        <v>4276</v>
      </c>
      <c r="M242" s="6" t="s">
        <v>4278</v>
      </c>
      <c r="N242" s="4">
        <v>17.239999999999998</v>
      </c>
      <c r="O242" s="6">
        <f t="shared" si="3"/>
        <v>954</v>
      </c>
    </row>
    <row r="243" spans="1:15" x14ac:dyDescent="0.3">
      <c r="A243" s="6" t="s">
        <v>255</v>
      </c>
      <c r="B243" s="2">
        <v>45062</v>
      </c>
      <c r="C243" s="6" t="s">
        <v>1455</v>
      </c>
      <c r="D243" s="6" t="s">
        <v>2406</v>
      </c>
      <c r="E243" s="9">
        <v>5</v>
      </c>
      <c r="F243" s="4">
        <v>615.66999999999996</v>
      </c>
      <c r="G243" t="s">
        <v>2618</v>
      </c>
      <c r="H243" s="6" t="s">
        <v>3066</v>
      </c>
      <c r="I243" s="6" t="s">
        <v>3074</v>
      </c>
      <c r="J243" s="6" t="s">
        <v>3316</v>
      </c>
      <c r="K243" s="9">
        <v>6</v>
      </c>
      <c r="L243" s="6" t="s">
        <v>4275</v>
      </c>
      <c r="M243" s="6" t="s">
        <v>4280</v>
      </c>
      <c r="N243" s="4">
        <v>3078.35</v>
      </c>
      <c r="O243" s="6">
        <f t="shared" si="3"/>
        <v>953</v>
      </c>
    </row>
    <row r="244" spans="1:15" x14ac:dyDescent="0.3">
      <c r="A244" s="6" t="s">
        <v>256</v>
      </c>
      <c r="B244" s="2">
        <v>45055</v>
      </c>
      <c r="C244" s="6" t="s">
        <v>1456</v>
      </c>
      <c r="D244" s="6" t="s">
        <v>2407</v>
      </c>
      <c r="E244" s="9">
        <v>2</v>
      </c>
      <c r="F244" s="4">
        <v>219.1</v>
      </c>
      <c r="G244" t="s">
        <v>2619</v>
      </c>
      <c r="H244" s="6" t="s">
        <v>3066</v>
      </c>
      <c r="I244" s="6" t="s">
        <v>3074</v>
      </c>
      <c r="J244" s="6" t="s">
        <v>3317</v>
      </c>
      <c r="K244" s="9">
        <v>4</v>
      </c>
      <c r="L244" s="6" t="s">
        <v>4275</v>
      </c>
      <c r="M244" s="6" t="s">
        <v>4279</v>
      </c>
      <c r="N244" s="4">
        <v>438.2</v>
      </c>
      <c r="O244" s="6">
        <f t="shared" si="3"/>
        <v>952</v>
      </c>
    </row>
    <row r="245" spans="1:15" x14ac:dyDescent="0.3">
      <c r="A245" s="6" t="s">
        <v>257</v>
      </c>
      <c r="B245" s="2">
        <v>45786</v>
      </c>
      <c r="C245" s="6" t="s">
        <v>1457</v>
      </c>
      <c r="D245" s="6" t="s">
        <v>2406</v>
      </c>
      <c r="E245" s="9">
        <v>2</v>
      </c>
      <c r="F245" s="4">
        <v>144.66</v>
      </c>
      <c r="G245" t="s">
        <v>2620</v>
      </c>
      <c r="H245" s="6" t="s">
        <v>3066</v>
      </c>
      <c r="I245" s="6" t="s">
        <v>3071</v>
      </c>
      <c r="J245" s="6" t="s">
        <v>3318</v>
      </c>
      <c r="K245" s="9">
        <v>7</v>
      </c>
      <c r="L245" s="6" t="s">
        <v>4276</v>
      </c>
      <c r="M245" s="6" t="s">
        <v>4282</v>
      </c>
      <c r="N245" s="4">
        <v>289.32</v>
      </c>
      <c r="O245" s="6">
        <f t="shared" si="3"/>
        <v>951</v>
      </c>
    </row>
    <row r="246" spans="1:15" x14ac:dyDescent="0.3">
      <c r="A246" s="6" t="s">
        <v>258</v>
      </c>
      <c r="B246" s="2">
        <v>44973</v>
      </c>
      <c r="C246" s="6" t="s">
        <v>1458</v>
      </c>
      <c r="D246" s="6" t="s">
        <v>2409</v>
      </c>
      <c r="E246" s="9">
        <v>2</v>
      </c>
      <c r="F246" s="4">
        <v>317.77</v>
      </c>
      <c r="G246" t="s">
        <v>2621</v>
      </c>
      <c r="H246" s="6" t="s">
        <v>3065</v>
      </c>
      <c r="I246" s="6" t="s">
        <v>3071</v>
      </c>
      <c r="J246" s="6" t="s">
        <v>3319</v>
      </c>
      <c r="K246" s="9">
        <v>4</v>
      </c>
      <c r="L246" s="6" t="s">
        <v>4277</v>
      </c>
      <c r="M246" s="6" t="s">
        <v>4281</v>
      </c>
      <c r="N246" s="4">
        <v>635.54</v>
      </c>
      <c r="O246" s="6">
        <f t="shared" si="3"/>
        <v>950</v>
      </c>
    </row>
    <row r="247" spans="1:15" x14ac:dyDescent="0.3">
      <c r="A247" s="6" t="s">
        <v>259</v>
      </c>
      <c r="B247" s="2">
        <v>45767</v>
      </c>
      <c r="C247" s="6" t="s">
        <v>1459</v>
      </c>
      <c r="D247" s="6" t="s">
        <v>2408</v>
      </c>
      <c r="E247" s="9">
        <v>1</v>
      </c>
      <c r="F247" s="4">
        <v>223.3</v>
      </c>
      <c r="G247" t="s">
        <v>2622</v>
      </c>
      <c r="H247" s="6" t="s">
        <v>3066</v>
      </c>
      <c r="I247" s="6" t="s">
        <v>3072</v>
      </c>
      <c r="J247" s="6" t="s">
        <v>3320</v>
      </c>
      <c r="K247" s="9">
        <v>1</v>
      </c>
      <c r="L247" s="6" t="s">
        <v>4283</v>
      </c>
      <c r="M247" s="6" t="s">
        <v>4281</v>
      </c>
      <c r="N247" s="4">
        <v>223.3</v>
      </c>
      <c r="O247" s="6">
        <f t="shared" si="3"/>
        <v>949</v>
      </c>
    </row>
    <row r="248" spans="1:15" x14ac:dyDescent="0.3">
      <c r="A248" s="6" t="s">
        <v>260</v>
      </c>
      <c r="B248" s="2">
        <v>45534</v>
      </c>
      <c r="C248" s="6" t="s">
        <v>1460</v>
      </c>
      <c r="D248" s="6" t="s">
        <v>2409</v>
      </c>
      <c r="E248" s="9">
        <v>2</v>
      </c>
      <c r="F248" s="4">
        <v>342.11</v>
      </c>
      <c r="G248" t="s">
        <v>2623</v>
      </c>
      <c r="H248" s="6" t="s">
        <v>3068</v>
      </c>
      <c r="I248" s="6" t="s">
        <v>3070</v>
      </c>
      <c r="J248" s="6" t="s">
        <v>3321</v>
      </c>
      <c r="K248" s="9">
        <v>2</v>
      </c>
      <c r="L248" s="6" t="s">
        <v>4277</v>
      </c>
      <c r="M248" s="6" t="s">
        <v>4278</v>
      </c>
      <c r="N248" s="4">
        <v>684.22</v>
      </c>
      <c r="O248" s="6">
        <f t="shared" si="3"/>
        <v>948</v>
      </c>
    </row>
    <row r="249" spans="1:15" x14ac:dyDescent="0.3">
      <c r="A249" s="6" t="s">
        <v>261</v>
      </c>
      <c r="B249" s="2">
        <v>45127</v>
      </c>
      <c r="C249" s="6" t="s">
        <v>1461</v>
      </c>
      <c r="D249" s="6" t="s">
        <v>2407</v>
      </c>
      <c r="E249" s="9">
        <v>2</v>
      </c>
      <c r="F249" s="4">
        <v>220.9</v>
      </c>
      <c r="G249" t="s">
        <v>2624</v>
      </c>
      <c r="H249" s="6" t="s">
        <v>3068</v>
      </c>
      <c r="I249" s="6" t="s">
        <v>3070</v>
      </c>
      <c r="J249" s="6" t="s">
        <v>3322</v>
      </c>
      <c r="K249" s="9">
        <v>4</v>
      </c>
      <c r="L249" s="6" t="s">
        <v>4283</v>
      </c>
      <c r="M249" s="6" t="s">
        <v>4280</v>
      </c>
      <c r="N249" s="4">
        <v>441.8</v>
      </c>
      <c r="O249" s="6">
        <f t="shared" si="3"/>
        <v>947</v>
      </c>
    </row>
    <row r="250" spans="1:15" x14ac:dyDescent="0.3">
      <c r="A250" s="6" t="s">
        <v>262</v>
      </c>
      <c r="B250" s="2">
        <v>45109</v>
      </c>
      <c r="C250" s="6" t="s">
        <v>1462</v>
      </c>
      <c r="D250" s="6" t="s">
        <v>2408</v>
      </c>
      <c r="E250" s="9">
        <v>1</v>
      </c>
      <c r="F250" s="4">
        <v>670.54</v>
      </c>
      <c r="G250" t="s">
        <v>2625</v>
      </c>
      <c r="H250" s="6" t="s">
        <v>3069</v>
      </c>
      <c r="I250" s="6" t="s">
        <v>3070</v>
      </c>
      <c r="J250" s="6" t="s">
        <v>3323</v>
      </c>
      <c r="K250" s="9">
        <v>6</v>
      </c>
      <c r="L250" s="6" t="s">
        <v>4276</v>
      </c>
      <c r="M250" s="6" t="s">
        <v>4279</v>
      </c>
      <c r="N250" s="4">
        <v>670.54</v>
      </c>
      <c r="O250" s="6">
        <f t="shared" si="3"/>
        <v>946</v>
      </c>
    </row>
    <row r="251" spans="1:15" x14ac:dyDescent="0.3">
      <c r="A251" s="6" t="s">
        <v>263</v>
      </c>
      <c r="B251" s="2">
        <v>45329</v>
      </c>
      <c r="C251" s="6" t="s">
        <v>1463</v>
      </c>
      <c r="D251" s="6" t="s">
        <v>2407</v>
      </c>
      <c r="E251" s="9">
        <v>1</v>
      </c>
      <c r="F251" s="4">
        <v>546.19000000000005</v>
      </c>
      <c r="G251" t="s">
        <v>2626</v>
      </c>
      <c r="H251" s="6" t="s">
        <v>3069</v>
      </c>
      <c r="I251" s="6" t="s">
        <v>3074</v>
      </c>
      <c r="J251" s="6" t="s">
        <v>3324</v>
      </c>
      <c r="K251" s="9">
        <v>5</v>
      </c>
      <c r="L251" s="6" t="s">
        <v>4276</v>
      </c>
      <c r="M251" s="6" t="s">
        <v>4279</v>
      </c>
      <c r="N251" s="4">
        <v>546.19000000000005</v>
      </c>
      <c r="O251" s="6">
        <f t="shared" si="3"/>
        <v>945</v>
      </c>
    </row>
    <row r="252" spans="1:15" x14ac:dyDescent="0.3">
      <c r="A252" s="6" t="s">
        <v>264</v>
      </c>
      <c r="B252" s="2">
        <v>45021</v>
      </c>
      <c r="C252" s="6" t="s">
        <v>1464</v>
      </c>
      <c r="D252" s="6" t="s">
        <v>2409</v>
      </c>
      <c r="E252" s="9">
        <v>3</v>
      </c>
      <c r="F252" s="4">
        <v>42.95</v>
      </c>
      <c r="G252" t="s">
        <v>2492</v>
      </c>
      <c r="H252" s="6" t="s">
        <v>3068</v>
      </c>
      <c r="I252" s="6" t="s">
        <v>3072</v>
      </c>
      <c r="J252" s="6" t="s">
        <v>3325</v>
      </c>
      <c r="K252" s="9">
        <v>8</v>
      </c>
      <c r="L252" s="6" t="s">
        <v>4275</v>
      </c>
      <c r="M252" s="6" t="s">
        <v>4280</v>
      </c>
      <c r="N252" s="4">
        <v>128.85</v>
      </c>
      <c r="O252" s="6">
        <f t="shared" si="3"/>
        <v>944</v>
      </c>
    </row>
    <row r="253" spans="1:15" x14ac:dyDescent="0.3">
      <c r="A253" s="6" t="s">
        <v>265</v>
      </c>
      <c r="B253" s="2">
        <v>45792</v>
      </c>
      <c r="C253" s="6" t="s">
        <v>1465</v>
      </c>
      <c r="D253" s="6" t="s">
        <v>2403</v>
      </c>
      <c r="E253" s="9">
        <v>4</v>
      </c>
      <c r="F253" s="4">
        <v>14.69</v>
      </c>
      <c r="G253" t="s">
        <v>2627</v>
      </c>
      <c r="H253" s="6" t="s">
        <v>3069</v>
      </c>
      <c r="I253" s="6" t="s">
        <v>3071</v>
      </c>
      <c r="J253" s="6" t="s">
        <v>3326</v>
      </c>
      <c r="K253" s="9">
        <v>9</v>
      </c>
      <c r="L253" s="6" t="s">
        <v>4283</v>
      </c>
      <c r="M253" s="6" t="s">
        <v>4280</v>
      </c>
      <c r="N253" s="4">
        <v>58.76</v>
      </c>
      <c r="O253" s="6">
        <f t="shared" si="3"/>
        <v>943</v>
      </c>
    </row>
    <row r="254" spans="1:15" x14ac:dyDescent="0.3">
      <c r="A254" s="6" t="s">
        <v>266</v>
      </c>
      <c r="B254" s="2">
        <v>45555</v>
      </c>
      <c r="C254" s="6" t="s">
        <v>1466</v>
      </c>
      <c r="D254" s="6" t="s">
        <v>2404</v>
      </c>
      <c r="E254" s="9">
        <v>4</v>
      </c>
      <c r="F254" s="4">
        <v>668.36</v>
      </c>
      <c r="G254" t="s">
        <v>2628</v>
      </c>
      <c r="H254" s="6" t="s">
        <v>3068</v>
      </c>
      <c r="I254" s="6" t="s">
        <v>3071</v>
      </c>
      <c r="J254" s="6" t="s">
        <v>3327</v>
      </c>
      <c r="K254" s="9">
        <v>5</v>
      </c>
      <c r="L254" s="6" t="s">
        <v>4276</v>
      </c>
      <c r="M254" s="6" t="s">
        <v>4281</v>
      </c>
      <c r="N254" s="4">
        <v>2673.44</v>
      </c>
      <c r="O254" s="6">
        <f t="shared" si="3"/>
        <v>942</v>
      </c>
    </row>
    <row r="255" spans="1:15" x14ac:dyDescent="0.3">
      <c r="A255" s="6" t="s">
        <v>267</v>
      </c>
      <c r="B255" s="2">
        <v>45374</v>
      </c>
      <c r="C255" s="6" t="s">
        <v>1467</v>
      </c>
      <c r="D255" s="6" t="s">
        <v>2406</v>
      </c>
      <c r="E255" s="9">
        <v>4</v>
      </c>
      <c r="F255" s="4">
        <v>413.74</v>
      </c>
      <c r="G255" t="s">
        <v>2503</v>
      </c>
      <c r="H255" s="6" t="s">
        <v>3068</v>
      </c>
      <c r="I255" s="6" t="s">
        <v>3072</v>
      </c>
      <c r="J255" s="6" t="s">
        <v>3328</v>
      </c>
      <c r="K255" s="9">
        <v>7</v>
      </c>
      <c r="L255" s="6" t="s">
        <v>4276</v>
      </c>
      <c r="M255" s="6" t="s">
        <v>4278</v>
      </c>
      <c r="N255" s="4">
        <v>1654.96</v>
      </c>
      <c r="O255" s="6">
        <f t="shared" si="3"/>
        <v>941</v>
      </c>
    </row>
    <row r="256" spans="1:15" x14ac:dyDescent="0.3">
      <c r="A256" s="6" t="s">
        <v>268</v>
      </c>
      <c r="B256" s="2">
        <v>45286</v>
      </c>
      <c r="C256" s="6" t="s">
        <v>1468</v>
      </c>
      <c r="D256" s="6" t="s">
        <v>2403</v>
      </c>
      <c r="E256" s="9">
        <v>3</v>
      </c>
      <c r="F256" s="4">
        <v>263.19</v>
      </c>
      <c r="G256" t="s">
        <v>2615</v>
      </c>
      <c r="H256" s="6" t="s">
        <v>3066</v>
      </c>
      <c r="I256" s="6" t="s">
        <v>3073</v>
      </c>
      <c r="J256" s="6" t="s">
        <v>3329</v>
      </c>
      <c r="K256" s="9">
        <v>5</v>
      </c>
      <c r="L256" s="6" t="s">
        <v>4283</v>
      </c>
      <c r="M256" s="6" t="s">
        <v>4278</v>
      </c>
      <c r="N256" s="4">
        <v>789.56999999999994</v>
      </c>
      <c r="O256" s="6">
        <f t="shared" si="3"/>
        <v>940</v>
      </c>
    </row>
    <row r="257" spans="1:15" x14ac:dyDescent="0.3">
      <c r="A257" s="6" t="s">
        <v>269</v>
      </c>
      <c r="B257" s="2">
        <v>45425</v>
      </c>
      <c r="C257" s="6" t="s">
        <v>1469</v>
      </c>
      <c r="D257" s="6" t="s">
        <v>2403</v>
      </c>
      <c r="E257" s="9">
        <v>1</v>
      </c>
      <c r="F257" s="4">
        <v>263.95999999999998</v>
      </c>
      <c r="G257" t="s">
        <v>2565</v>
      </c>
      <c r="H257" s="6" t="s">
        <v>3068</v>
      </c>
      <c r="I257" s="6" t="s">
        <v>3072</v>
      </c>
      <c r="J257" s="6" t="s">
        <v>3330</v>
      </c>
      <c r="K257" s="9">
        <v>2</v>
      </c>
      <c r="L257" s="6" t="s">
        <v>4275</v>
      </c>
      <c r="M257" s="6" t="s">
        <v>4282</v>
      </c>
      <c r="N257" s="4">
        <v>263.95999999999998</v>
      </c>
      <c r="O257" s="6">
        <f t="shared" si="3"/>
        <v>939</v>
      </c>
    </row>
    <row r="258" spans="1:15" x14ac:dyDescent="0.3">
      <c r="A258" s="6" t="s">
        <v>270</v>
      </c>
      <c r="B258" s="2">
        <v>45838</v>
      </c>
      <c r="C258" s="6" t="s">
        <v>1470</v>
      </c>
      <c r="D258" s="6" t="s">
        <v>2406</v>
      </c>
      <c r="E258" s="9">
        <v>5</v>
      </c>
      <c r="F258" s="4">
        <v>75.81</v>
      </c>
      <c r="G258" t="s">
        <v>2629</v>
      </c>
      <c r="H258" s="6" t="s">
        <v>3068</v>
      </c>
      <c r="I258" s="6" t="s">
        <v>3072</v>
      </c>
      <c r="J258" s="6" t="s">
        <v>3331</v>
      </c>
      <c r="K258" s="9">
        <v>10</v>
      </c>
      <c r="L258" s="6" t="s">
        <v>4277</v>
      </c>
      <c r="M258" s="6" t="s">
        <v>4278</v>
      </c>
      <c r="N258" s="4">
        <v>379.05</v>
      </c>
      <c r="O258" s="6">
        <f t="shared" ref="O258:O321" si="4">COUNTA(_xlfn.UNIQUE(C257:C1456))</f>
        <v>938</v>
      </c>
    </row>
    <row r="259" spans="1:15" x14ac:dyDescent="0.3">
      <c r="A259" s="6" t="s">
        <v>271</v>
      </c>
      <c r="B259" s="2">
        <v>45405</v>
      </c>
      <c r="C259" s="6" t="s">
        <v>1471</v>
      </c>
      <c r="D259" s="6" t="s">
        <v>2404</v>
      </c>
      <c r="E259" s="9">
        <v>1</v>
      </c>
      <c r="F259" s="4">
        <v>406.22</v>
      </c>
      <c r="G259" t="s">
        <v>2630</v>
      </c>
      <c r="H259" s="6" t="s">
        <v>3067</v>
      </c>
      <c r="I259" s="6" t="s">
        <v>3071</v>
      </c>
      <c r="J259" s="6" t="s">
        <v>3332</v>
      </c>
      <c r="K259" s="9">
        <v>5</v>
      </c>
      <c r="L259" s="6" t="s">
        <v>4275</v>
      </c>
      <c r="M259" s="6" t="s">
        <v>4279</v>
      </c>
      <c r="N259" s="4">
        <v>406.22</v>
      </c>
      <c r="O259" s="6">
        <f t="shared" si="4"/>
        <v>937</v>
      </c>
    </row>
    <row r="260" spans="1:15" x14ac:dyDescent="0.3">
      <c r="A260" s="6" t="s">
        <v>272</v>
      </c>
      <c r="B260" s="2">
        <v>45348</v>
      </c>
      <c r="C260" s="6" t="s">
        <v>1472</v>
      </c>
      <c r="D260" s="6" t="s">
        <v>2405</v>
      </c>
      <c r="E260" s="9">
        <v>2</v>
      </c>
      <c r="F260" s="4">
        <v>103.41</v>
      </c>
      <c r="G260" t="s">
        <v>2631</v>
      </c>
      <c r="H260" s="6" t="s">
        <v>3066</v>
      </c>
      <c r="I260" s="6" t="s">
        <v>3070</v>
      </c>
      <c r="J260" s="6" t="s">
        <v>3333</v>
      </c>
      <c r="K260" s="9">
        <v>2</v>
      </c>
      <c r="L260" s="6" t="s">
        <v>4276</v>
      </c>
      <c r="M260" s="6" t="s">
        <v>4279</v>
      </c>
      <c r="N260" s="4">
        <v>206.82</v>
      </c>
      <c r="O260" s="6">
        <f t="shared" si="4"/>
        <v>936</v>
      </c>
    </row>
    <row r="261" spans="1:15" x14ac:dyDescent="0.3">
      <c r="A261" s="6" t="s">
        <v>273</v>
      </c>
      <c r="B261" s="2">
        <v>45088</v>
      </c>
      <c r="C261" s="6" t="s">
        <v>1473</v>
      </c>
      <c r="D261" s="6" t="s">
        <v>2406</v>
      </c>
      <c r="E261" s="9">
        <v>4</v>
      </c>
      <c r="F261" s="4">
        <v>435.12</v>
      </c>
      <c r="G261" t="s">
        <v>2535</v>
      </c>
      <c r="H261" s="6" t="s">
        <v>3067</v>
      </c>
      <c r="I261" s="6" t="s">
        <v>3073</v>
      </c>
      <c r="J261" s="6" t="s">
        <v>3334</v>
      </c>
      <c r="K261" s="9">
        <v>9</v>
      </c>
      <c r="L261" s="6" t="s">
        <v>4275</v>
      </c>
      <c r="M261" s="6" t="s">
        <v>4278</v>
      </c>
      <c r="N261" s="4">
        <v>1740.48</v>
      </c>
      <c r="O261" s="6">
        <f t="shared" si="4"/>
        <v>935</v>
      </c>
    </row>
    <row r="262" spans="1:15" x14ac:dyDescent="0.3">
      <c r="A262" s="6" t="s">
        <v>274</v>
      </c>
      <c r="B262" s="2">
        <v>45063</v>
      </c>
      <c r="C262" s="6" t="s">
        <v>1474</v>
      </c>
      <c r="D262" s="6" t="s">
        <v>2403</v>
      </c>
      <c r="E262" s="9">
        <v>2</v>
      </c>
      <c r="F262" s="4">
        <v>407.79</v>
      </c>
      <c r="G262" t="s">
        <v>2632</v>
      </c>
      <c r="H262" s="6" t="s">
        <v>3065</v>
      </c>
      <c r="I262" s="6" t="s">
        <v>3070</v>
      </c>
      <c r="J262" s="6" t="s">
        <v>3335</v>
      </c>
      <c r="K262" s="9">
        <v>3</v>
      </c>
      <c r="L262" s="6" t="s">
        <v>4283</v>
      </c>
      <c r="M262" s="6" t="s">
        <v>4282</v>
      </c>
      <c r="N262" s="4">
        <v>815.58</v>
      </c>
      <c r="O262" s="6">
        <f t="shared" si="4"/>
        <v>934</v>
      </c>
    </row>
    <row r="263" spans="1:15" x14ac:dyDescent="0.3">
      <c r="A263" s="6" t="s">
        <v>275</v>
      </c>
      <c r="B263" s="2">
        <v>45805</v>
      </c>
      <c r="C263" s="6" t="s">
        <v>1475</v>
      </c>
      <c r="D263" s="6" t="s">
        <v>2404</v>
      </c>
      <c r="E263" s="9">
        <v>5</v>
      </c>
      <c r="F263" s="4">
        <v>173.65</v>
      </c>
      <c r="G263" t="s">
        <v>2633</v>
      </c>
      <c r="H263" s="6" t="s">
        <v>3068</v>
      </c>
      <c r="I263" s="6" t="s">
        <v>3073</v>
      </c>
      <c r="J263" s="6" t="s">
        <v>3336</v>
      </c>
      <c r="K263" s="9">
        <v>9</v>
      </c>
      <c r="L263" s="6" t="s">
        <v>4275</v>
      </c>
      <c r="M263" s="6" t="s">
        <v>4280</v>
      </c>
      <c r="N263" s="4">
        <v>868.25</v>
      </c>
      <c r="O263" s="6">
        <f t="shared" si="4"/>
        <v>933</v>
      </c>
    </row>
    <row r="264" spans="1:15" x14ac:dyDescent="0.3">
      <c r="A264" s="6" t="s">
        <v>276</v>
      </c>
      <c r="B264" s="2">
        <v>44936</v>
      </c>
      <c r="C264" s="6" t="s">
        <v>1476</v>
      </c>
      <c r="D264" s="6" t="s">
        <v>2404</v>
      </c>
      <c r="E264" s="9">
        <v>4</v>
      </c>
      <c r="F264" s="4">
        <v>249.07</v>
      </c>
      <c r="G264" t="s">
        <v>2536</v>
      </c>
      <c r="H264" s="6" t="s">
        <v>3067</v>
      </c>
      <c r="I264" s="6" t="s">
        <v>3072</v>
      </c>
      <c r="J264" s="6" t="s">
        <v>3337</v>
      </c>
      <c r="K264" s="9">
        <v>5</v>
      </c>
      <c r="L264" s="6" t="s">
        <v>4277</v>
      </c>
      <c r="M264" s="6" t="s">
        <v>4279</v>
      </c>
      <c r="N264" s="4">
        <v>996.28</v>
      </c>
      <c r="O264" s="6">
        <f t="shared" si="4"/>
        <v>932</v>
      </c>
    </row>
    <row r="265" spans="1:15" x14ac:dyDescent="0.3">
      <c r="A265" s="6" t="s">
        <v>277</v>
      </c>
      <c r="B265" s="2">
        <v>45010</v>
      </c>
      <c r="C265" s="6" t="s">
        <v>1477</v>
      </c>
      <c r="D265" s="6" t="s">
        <v>2404</v>
      </c>
      <c r="E265" s="9">
        <v>4</v>
      </c>
      <c r="F265" s="4">
        <v>434.85</v>
      </c>
      <c r="G265" t="s">
        <v>2634</v>
      </c>
      <c r="H265" s="6" t="s">
        <v>3067</v>
      </c>
      <c r="I265" s="6" t="s">
        <v>3074</v>
      </c>
      <c r="J265" s="6" t="s">
        <v>3338</v>
      </c>
      <c r="K265" s="9">
        <v>4</v>
      </c>
      <c r="L265" s="6" t="s">
        <v>4277</v>
      </c>
      <c r="M265" s="6" t="s">
        <v>4282</v>
      </c>
      <c r="N265" s="4">
        <v>1739.4</v>
      </c>
      <c r="O265" s="6">
        <f t="shared" si="4"/>
        <v>931</v>
      </c>
    </row>
    <row r="266" spans="1:15" x14ac:dyDescent="0.3">
      <c r="A266" s="6" t="s">
        <v>278</v>
      </c>
      <c r="B266" s="2">
        <v>45507</v>
      </c>
      <c r="C266" s="6" t="s">
        <v>1478</v>
      </c>
      <c r="D266" s="6" t="s">
        <v>2405</v>
      </c>
      <c r="E266" s="9">
        <v>1</v>
      </c>
      <c r="F266" s="4">
        <v>436.77</v>
      </c>
      <c r="G266" t="s">
        <v>2635</v>
      </c>
      <c r="H266" s="6" t="s">
        <v>3069</v>
      </c>
      <c r="I266" s="6" t="s">
        <v>3072</v>
      </c>
      <c r="J266" s="6" t="s">
        <v>3339</v>
      </c>
      <c r="K266" s="9">
        <v>5</v>
      </c>
      <c r="L266" s="6" t="s">
        <v>4276</v>
      </c>
      <c r="M266" s="6" t="s">
        <v>4282</v>
      </c>
      <c r="N266" s="4">
        <v>436.77</v>
      </c>
      <c r="O266" s="6">
        <f t="shared" si="4"/>
        <v>930</v>
      </c>
    </row>
    <row r="267" spans="1:15" x14ac:dyDescent="0.3">
      <c r="A267" s="6" t="s">
        <v>279</v>
      </c>
      <c r="B267" s="2">
        <v>45282</v>
      </c>
      <c r="C267" s="6" t="s">
        <v>1479</v>
      </c>
      <c r="D267" s="6" t="s">
        <v>2407</v>
      </c>
      <c r="E267" s="9">
        <v>1</v>
      </c>
      <c r="F267" s="4">
        <v>572.13</v>
      </c>
      <c r="G267" t="s">
        <v>2636</v>
      </c>
      <c r="H267" s="6" t="s">
        <v>3065</v>
      </c>
      <c r="I267" s="6" t="s">
        <v>3071</v>
      </c>
      <c r="J267" s="6" t="s">
        <v>3340</v>
      </c>
      <c r="K267" s="9">
        <v>4</v>
      </c>
      <c r="L267" s="6" t="s">
        <v>4275</v>
      </c>
      <c r="M267" s="6" t="s">
        <v>4282</v>
      </c>
      <c r="N267" s="4">
        <v>572.13</v>
      </c>
      <c r="O267" s="6">
        <f t="shared" si="4"/>
        <v>929</v>
      </c>
    </row>
    <row r="268" spans="1:15" x14ac:dyDescent="0.3">
      <c r="A268" s="6" t="s">
        <v>280</v>
      </c>
      <c r="B268" s="2">
        <v>45451</v>
      </c>
      <c r="C268" s="6" t="s">
        <v>1480</v>
      </c>
      <c r="D268" s="6" t="s">
        <v>2406</v>
      </c>
      <c r="E268" s="9">
        <v>4</v>
      </c>
      <c r="F268" s="4">
        <v>583.07000000000005</v>
      </c>
      <c r="G268" t="s">
        <v>2637</v>
      </c>
      <c r="H268" s="6" t="s">
        <v>3067</v>
      </c>
      <c r="I268" s="6" t="s">
        <v>3071</v>
      </c>
      <c r="J268" s="6" t="s">
        <v>3341</v>
      </c>
      <c r="K268" s="9">
        <v>6</v>
      </c>
      <c r="L268" s="6" t="s">
        <v>4276</v>
      </c>
      <c r="M268" s="6" t="s">
        <v>4279</v>
      </c>
      <c r="N268" s="4">
        <v>2332.2800000000002</v>
      </c>
      <c r="O268" s="6">
        <f t="shared" si="4"/>
        <v>928</v>
      </c>
    </row>
    <row r="269" spans="1:15" x14ac:dyDescent="0.3">
      <c r="A269" s="6" t="s">
        <v>281</v>
      </c>
      <c r="B269" s="2">
        <v>45764</v>
      </c>
      <c r="C269" s="6" t="s">
        <v>1481</v>
      </c>
      <c r="D269" s="6" t="s">
        <v>2406</v>
      </c>
      <c r="E269" s="9">
        <v>5</v>
      </c>
      <c r="F269" s="4">
        <v>468.51</v>
      </c>
      <c r="G269" t="s">
        <v>2638</v>
      </c>
      <c r="H269" s="6" t="s">
        <v>3065</v>
      </c>
      <c r="I269" s="6" t="s">
        <v>3073</v>
      </c>
      <c r="J269" s="6" t="s">
        <v>3342</v>
      </c>
      <c r="K269" s="9">
        <v>9</v>
      </c>
      <c r="L269" s="6" t="s">
        <v>4283</v>
      </c>
      <c r="M269" s="6" t="s">
        <v>4281</v>
      </c>
      <c r="N269" s="4">
        <v>2342.5500000000002</v>
      </c>
      <c r="O269" s="6">
        <f t="shared" si="4"/>
        <v>927</v>
      </c>
    </row>
    <row r="270" spans="1:15" x14ac:dyDescent="0.3">
      <c r="A270" s="6" t="s">
        <v>282</v>
      </c>
      <c r="B270" s="2">
        <v>45149</v>
      </c>
      <c r="C270" s="6" t="s">
        <v>1482</v>
      </c>
      <c r="D270" s="6" t="s">
        <v>2404</v>
      </c>
      <c r="E270" s="9">
        <v>2</v>
      </c>
      <c r="F270" s="4">
        <v>423.88</v>
      </c>
      <c r="G270" t="s">
        <v>2639</v>
      </c>
      <c r="H270" s="6" t="s">
        <v>3065</v>
      </c>
      <c r="I270" s="6" t="s">
        <v>3073</v>
      </c>
      <c r="J270" s="6" t="s">
        <v>3343</v>
      </c>
      <c r="K270" s="9">
        <v>7</v>
      </c>
      <c r="L270" s="6" t="s">
        <v>4275</v>
      </c>
      <c r="M270" s="6" t="s">
        <v>4279</v>
      </c>
      <c r="N270" s="4">
        <v>847.76</v>
      </c>
      <c r="O270" s="6">
        <f t="shared" si="4"/>
        <v>927</v>
      </c>
    </row>
    <row r="271" spans="1:15" x14ac:dyDescent="0.3">
      <c r="A271" s="6" t="s">
        <v>283</v>
      </c>
      <c r="B271" s="2">
        <v>45255</v>
      </c>
      <c r="C271" s="6" t="s">
        <v>1483</v>
      </c>
      <c r="D271" s="6" t="s">
        <v>2405</v>
      </c>
      <c r="E271" s="9">
        <v>4</v>
      </c>
      <c r="F271" s="4">
        <v>663.67</v>
      </c>
      <c r="G271" t="s">
        <v>2477</v>
      </c>
      <c r="H271" s="6" t="s">
        <v>3067</v>
      </c>
      <c r="I271" s="6" t="s">
        <v>3074</v>
      </c>
      <c r="J271" s="6" t="s">
        <v>3344</v>
      </c>
      <c r="K271" s="9">
        <v>7</v>
      </c>
      <c r="L271" s="6" t="s">
        <v>4276</v>
      </c>
      <c r="M271" s="6" t="s">
        <v>4282</v>
      </c>
      <c r="N271" s="4">
        <v>2654.68</v>
      </c>
      <c r="O271" s="6">
        <f t="shared" si="4"/>
        <v>926</v>
      </c>
    </row>
    <row r="272" spans="1:15" x14ac:dyDescent="0.3">
      <c r="A272" s="6" t="s">
        <v>284</v>
      </c>
      <c r="B272" s="2">
        <v>45081</v>
      </c>
      <c r="C272" s="6" t="s">
        <v>1484</v>
      </c>
      <c r="D272" s="6" t="s">
        <v>2407</v>
      </c>
      <c r="E272" s="9">
        <v>4</v>
      </c>
      <c r="F272" s="4">
        <v>309.91000000000003</v>
      </c>
      <c r="G272" t="s">
        <v>2640</v>
      </c>
      <c r="H272" s="6" t="s">
        <v>3065</v>
      </c>
      <c r="I272" s="6" t="s">
        <v>3070</v>
      </c>
      <c r="J272" s="6" t="s">
        <v>3345</v>
      </c>
      <c r="K272" s="9">
        <v>5</v>
      </c>
      <c r="L272" s="6" t="s">
        <v>4277</v>
      </c>
      <c r="M272" s="6" t="s">
        <v>4282</v>
      </c>
      <c r="N272" s="4">
        <v>1239.6400000000001</v>
      </c>
      <c r="O272" s="6">
        <f t="shared" si="4"/>
        <v>925</v>
      </c>
    </row>
    <row r="273" spans="1:15" x14ac:dyDescent="0.3">
      <c r="A273" s="6" t="s">
        <v>285</v>
      </c>
      <c r="B273" s="2">
        <v>45013</v>
      </c>
      <c r="C273" s="6" t="s">
        <v>1485</v>
      </c>
      <c r="D273" s="6" t="s">
        <v>2403</v>
      </c>
      <c r="E273" s="9">
        <v>1</v>
      </c>
      <c r="F273" s="4">
        <v>542.07000000000005</v>
      </c>
      <c r="G273" t="s">
        <v>2641</v>
      </c>
      <c r="H273" s="6" t="s">
        <v>3069</v>
      </c>
      <c r="I273" s="6" t="s">
        <v>3070</v>
      </c>
      <c r="J273" s="6" t="s">
        <v>3346</v>
      </c>
      <c r="K273" s="9">
        <v>6</v>
      </c>
      <c r="L273" s="6" t="s">
        <v>4277</v>
      </c>
      <c r="M273" s="6" t="s">
        <v>4279</v>
      </c>
      <c r="N273" s="4">
        <v>542.07000000000005</v>
      </c>
      <c r="O273" s="6">
        <f t="shared" si="4"/>
        <v>924</v>
      </c>
    </row>
    <row r="274" spans="1:15" x14ac:dyDescent="0.3">
      <c r="A274" s="6" t="s">
        <v>286</v>
      </c>
      <c r="B274" s="2">
        <v>45188</v>
      </c>
      <c r="C274" s="6" t="s">
        <v>1486</v>
      </c>
      <c r="D274" s="6" t="s">
        <v>2406</v>
      </c>
      <c r="E274" s="9">
        <v>2</v>
      </c>
      <c r="F274" s="4">
        <v>399.32</v>
      </c>
      <c r="G274" t="s">
        <v>2642</v>
      </c>
      <c r="H274" s="6" t="s">
        <v>3066</v>
      </c>
      <c r="I274" s="6" t="s">
        <v>3074</v>
      </c>
      <c r="J274" s="6" t="s">
        <v>3347</v>
      </c>
      <c r="K274" s="9">
        <v>6</v>
      </c>
      <c r="L274" s="6" t="s">
        <v>4277</v>
      </c>
      <c r="M274" s="6" t="s">
        <v>4278</v>
      </c>
      <c r="N274" s="4">
        <v>798.64</v>
      </c>
      <c r="O274" s="6">
        <f t="shared" si="4"/>
        <v>923</v>
      </c>
    </row>
    <row r="275" spans="1:15" x14ac:dyDescent="0.3">
      <c r="A275" s="6" t="s">
        <v>287</v>
      </c>
      <c r="B275" s="2">
        <v>45592</v>
      </c>
      <c r="C275" s="6" t="s">
        <v>1487</v>
      </c>
      <c r="D275" s="6" t="s">
        <v>2405</v>
      </c>
      <c r="E275" s="9">
        <v>2</v>
      </c>
      <c r="F275" s="4">
        <v>238.25</v>
      </c>
      <c r="G275" t="s">
        <v>2643</v>
      </c>
      <c r="H275" s="6" t="s">
        <v>3066</v>
      </c>
      <c r="I275" s="6" t="s">
        <v>3071</v>
      </c>
      <c r="J275" s="6" t="s">
        <v>3348</v>
      </c>
      <c r="K275" s="9">
        <v>7</v>
      </c>
      <c r="L275" s="6" t="s">
        <v>4276</v>
      </c>
      <c r="M275" s="6" t="s">
        <v>4280</v>
      </c>
      <c r="N275" s="4">
        <v>476.5</v>
      </c>
      <c r="O275" s="6">
        <f t="shared" si="4"/>
        <v>922</v>
      </c>
    </row>
    <row r="276" spans="1:15" x14ac:dyDescent="0.3">
      <c r="A276" s="6" t="s">
        <v>288</v>
      </c>
      <c r="B276" s="2">
        <v>44961</v>
      </c>
      <c r="C276" s="6" t="s">
        <v>1488</v>
      </c>
      <c r="D276" s="6" t="s">
        <v>2404</v>
      </c>
      <c r="E276" s="9">
        <v>2</v>
      </c>
      <c r="F276" s="4">
        <v>182.4</v>
      </c>
      <c r="G276" t="s">
        <v>2644</v>
      </c>
      <c r="H276" s="6" t="s">
        <v>3068</v>
      </c>
      <c r="I276" s="6" t="s">
        <v>3071</v>
      </c>
      <c r="J276" s="6" t="s">
        <v>3349</v>
      </c>
      <c r="K276" s="9">
        <v>5</v>
      </c>
      <c r="L276" s="6" t="s">
        <v>4275</v>
      </c>
      <c r="M276" s="6" t="s">
        <v>4279</v>
      </c>
      <c r="N276" s="4">
        <v>364.8</v>
      </c>
      <c r="O276" s="6">
        <f t="shared" si="4"/>
        <v>921</v>
      </c>
    </row>
    <row r="277" spans="1:15" x14ac:dyDescent="0.3">
      <c r="A277" s="6" t="s">
        <v>289</v>
      </c>
      <c r="B277" s="2">
        <v>45234</v>
      </c>
      <c r="C277" s="6" t="s">
        <v>1489</v>
      </c>
      <c r="D277" s="6" t="s">
        <v>2406</v>
      </c>
      <c r="E277" s="9">
        <v>2</v>
      </c>
      <c r="F277" s="4">
        <v>65.069999999999993</v>
      </c>
      <c r="G277" t="s">
        <v>2645</v>
      </c>
      <c r="H277" s="6" t="s">
        <v>3067</v>
      </c>
      <c r="I277" s="6" t="s">
        <v>3071</v>
      </c>
      <c r="J277" s="6" t="s">
        <v>3350</v>
      </c>
      <c r="K277" s="9">
        <v>4</v>
      </c>
      <c r="L277" s="6" t="s">
        <v>4275</v>
      </c>
      <c r="M277" s="6" t="s">
        <v>4282</v>
      </c>
      <c r="N277" s="4">
        <v>130.13999999999999</v>
      </c>
      <c r="O277" s="6">
        <f t="shared" si="4"/>
        <v>920</v>
      </c>
    </row>
    <row r="278" spans="1:15" x14ac:dyDescent="0.3">
      <c r="A278" s="6" t="s">
        <v>290</v>
      </c>
      <c r="B278" s="2">
        <v>45745</v>
      </c>
      <c r="C278" s="6" t="s">
        <v>1490</v>
      </c>
      <c r="D278" s="6" t="s">
        <v>2407</v>
      </c>
      <c r="E278" s="9">
        <v>2</v>
      </c>
      <c r="F278" s="4">
        <v>600.57000000000005</v>
      </c>
      <c r="G278" t="s">
        <v>2646</v>
      </c>
      <c r="H278" s="6" t="s">
        <v>3065</v>
      </c>
      <c r="I278" s="6" t="s">
        <v>3072</v>
      </c>
      <c r="J278" s="6" t="s">
        <v>3351</v>
      </c>
      <c r="K278" s="9">
        <v>3</v>
      </c>
      <c r="L278" s="6" t="s">
        <v>4277</v>
      </c>
      <c r="M278" s="6" t="s">
        <v>4278</v>
      </c>
      <c r="N278" s="4">
        <v>1201.1400000000001</v>
      </c>
      <c r="O278" s="6">
        <f t="shared" si="4"/>
        <v>919</v>
      </c>
    </row>
    <row r="279" spans="1:15" x14ac:dyDescent="0.3">
      <c r="A279" s="6" t="s">
        <v>291</v>
      </c>
      <c r="B279" s="2">
        <v>45544</v>
      </c>
      <c r="C279" s="6" t="s">
        <v>1491</v>
      </c>
      <c r="D279" s="6" t="s">
        <v>2406</v>
      </c>
      <c r="E279" s="9">
        <v>5</v>
      </c>
      <c r="F279" s="4">
        <v>90.92</v>
      </c>
      <c r="G279" t="s">
        <v>2647</v>
      </c>
      <c r="H279" s="6" t="s">
        <v>3067</v>
      </c>
      <c r="I279" s="6" t="s">
        <v>3073</v>
      </c>
      <c r="J279" s="6" t="s">
        <v>3352</v>
      </c>
      <c r="K279" s="9">
        <v>9</v>
      </c>
      <c r="L279" s="6" t="s">
        <v>4275</v>
      </c>
      <c r="M279" s="6" t="s">
        <v>4281</v>
      </c>
      <c r="N279" s="4">
        <v>454.6</v>
      </c>
      <c r="O279" s="6">
        <f t="shared" si="4"/>
        <v>918</v>
      </c>
    </row>
    <row r="280" spans="1:15" x14ac:dyDescent="0.3">
      <c r="A280" s="6" t="s">
        <v>292</v>
      </c>
      <c r="B280" s="2">
        <v>45614</v>
      </c>
      <c r="C280" s="6" t="s">
        <v>1492</v>
      </c>
      <c r="D280" s="6" t="s">
        <v>2408</v>
      </c>
      <c r="E280" s="9">
        <v>5</v>
      </c>
      <c r="F280" s="4">
        <v>362.46</v>
      </c>
      <c r="G280" t="s">
        <v>2648</v>
      </c>
      <c r="H280" s="6" t="s">
        <v>3069</v>
      </c>
      <c r="I280" s="6" t="s">
        <v>3073</v>
      </c>
      <c r="J280" s="6" t="s">
        <v>3353</v>
      </c>
      <c r="K280" s="9">
        <v>6</v>
      </c>
      <c r="L280" s="6" t="s">
        <v>4276</v>
      </c>
      <c r="M280" s="6" t="s">
        <v>4278</v>
      </c>
      <c r="N280" s="4">
        <v>1812.3</v>
      </c>
      <c r="O280" s="6">
        <f t="shared" si="4"/>
        <v>917</v>
      </c>
    </row>
    <row r="281" spans="1:15" x14ac:dyDescent="0.3">
      <c r="A281" s="6" t="s">
        <v>293</v>
      </c>
      <c r="B281" s="2">
        <v>45219</v>
      </c>
      <c r="C281" s="6" t="s">
        <v>1493</v>
      </c>
      <c r="D281" s="6" t="s">
        <v>2406</v>
      </c>
      <c r="E281" s="9">
        <v>3</v>
      </c>
      <c r="F281" s="4">
        <v>55.01</v>
      </c>
      <c r="G281" t="s">
        <v>2649</v>
      </c>
      <c r="H281" s="6" t="s">
        <v>3066</v>
      </c>
      <c r="I281" s="6" t="s">
        <v>3074</v>
      </c>
      <c r="J281" s="6" t="s">
        <v>3354</v>
      </c>
      <c r="K281" s="9">
        <v>7</v>
      </c>
      <c r="L281" s="6" t="s">
        <v>4277</v>
      </c>
      <c r="M281" s="6" t="s">
        <v>4280</v>
      </c>
      <c r="N281" s="4">
        <v>165.03</v>
      </c>
      <c r="O281" s="6">
        <f t="shared" si="4"/>
        <v>916</v>
      </c>
    </row>
    <row r="282" spans="1:15" x14ac:dyDescent="0.3">
      <c r="A282" s="6" t="s">
        <v>294</v>
      </c>
      <c r="B282" s="2">
        <v>45012</v>
      </c>
      <c r="C282" s="6" t="s">
        <v>1494</v>
      </c>
      <c r="D282" s="6" t="s">
        <v>2405</v>
      </c>
      <c r="E282" s="9">
        <v>3</v>
      </c>
      <c r="F282" s="4">
        <v>404.62</v>
      </c>
      <c r="G282" t="s">
        <v>2650</v>
      </c>
      <c r="H282" s="6" t="s">
        <v>3068</v>
      </c>
      <c r="I282" s="6" t="s">
        <v>3073</v>
      </c>
      <c r="J282" s="6" t="s">
        <v>3355</v>
      </c>
      <c r="K282" s="9">
        <v>6</v>
      </c>
      <c r="L282" s="6" t="s">
        <v>4276</v>
      </c>
      <c r="M282" s="6" t="s">
        <v>4278</v>
      </c>
      <c r="N282" s="4">
        <v>1213.8599999999999</v>
      </c>
      <c r="O282" s="6">
        <f t="shared" si="4"/>
        <v>915</v>
      </c>
    </row>
    <row r="283" spans="1:15" x14ac:dyDescent="0.3">
      <c r="A283" s="6" t="s">
        <v>295</v>
      </c>
      <c r="B283" s="2">
        <v>45134</v>
      </c>
      <c r="C283" s="6" t="s">
        <v>1495</v>
      </c>
      <c r="D283" s="6" t="s">
        <v>2409</v>
      </c>
      <c r="E283" s="9">
        <v>4</v>
      </c>
      <c r="F283" s="4">
        <v>654.79</v>
      </c>
      <c r="G283" t="s">
        <v>2651</v>
      </c>
      <c r="H283" s="6" t="s">
        <v>3069</v>
      </c>
      <c r="I283" s="6" t="s">
        <v>3074</v>
      </c>
      <c r="J283" s="6" t="s">
        <v>3356</v>
      </c>
      <c r="K283" s="9">
        <v>9</v>
      </c>
      <c r="L283" s="6" t="s">
        <v>4283</v>
      </c>
      <c r="M283" s="6" t="s">
        <v>4279</v>
      </c>
      <c r="N283" s="4">
        <v>2619.16</v>
      </c>
      <c r="O283" s="6">
        <f t="shared" si="4"/>
        <v>914</v>
      </c>
    </row>
    <row r="284" spans="1:15" x14ac:dyDescent="0.3">
      <c r="A284" s="6" t="s">
        <v>296</v>
      </c>
      <c r="B284" s="2">
        <v>45769</v>
      </c>
      <c r="C284" s="6" t="s">
        <v>1496</v>
      </c>
      <c r="D284" s="6" t="s">
        <v>2407</v>
      </c>
      <c r="E284" s="9">
        <v>4</v>
      </c>
      <c r="F284" s="4">
        <v>637.79</v>
      </c>
      <c r="G284" t="s">
        <v>2652</v>
      </c>
      <c r="H284" s="6" t="s">
        <v>3068</v>
      </c>
      <c r="I284" s="6" t="s">
        <v>3071</v>
      </c>
      <c r="J284" s="6" t="s">
        <v>3357</v>
      </c>
      <c r="K284" s="9">
        <v>9</v>
      </c>
      <c r="L284" s="6" t="s">
        <v>4276</v>
      </c>
      <c r="M284" s="6" t="s">
        <v>4282</v>
      </c>
      <c r="N284" s="4">
        <v>2551.16</v>
      </c>
      <c r="O284" s="6">
        <f t="shared" si="4"/>
        <v>913</v>
      </c>
    </row>
    <row r="285" spans="1:15" x14ac:dyDescent="0.3">
      <c r="A285" s="6" t="s">
        <v>297</v>
      </c>
      <c r="B285" s="2">
        <v>45716</v>
      </c>
      <c r="C285" s="6" t="s">
        <v>1497</v>
      </c>
      <c r="D285" s="6" t="s">
        <v>2408</v>
      </c>
      <c r="E285" s="9">
        <v>4</v>
      </c>
      <c r="F285" s="4">
        <v>540.33000000000004</v>
      </c>
      <c r="G285" t="s">
        <v>2653</v>
      </c>
      <c r="H285" s="6" t="s">
        <v>3069</v>
      </c>
      <c r="I285" s="6" t="s">
        <v>3070</v>
      </c>
      <c r="J285" s="6" t="s">
        <v>3358</v>
      </c>
      <c r="K285" s="9">
        <v>6</v>
      </c>
      <c r="L285" s="6" t="s">
        <v>4283</v>
      </c>
      <c r="M285" s="6" t="s">
        <v>4282</v>
      </c>
      <c r="N285" s="4">
        <v>2161.3200000000002</v>
      </c>
      <c r="O285" s="6">
        <f t="shared" si="4"/>
        <v>912</v>
      </c>
    </row>
    <row r="286" spans="1:15" x14ac:dyDescent="0.3">
      <c r="A286" s="6" t="s">
        <v>298</v>
      </c>
      <c r="B286" s="2">
        <v>44973</v>
      </c>
      <c r="C286" s="6" t="s">
        <v>1498</v>
      </c>
      <c r="D286" s="6" t="s">
        <v>2408</v>
      </c>
      <c r="E286" s="9">
        <v>5</v>
      </c>
      <c r="F286" s="4">
        <v>208.17</v>
      </c>
      <c r="G286" t="s">
        <v>2654</v>
      </c>
      <c r="H286" s="6" t="s">
        <v>3067</v>
      </c>
      <c r="I286" s="6" t="s">
        <v>3072</v>
      </c>
      <c r="J286" s="6" t="s">
        <v>3359</v>
      </c>
      <c r="K286" s="9">
        <v>6</v>
      </c>
      <c r="L286" s="6" t="s">
        <v>4275</v>
      </c>
      <c r="M286" s="6" t="s">
        <v>4281</v>
      </c>
      <c r="N286" s="4">
        <v>1040.8499999999999</v>
      </c>
      <c r="O286" s="6">
        <f t="shared" si="4"/>
        <v>911</v>
      </c>
    </row>
    <row r="287" spans="1:15" x14ac:dyDescent="0.3">
      <c r="A287" s="6" t="s">
        <v>299</v>
      </c>
      <c r="B287" s="2">
        <v>45818</v>
      </c>
      <c r="C287" s="6" t="s">
        <v>1499</v>
      </c>
      <c r="D287" s="6" t="s">
        <v>2404</v>
      </c>
      <c r="E287" s="9">
        <v>1</v>
      </c>
      <c r="F287" s="4">
        <v>338.31</v>
      </c>
      <c r="G287" t="s">
        <v>2643</v>
      </c>
      <c r="H287" s="6" t="s">
        <v>3066</v>
      </c>
      <c r="I287" s="6" t="s">
        <v>3073</v>
      </c>
      <c r="J287" s="6" t="s">
        <v>3360</v>
      </c>
      <c r="K287" s="9">
        <v>3</v>
      </c>
      <c r="L287" s="6" t="s">
        <v>4283</v>
      </c>
      <c r="M287" s="6" t="s">
        <v>4282</v>
      </c>
      <c r="N287" s="4">
        <v>338.31</v>
      </c>
      <c r="O287" s="6">
        <f t="shared" si="4"/>
        <v>910</v>
      </c>
    </row>
    <row r="288" spans="1:15" x14ac:dyDescent="0.3">
      <c r="A288" s="6" t="s">
        <v>300</v>
      </c>
      <c r="B288" s="2">
        <v>45754</v>
      </c>
      <c r="C288" s="6" t="s">
        <v>1500</v>
      </c>
      <c r="D288" s="6" t="s">
        <v>2403</v>
      </c>
      <c r="E288" s="9">
        <v>3</v>
      </c>
      <c r="F288" s="4">
        <v>139.44999999999999</v>
      </c>
      <c r="G288" t="s">
        <v>2522</v>
      </c>
      <c r="H288" s="6" t="s">
        <v>3068</v>
      </c>
      <c r="I288" s="6" t="s">
        <v>3072</v>
      </c>
      <c r="J288" s="6" t="s">
        <v>3361</v>
      </c>
      <c r="K288" s="9">
        <v>8</v>
      </c>
      <c r="L288" s="6" t="s">
        <v>4277</v>
      </c>
      <c r="M288" s="6" t="s">
        <v>4282</v>
      </c>
      <c r="N288" s="4">
        <v>418.35</v>
      </c>
      <c r="O288" s="6">
        <f t="shared" si="4"/>
        <v>909</v>
      </c>
    </row>
    <row r="289" spans="1:15" x14ac:dyDescent="0.3">
      <c r="A289" s="6" t="s">
        <v>301</v>
      </c>
      <c r="B289" s="2">
        <v>45254</v>
      </c>
      <c r="C289" s="6" t="s">
        <v>1501</v>
      </c>
      <c r="D289" s="6" t="s">
        <v>2406</v>
      </c>
      <c r="E289" s="9">
        <v>4</v>
      </c>
      <c r="F289" s="4">
        <v>655.17999999999995</v>
      </c>
      <c r="G289" t="s">
        <v>2655</v>
      </c>
      <c r="H289" s="6" t="s">
        <v>3066</v>
      </c>
      <c r="I289" s="6" t="s">
        <v>3070</v>
      </c>
      <c r="J289" s="6" t="s">
        <v>3362</v>
      </c>
      <c r="K289" s="9">
        <v>5</v>
      </c>
      <c r="L289" s="6" t="s">
        <v>4283</v>
      </c>
      <c r="M289" s="6" t="s">
        <v>4281</v>
      </c>
      <c r="N289" s="4">
        <v>2620.7199999999998</v>
      </c>
      <c r="O289" s="6">
        <f t="shared" si="4"/>
        <v>908</v>
      </c>
    </row>
    <row r="290" spans="1:15" x14ac:dyDescent="0.3">
      <c r="A290" s="6" t="s">
        <v>302</v>
      </c>
      <c r="B290" s="2">
        <v>44997</v>
      </c>
      <c r="C290" s="6" t="s">
        <v>1502</v>
      </c>
      <c r="D290" s="6" t="s">
        <v>2408</v>
      </c>
      <c r="E290" s="9">
        <v>4</v>
      </c>
      <c r="F290" s="4">
        <v>512.75</v>
      </c>
      <c r="G290" t="s">
        <v>2656</v>
      </c>
      <c r="H290" s="6" t="s">
        <v>3065</v>
      </c>
      <c r="I290" s="6" t="s">
        <v>3072</v>
      </c>
      <c r="J290" s="6" t="s">
        <v>3363</v>
      </c>
      <c r="K290" s="9">
        <v>8</v>
      </c>
      <c r="L290" s="6" t="s">
        <v>4277</v>
      </c>
      <c r="M290" s="6" t="s">
        <v>4282</v>
      </c>
      <c r="N290" s="4">
        <v>2051</v>
      </c>
      <c r="O290" s="6">
        <f t="shared" si="4"/>
        <v>907</v>
      </c>
    </row>
    <row r="291" spans="1:15" x14ac:dyDescent="0.3">
      <c r="A291" s="6" t="s">
        <v>303</v>
      </c>
      <c r="B291" s="2">
        <v>45133</v>
      </c>
      <c r="C291" s="6" t="s">
        <v>1503</v>
      </c>
      <c r="D291" s="6" t="s">
        <v>2406</v>
      </c>
      <c r="E291" s="9">
        <v>4</v>
      </c>
      <c r="F291" s="4">
        <v>160.49</v>
      </c>
      <c r="G291" t="s">
        <v>2420</v>
      </c>
      <c r="H291" s="6" t="s">
        <v>3067</v>
      </c>
      <c r="I291" s="6" t="s">
        <v>3070</v>
      </c>
      <c r="J291" s="6" t="s">
        <v>3364</v>
      </c>
      <c r="K291" s="9">
        <v>8</v>
      </c>
      <c r="L291" s="6" t="s">
        <v>4277</v>
      </c>
      <c r="M291" s="6" t="s">
        <v>4279</v>
      </c>
      <c r="N291" s="4">
        <v>641.96</v>
      </c>
      <c r="O291" s="6">
        <f t="shared" si="4"/>
        <v>906</v>
      </c>
    </row>
    <row r="292" spans="1:15" x14ac:dyDescent="0.3">
      <c r="A292" s="6" t="s">
        <v>304</v>
      </c>
      <c r="B292" s="2">
        <v>45051</v>
      </c>
      <c r="C292" s="6" t="s">
        <v>1504</v>
      </c>
      <c r="D292" s="6" t="s">
        <v>2406</v>
      </c>
      <c r="E292" s="9">
        <v>3</v>
      </c>
      <c r="F292" s="4">
        <v>99.9</v>
      </c>
      <c r="G292" t="s">
        <v>2575</v>
      </c>
      <c r="H292" s="6" t="s">
        <v>3069</v>
      </c>
      <c r="I292" s="6" t="s">
        <v>3073</v>
      </c>
      <c r="J292" s="6" t="s">
        <v>3365</v>
      </c>
      <c r="K292" s="9">
        <v>8</v>
      </c>
      <c r="L292" s="6" t="s">
        <v>4276</v>
      </c>
      <c r="M292" s="6" t="s">
        <v>4281</v>
      </c>
      <c r="N292" s="4">
        <v>299.7</v>
      </c>
      <c r="O292" s="6">
        <f t="shared" si="4"/>
        <v>905</v>
      </c>
    </row>
    <row r="293" spans="1:15" x14ac:dyDescent="0.3">
      <c r="A293" s="6" t="s">
        <v>305</v>
      </c>
      <c r="B293" s="2">
        <v>45424</v>
      </c>
      <c r="C293" s="6" t="s">
        <v>1505</v>
      </c>
      <c r="D293" s="6" t="s">
        <v>2404</v>
      </c>
      <c r="E293" s="9">
        <v>2</v>
      </c>
      <c r="F293" s="4">
        <v>345.01</v>
      </c>
      <c r="G293" t="s">
        <v>2657</v>
      </c>
      <c r="H293" s="6" t="s">
        <v>3067</v>
      </c>
      <c r="I293" s="6" t="s">
        <v>3073</v>
      </c>
      <c r="J293" s="6" t="s">
        <v>3366</v>
      </c>
      <c r="K293" s="9">
        <v>6</v>
      </c>
      <c r="L293" s="6" t="s">
        <v>4276</v>
      </c>
      <c r="M293" s="6" t="s">
        <v>4282</v>
      </c>
      <c r="N293" s="4">
        <v>690.02</v>
      </c>
      <c r="O293" s="6">
        <f t="shared" si="4"/>
        <v>904</v>
      </c>
    </row>
    <row r="294" spans="1:15" x14ac:dyDescent="0.3">
      <c r="A294" s="6" t="s">
        <v>306</v>
      </c>
      <c r="B294" s="2">
        <v>45672</v>
      </c>
      <c r="C294" s="6" t="s">
        <v>1506</v>
      </c>
      <c r="D294" s="6" t="s">
        <v>2403</v>
      </c>
      <c r="E294" s="9">
        <v>1</v>
      </c>
      <c r="F294" s="4">
        <v>65.95</v>
      </c>
      <c r="G294" t="s">
        <v>2594</v>
      </c>
      <c r="H294" s="6" t="s">
        <v>3067</v>
      </c>
      <c r="I294" s="6" t="s">
        <v>3073</v>
      </c>
      <c r="J294" s="6" t="s">
        <v>3367</v>
      </c>
      <c r="K294" s="9">
        <v>5</v>
      </c>
      <c r="L294" s="6" t="s">
        <v>4283</v>
      </c>
      <c r="M294" s="6" t="s">
        <v>4281</v>
      </c>
      <c r="N294" s="4">
        <v>65.95</v>
      </c>
      <c r="O294" s="6">
        <f t="shared" si="4"/>
        <v>903</v>
      </c>
    </row>
    <row r="295" spans="1:15" x14ac:dyDescent="0.3">
      <c r="A295" s="6" t="s">
        <v>307</v>
      </c>
      <c r="B295" s="2">
        <v>44973</v>
      </c>
      <c r="C295" s="6" t="s">
        <v>1507</v>
      </c>
      <c r="D295" s="6" t="s">
        <v>2405</v>
      </c>
      <c r="E295" s="9">
        <v>4</v>
      </c>
      <c r="F295" s="4">
        <v>463.04</v>
      </c>
      <c r="G295" t="s">
        <v>2658</v>
      </c>
      <c r="H295" s="6" t="s">
        <v>3068</v>
      </c>
      <c r="I295" s="6" t="s">
        <v>3072</v>
      </c>
      <c r="J295" s="6" t="s">
        <v>3368</v>
      </c>
      <c r="K295" s="9">
        <v>9</v>
      </c>
      <c r="L295" s="6" t="s">
        <v>4283</v>
      </c>
      <c r="M295" s="6" t="s">
        <v>4278</v>
      </c>
      <c r="N295" s="4">
        <v>1852.16</v>
      </c>
      <c r="O295" s="6">
        <f t="shared" si="4"/>
        <v>902</v>
      </c>
    </row>
    <row r="296" spans="1:15" x14ac:dyDescent="0.3">
      <c r="A296" s="6" t="s">
        <v>308</v>
      </c>
      <c r="B296" s="2">
        <v>45748</v>
      </c>
      <c r="C296" s="6" t="s">
        <v>1508</v>
      </c>
      <c r="D296" s="6" t="s">
        <v>2404</v>
      </c>
      <c r="E296" s="9">
        <v>2</v>
      </c>
      <c r="F296" s="4">
        <v>297.70999999999998</v>
      </c>
      <c r="G296" t="s">
        <v>2659</v>
      </c>
      <c r="H296" s="6" t="s">
        <v>3066</v>
      </c>
      <c r="I296" s="6" t="s">
        <v>3070</v>
      </c>
      <c r="J296" s="6" t="s">
        <v>3369</v>
      </c>
      <c r="K296" s="9">
        <v>7</v>
      </c>
      <c r="L296" s="6" t="s">
        <v>4275</v>
      </c>
      <c r="M296" s="6" t="s">
        <v>4279</v>
      </c>
      <c r="N296" s="4">
        <v>595.41999999999996</v>
      </c>
      <c r="O296" s="6">
        <f t="shared" si="4"/>
        <v>901</v>
      </c>
    </row>
    <row r="297" spans="1:15" x14ac:dyDescent="0.3">
      <c r="A297" s="6" t="s">
        <v>309</v>
      </c>
      <c r="B297" s="2">
        <v>44951</v>
      </c>
      <c r="C297" s="6" t="s">
        <v>1509</v>
      </c>
      <c r="D297" s="6" t="s">
        <v>2407</v>
      </c>
      <c r="E297" s="9">
        <v>5</v>
      </c>
      <c r="F297" s="4">
        <v>107.48</v>
      </c>
      <c r="G297" t="s">
        <v>2660</v>
      </c>
      <c r="H297" s="6" t="s">
        <v>3065</v>
      </c>
      <c r="I297" s="6" t="s">
        <v>3071</v>
      </c>
      <c r="J297" s="6" t="s">
        <v>3370</v>
      </c>
      <c r="K297" s="9">
        <v>9</v>
      </c>
      <c r="L297" s="6" t="s">
        <v>4276</v>
      </c>
      <c r="M297" s="6" t="s">
        <v>4280</v>
      </c>
      <c r="N297" s="4">
        <v>537.4</v>
      </c>
      <c r="O297" s="6">
        <f t="shared" si="4"/>
        <v>900</v>
      </c>
    </row>
    <row r="298" spans="1:15" x14ac:dyDescent="0.3">
      <c r="A298" s="6" t="s">
        <v>310</v>
      </c>
      <c r="B298" s="2">
        <v>45462</v>
      </c>
      <c r="C298" s="6" t="s">
        <v>1510</v>
      </c>
      <c r="D298" s="6" t="s">
        <v>2409</v>
      </c>
      <c r="E298" s="9">
        <v>5</v>
      </c>
      <c r="F298" s="4">
        <v>638.79999999999995</v>
      </c>
      <c r="G298" t="s">
        <v>2458</v>
      </c>
      <c r="H298" s="6" t="s">
        <v>3065</v>
      </c>
      <c r="I298" s="6" t="s">
        <v>3071</v>
      </c>
      <c r="J298" s="6" t="s">
        <v>3371</v>
      </c>
      <c r="K298" s="9">
        <v>10</v>
      </c>
      <c r="L298" s="6" t="s">
        <v>4277</v>
      </c>
      <c r="M298" s="6" t="s">
        <v>4279</v>
      </c>
      <c r="N298" s="4">
        <v>3194</v>
      </c>
      <c r="O298" s="6">
        <f t="shared" si="4"/>
        <v>899</v>
      </c>
    </row>
    <row r="299" spans="1:15" x14ac:dyDescent="0.3">
      <c r="A299" s="6" t="s">
        <v>311</v>
      </c>
      <c r="B299" s="2">
        <v>44979</v>
      </c>
      <c r="C299" s="6" t="s">
        <v>1511</v>
      </c>
      <c r="D299" s="6" t="s">
        <v>2409</v>
      </c>
      <c r="E299" s="9">
        <v>2</v>
      </c>
      <c r="F299" s="4">
        <v>493.88</v>
      </c>
      <c r="G299" t="s">
        <v>2661</v>
      </c>
      <c r="H299" s="6" t="s">
        <v>3067</v>
      </c>
      <c r="I299" s="6" t="s">
        <v>3072</v>
      </c>
      <c r="J299" s="6" t="s">
        <v>3372</v>
      </c>
      <c r="K299" s="9">
        <v>7</v>
      </c>
      <c r="L299" s="6" t="s">
        <v>4275</v>
      </c>
      <c r="M299" s="6" t="s">
        <v>4278</v>
      </c>
      <c r="N299" s="4">
        <v>987.76</v>
      </c>
      <c r="O299" s="6">
        <f t="shared" si="4"/>
        <v>898</v>
      </c>
    </row>
    <row r="300" spans="1:15" x14ac:dyDescent="0.3">
      <c r="A300" s="6" t="s">
        <v>312</v>
      </c>
      <c r="B300" s="2">
        <v>45279</v>
      </c>
      <c r="C300" s="6" t="s">
        <v>1512</v>
      </c>
      <c r="D300" s="6" t="s">
        <v>2407</v>
      </c>
      <c r="E300" s="9">
        <v>4</v>
      </c>
      <c r="F300" s="4">
        <v>301.17</v>
      </c>
      <c r="G300" t="s">
        <v>2450</v>
      </c>
      <c r="H300" s="6" t="s">
        <v>3066</v>
      </c>
      <c r="I300" s="6" t="s">
        <v>3071</v>
      </c>
      <c r="J300" s="6" t="s">
        <v>3373</v>
      </c>
      <c r="K300" s="9">
        <v>6</v>
      </c>
      <c r="L300" s="6" t="s">
        <v>4283</v>
      </c>
      <c r="M300" s="6" t="s">
        <v>4280</v>
      </c>
      <c r="N300" s="4">
        <v>1204.68</v>
      </c>
      <c r="O300" s="6">
        <f t="shared" si="4"/>
        <v>897</v>
      </c>
    </row>
    <row r="301" spans="1:15" x14ac:dyDescent="0.3">
      <c r="A301" s="6" t="s">
        <v>313</v>
      </c>
      <c r="B301" s="2">
        <v>45311</v>
      </c>
      <c r="C301" s="6" t="s">
        <v>1513</v>
      </c>
      <c r="D301" s="6" t="s">
        <v>2403</v>
      </c>
      <c r="E301" s="9">
        <v>1</v>
      </c>
      <c r="F301" s="4">
        <v>278.66000000000003</v>
      </c>
      <c r="G301" t="s">
        <v>2662</v>
      </c>
      <c r="H301" s="6" t="s">
        <v>3068</v>
      </c>
      <c r="I301" s="6" t="s">
        <v>3071</v>
      </c>
      <c r="J301" s="6" t="s">
        <v>3374</v>
      </c>
      <c r="K301" s="9">
        <v>2</v>
      </c>
      <c r="L301" s="6" t="s">
        <v>4276</v>
      </c>
      <c r="M301" s="6" t="s">
        <v>4278</v>
      </c>
      <c r="N301" s="4">
        <v>278.66000000000003</v>
      </c>
      <c r="O301" s="6">
        <f t="shared" si="4"/>
        <v>896</v>
      </c>
    </row>
    <row r="302" spans="1:15" x14ac:dyDescent="0.3">
      <c r="A302" s="6" t="s">
        <v>314</v>
      </c>
      <c r="B302" s="2">
        <v>45537</v>
      </c>
      <c r="C302" s="6" t="s">
        <v>1514</v>
      </c>
      <c r="D302" s="6" t="s">
        <v>2404</v>
      </c>
      <c r="E302" s="9">
        <v>1</v>
      </c>
      <c r="F302" s="4">
        <v>287.45999999999998</v>
      </c>
      <c r="G302" t="s">
        <v>2663</v>
      </c>
      <c r="H302" s="6" t="s">
        <v>3065</v>
      </c>
      <c r="I302" s="6" t="s">
        <v>3072</v>
      </c>
      <c r="J302" s="6" t="s">
        <v>3375</v>
      </c>
      <c r="K302" s="9">
        <v>3</v>
      </c>
      <c r="L302" s="6" t="s">
        <v>4276</v>
      </c>
      <c r="M302" s="6" t="s">
        <v>4281</v>
      </c>
      <c r="N302" s="4">
        <v>287.45999999999998</v>
      </c>
      <c r="O302" s="6">
        <f t="shared" si="4"/>
        <v>895</v>
      </c>
    </row>
    <row r="303" spans="1:15" x14ac:dyDescent="0.3">
      <c r="A303" s="6" t="s">
        <v>315</v>
      </c>
      <c r="B303" s="2">
        <v>45057</v>
      </c>
      <c r="C303" s="6" t="s">
        <v>1515</v>
      </c>
      <c r="D303" s="6" t="s">
        <v>2406</v>
      </c>
      <c r="E303" s="9">
        <v>1</v>
      </c>
      <c r="F303" s="4">
        <v>583.99</v>
      </c>
      <c r="G303" t="s">
        <v>2664</v>
      </c>
      <c r="H303" s="6" t="s">
        <v>3069</v>
      </c>
      <c r="I303" s="6" t="s">
        <v>3071</v>
      </c>
      <c r="J303" s="6" t="s">
        <v>3376</v>
      </c>
      <c r="K303" s="9">
        <v>2</v>
      </c>
      <c r="L303" s="6" t="s">
        <v>4275</v>
      </c>
      <c r="M303" s="6" t="s">
        <v>4280</v>
      </c>
      <c r="N303" s="4">
        <v>583.99</v>
      </c>
      <c r="O303" s="6">
        <f t="shared" si="4"/>
        <v>894</v>
      </c>
    </row>
    <row r="304" spans="1:15" x14ac:dyDescent="0.3">
      <c r="A304" s="6" t="s">
        <v>316</v>
      </c>
      <c r="B304" s="2">
        <v>45062</v>
      </c>
      <c r="C304" s="6" t="s">
        <v>1516</v>
      </c>
      <c r="D304" s="6" t="s">
        <v>2406</v>
      </c>
      <c r="E304" s="9">
        <v>3</v>
      </c>
      <c r="F304" s="4">
        <v>468.74</v>
      </c>
      <c r="G304" t="s">
        <v>2665</v>
      </c>
      <c r="H304" s="6" t="s">
        <v>3069</v>
      </c>
      <c r="I304" s="6" t="s">
        <v>3074</v>
      </c>
      <c r="J304" s="6" t="s">
        <v>3377</v>
      </c>
      <c r="K304" s="9">
        <v>4</v>
      </c>
      <c r="L304" s="6" t="s">
        <v>4276</v>
      </c>
      <c r="M304" s="6" t="s">
        <v>4278</v>
      </c>
      <c r="N304" s="4">
        <v>1406.22</v>
      </c>
      <c r="O304" s="6">
        <f t="shared" si="4"/>
        <v>893</v>
      </c>
    </row>
    <row r="305" spans="1:15" x14ac:dyDescent="0.3">
      <c r="A305" s="6" t="s">
        <v>317</v>
      </c>
      <c r="B305" s="2">
        <v>45633</v>
      </c>
      <c r="C305" s="6" t="s">
        <v>1517</v>
      </c>
      <c r="D305" s="6" t="s">
        <v>2405</v>
      </c>
      <c r="E305" s="9">
        <v>1</v>
      </c>
      <c r="F305" s="4">
        <v>30.54</v>
      </c>
      <c r="G305" t="s">
        <v>2666</v>
      </c>
      <c r="H305" s="6" t="s">
        <v>3065</v>
      </c>
      <c r="I305" s="6" t="s">
        <v>3072</v>
      </c>
      <c r="J305" s="6" t="s">
        <v>3378</v>
      </c>
      <c r="K305" s="9">
        <v>1</v>
      </c>
      <c r="L305" s="6" t="s">
        <v>4283</v>
      </c>
      <c r="M305" s="6" t="s">
        <v>4282</v>
      </c>
      <c r="N305" s="4">
        <v>30.54</v>
      </c>
      <c r="O305" s="6">
        <f t="shared" si="4"/>
        <v>892</v>
      </c>
    </row>
    <row r="306" spans="1:15" x14ac:dyDescent="0.3">
      <c r="A306" s="6" t="s">
        <v>318</v>
      </c>
      <c r="B306" s="2">
        <v>45583</v>
      </c>
      <c r="C306" s="6" t="s">
        <v>1518</v>
      </c>
      <c r="D306" s="6" t="s">
        <v>2403</v>
      </c>
      <c r="E306" s="9">
        <v>5</v>
      </c>
      <c r="F306" s="4">
        <v>408.73</v>
      </c>
      <c r="G306" t="s">
        <v>2667</v>
      </c>
      <c r="H306" s="6" t="s">
        <v>3068</v>
      </c>
      <c r="I306" s="6" t="s">
        <v>3073</v>
      </c>
      <c r="J306" s="6" t="s">
        <v>3379</v>
      </c>
      <c r="K306" s="9">
        <v>10</v>
      </c>
      <c r="L306" s="6" t="s">
        <v>4276</v>
      </c>
      <c r="M306" s="6" t="s">
        <v>4278</v>
      </c>
      <c r="N306" s="4">
        <v>2043.65</v>
      </c>
      <c r="O306" s="6">
        <f t="shared" si="4"/>
        <v>891</v>
      </c>
    </row>
    <row r="307" spans="1:15" x14ac:dyDescent="0.3">
      <c r="A307" s="6" t="s">
        <v>319</v>
      </c>
      <c r="B307" s="2">
        <v>45255</v>
      </c>
      <c r="C307" s="6" t="s">
        <v>1519</v>
      </c>
      <c r="D307" s="6" t="s">
        <v>2408</v>
      </c>
      <c r="E307" s="9">
        <v>4</v>
      </c>
      <c r="F307" s="4">
        <v>126.89</v>
      </c>
      <c r="G307" t="s">
        <v>2668</v>
      </c>
      <c r="H307" s="6" t="s">
        <v>3069</v>
      </c>
      <c r="I307" s="6" t="s">
        <v>3074</v>
      </c>
      <c r="J307" s="6" t="s">
        <v>3380</v>
      </c>
      <c r="K307" s="9">
        <v>9</v>
      </c>
      <c r="L307" s="6" t="s">
        <v>4276</v>
      </c>
      <c r="M307" s="6" t="s">
        <v>4278</v>
      </c>
      <c r="N307" s="4">
        <v>507.56</v>
      </c>
      <c r="O307" s="6">
        <f t="shared" si="4"/>
        <v>890</v>
      </c>
    </row>
    <row r="308" spans="1:15" x14ac:dyDescent="0.3">
      <c r="A308" s="6" t="s">
        <v>320</v>
      </c>
      <c r="B308" s="2">
        <v>45450</v>
      </c>
      <c r="C308" s="6" t="s">
        <v>1520</v>
      </c>
      <c r="D308" s="6" t="s">
        <v>2407</v>
      </c>
      <c r="E308" s="9">
        <v>2</v>
      </c>
      <c r="F308" s="4">
        <v>57.07</v>
      </c>
      <c r="G308" t="s">
        <v>2669</v>
      </c>
      <c r="H308" s="6" t="s">
        <v>3065</v>
      </c>
      <c r="I308" s="6" t="s">
        <v>3072</v>
      </c>
      <c r="J308" s="6" t="s">
        <v>3381</v>
      </c>
      <c r="K308" s="9">
        <v>3</v>
      </c>
      <c r="L308" s="6" t="s">
        <v>4275</v>
      </c>
      <c r="M308" s="6" t="s">
        <v>4278</v>
      </c>
      <c r="N308" s="4">
        <v>114.14</v>
      </c>
      <c r="O308" s="6">
        <f t="shared" si="4"/>
        <v>889</v>
      </c>
    </row>
    <row r="309" spans="1:15" x14ac:dyDescent="0.3">
      <c r="A309" s="6" t="s">
        <v>321</v>
      </c>
      <c r="B309" s="2">
        <v>45108</v>
      </c>
      <c r="C309" s="6" t="s">
        <v>1521</v>
      </c>
      <c r="D309" s="6" t="s">
        <v>2408</v>
      </c>
      <c r="E309" s="9">
        <v>3</v>
      </c>
      <c r="F309" s="4">
        <v>557.41</v>
      </c>
      <c r="G309" t="s">
        <v>2670</v>
      </c>
      <c r="H309" s="6" t="s">
        <v>3066</v>
      </c>
      <c r="I309" s="6" t="s">
        <v>3073</v>
      </c>
      <c r="J309" s="6" t="s">
        <v>3382</v>
      </c>
      <c r="K309" s="9">
        <v>4</v>
      </c>
      <c r="L309" s="6" t="s">
        <v>4283</v>
      </c>
      <c r="M309" s="6" t="s">
        <v>4280</v>
      </c>
      <c r="N309" s="4">
        <v>1672.23</v>
      </c>
      <c r="O309" s="6">
        <f t="shared" si="4"/>
        <v>888</v>
      </c>
    </row>
    <row r="310" spans="1:15" x14ac:dyDescent="0.3">
      <c r="A310" s="6" t="s">
        <v>322</v>
      </c>
      <c r="B310" s="2">
        <v>45271</v>
      </c>
      <c r="C310" s="6" t="s">
        <v>1522</v>
      </c>
      <c r="D310" s="6" t="s">
        <v>2407</v>
      </c>
      <c r="E310" s="9">
        <v>3</v>
      </c>
      <c r="F310" s="4">
        <v>448.9</v>
      </c>
      <c r="G310" t="s">
        <v>2566</v>
      </c>
      <c r="H310" s="6" t="s">
        <v>3065</v>
      </c>
      <c r="I310" s="6" t="s">
        <v>3072</v>
      </c>
      <c r="J310" s="6" t="s">
        <v>3383</v>
      </c>
      <c r="K310" s="9">
        <v>7</v>
      </c>
      <c r="L310" s="6" t="s">
        <v>4275</v>
      </c>
      <c r="M310" s="6" t="s">
        <v>4278</v>
      </c>
      <c r="N310" s="4">
        <v>1346.7</v>
      </c>
      <c r="O310" s="6">
        <f t="shared" si="4"/>
        <v>887</v>
      </c>
    </row>
    <row r="311" spans="1:15" x14ac:dyDescent="0.3">
      <c r="A311" s="6" t="s">
        <v>323</v>
      </c>
      <c r="B311" s="2">
        <v>45202</v>
      </c>
      <c r="C311" s="6" t="s">
        <v>1523</v>
      </c>
      <c r="D311" s="6" t="s">
        <v>2406</v>
      </c>
      <c r="E311" s="9">
        <v>4</v>
      </c>
      <c r="F311" s="4">
        <v>549.76</v>
      </c>
      <c r="G311" t="s">
        <v>2671</v>
      </c>
      <c r="H311" s="6" t="s">
        <v>3065</v>
      </c>
      <c r="I311" s="6" t="s">
        <v>3073</v>
      </c>
      <c r="J311" s="6" t="s">
        <v>3384</v>
      </c>
      <c r="K311" s="9">
        <v>4</v>
      </c>
      <c r="L311" s="6" t="s">
        <v>4276</v>
      </c>
      <c r="M311" s="6" t="s">
        <v>4281</v>
      </c>
      <c r="N311" s="4">
        <v>2199.04</v>
      </c>
      <c r="O311" s="6">
        <f t="shared" si="4"/>
        <v>886</v>
      </c>
    </row>
    <row r="312" spans="1:15" x14ac:dyDescent="0.3">
      <c r="A312" s="6" t="s">
        <v>324</v>
      </c>
      <c r="B312" s="2">
        <v>45346</v>
      </c>
      <c r="C312" s="6" t="s">
        <v>1524</v>
      </c>
      <c r="D312" s="6" t="s">
        <v>2407</v>
      </c>
      <c r="E312" s="9">
        <v>3</v>
      </c>
      <c r="F312" s="4">
        <v>132.47999999999999</v>
      </c>
      <c r="G312" t="s">
        <v>2672</v>
      </c>
      <c r="H312" s="6" t="s">
        <v>3066</v>
      </c>
      <c r="I312" s="6" t="s">
        <v>3070</v>
      </c>
      <c r="J312" s="6" t="s">
        <v>3385</v>
      </c>
      <c r="K312" s="9">
        <v>4</v>
      </c>
      <c r="L312" s="6" t="s">
        <v>4283</v>
      </c>
      <c r="M312" s="6" t="s">
        <v>4279</v>
      </c>
      <c r="N312" s="4">
        <v>397.43999999999988</v>
      </c>
      <c r="O312" s="6">
        <f t="shared" si="4"/>
        <v>885</v>
      </c>
    </row>
    <row r="313" spans="1:15" x14ac:dyDescent="0.3">
      <c r="A313" s="6" t="s">
        <v>325</v>
      </c>
      <c r="B313" s="2">
        <v>45794</v>
      </c>
      <c r="C313" s="6" t="s">
        <v>1525</v>
      </c>
      <c r="D313" s="6" t="s">
        <v>2409</v>
      </c>
      <c r="E313" s="9">
        <v>5</v>
      </c>
      <c r="F313" s="4">
        <v>489.37</v>
      </c>
      <c r="G313" t="s">
        <v>2673</v>
      </c>
      <c r="H313" s="6" t="s">
        <v>3066</v>
      </c>
      <c r="I313" s="6" t="s">
        <v>3072</v>
      </c>
      <c r="J313" s="6" t="s">
        <v>3386</v>
      </c>
      <c r="K313" s="9">
        <v>8</v>
      </c>
      <c r="L313" s="6" t="s">
        <v>4283</v>
      </c>
      <c r="M313" s="6" t="s">
        <v>4278</v>
      </c>
      <c r="N313" s="4">
        <v>2446.85</v>
      </c>
      <c r="O313" s="6">
        <f t="shared" si="4"/>
        <v>884</v>
      </c>
    </row>
    <row r="314" spans="1:15" x14ac:dyDescent="0.3">
      <c r="A314" s="6" t="s">
        <v>326</v>
      </c>
      <c r="B314" s="2">
        <v>45801</v>
      </c>
      <c r="C314" s="6" t="s">
        <v>1526</v>
      </c>
      <c r="D314" s="6" t="s">
        <v>2407</v>
      </c>
      <c r="E314" s="9">
        <v>5</v>
      </c>
      <c r="F314" s="4">
        <v>66.31</v>
      </c>
      <c r="G314" t="s">
        <v>2606</v>
      </c>
      <c r="H314" s="6" t="s">
        <v>3068</v>
      </c>
      <c r="I314" s="6" t="s">
        <v>3074</v>
      </c>
      <c r="J314" s="6" t="s">
        <v>3387</v>
      </c>
      <c r="K314" s="9">
        <v>7</v>
      </c>
      <c r="L314" s="6" t="s">
        <v>4276</v>
      </c>
      <c r="M314" s="6" t="s">
        <v>4279</v>
      </c>
      <c r="N314" s="4">
        <v>331.55</v>
      </c>
      <c r="O314" s="6">
        <f t="shared" si="4"/>
        <v>883</v>
      </c>
    </row>
    <row r="315" spans="1:15" x14ac:dyDescent="0.3">
      <c r="A315" s="6" t="s">
        <v>327</v>
      </c>
      <c r="B315" s="2">
        <v>45116</v>
      </c>
      <c r="C315" s="6" t="s">
        <v>1527</v>
      </c>
      <c r="D315" s="6" t="s">
        <v>2406</v>
      </c>
      <c r="E315" s="9">
        <v>2</v>
      </c>
      <c r="F315" s="4">
        <v>434.3</v>
      </c>
      <c r="G315" t="s">
        <v>2674</v>
      </c>
      <c r="H315" s="6" t="s">
        <v>3069</v>
      </c>
      <c r="I315" s="6" t="s">
        <v>3073</v>
      </c>
      <c r="J315" s="6" t="s">
        <v>3388</v>
      </c>
      <c r="K315" s="9">
        <v>7</v>
      </c>
      <c r="L315" s="6" t="s">
        <v>4275</v>
      </c>
      <c r="M315" s="6" t="s">
        <v>4278</v>
      </c>
      <c r="N315" s="4">
        <v>868.6</v>
      </c>
      <c r="O315" s="6">
        <f t="shared" si="4"/>
        <v>882</v>
      </c>
    </row>
    <row r="316" spans="1:15" x14ac:dyDescent="0.3">
      <c r="A316" s="6" t="s">
        <v>328</v>
      </c>
      <c r="B316" s="2">
        <v>45203</v>
      </c>
      <c r="C316" s="6" t="s">
        <v>1528</v>
      </c>
      <c r="D316" s="6" t="s">
        <v>2409</v>
      </c>
      <c r="E316" s="9">
        <v>4</v>
      </c>
      <c r="F316" s="4">
        <v>153.09</v>
      </c>
      <c r="G316" t="s">
        <v>2675</v>
      </c>
      <c r="H316" s="6" t="s">
        <v>3066</v>
      </c>
      <c r="I316" s="6" t="s">
        <v>3073</v>
      </c>
      <c r="J316" s="6" t="s">
        <v>3389</v>
      </c>
      <c r="K316" s="9">
        <v>4</v>
      </c>
      <c r="L316" s="6" t="s">
        <v>4276</v>
      </c>
      <c r="M316" s="6" t="s">
        <v>4279</v>
      </c>
      <c r="N316" s="4">
        <v>612.36</v>
      </c>
      <c r="O316" s="6">
        <f t="shared" si="4"/>
        <v>881</v>
      </c>
    </row>
    <row r="317" spans="1:15" x14ac:dyDescent="0.3">
      <c r="A317" s="6" t="s">
        <v>329</v>
      </c>
      <c r="B317" s="2">
        <v>45789</v>
      </c>
      <c r="C317" s="6" t="s">
        <v>1529</v>
      </c>
      <c r="D317" s="6" t="s">
        <v>2405</v>
      </c>
      <c r="E317" s="9">
        <v>5</v>
      </c>
      <c r="F317" s="4">
        <v>91.67</v>
      </c>
      <c r="G317" t="s">
        <v>2676</v>
      </c>
      <c r="H317" s="6" t="s">
        <v>3066</v>
      </c>
      <c r="I317" s="6" t="s">
        <v>3071</v>
      </c>
      <c r="J317" s="6" t="s">
        <v>3390</v>
      </c>
      <c r="K317" s="9">
        <v>9</v>
      </c>
      <c r="L317" s="6" t="s">
        <v>4276</v>
      </c>
      <c r="M317" s="6" t="s">
        <v>4280</v>
      </c>
      <c r="N317" s="4">
        <v>458.35</v>
      </c>
      <c r="O317" s="6">
        <f t="shared" si="4"/>
        <v>880</v>
      </c>
    </row>
    <row r="318" spans="1:15" x14ac:dyDescent="0.3">
      <c r="A318" s="6" t="s">
        <v>330</v>
      </c>
      <c r="B318" s="2">
        <v>45201</v>
      </c>
      <c r="C318" s="6" t="s">
        <v>1530</v>
      </c>
      <c r="D318" s="6" t="s">
        <v>2409</v>
      </c>
      <c r="E318" s="9">
        <v>4</v>
      </c>
      <c r="F318" s="4">
        <v>275.27999999999997</v>
      </c>
      <c r="G318" t="s">
        <v>2677</v>
      </c>
      <c r="H318" s="6" t="s">
        <v>3068</v>
      </c>
      <c r="I318" s="6" t="s">
        <v>3070</v>
      </c>
      <c r="J318" s="6" t="s">
        <v>3391</v>
      </c>
      <c r="K318" s="9">
        <v>9</v>
      </c>
      <c r="L318" s="6" t="s">
        <v>4277</v>
      </c>
      <c r="M318" s="6" t="s">
        <v>4281</v>
      </c>
      <c r="N318" s="4">
        <v>1101.1199999999999</v>
      </c>
      <c r="O318" s="6">
        <f t="shared" si="4"/>
        <v>879</v>
      </c>
    </row>
    <row r="319" spans="1:15" x14ac:dyDescent="0.3">
      <c r="A319" s="6" t="s">
        <v>331</v>
      </c>
      <c r="B319" s="2">
        <v>45026</v>
      </c>
      <c r="C319" s="6" t="s">
        <v>1531</v>
      </c>
      <c r="D319" s="6" t="s">
        <v>2403</v>
      </c>
      <c r="E319" s="9">
        <v>2</v>
      </c>
      <c r="F319" s="4">
        <v>139.94999999999999</v>
      </c>
      <c r="G319" t="s">
        <v>2678</v>
      </c>
      <c r="H319" s="6" t="s">
        <v>3066</v>
      </c>
      <c r="I319" s="6" t="s">
        <v>3072</v>
      </c>
      <c r="J319" s="6" t="s">
        <v>3392</v>
      </c>
      <c r="K319" s="9">
        <v>5</v>
      </c>
      <c r="L319" s="6" t="s">
        <v>4283</v>
      </c>
      <c r="M319" s="6" t="s">
        <v>4278</v>
      </c>
      <c r="N319" s="4">
        <v>279.89999999999998</v>
      </c>
      <c r="O319" s="6">
        <f t="shared" si="4"/>
        <v>878</v>
      </c>
    </row>
    <row r="320" spans="1:15" x14ac:dyDescent="0.3">
      <c r="A320" s="6" t="s">
        <v>332</v>
      </c>
      <c r="B320" s="2">
        <v>45500</v>
      </c>
      <c r="C320" s="6" t="s">
        <v>1532</v>
      </c>
      <c r="D320" s="6" t="s">
        <v>2406</v>
      </c>
      <c r="E320" s="9">
        <v>3</v>
      </c>
      <c r="F320" s="4">
        <v>148.72</v>
      </c>
      <c r="G320" t="s">
        <v>2596</v>
      </c>
      <c r="H320" s="6" t="s">
        <v>3065</v>
      </c>
      <c r="I320" s="6" t="s">
        <v>3071</v>
      </c>
      <c r="J320" s="6" t="s">
        <v>3393</v>
      </c>
      <c r="K320" s="9">
        <v>7</v>
      </c>
      <c r="L320" s="6" t="s">
        <v>4275</v>
      </c>
      <c r="M320" s="6" t="s">
        <v>4282</v>
      </c>
      <c r="N320" s="4">
        <v>446.16</v>
      </c>
      <c r="O320" s="6">
        <f t="shared" si="4"/>
        <v>877</v>
      </c>
    </row>
    <row r="321" spans="1:15" x14ac:dyDescent="0.3">
      <c r="A321" s="6" t="s">
        <v>333</v>
      </c>
      <c r="B321" s="2">
        <v>45262</v>
      </c>
      <c r="C321" s="6" t="s">
        <v>1533</v>
      </c>
      <c r="D321" s="6" t="s">
        <v>2408</v>
      </c>
      <c r="E321" s="9">
        <v>2</v>
      </c>
      <c r="F321" s="4">
        <v>563.05999999999995</v>
      </c>
      <c r="G321" t="s">
        <v>2679</v>
      </c>
      <c r="H321" s="6" t="s">
        <v>3069</v>
      </c>
      <c r="I321" s="6" t="s">
        <v>3072</v>
      </c>
      <c r="J321" s="6" t="s">
        <v>3394</v>
      </c>
      <c r="K321" s="9">
        <v>6</v>
      </c>
      <c r="L321" s="6" t="s">
        <v>4283</v>
      </c>
      <c r="M321" s="6" t="s">
        <v>4278</v>
      </c>
      <c r="N321" s="4">
        <v>1126.1199999999999</v>
      </c>
      <c r="O321" s="6">
        <f t="shared" si="4"/>
        <v>876</v>
      </c>
    </row>
    <row r="322" spans="1:15" x14ac:dyDescent="0.3">
      <c r="A322" s="6" t="s">
        <v>334</v>
      </c>
      <c r="B322" s="2">
        <v>45645</v>
      </c>
      <c r="C322" s="6" t="s">
        <v>1534</v>
      </c>
      <c r="D322" s="6" t="s">
        <v>2407</v>
      </c>
      <c r="E322" s="9">
        <v>1</v>
      </c>
      <c r="F322" s="4">
        <v>625.51</v>
      </c>
      <c r="G322" t="s">
        <v>2680</v>
      </c>
      <c r="H322" s="6" t="s">
        <v>3067</v>
      </c>
      <c r="I322" s="6" t="s">
        <v>3070</v>
      </c>
      <c r="J322" s="6" t="s">
        <v>3395</v>
      </c>
      <c r="K322" s="9">
        <v>1</v>
      </c>
      <c r="L322" s="6" t="s">
        <v>4276</v>
      </c>
      <c r="M322" s="6" t="s">
        <v>4281</v>
      </c>
      <c r="N322" s="4">
        <v>625.51</v>
      </c>
      <c r="O322" s="6">
        <f t="shared" ref="O322:O385" si="5">COUNTA(_xlfn.UNIQUE(C321:C1520))</f>
        <v>875</v>
      </c>
    </row>
    <row r="323" spans="1:15" x14ac:dyDescent="0.3">
      <c r="A323" s="6" t="s">
        <v>335</v>
      </c>
      <c r="B323" s="2">
        <v>45147</v>
      </c>
      <c r="C323" s="6" t="s">
        <v>1535</v>
      </c>
      <c r="D323" s="6" t="s">
        <v>2404</v>
      </c>
      <c r="E323" s="9">
        <v>4</v>
      </c>
      <c r="F323" s="4">
        <v>152.29</v>
      </c>
      <c r="G323" t="s">
        <v>2670</v>
      </c>
      <c r="H323" s="6" t="s">
        <v>3065</v>
      </c>
      <c r="I323" s="6" t="s">
        <v>3071</v>
      </c>
      <c r="J323" s="6" t="s">
        <v>3396</v>
      </c>
      <c r="K323" s="9">
        <v>6</v>
      </c>
      <c r="L323" s="6" t="s">
        <v>4277</v>
      </c>
      <c r="M323" s="6" t="s">
        <v>4282</v>
      </c>
      <c r="N323" s="4">
        <v>609.16</v>
      </c>
      <c r="O323" s="6">
        <f t="shared" si="5"/>
        <v>874</v>
      </c>
    </row>
    <row r="324" spans="1:15" x14ac:dyDescent="0.3">
      <c r="A324" s="6" t="s">
        <v>336</v>
      </c>
      <c r="B324" s="2">
        <v>45457</v>
      </c>
      <c r="C324" s="6" t="s">
        <v>1536</v>
      </c>
      <c r="D324" s="6" t="s">
        <v>2404</v>
      </c>
      <c r="E324" s="9">
        <v>5</v>
      </c>
      <c r="F324" s="4">
        <v>231.82</v>
      </c>
      <c r="G324" t="s">
        <v>2678</v>
      </c>
      <c r="H324" s="6" t="s">
        <v>3065</v>
      </c>
      <c r="I324" s="6" t="s">
        <v>3073</v>
      </c>
      <c r="J324" s="6" t="s">
        <v>3397</v>
      </c>
      <c r="K324" s="9">
        <v>6</v>
      </c>
      <c r="L324" s="6" t="s">
        <v>4275</v>
      </c>
      <c r="M324" s="6" t="s">
        <v>4281</v>
      </c>
      <c r="N324" s="4">
        <v>1159.0999999999999</v>
      </c>
      <c r="O324" s="6">
        <f t="shared" si="5"/>
        <v>873</v>
      </c>
    </row>
    <row r="325" spans="1:15" x14ac:dyDescent="0.3">
      <c r="A325" s="6" t="s">
        <v>337</v>
      </c>
      <c r="B325" s="2">
        <v>45683</v>
      </c>
      <c r="C325" s="6" t="s">
        <v>1537</v>
      </c>
      <c r="D325" s="6" t="s">
        <v>2408</v>
      </c>
      <c r="E325" s="9">
        <v>1</v>
      </c>
      <c r="F325" s="4">
        <v>150.16999999999999</v>
      </c>
      <c r="G325" t="s">
        <v>2681</v>
      </c>
      <c r="H325" s="6" t="s">
        <v>3065</v>
      </c>
      <c r="I325" s="6" t="s">
        <v>3072</v>
      </c>
      <c r="J325" s="6" t="s">
        <v>3398</v>
      </c>
      <c r="K325" s="9">
        <v>1</v>
      </c>
      <c r="L325" s="6" t="s">
        <v>4275</v>
      </c>
      <c r="M325" s="6" t="s">
        <v>4279</v>
      </c>
      <c r="N325" s="4">
        <v>150.16999999999999</v>
      </c>
      <c r="O325" s="6">
        <f t="shared" si="5"/>
        <v>872</v>
      </c>
    </row>
    <row r="326" spans="1:15" x14ac:dyDescent="0.3">
      <c r="A326" s="6" t="s">
        <v>338</v>
      </c>
      <c r="B326" s="2">
        <v>45456</v>
      </c>
      <c r="C326" s="6" t="s">
        <v>1538</v>
      </c>
      <c r="D326" s="6" t="s">
        <v>2405</v>
      </c>
      <c r="E326" s="9">
        <v>3</v>
      </c>
      <c r="F326" s="4">
        <v>70.930000000000007</v>
      </c>
      <c r="G326" t="s">
        <v>2682</v>
      </c>
      <c r="H326" s="6" t="s">
        <v>3065</v>
      </c>
      <c r="I326" s="6" t="s">
        <v>3072</v>
      </c>
      <c r="J326" s="6" t="s">
        <v>3399</v>
      </c>
      <c r="K326" s="9">
        <v>5</v>
      </c>
      <c r="L326" s="6" t="s">
        <v>4283</v>
      </c>
      <c r="M326" s="6" t="s">
        <v>4279</v>
      </c>
      <c r="N326" s="4">
        <v>212.79</v>
      </c>
      <c r="O326" s="6">
        <f t="shared" si="5"/>
        <v>871</v>
      </c>
    </row>
    <row r="327" spans="1:15" x14ac:dyDescent="0.3">
      <c r="A327" s="6" t="s">
        <v>339</v>
      </c>
      <c r="B327" s="2">
        <v>45106</v>
      </c>
      <c r="C327" s="6" t="s">
        <v>1539</v>
      </c>
      <c r="D327" s="6" t="s">
        <v>2409</v>
      </c>
      <c r="E327" s="9">
        <v>3</v>
      </c>
      <c r="F327" s="4">
        <v>361.39</v>
      </c>
      <c r="G327" t="s">
        <v>2683</v>
      </c>
      <c r="H327" s="6" t="s">
        <v>3067</v>
      </c>
      <c r="I327" s="6" t="s">
        <v>3070</v>
      </c>
      <c r="J327" s="6" t="s">
        <v>3400</v>
      </c>
      <c r="K327" s="9">
        <v>8</v>
      </c>
      <c r="L327" s="6" t="s">
        <v>4283</v>
      </c>
      <c r="M327" s="6" t="s">
        <v>4279</v>
      </c>
      <c r="N327" s="4">
        <v>1084.17</v>
      </c>
      <c r="O327" s="6">
        <f t="shared" si="5"/>
        <v>870</v>
      </c>
    </row>
    <row r="328" spans="1:15" x14ac:dyDescent="0.3">
      <c r="A328" s="6" t="s">
        <v>340</v>
      </c>
      <c r="B328" s="2">
        <v>45474</v>
      </c>
      <c r="C328" s="6" t="s">
        <v>1540</v>
      </c>
      <c r="D328" s="6" t="s">
        <v>2408</v>
      </c>
      <c r="E328" s="9">
        <v>5</v>
      </c>
      <c r="F328" s="4">
        <v>670.48</v>
      </c>
      <c r="G328" t="s">
        <v>2429</v>
      </c>
      <c r="H328" s="6" t="s">
        <v>3068</v>
      </c>
      <c r="I328" s="6" t="s">
        <v>3072</v>
      </c>
      <c r="J328" s="6" t="s">
        <v>3401</v>
      </c>
      <c r="K328" s="9">
        <v>5</v>
      </c>
      <c r="L328" s="6" t="s">
        <v>4275</v>
      </c>
      <c r="M328" s="6" t="s">
        <v>4281</v>
      </c>
      <c r="N328" s="4">
        <v>3352.4</v>
      </c>
      <c r="O328" s="6">
        <f t="shared" si="5"/>
        <v>869</v>
      </c>
    </row>
    <row r="329" spans="1:15" x14ac:dyDescent="0.3">
      <c r="A329" s="6" t="s">
        <v>341</v>
      </c>
      <c r="B329" s="2">
        <v>45132</v>
      </c>
      <c r="C329" s="6" t="s">
        <v>1541</v>
      </c>
      <c r="D329" s="6" t="s">
        <v>2404</v>
      </c>
      <c r="E329" s="9">
        <v>1</v>
      </c>
      <c r="F329" s="4">
        <v>359.99</v>
      </c>
      <c r="G329" t="s">
        <v>2471</v>
      </c>
      <c r="H329" s="6" t="s">
        <v>3068</v>
      </c>
      <c r="I329" s="6" t="s">
        <v>3071</v>
      </c>
      <c r="J329" s="6" t="s">
        <v>3402</v>
      </c>
      <c r="K329" s="9">
        <v>5</v>
      </c>
      <c r="L329" s="6" t="s">
        <v>4275</v>
      </c>
      <c r="M329" s="6" t="s">
        <v>4280</v>
      </c>
      <c r="N329" s="4">
        <v>359.99</v>
      </c>
      <c r="O329" s="6">
        <f t="shared" si="5"/>
        <v>868</v>
      </c>
    </row>
    <row r="330" spans="1:15" x14ac:dyDescent="0.3">
      <c r="A330" s="6" t="s">
        <v>342</v>
      </c>
      <c r="B330" s="2">
        <v>44985</v>
      </c>
      <c r="C330" s="6" t="s">
        <v>1542</v>
      </c>
      <c r="D330" s="6" t="s">
        <v>2405</v>
      </c>
      <c r="E330" s="9">
        <v>5</v>
      </c>
      <c r="F330" s="4">
        <v>674.04</v>
      </c>
      <c r="G330" t="s">
        <v>2684</v>
      </c>
      <c r="H330" s="6" t="s">
        <v>3066</v>
      </c>
      <c r="I330" s="6" t="s">
        <v>3071</v>
      </c>
      <c r="J330" s="6" t="s">
        <v>3403</v>
      </c>
      <c r="K330" s="9">
        <v>7</v>
      </c>
      <c r="L330" s="6" t="s">
        <v>4275</v>
      </c>
      <c r="M330" s="6" t="s">
        <v>4282</v>
      </c>
      <c r="N330" s="4">
        <v>3370.2</v>
      </c>
      <c r="O330" s="6">
        <f t="shared" si="5"/>
        <v>867</v>
      </c>
    </row>
    <row r="331" spans="1:15" x14ac:dyDescent="0.3">
      <c r="A331" s="6" t="s">
        <v>343</v>
      </c>
      <c r="B331" s="2">
        <v>45651</v>
      </c>
      <c r="C331" s="6" t="s">
        <v>1543</v>
      </c>
      <c r="D331" s="6" t="s">
        <v>2406</v>
      </c>
      <c r="E331" s="9">
        <v>4</v>
      </c>
      <c r="F331" s="4">
        <v>283.16000000000003</v>
      </c>
      <c r="G331" t="s">
        <v>2622</v>
      </c>
      <c r="H331" s="6" t="s">
        <v>3067</v>
      </c>
      <c r="I331" s="6" t="s">
        <v>3070</v>
      </c>
      <c r="J331" s="6" t="s">
        <v>3404</v>
      </c>
      <c r="K331" s="9">
        <v>6</v>
      </c>
      <c r="L331" s="6" t="s">
        <v>4283</v>
      </c>
      <c r="M331" s="6" t="s">
        <v>4282</v>
      </c>
      <c r="N331" s="4">
        <v>1132.6400000000001</v>
      </c>
      <c r="O331" s="6">
        <f t="shared" si="5"/>
        <v>866</v>
      </c>
    </row>
    <row r="332" spans="1:15" x14ac:dyDescent="0.3">
      <c r="A332" s="6" t="s">
        <v>344</v>
      </c>
      <c r="B332" s="2">
        <v>45445</v>
      </c>
      <c r="C332" s="6" t="s">
        <v>1544</v>
      </c>
      <c r="D332" s="6" t="s">
        <v>2409</v>
      </c>
      <c r="E332" s="9">
        <v>5</v>
      </c>
      <c r="F332" s="4">
        <v>260.52999999999997</v>
      </c>
      <c r="G332" t="s">
        <v>2685</v>
      </c>
      <c r="H332" s="6" t="s">
        <v>3068</v>
      </c>
      <c r="I332" s="6" t="s">
        <v>3074</v>
      </c>
      <c r="J332" s="6" t="s">
        <v>3405</v>
      </c>
      <c r="K332" s="9">
        <v>5</v>
      </c>
      <c r="L332" s="6" t="s">
        <v>4275</v>
      </c>
      <c r="M332" s="6" t="s">
        <v>4278</v>
      </c>
      <c r="N332" s="4">
        <v>1302.6500000000001</v>
      </c>
      <c r="O332" s="6">
        <f t="shared" si="5"/>
        <v>865</v>
      </c>
    </row>
    <row r="333" spans="1:15" x14ac:dyDescent="0.3">
      <c r="A333" s="6" t="s">
        <v>345</v>
      </c>
      <c r="B333" s="2">
        <v>45031</v>
      </c>
      <c r="C333" s="6" t="s">
        <v>1545</v>
      </c>
      <c r="D333" s="6" t="s">
        <v>2407</v>
      </c>
      <c r="E333" s="9">
        <v>3</v>
      </c>
      <c r="F333" s="4">
        <v>422.13</v>
      </c>
      <c r="G333" t="s">
        <v>2522</v>
      </c>
      <c r="H333" s="6" t="s">
        <v>3066</v>
      </c>
      <c r="I333" s="6" t="s">
        <v>3073</v>
      </c>
      <c r="J333" s="6" t="s">
        <v>3406</v>
      </c>
      <c r="K333" s="9">
        <v>7</v>
      </c>
      <c r="L333" s="6" t="s">
        <v>4275</v>
      </c>
      <c r="M333" s="6" t="s">
        <v>4281</v>
      </c>
      <c r="N333" s="4">
        <v>1266.3900000000001</v>
      </c>
      <c r="O333" s="6">
        <f t="shared" si="5"/>
        <v>864</v>
      </c>
    </row>
    <row r="334" spans="1:15" x14ac:dyDescent="0.3">
      <c r="A334" s="6" t="s">
        <v>346</v>
      </c>
      <c r="B334" s="2">
        <v>45476</v>
      </c>
      <c r="C334" s="6" t="s">
        <v>1546</v>
      </c>
      <c r="D334" s="6" t="s">
        <v>2409</v>
      </c>
      <c r="E334" s="9">
        <v>5</v>
      </c>
      <c r="F334" s="4">
        <v>125.02</v>
      </c>
      <c r="G334" t="s">
        <v>2686</v>
      </c>
      <c r="H334" s="6" t="s">
        <v>3065</v>
      </c>
      <c r="I334" s="6" t="s">
        <v>3074</v>
      </c>
      <c r="J334" s="6" t="s">
        <v>3407</v>
      </c>
      <c r="K334" s="9">
        <v>9</v>
      </c>
      <c r="L334" s="6" t="s">
        <v>4275</v>
      </c>
      <c r="M334" s="6" t="s">
        <v>4282</v>
      </c>
      <c r="N334" s="4">
        <v>625.1</v>
      </c>
      <c r="O334" s="6">
        <f t="shared" si="5"/>
        <v>863</v>
      </c>
    </row>
    <row r="335" spans="1:15" x14ac:dyDescent="0.3">
      <c r="A335" s="6" t="s">
        <v>347</v>
      </c>
      <c r="B335" s="2">
        <v>45398</v>
      </c>
      <c r="C335" s="6" t="s">
        <v>1547</v>
      </c>
      <c r="D335" s="6" t="s">
        <v>2404</v>
      </c>
      <c r="E335" s="9">
        <v>1</v>
      </c>
      <c r="F335" s="4">
        <v>198.51</v>
      </c>
      <c r="G335" t="s">
        <v>2687</v>
      </c>
      <c r="H335" s="6" t="s">
        <v>3067</v>
      </c>
      <c r="I335" s="6" t="s">
        <v>3072</v>
      </c>
      <c r="J335" s="6" t="s">
        <v>3408</v>
      </c>
      <c r="K335" s="9">
        <v>5</v>
      </c>
      <c r="L335" s="6" t="s">
        <v>4277</v>
      </c>
      <c r="M335" s="6" t="s">
        <v>4278</v>
      </c>
      <c r="N335" s="4">
        <v>198.51</v>
      </c>
      <c r="O335" s="6">
        <f t="shared" si="5"/>
        <v>862</v>
      </c>
    </row>
    <row r="336" spans="1:15" x14ac:dyDescent="0.3">
      <c r="A336" s="6" t="s">
        <v>348</v>
      </c>
      <c r="B336" s="2">
        <v>45377</v>
      </c>
      <c r="C336" s="6" t="s">
        <v>1548</v>
      </c>
      <c r="D336" s="6" t="s">
        <v>2406</v>
      </c>
      <c r="E336" s="9">
        <v>4</v>
      </c>
      <c r="F336" s="4">
        <v>224.75</v>
      </c>
      <c r="G336" t="s">
        <v>2688</v>
      </c>
      <c r="H336" s="6" t="s">
        <v>3066</v>
      </c>
      <c r="I336" s="6" t="s">
        <v>3073</v>
      </c>
      <c r="J336" s="6" t="s">
        <v>3409</v>
      </c>
      <c r="K336" s="9">
        <v>7</v>
      </c>
      <c r="L336" s="6" t="s">
        <v>4277</v>
      </c>
      <c r="M336" s="6" t="s">
        <v>4281</v>
      </c>
      <c r="N336" s="4">
        <v>899</v>
      </c>
      <c r="O336" s="6">
        <f t="shared" si="5"/>
        <v>861</v>
      </c>
    </row>
    <row r="337" spans="1:15" x14ac:dyDescent="0.3">
      <c r="A337" s="6" t="s">
        <v>349</v>
      </c>
      <c r="B337" s="2">
        <v>45719</v>
      </c>
      <c r="C337" s="6" t="s">
        <v>1549</v>
      </c>
      <c r="D337" s="6" t="s">
        <v>2405</v>
      </c>
      <c r="E337" s="9">
        <v>3</v>
      </c>
      <c r="F337" s="4">
        <v>205.86</v>
      </c>
      <c r="G337" t="s">
        <v>2674</v>
      </c>
      <c r="H337" s="6" t="s">
        <v>3068</v>
      </c>
      <c r="I337" s="6" t="s">
        <v>3070</v>
      </c>
      <c r="J337" s="6" t="s">
        <v>3410</v>
      </c>
      <c r="K337" s="9">
        <v>4</v>
      </c>
      <c r="L337" s="6" t="s">
        <v>4283</v>
      </c>
      <c r="M337" s="6" t="s">
        <v>4280</v>
      </c>
      <c r="N337" s="4">
        <v>617.58000000000004</v>
      </c>
      <c r="O337" s="6">
        <f t="shared" si="5"/>
        <v>860</v>
      </c>
    </row>
    <row r="338" spans="1:15" x14ac:dyDescent="0.3">
      <c r="A338" s="6" t="s">
        <v>350</v>
      </c>
      <c r="B338" s="2">
        <v>45289</v>
      </c>
      <c r="C338" s="6" t="s">
        <v>1550</v>
      </c>
      <c r="D338" s="6" t="s">
        <v>2408</v>
      </c>
      <c r="E338" s="9">
        <v>1</v>
      </c>
      <c r="F338" s="4">
        <v>18.2</v>
      </c>
      <c r="G338" t="s">
        <v>2689</v>
      </c>
      <c r="H338" s="6" t="s">
        <v>3065</v>
      </c>
      <c r="I338" s="6" t="s">
        <v>3074</v>
      </c>
      <c r="J338" s="6" t="s">
        <v>3411</v>
      </c>
      <c r="K338" s="9">
        <v>4</v>
      </c>
      <c r="L338" s="6" t="s">
        <v>4275</v>
      </c>
      <c r="M338" s="6" t="s">
        <v>4278</v>
      </c>
      <c r="N338" s="4">
        <v>18.2</v>
      </c>
      <c r="O338" s="6">
        <f t="shared" si="5"/>
        <v>859</v>
      </c>
    </row>
    <row r="339" spans="1:15" x14ac:dyDescent="0.3">
      <c r="A339" s="6" t="s">
        <v>351</v>
      </c>
      <c r="B339" s="2">
        <v>45075</v>
      </c>
      <c r="C339" s="6" t="s">
        <v>1551</v>
      </c>
      <c r="D339" s="6" t="s">
        <v>2405</v>
      </c>
      <c r="E339" s="9">
        <v>3</v>
      </c>
      <c r="F339" s="4">
        <v>502.77</v>
      </c>
      <c r="G339" t="s">
        <v>2690</v>
      </c>
      <c r="H339" s="6" t="s">
        <v>3065</v>
      </c>
      <c r="I339" s="6" t="s">
        <v>3072</v>
      </c>
      <c r="J339" s="6" t="s">
        <v>3412</v>
      </c>
      <c r="K339" s="9">
        <v>8</v>
      </c>
      <c r="L339" s="6" t="s">
        <v>4277</v>
      </c>
      <c r="M339" s="6" t="s">
        <v>4280</v>
      </c>
      <c r="N339" s="4">
        <v>1508.31</v>
      </c>
      <c r="O339" s="6">
        <f t="shared" si="5"/>
        <v>858</v>
      </c>
    </row>
    <row r="340" spans="1:15" x14ac:dyDescent="0.3">
      <c r="A340" s="6" t="s">
        <v>352</v>
      </c>
      <c r="B340" s="2">
        <v>45238</v>
      </c>
      <c r="C340" s="6" t="s">
        <v>1552</v>
      </c>
      <c r="D340" s="6" t="s">
        <v>2404</v>
      </c>
      <c r="E340" s="9">
        <v>5</v>
      </c>
      <c r="F340" s="4">
        <v>305.49</v>
      </c>
      <c r="G340" t="s">
        <v>2691</v>
      </c>
      <c r="H340" s="6" t="s">
        <v>3065</v>
      </c>
      <c r="I340" s="6" t="s">
        <v>3070</v>
      </c>
      <c r="J340" s="6" t="s">
        <v>3413</v>
      </c>
      <c r="K340" s="9">
        <v>10</v>
      </c>
      <c r="L340" s="6" t="s">
        <v>4283</v>
      </c>
      <c r="M340" s="6" t="s">
        <v>4279</v>
      </c>
      <c r="N340" s="4">
        <v>1527.45</v>
      </c>
      <c r="O340" s="6">
        <f t="shared" si="5"/>
        <v>857</v>
      </c>
    </row>
    <row r="341" spans="1:15" x14ac:dyDescent="0.3">
      <c r="A341" s="6" t="s">
        <v>353</v>
      </c>
      <c r="B341" s="2">
        <v>45392</v>
      </c>
      <c r="C341" s="6" t="s">
        <v>1553</v>
      </c>
      <c r="D341" s="6" t="s">
        <v>2407</v>
      </c>
      <c r="E341" s="9">
        <v>2</v>
      </c>
      <c r="F341" s="4">
        <v>236.33</v>
      </c>
      <c r="G341" t="s">
        <v>2692</v>
      </c>
      <c r="H341" s="6" t="s">
        <v>3066</v>
      </c>
      <c r="I341" s="6" t="s">
        <v>3074</v>
      </c>
      <c r="J341" s="6" t="s">
        <v>3414</v>
      </c>
      <c r="K341" s="9">
        <v>3</v>
      </c>
      <c r="L341" s="6" t="s">
        <v>4275</v>
      </c>
      <c r="M341" s="6" t="s">
        <v>4278</v>
      </c>
      <c r="N341" s="4">
        <v>472.66</v>
      </c>
      <c r="O341" s="6">
        <f t="shared" si="5"/>
        <v>856</v>
      </c>
    </row>
    <row r="342" spans="1:15" x14ac:dyDescent="0.3">
      <c r="A342" s="6" t="s">
        <v>354</v>
      </c>
      <c r="B342" s="2">
        <v>45039</v>
      </c>
      <c r="C342" s="6" t="s">
        <v>1554</v>
      </c>
      <c r="D342" s="6" t="s">
        <v>2408</v>
      </c>
      <c r="E342" s="9">
        <v>5</v>
      </c>
      <c r="F342" s="4">
        <v>521.25</v>
      </c>
      <c r="G342" t="s">
        <v>2693</v>
      </c>
      <c r="H342" s="6" t="s">
        <v>3069</v>
      </c>
      <c r="I342" s="6" t="s">
        <v>3071</v>
      </c>
      <c r="J342" s="6" t="s">
        <v>3415</v>
      </c>
      <c r="K342" s="9">
        <v>8</v>
      </c>
      <c r="L342" s="6" t="s">
        <v>4283</v>
      </c>
      <c r="M342" s="6" t="s">
        <v>4280</v>
      </c>
      <c r="N342" s="4">
        <v>2606.25</v>
      </c>
      <c r="O342" s="6">
        <f t="shared" si="5"/>
        <v>855</v>
      </c>
    </row>
    <row r="343" spans="1:15" x14ac:dyDescent="0.3">
      <c r="A343" s="6" t="s">
        <v>355</v>
      </c>
      <c r="B343" s="2">
        <v>45558</v>
      </c>
      <c r="C343" s="6" t="s">
        <v>1555</v>
      </c>
      <c r="D343" s="6" t="s">
        <v>2405</v>
      </c>
      <c r="E343" s="9">
        <v>1</v>
      </c>
      <c r="F343" s="4">
        <v>167.15</v>
      </c>
      <c r="G343" t="s">
        <v>2694</v>
      </c>
      <c r="H343" s="6" t="s">
        <v>3068</v>
      </c>
      <c r="I343" s="6" t="s">
        <v>3070</v>
      </c>
      <c r="J343" s="6" t="s">
        <v>3416</v>
      </c>
      <c r="K343" s="9">
        <v>5</v>
      </c>
      <c r="L343" s="6" t="s">
        <v>4277</v>
      </c>
      <c r="M343" s="6" t="s">
        <v>4280</v>
      </c>
      <c r="N343" s="4">
        <v>167.15</v>
      </c>
      <c r="O343" s="6">
        <f t="shared" si="5"/>
        <v>854</v>
      </c>
    </row>
    <row r="344" spans="1:15" x14ac:dyDescent="0.3">
      <c r="A344" s="6" t="s">
        <v>356</v>
      </c>
      <c r="B344" s="2">
        <v>45832</v>
      </c>
      <c r="C344" s="6" t="s">
        <v>1556</v>
      </c>
      <c r="D344" s="6" t="s">
        <v>2403</v>
      </c>
      <c r="E344" s="9">
        <v>5</v>
      </c>
      <c r="F344" s="4">
        <v>466.42</v>
      </c>
      <c r="G344" t="s">
        <v>2695</v>
      </c>
      <c r="H344" s="6" t="s">
        <v>3068</v>
      </c>
      <c r="I344" s="6" t="s">
        <v>3072</v>
      </c>
      <c r="J344" s="6" t="s">
        <v>3417</v>
      </c>
      <c r="K344" s="9">
        <v>5</v>
      </c>
      <c r="L344" s="6" t="s">
        <v>4283</v>
      </c>
      <c r="M344" s="6" t="s">
        <v>4279</v>
      </c>
      <c r="N344" s="4">
        <v>2332.1</v>
      </c>
      <c r="O344" s="6">
        <f t="shared" si="5"/>
        <v>853</v>
      </c>
    </row>
    <row r="345" spans="1:15" x14ac:dyDescent="0.3">
      <c r="A345" s="6" t="s">
        <v>357</v>
      </c>
      <c r="B345" s="2">
        <v>44983</v>
      </c>
      <c r="C345" s="6" t="s">
        <v>1557</v>
      </c>
      <c r="D345" s="6" t="s">
        <v>2407</v>
      </c>
      <c r="E345" s="9">
        <v>1</v>
      </c>
      <c r="F345" s="4">
        <v>527.57000000000005</v>
      </c>
      <c r="G345" t="s">
        <v>2696</v>
      </c>
      <c r="H345" s="6" t="s">
        <v>3065</v>
      </c>
      <c r="I345" s="6" t="s">
        <v>3074</v>
      </c>
      <c r="J345" s="6" t="s">
        <v>3418</v>
      </c>
      <c r="K345" s="9">
        <v>3</v>
      </c>
      <c r="L345" s="6" t="s">
        <v>4276</v>
      </c>
      <c r="M345" s="6" t="s">
        <v>4281</v>
      </c>
      <c r="N345" s="4">
        <v>527.57000000000005</v>
      </c>
      <c r="O345" s="6">
        <f t="shared" si="5"/>
        <v>852</v>
      </c>
    </row>
    <row r="346" spans="1:15" x14ac:dyDescent="0.3">
      <c r="A346" s="6" t="s">
        <v>358</v>
      </c>
      <c r="B346" s="2">
        <v>45722</v>
      </c>
      <c r="C346" s="6" t="s">
        <v>1558</v>
      </c>
      <c r="D346" s="6" t="s">
        <v>2405</v>
      </c>
      <c r="E346" s="9">
        <v>3</v>
      </c>
      <c r="F346" s="4">
        <v>623.34</v>
      </c>
      <c r="G346" t="s">
        <v>2697</v>
      </c>
      <c r="H346" s="6" t="s">
        <v>3066</v>
      </c>
      <c r="I346" s="6" t="s">
        <v>3071</v>
      </c>
      <c r="J346" s="6" t="s">
        <v>3419</v>
      </c>
      <c r="K346" s="9">
        <v>3</v>
      </c>
      <c r="L346" s="6" t="s">
        <v>4275</v>
      </c>
      <c r="M346" s="6" t="s">
        <v>4278</v>
      </c>
      <c r="N346" s="4">
        <v>1870.02</v>
      </c>
      <c r="O346" s="6">
        <f t="shared" si="5"/>
        <v>851</v>
      </c>
    </row>
    <row r="347" spans="1:15" x14ac:dyDescent="0.3">
      <c r="A347" s="6" t="s">
        <v>359</v>
      </c>
      <c r="B347" s="2">
        <v>45267</v>
      </c>
      <c r="C347" s="6" t="s">
        <v>1559</v>
      </c>
      <c r="D347" s="6" t="s">
        <v>2405</v>
      </c>
      <c r="E347" s="9">
        <v>5</v>
      </c>
      <c r="F347" s="4">
        <v>501.26</v>
      </c>
      <c r="G347" t="s">
        <v>2698</v>
      </c>
      <c r="H347" s="6" t="s">
        <v>3068</v>
      </c>
      <c r="I347" s="6" t="s">
        <v>3070</v>
      </c>
      <c r="J347" s="6" t="s">
        <v>3420</v>
      </c>
      <c r="K347" s="9">
        <v>10</v>
      </c>
      <c r="L347" s="6" t="s">
        <v>4276</v>
      </c>
      <c r="M347" s="6" t="s">
        <v>4279</v>
      </c>
      <c r="N347" s="4">
        <v>2506.3000000000002</v>
      </c>
      <c r="O347" s="6">
        <f t="shared" si="5"/>
        <v>850</v>
      </c>
    </row>
    <row r="348" spans="1:15" x14ac:dyDescent="0.3">
      <c r="A348" s="6" t="s">
        <v>360</v>
      </c>
      <c r="B348" s="2">
        <v>45632</v>
      </c>
      <c r="C348" s="6" t="s">
        <v>1560</v>
      </c>
      <c r="D348" s="6" t="s">
        <v>2405</v>
      </c>
      <c r="E348" s="9">
        <v>1</v>
      </c>
      <c r="F348" s="4">
        <v>655.09</v>
      </c>
      <c r="G348" t="s">
        <v>2699</v>
      </c>
      <c r="H348" s="6" t="s">
        <v>3069</v>
      </c>
      <c r="I348" s="6" t="s">
        <v>3074</v>
      </c>
      <c r="J348" s="6" t="s">
        <v>3421</v>
      </c>
      <c r="K348" s="9">
        <v>6</v>
      </c>
      <c r="L348" s="6" t="s">
        <v>4283</v>
      </c>
      <c r="M348" s="6" t="s">
        <v>4279</v>
      </c>
      <c r="N348" s="4">
        <v>655.09</v>
      </c>
      <c r="O348" s="6">
        <f t="shared" si="5"/>
        <v>849</v>
      </c>
    </row>
    <row r="349" spans="1:15" x14ac:dyDescent="0.3">
      <c r="A349" s="6" t="s">
        <v>361</v>
      </c>
      <c r="B349" s="2">
        <v>45325</v>
      </c>
      <c r="C349" s="6" t="s">
        <v>1561</v>
      </c>
      <c r="D349" s="6" t="s">
        <v>2407</v>
      </c>
      <c r="E349" s="9">
        <v>4</v>
      </c>
      <c r="F349" s="4">
        <v>264.79000000000002</v>
      </c>
      <c r="G349" t="s">
        <v>2700</v>
      </c>
      <c r="H349" s="6" t="s">
        <v>3067</v>
      </c>
      <c r="I349" s="6" t="s">
        <v>3074</v>
      </c>
      <c r="J349" s="6" t="s">
        <v>3422</v>
      </c>
      <c r="K349" s="9">
        <v>5</v>
      </c>
      <c r="L349" s="6" t="s">
        <v>4275</v>
      </c>
      <c r="M349" s="6" t="s">
        <v>4282</v>
      </c>
      <c r="N349" s="4">
        <v>1059.1600000000001</v>
      </c>
      <c r="O349" s="6">
        <f t="shared" si="5"/>
        <v>848</v>
      </c>
    </row>
    <row r="350" spans="1:15" x14ac:dyDescent="0.3">
      <c r="A350" s="6" t="s">
        <v>362</v>
      </c>
      <c r="B350" s="2">
        <v>45364</v>
      </c>
      <c r="C350" s="6" t="s">
        <v>1562</v>
      </c>
      <c r="D350" s="6" t="s">
        <v>2408</v>
      </c>
      <c r="E350" s="9">
        <v>3</v>
      </c>
      <c r="F350" s="4">
        <v>359.73</v>
      </c>
      <c r="G350" t="s">
        <v>2701</v>
      </c>
      <c r="H350" s="6" t="s">
        <v>3065</v>
      </c>
      <c r="I350" s="6" t="s">
        <v>3072</v>
      </c>
      <c r="J350" s="6" t="s">
        <v>3423</v>
      </c>
      <c r="K350" s="9">
        <v>7</v>
      </c>
      <c r="L350" s="6" t="s">
        <v>4276</v>
      </c>
      <c r="M350" s="6" t="s">
        <v>4280</v>
      </c>
      <c r="N350" s="4">
        <v>1079.19</v>
      </c>
      <c r="O350" s="6">
        <f t="shared" si="5"/>
        <v>847</v>
      </c>
    </row>
    <row r="351" spans="1:15" x14ac:dyDescent="0.3">
      <c r="A351" s="6" t="s">
        <v>363</v>
      </c>
      <c r="B351" s="2">
        <v>45260</v>
      </c>
      <c r="C351" s="6" t="s">
        <v>1563</v>
      </c>
      <c r="D351" s="6" t="s">
        <v>2406</v>
      </c>
      <c r="E351" s="9">
        <v>1</v>
      </c>
      <c r="F351" s="4">
        <v>465.33</v>
      </c>
      <c r="G351" t="s">
        <v>2702</v>
      </c>
      <c r="H351" s="6" t="s">
        <v>3068</v>
      </c>
      <c r="I351" s="6" t="s">
        <v>3073</v>
      </c>
      <c r="J351" s="6" t="s">
        <v>3424</v>
      </c>
      <c r="K351" s="9">
        <v>2</v>
      </c>
      <c r="L351" s="6" t="s">
        <v>4276</v>
      </c>
      <c r="M351" s="6" t="s">
        <v>4282</v>
      </c>
      <c r="N351" s="4">
        <v>465.33</v>
      </c>
      <c r="O351" s="6">
        <f t="shared" si="5"/>
        <v>846</v>
      </c>
    </row>
    <row r="352" spans="1:15" x14ac:dyDescent="0.3">
      <c r="A352" s="6" t="s">
        <v>364</v>
      </c>
      <c r="B352" s="2">
        <v>45080</v>
      </c>
      <c r="C352" s="6" t="s">
        <v>1564</v>
      </c>
      <c r="D352" s="6" t="s">
        <v>2406</v>
      </c>
      <c r="E352" s="9">
        <v>2</v>
      </c>
      <c r="F352" s="4">
        <v>54.41</v>
      </c>
      <c r="G352" t="s">
        <v>2703</v>
      </c>
      <c r="H352" s="6" t="s">
        <v>3066</v>
      </c>
      <c r="I352" s="6" t="s">
        <v>3070</v>
      </c>
      <c r="J352" s="6" t="s">
        <v>3425</v>
      </c>
      <c r="K352" s="9">
        <v>6</v>
      </c>
      <c r="L352" s="6" t="s">
        <v>4283</v>
      </c>
      <c r="M352" s="6" t="s">
        <v>4278</v>
      </c>
      <c r="N352" s="4">
        <v>108.82</v>
      </c>
      <c r="O352" s="6">
        <f t="shared" si="5"/>
        <v>845</v>
      </c>
    </row>
    <row r="353" spans="1:15" x14ac:dyDescent="0.3">
      <c r="A353" s="6" t="s">
        <v>365</v>
      </c>
      <c r="B353" s="2">
        <v>45703</v>
      </c>
      <c r="C353" s="6" t="s">
        <v>1565</v>
      </c>
      <c r="D353" s="6" t="s">
        <v>2408</v>
      </c>
      <c r="E353" s="9">
        <v>1</v>
      </c>
      <c r="F353" s="4">
        <v>64.66</v>
      </c>
      <c r="G353" t="s">
        <v>2704</v>
      </c>
      <c r="H353" s="6" t="s">
        <v>3065</v>
      </c>
      <c r="I353" s="6" t="s">
        <v>3073</v>
      </c>
      <c r="J353" s="6" t="s">
        <v>3426</v>
      </c>
      <c r="K353" s="9">
        <v>4</v>
      </c>
      <c r="L353" s="6" t="s">
        <v>4283</v>
      </c>
      <c r="M353" s="6" t="s">
        <v>4278</v>
      </c>
      <c r="N353" s="4">
        <v>64.66</v>
      </c>
      <c r="O353" s="6">
        <f t="shared" si="5"/>
        <v>844</v>
      </c>
    </row>
    <row r="354" spans="1:15" x14ac:dyDescent="0.3">
      <c r="A354" s="6" t="s">
        <v>366</v>
      </c>
      <c r="B354" s="2">
        <v>45169</v>
      </c>
      <c r="C354" s="6" t="s">
        <v>1566</v>
      </c>
      <c r="D354" s="6" t="s">
        <v>2406</v>
      </c>
      <c r="E354" s="9">
        <v>5</v>
      </c>
      <c r="F354" s="4">
        <v>173.96</v>
      </c>
      <c r="G354" t="s">
        <v>2705</v>
      </c>
      <c r="H354" s="6" t="s">
        <v>3065</v>
      </c>
      <c r="I354" s="6" t="s">
        <v>3074</v>
      </c>
      <c r="J354" s="6" t="s">
        <v>3427</v>
      </c>
      <c r="K354" s="9">
        <v>8</v>
      </c>
      <c r="L354" s="6" t="s">
        <v>4277</v>
      </c>
      <c r="M354" s="6" t="s">
        <v>4278</v>
      </c>
      <c r="N354" s="4">
        <v>869.80000000000007</v>
      </c>
      <c r="O354" s="6">
        <f t="shared" si="5"/>
        <v>843</v>
      </c>
    </row>
    <row r="355" spans="1:15" x14ac:dyDescent="0.3">
      <c r="A355" s="6" t="s">
        <v>367</v>
      </c>
      <c r="B355" s="2">
        <v>45744</v>
      </c>
      <c r="C355" s="6" t="s">
        <v>1567</v>
      </c>
      <c r="D355" s="6" t="s">
        <v>2405</v>
      </c>
      <c r="E355" s="9">
        <v>1</v>
      </c>
      <c r="F355" s="4">
        <v>630.82000000000005</v>
      </c>
      <c r="G355" t="s">
        <v>2706</v>
      </c>
      <c r="H355" s="6" t="s">
        <v>3066</v>
      </c>
      <c r="I355" s="6" t="s">
        <v>3073</v>
      </c>
      <c r="J355" s="6" t="s">
        <v>3428</v>
      </c>
      <c r="K355" s="9">
        <v>5</v>
      </c>
      <c r="L355" s="6" t="s">
        <v>4276</v>
      </c>
      <c r="M355" s="6" t="s">
        <v>4282</v>
      </c>
      <c r="N355" s="4">
        <v>630.82000000000005</v>
      </c>
      <c r="O355" s="6">
        <f t="shared" si="5"/>
        <v>842</v>
      </c>
    </row>
    <row r="356" spans="1:15" x14ac:dyDescent="0.3">
      <c r="A356" s="6" t="s">
        <v>368</v>
      </c>
      <c r="B356" s="2">
        <v>45118</v>
      </c>
      <c r="C356" s="6" t="s">
        <v>1568</v>
      </c>
      <c r="D356" s="6" t="s">
        <v>2404</v>
      </c>
      <c r="E356" s="9">
        <v>1</v>
      </c>
      <c r="F356" s="4">
        <v>693.41</v>
      </c>
      <c r="G356" t="s">
        <v>2707</v>
      </c>
      <c r="H356" s="6" t="s">
        <v>3065</v>
      </c>
      <c r="I356" s="6" t="s">
        <v>3070</v>
      </c>
      <c r="J356" s="6" t="s">
        <v>3429</v>
      </c>
      <c r="K356" s="9">
        <v>4</v>
      </c>
      <c r="L356" s="6" t="s">
        <v>4283</v>
      </c>
      <c r="M356" s="6" t="s">
        <v>4278</v>
      </c>
      <c r="N356" s="4">
        <v>693.41</v>
      </c>
      <c r="O356" s="6">
        <f t="shared" si="5"/>
        <v>841</v>
      </c>
    </row>
    <row r="357" spans="1:15" x14ac:dyDescent="0.3">
      <c r="A357" s="6" t="s">
        <v>369</v>
      </c>
      <c r="B357" s="2">
        <v>45811</v>
      </c>
      <c r="C357" s="6" t="s">
        <v>1569</v>
      </c>
      <c r="D357" s="6" t="s">
        <v>2405</v>
      </c>
      <c r="E357" s="9">
        <v>3</v>
      </c>
      <c r="F357" s="4">
        <v>433.33</v>
      </c>
      <c r="G357" t="s">
        <v>2708</v>
      </c>
      <c r="H357" s="6" t="s">
        <v>3067</v>
      </c>
      <c r="I357" s="6" t="s">
        <v>3071</v>
      </c>
      <c r="J357" s="6" t="s">
        <v>3430</v>
      </c>
      <c r="K357" s="9">
        <v>4</v>
      </c>
      <c r="L357" s="6" t="s">
        <v>4276</v>
      </c>
      <c r="M357" s="6" t="s">
        <v>4279</v>
      </c>
      <c r="N357" s="4">
        <v>1299.99</v>
      </c>
      <c r="O357" s="6">
        <f t="shared" si="5"/>
        <v>840</v>
      </c>
    </row>
    <row r="358" spans="1:15" x14ac:dyDescent="0.3">
      <c r="A358" s="6" t="s">
        <v>370</v>
      </c>
      <c r="B358" s="2">
        <v>45052</v>
      </c>
      <c r="C358" s="6" t="s">
        <v>1570</v>
      </c>
      <c r="D358" s="6" t="s">
        <v>2407</v>
      </c>
      <c r="E358" s="9">
        <v>5</v>
      </c>
      <c r="F358" s="4">
        <v>374.58</v>
      </c>
      <c r="G358" t="s">
        <v>2709</v>
      </c>
      <c r="H358" s="6" t="s">
        <v>3068</v>
      </c>
      <c r="I358" s="6" t="s">
        <v>3071</v>
      </c>
      <c r="J358" s="6" t="s">
        <v>3431</v>
      </c>
      <c r="K358" s="9">
        <v>10</v>
      </c>
      <c r="L358" s="6" t="s">
        <v>4276</v>
      </c>
      <c r="M358" s="6" t="s">
        <v>4278</v>
      </c>
      <c r="N358" s="4">
        <v>1872.9</v>
      </c>
      <c r="O358" s="6">
        <f t="shared" si="5"/>
        <v>839</v>
      </c>
    </row>
    <row r="359" spans="1:15" x14ac:dyDescent="0.3">
      <c r="A359" s="6" t="s">
        <v>371</v>
      </c>
      <c r="B359" s="2">
        <v>45115</v>
      </c>
      <c r="C359" s="6" t="s">
        <v>1571</v>
      </c>
      <c r="D359" s="6" t="s">
        <v>2408</v>
      </c>
      <c r="E359" s="9">
        <v>5</v>
      </c>
      <c r="F359" s="4">
        <v>408.56</v>
      </c>
      <c r="G359" t="s">
        <v>2692</v>
      </c>
      <c r="H359" s="6" t="s">
        <v>3065</v>
      </c>
      <c r="I359" s="6" t="s">
        <v>3073</v>
      </c>
      <c r="J359" s="6" t="s">
        <v>3432</v>
      </c>
      <c r="K359" s="9">
        <v>8</v>
      </c>
      <c r="L359" s="6" t="s">
        <v>4276</v>
      </c>
      <c r="M359" s="6" t="s">
        <v>4278</v>
      </c>
      <c r="N359" s="4">
        <v>2042.8</v>
      </c>
      <c r="O359" s="6">
        <f t="shared" si="5"/>
        <v>838</v>
      </c>
    </row>
    <row r="360" spans="1:15" x14ac:dyDescent="0.3">
      <c r="A360" s="6" t="s">
        <v>372</v>
      </c>
      <c r="B360" s="2">
        <v>45389</v>
      </c>
      <c r="C360" s="6" t="s">
        <v>1572</v>
      </c>
      <c r="D360" s="6" t="s">
        <v>2405</v>
      </c>
      <c r="E360" s="9">
        <v>2</v>
      </c>
      <c r="F360" s="4">
        <v>183.67</v>
      </c>
      <c r="G360" t="s">
        <v>2710</v>
      </c>
      <c r="H360" s="6" t="s">
        <v>3066</v>
      </c>
      <c r="I360" s="6" t="s">
        <v>3071</v>
      </c>
      <c r="J360" s="6" t="s">
        <v>3433</v>
      </c>
      <c r="K360" s="9">
        <v>3</v>
      </c>
      <c r="L360" s="6" t="s">
        <v>4275</v>
      </c>
      <c r="M360" s="6" t="s">
        <v>4282</v>
      </c>
      <c r="N360" s="4">
        <v>367.34</v>
      </c>
      <c r="O360" s="6">
        <f t="shared" si="5"/>
        <v>837</v>
      </c>
    </row>
    <row r="361" spans="1:15" x14ac:dyDescent="0.3">
      <c r="A361" s="6" t="s">
        <v>373</v>
      </c>
      <c r="B361" s="2">
        <v>45086</v>
      </c>
      <c r="C361" s="6" t="s">
        <v>1573</v>
      </c>
      <c r="D361" s="6" t="s">
        <v>2409</v>
      </c>
      <c r="E361" s="9">
        <v>4</v>
      </c>
      <c r="F361" s="4">
        <v>606.57000000000005</v>
      </c>
      <c r="G361" t="s">
        <v>2711</v>
      </c>
      <c r="H361" s="6" t="s">
        <v>3065</v>
      </c>
      <c r="I361" s="6" t="s">
        <v>3073</v>
      </c>
      <c r="J361" s="6" t="s">
        <v>3434</v>
      </c>
      <c r="K361" s="9">
        <v>5</v>
      </c>
      <c r="L361" s="6" t="s">
        <v>4277</v>
      </c>
      <c r="M361" s="6" t="s">
        <v>4279</v>
      </c>
      <c r="N361" s="4">
        <v>2426.2800000000002</v>
      </c>
      <c r="O361" s="6">
        <f t="shared" si="5"/>
        <v>836</v>
      </c>
    </row>
    <row r="362" spans="1:15" x14ac:dyDescent="0.3">
      <c r="A362" s="6" t="s">
        <v>374</v>
      </c>
      <c r="B362" s="2">
        <v>45449</v>
      </c>
      <c r="C362" s="6" t="s">
        <v>1574</v>
      </c>
      <c r="D362" s="6" t="s">
        <v>2404</v>
      </c>
      <c r="E362" s="9">
        <v>4</v>
      </c>
      <c r="F362" s="4">
        <v>589.57000000000005</v>
      </c>
      <c r="G362" t="s">
        <v>2712</v>
      </c>
      <c r="H362" s="6" t="s">
        <v>3069</v>
      </c>
      <c r="I362" s="6" t="s">
        <v>3074</v>
      </c>
      <c r="J362" s="6" t="s">
        <v>3435</v>
      </c>
      <c r="K362" s="9">
        <v>8</v>
      </c>
      <c r="L362" s="6" t="s">
        <v>4283</v>
      </c>
      <c r="M362" s="6" t="s">
        <v>4278</v>
      </c>
      <c r="N362" s="4">
        <v>2358.2800000000002</v>
      </c>
      <c r="O362" s="6">
        <f t="shared" si="5"/>
        <v>835</v>
      </c>
    </row>
    <row r="363" spans="1:15" x14ac:dyDescent="0.3">
      <c r="A363" s="6" t="s">
        <v>375</v>
      </c>
      <c r="B363" s="2">
        <v>45472</v>
      </c>
      <c r="C363" s="6" t="s">
        <v>1575</v>
      </c>
      <c r="D363" s="6" t="s">
        <v>2407</v>
      </c>
      <c r="E363" s="9">
        <v>5</v>
      </c>
      <c r="F363" s="4">
        <v>659.85</v>
      </c>
      <c r="G363" t="s">
        <v>2713</v>
      </c>
      <c r="H363" s="6" t="s">
        <v>3067</v>
      </c>
      <c r="I363" s="6" t="s">
        <v>3073</v>
      </c>
      <c r="J363" s="6" t="s">
        <v>3436</v>
      </c>
      <c r="K363" s="9">
        <v>9</v>
      </c>
      <c r="L363" s="6" t="s">
        <v>4275</v>
      </c>
      <c r="M363" s="6" t="s">
        <v>4281</v>
      </c>
      <c r="N363" s="4">
        <v>3299.25</v>
      </c>
      <c r="O363" s="6">
        <f t="shared" si="5"/>
        <v>834</v>
      </c>
    </row>
    <row r="364" spans="1:15" x14ac:dyDescent="0.3">
      <c r="A364" s="6" t="s">
        <v>376</v>
      </c>
      <c r="B364" s="2">
        <v>45104</v>
      </c>
      <c r="C364" s="6" t="s">
        <v>1576</v>
      </c>
      <c r="D364" s="6" t="s">
        <v>2403</v>
      </c>
      <c r="E364" s="9">
        <v>4</v>
      </c>
      <c r="F364" s="4">
        <v>206.84</v>
      </c>
      <c r="G364" t="s">
        <v>2714</v>
      </c>
      <c r="H364" s="6" t="s">
        <v>3069</v>
      </c>
      <c r="I364" s="6" t="s">
        <v>3071</v>
      </c>
      <c r="J364" s="6" t="s">
        <v>3437</v>
      </c>
      <c r="K364" s="9">
        <v>5</v>
      </c>
      <c r="L364" s="6" t="s">
        <v>4277</v>
      </c>
      <c r="M364" s="6" t="s">
        <v>4278</v>
      </c>
      <c r="N364" s="4">
        <v>827.36</v>
      </c>
      <c r="O364" s="6">
        <f t="shared" si="5"/>
        <v>833</v>
      </c>
    </row>
    <row r="365" spans="1:15" x14ac:dyDescent="0.3">
      <c r="A365" s="6" t="s">
        <v>377</v>
      </c>
      <c r="B365" s="2">
        <v>45436</v>
      </c>
      <c r="C365" s="6" t="s">
        <v>1577</v>
      </c>
      <c r="D365" s="6" t="s">
        <v>2408</v>
      </c>
      <c r="E365" s="9">
        <v>5</v>
      </c>
      <c r="F365" s="4">
        <v>113.87</v>
      </c>
      <c r="G365" t="s">
        <v>2452</v>
      </c>
      <c r="H365" s="6" t="s">
        <v>3067</v>
      </c>
      <c r="I365" s="6" t="s">
        <v>3074</v>
      </c>
      <c r="J365" s="6" t="s">
        <v>3438</v>
      </c>
      <c r="K365" s="9">
        <v>6</v>
      </c>
      <c r="L365" s="6" t="s">
        <v>4275</v>
      </c>
      <c r="M365" s="6" t="s">
        <v>4280</v>
      </c>
      <c r="N365" s="4">
        <v>569.35</v>
      </c>
      <c r="O365" s="6">
        <f t="shared" si="5"/>
        <v>832</v>
      </c>
    </row>
    <row r="366" spans="1:15" x14ac:dyDescent="0.3">
      <c r="A366" s="6" t="s">
        <v>378</v>
      </c>
      <c r="B366" s="2">
        <v>45254</v>
      </c>
      <c r="C366" s="6" t="s">
        <v>1578</v>
      </c>
      <c r="D366" s="6" t="s">
        <v>2404</v>
      </c>
      <c r="E366" s="9">
        <v>5</v>
      </c>
      <c r="F366" s="4">
        <v>628.74</v>
      </c>
      <c r="G366" t="s">
        <v>2650</v>
      </c>
      <c r="H366" s="6" t="s">
        <v>3069</v>
      </c>
      <c r="I366" s="6" t="s">
        <v>3071</v>
      </c>
      <c r="J366" s="6" t="s">
        <v>3439</v>
      </c>
      <c r="K366" s="9">
        <v>9</v>
      </c>
      <c r="L366" s="6" t="s">
        <v>4276</v>
      </c>
      <c r="M366" s="6" t="s">
        <v>4281</v>
      </c>
      <c r="N366" s="4">
        <v>3143.7</v>
      </c>
      <c r="O366" s="6">
        <f t="shared" si="5"/>
        <v>831</v>
      </c>
    </row>
    <row r="367" spans="1:15" x14ac:dyDescent="0.3">
      <c r="A367" s="6" t="s">
        <v>379</v>
      </c>
      <c r="B367" s="2">
        <v>45702</v>
      </c>
      <c r="C367" s="6" t="s">
        <v>1579</v>
      </c>
      <c r="D367" s="6" t="s">
        <v>2404</v>
      </c>
      <c r="E367" s="9">
        <v>1</v>
      </c>
      <c r="F367" s="4">
        <v>678.38</v>
      </c>
      <c r="G367" t="s">
        <v>2686</v>
      </c>
      <c r="H367" s="6" t="s">
        <v>3067</v>
      </c>
      <c r="I367" s="6" t="s">
        <v>3071</v>
      </c>
      <c r="J367" s="6" t="s">
        <v>3440</v>
      </c>
      <c r="K367" s="9">
        <v>4</v>
      </c>
      <c r="L367" s="6" t="s">
        <v>4275</v>
      </c>
      <c r="M367" s="6" t="s">
        <v>4279</v>
      </c>
      <c r="N367" s="4">
        <v>678.38</v>
      </c>
      <c r="O367" s="6">
        <f t="shared" si="5"/>
        <v>830</v>
      </c>
    </row>
    <row r="368" spans="1:15" x14ac:dyDescent="0.3">
      <c r="A368" s="6" t="s">
        <v>380</v>
      </c>
      <c r="B368" s="2">
        <v>44967</v>
      </c>
      <c r="C368" s="6" t="s">
        <v>1580</v>
      </c>
      <c r="D368" s="6" t="s">
        <v>2407</v>
      </c>
      <c r="E368" s="9">
        <v>3</v>
      </c>
      <c r="F368" s="4">
        <v>602.24</v>
      </c>
      <c r="G368" t="s">
        <v>2715</v>
      </c>
      <c r="H368" s="6" t="s">
        <v>3065</v>
      </c>
      <c r="I368" s="6" t="s">
        <v>3074</v>
      </c>
      <c r="J368" s="6" t="s">
        <v>3441</v>
      </c>
      <c r="K368" s="9">
        <v>8</v>
      </c>
      <c r="L368" s="6" t="s">
        <v>4283</v>
      </c>
      <c r="M368" s="6" t="s">
        <v>4279</v>
      </c>
      <c r="N368" s="4">
        <v>1806.72</v>
      </c>
      <c r="O368" s="6">
        <f t="shared" si="5"/>
        <v>829</v>
      </c>
    </row>
    <row r="369" spans="1:15" x14ac:dyDescent="0.3">
      <c r="A369" s="6" t="s">
        <v>381</v>
      </c>
      <c r="B369" s="2">
        <v>45407</v>
      </c>
      <c r="C369" s="6" t="s">
        <v>1581</v>
      </c>
      <c r="D369" s="6" t="s">
        <v>2408</v>
      </c>
      <c r="E369" s="9">
        <v>5</v>
      </c>
      <c r="F369" s="4">
        <v>658.77</v>
      </c>
      <c r="G369" t="s">
        <v>2630</v>
      </c>
      <c r="H369" s="6" t="s">
        <v>3068</v>
      </c>
      <c r="I369" s="6" t="s">
        <v>3074</v>
      </c>
      <c r="J369" s="6" t="s">
        <v>3442</v>
      </c>
      <c r="K369" s="9">
        <v>10</v>
      </c>
      <c r="L369" s="6" t="s">
        <v>4276</v>
      </c>
      <c r="M369" s="6" t="s">
        <v>4278</v>
      </c>
      <c r="N369" s="4">
        <v>3293.85</v>
      </c>
      <c r="O369" s="6">
        <f t="shared" si="5"/>
        <v>828</v>
      </c>
    </row>
    <row r="370" spans="1:15" x14ac:dyDescent="0.3">
      <c r="A370" s="6" t="s">
        <v>382</v>
      </c>
      <c r="B370" s="2">
        <v>45047</v>
      </c>
      <c r="C370" s="6" t="s">
        <v>1582</v>
      </c>
      <c r="D370" s="6" t="s">
        <v>2403</v>
      </c>
      <c r="E370" s="9">
        <v>3</v>
      </c>
      <c r="F370" s="4">
        <v>271.02</v>
      </c>
      <c r="G370" t="s">
        <v>2716</v>
      </c>
      <c r="H370" s="6" t="s">
        <v>3067</v>
      </c>
      <c r="I370" s="6" t="s">
        <v>3071</v>
      </c>
      <c r="J370" s="6" t="s">
        <v>3443</v>
      </c>
      <c r="K370" s="9">
        <v>6</v>
      </c>
      <c r="L370" s="6" t="s">
        <v>4283</v>
      </c>
      <c r="M370" s="6" t="s">
        <v>4282</v>
      </c>
      <c r="N370" s="4">
        <v>813.06</v>
      </c>
      <c r="O370" s="6">
        <f t="shared" si="5"/>
        <v>827</v>
      </c>
    </row>
    <row r="371" spans="1:15" x14ac:dyDescent="0.3">
      <c r="A371" s="6" t="s">
        <v>383</v>
      </c>
      <c r="B371" s="2">
        <v>45648</v>
      </c>
      <c r="C371" s="6" t="s">
        <v>1583</v>
      </c>
      <c r="D371" s="6" t="s">
        <v>2403</v>
      </c>
      <c r="E371" s="9">
        <v>5</v>
      </c>
      <c r="F371" s="4">
        <v>375.25</v>
      </c>
      <c r="G371" t="s">
        <v>2717</v>
      </c>
      <c r="H371" s="6" t="s">
        <v>3068</v>
      </c>
      <c r="I371" s="6" t="s">
        <v>3074</v>
      </c>
      <c r="J371" s="6" t="s">
        <v>3444</v>
      </c>
      <c r="K371" s="9">
        <v>9</v>
      </c>
      <c r="L371" s="6" t="s">
        <v>4275</v>
      </c>
      <c r="M371" s="6" t="s">
        <v>4280</v>
      </c>
      <c r="N371" s="4">
        <v>1876.25</v>
      </c>
      <c r="O371" s="6">
        <f t="shared" si="5"/>
        <v>826</v>
      </c>
    </row>
    <row r="372" spans="1:15" x14ac:dyDescent="0.3">
      <c r="A372" s="6" t="s">
        <v>384</v>
      </c>
      <c r="B372" s="2">
        <v>45780</v>
      </c>
      <c r="C372" s="6" t="s">
        <v>1584</v>
      </c>
      <c r="D372" s="6" t="s">
        <v>2404</v>
      </c>
      <c r="E372" s="9">
        <v>1</v>
      </c>
      <c r="F372" s="4">
        <v>312.11</v>
      </c>
      <c r="G372" t="s">
        <v>2718</v>
      </c>
      <c r="H372" s="6" t="s">
        <v>3066</v>
      </c>
      <c r="I372" s="6" t="s">
        <v>3071</v>
      </c>
      <c r="J372" s="6" t="s">
        <v>3445</v>
      </c>
      <c r="K372" s="9">
        <v>4</v>
      </c>
      <c r="L372" s="6" t="s">
        <v>4277</v>
      </c>
      <c r="M372" s="6" t="s">
        <v>4281</v>
      </c>
      <c r="N372" s="4">
        <v>312.11</v>
      </c>
      <c r="O372" s="6">
        <f t="shared" si="5"/>
        <v>825</v>
      </c>
    </row>
    <row r="373" spans="1:15" x14ac:dyDescent="0.3">
      <c r="A373" s="6" t="s">
        <v>385</v>
      </c>
      <c r="B373" s="2">
        <v>44931</v>
      </c>
      <c r="C373" s="6" t="s">
        <v>1585</v>
      </c>
      <c r="D373" s="6" t="s">
        <v>2404</v>
      </c>
      <c r="E373" s="9">
        <v>5</v>
      </c>
      <c r="F373" s="4">
        <v>307.76</v>
      </c>
      <c r="G373" t="s">
        <v>2422</v>
      </c>
      <c r="H373" s="6" t="s">
        <v>3068</v>
      </c>
      <c r="I373" s="6" t="s">
        <v>3074</v>
      </c>
      <c r="J373" s="6" t="s">
        <v>3446</v>
      </c>
      <c r="K373" s="9">
        <v>9</v>
      </c>
      <c r="L373" s="6" t="s">
        <v>4276</v>
      </c>
      <c r="M373" s="6" t="s">
        <v>4282</v>
      </c>
      <c r="N373" s="4">
        <v>1538.8</v>
      </c>
      <c r="O373" s="6">
        <f t="shared" si="5"/>
        <v>824</v>
      </c>
    </row>
    <row r="374" spans="1:15" x14ac:dyDescent="0.3">
      <c r="A374" s="6" t="s">
        <v>386</v>
      </c>
      <c r="B374" s="2">
        <v>45702</v>
      </c>
      <c r="C374" s="6" t="s">
        <v>1586</v>
      </c>
      <c r="D374" s="6" t="s">
        <v>2406</v>
      </c>
      <c r="E374" s="9">
        <v>3</v>
      </c>
      <c r="F374" s="4">
        <v>483.53</v>
      </c>
      <c r="G374" t="s">
        <v>2719</v>
      </c>
      <c r="H374" s="6" t="s">
        <v>3069</v>
      </c>
      <c r="I374" s="6" t="s">
        <v>3072</v>
      </c>
      <c r="J374" s="6" t="s">
        <v>3447</v>
      </c>
      <c r="K374" s="9">
        <v>4</v>
      </c>
      <c r="L374" s="6" t="s">
        <v>4283</v>
      </c>
      <c r="M374" s="6" t="s">
        <v>4279</v>
      </c>
      <c r="N374" s="4">
        <v>1450.59</v>
      </c>
      <c r="O374" s="6">
        <f t="shared" si="5"/>
        <v>823</v>
      </c>
    </row>
    <row r="375" spans="1:15" x14ac:dyDescent="0.3">
      <c r="A375" s="6" t="s">
        <v>387</v>
      </c>
      <c r="B375" s="2">
        <v>44928</v>
      </c>
      <c r="C375" s="6" t="s">
        <v>1587</v>
      </c>
      <c r="D375" s="6" t="s">
        <v>2408</v>
      </c>
      <c r="E375" s="9">
        <v>3</v>
      </c>
      <c r="F375" s="4">
        <v>341.15</v>
      </c>
      <c r="G375" t="s">
        <v>2720</v>
      </c>
      <c r="H375" s="6" t="s">
        <v>3069</v>
      </c>
      <c r="I375" s="6" t="s">
        <v>3074</v>
      </c>
      <c r="J375" s="6" t="s">
        <v>3448</v>
      </c>
      <c r="K375" s="9">
        <v>4</v>
      </c>
      <c r="L375" s="6" t="s">
        <v>4276</v>
      </c>
      <c r="M375" s="6" t="s">
        <v>4278</v>
      </c>
      <c r="N375" s="4">
        <v>1023.45</v>
      </c>
      <c r="O375" s="6">
        <f t="shared" si="5"/>
        <v>822</v>
      </c>
    </row>
    <row r="376" spans="1:15" x14ac:dyDescent="0.3">
      <c r="A376" s="6" t="s">
        <v>388</v>
      </c>
      <c r="B376" s="2">
        <v>45551</v>
      </c>
      <c r="C376" s="6" t="s">
        <v>1588</v>
      </c>
      <c r="D376" s="6" t="s">
        <v>2403</v>
      </c>
      <c r="E376" s="9">
        <v>1</v>
      </c>
      <c r="F376" s="4">
        <v>571.9</v>
      </c>
      <c r="G376" t="s">
        <v>2477</v>
      </c>
      <c r="H376" s="6" t="s">
        <v>3068</v>
      </c>
      <c r="I376" s="6" t="s">
        <v>3074</v>
      </c>
      <c r="J376" s="6" t="s">
        <v>3449</v>
      </c>
      <c r="K376" s="9">
        <v>1</v>
      </c>
      <c r="L376" s="6" t="s">
        <v>4277</v>
      </c>
      <c r="M376" s="6" t="s">
        <v>4278</v>
      </c>
      <c r="N376" s="4">
        <v>571.9</v>
      </c>
      <c r="O376" s="6">
        <f t="shared" si="5"/>
        <v>821</v>
      </c>
    </row>
    <row r="377" spans="1:15" x14ac:dyDescent="0.3">
      <c r="A377" s="6" t="s">
        <v>389</v>
      </c>
      <c r="B377" s="2">
        <v>45673</v>
      </c>
      <c r="C377" s="6" t="s">
        <v>1589</v>
      </c>
      <c r="D377" s="6" t="s">
        <v>2403</v>
      </c>
      <c r="E377" s="9">
        <v>4</v>
      </c>
      <c r="F377" s="4">
        <v>95.03</v>
      </c>
      <c r="G377" t="s">
        <v>2721</v>
      </c>
      <c r="H377" s="6" t="s">
        <v>3066</v>
      </c>
      <c r="I377" s="6" t="s">
        <v>3070</v>
      </c>
      <c r="J377" s="6" t="s">
        <v>3450</v>
      </c>
      <c r="K377" s="9">
        <v>8</v>
      </c>
      <c r="L377" s="6" t="s">
        <v>4276</v>
      </c>
      <c r="M377" s="6" t="s">
        <v>4281</v>
      </c>
      <c r="N377" s="4">
        <v>380.12</v>
      </c>
      <c r="O377" s="6">
        <f t="shared" si="5"/>
        <v>820</v>
      </c>
    </row>
    <row r="378" spans="1:15" x14ac:dyDescent="0.3">
      <c r="A378" s="6" t="s">
        <v>390</v>
      </c>
      <c r="B378" s="2">
        <v>45162</v>
      </c>
      <c r="C378" s="6" t="s">
        <v>1590</v>
      </c>
      <c r="D378" s="6" t="s">
        <v>2403</v>
      </c>
      <c r="E378" s="9">
        <v>5</v>
      </c>
      <c r="F378" s="4">
        <v>201.22</v>
      </c>
      <c r="G378" t="s">
        <v>2722</v>
      </c>
      <c r="H378" s="6" t="s">
        <v>3065</v>
      </c>
      <c r="I378" s="6" t="s">
        <v>3074</v>
      </c>
      <c r="J378" s="6" t="s">
        <v>3451</v>
      </c>
      <c r="K378" s="9">
        <v>6</v>
      </c>
      <c r="L378" s="6" t="s">
        <v>4276</v>
      </c>
      <c r="M378" s="6" t="s">
        <v>4281</v>
      </c>
      <c r="N378" s="4">
        <v>1006.1</v>
      </c>
      <c r="O378" s="6">
        <f t="shared" si="5"/>
        <v>819</v>
      </c>
    </row>
    <row r="379" spans="1:15" x14ac:dyDescent="0.3">
      <c r="A379" s="6" t="s">
        <v>391</v>
      </c>
      <c r="B379" s="2">
        <v>45495</v>
      </c>
      <c r="C379" s="6" t="s">
        <v>1591</v>
      </c>
      <c r="D379" s="6" t="s">
        <v>2403</v>
      </c>
      <c r="E379" s="9">
        <v>1</v>
      </c>
      <c r="F379" s="4">
        <v>260.26</v>
      </c>
      <c r="G379" t="s">
        <v>2671</v>
      </c>
      <c r="H379" s="6" t="s">
        <v>3066</v>
      </c>
      <c r="I379" s="6" t="s">
        <v>3074</v>
      </c>
      <c r="J379" s="6" t="s">
        <v>3452</v>
      </c>
      <c r="K379" s="9">
        <v>5</v>
      </c>
      <c r="L379" s="6" t="s">
        <v>4277</v>
      </c>
      <c r="M379" s="6" t="s">
        <v>4278</v>
      </c>
      <c r="N379" s="4">
        <v>260.26</v>
      </c>
      <c r="O379" s="6">
        <f t="shared" si="5"/>
        <v>818</v>
      </c>
    </row>
    <row r="380" spans="1:15" x14ac:dyDescent="0.3">
      <c r="A380" s="6" t="s">
        <v>392</v>
      </c>
      <c r="B380" s="2">
        <v>45323</v>
      </c>
      <c r="C380" s="6" t="s">
        <v>1592</v>
      </c>
      <c r="D380" s="6" t="s">
        <v>2406</v>
      </c>
      <c r="E380" s="9">
        <v>5</v>
      </c>
      <c r="F380" s="4">
        <v>64.5</v>
      </c>
      <c r="G380" t="s">
        <v>2723</v>
      </c>
      <c r="H380" s="6" t="s">
        <v>3067</v>
      </c>
      <c r="I380" s="6" t="s">
        <v>3074</v>
      </c>
      <c r="J380" s="6" t="s">
        <v>3453</v>
      </c>
      <c r="K380" s="9">
        <v>8</v>
      </c>
      <c r="L380" s="6" t="s">
        <v>4277</v>
      </c>
      <c r="M380" s="6" t="s">
        <v>4278</v>
      </c>
      <c r="N380" s="4">
        <v>322.5</v>
      </c>
      <c r="O380" s="6">
        <f t="shared" si="5"/>
        <v>817</v>
      </c>
    </row>
    <row r="381" spans="1:15" x14ac:dyDescent="0.3">
      <c r="A381" s="6" t="s">
        <v>393</v>
      </c>
      <c r="B381" s="2">
        <v>45556</v>
      </c>
      <c r="C381" s="6" t="s">
        <v>1593</v>
      </c>
      <c r="D381" s="6" t="s">
        <v>2404</v>
      </c>
      <c r="E381" s="9">
        <v>3</v>
      </c>
      <c r="F381" s="4">
        <v>297.67</v>
      </c>
      <c r="G381" t="s">
        <v>2571</v>
      </c>
      <c r="H381" s="6" t="s">
        <v>3066</v>
      </c>
      <c r="I381" s="6" t="s">
        <v>3070</v>
      </c>
      <c r="J381" s="6" t="s">
        <v>3454</v>
      </c>
      <c r="K381" s="9">
        <v>6</v>
      </c>
      <c r="L381" s="6" t="s">
        <v>4283</v>
      </c>
      <c r="M381" s="6" t="s">
        <v>4282</v>
      </c>
      <c r="N381" s="4">
        <v>893.01</v>
      </c>
      <c r="O381" s="6">
        <f t="shared" si="5"/>
        <v>816</v>
      </c>
    </row>
    <row r="382" spans="1:15" x14ac:dyDescent="0.3">
      <c r="A382" s="6" t="s">
        <v>394</v>
      </c>
      <c r="B382" s="2">
        <v>45402</v>
      </c>
      <c r="C382" s="6" t="s">
        <v>1594</v>
      </c>
      <c r="D382" s="6" t="s">
        <v>2407</v>
      </c>
      <c r="E382" s="9">
        <v>4</v>
      </c>
      <c r="F382" s="4">
        <v>331.9</v>
      </c>
      <c r="G382" t="s">
        <v>2640</v>
      </c>
      <c r="H382" s="6" t="s">
        <v>3069</v>
      </c>
      <c r="I382" s="6" t="s">
        <v>3074</v>
      </c>
      <c r="J382" s="6" t="s">
        <v>3455</v>
      </c>
      <c r="K382" s="9">
        <v>5</v>
      </c>
      <c r="L382" s="6" t="s">
        <v>4275</v>
      </c>
      <c r="M382" s="6" t="s">
        <v>4278</v>
      </c>
      <c r="N382" s="4">
        <v>1327.6</v>
      </c>
      <c r="O382" s="6">
        <f t="shared" si="5"/>
        <v>815</v>
      </c>
    </row>
    <row r="383" spans="1:15" x14ac:dyDescent="0.3">
      <c r="A383" s="6" t="s">
        <v>395</v>
      </c>
      <c r="B383" s="2">
        <v>45084</v>
      </c>
      <c r="C383" s="6" t="s">
        <v>1595</v>
      </c>
      <c r="D383" s="6" t="s">
        <v>2406</v>
      </c>
      <c r="E383" s="9">
        <v>1</v>
      </c>
      <c r="F383" s="4">
        <v>191.76</v>
      </c>
      <c r="G383" t="s">
        <v>2454</v>
      </c>
      <c r="H383" s="6" t="s">
        <v>3067</v>
      </c>
      <c r="I383" s="6" t="s">
        <v>3072</v>
      </c>
      <c r="J383" s="6" t="s">
        <v>3456</v>
      </c>
      <c r="K383" s="9">
        <v>1</v>
      </c>
      <c r="L383" s="6" t="s">
        <v>4276</v>
      </c>
      <c r="M383" s="6" t="s">
        <v>4278</v>
      </c>
      <c r="N383" s="4">
        <v>191.76</v>
      </c>
      <c r="O383" s="6">
        <f t="shared" si="5"/>
        <v>814</v>
      </c>
    </row>
    <row r="384" spans="1:15" x14ac:dyDescent="0.3">
      <c r="A384" s="6" t="s">
        <v>396</v>
      </c>
      <c r="B384" s="2">
        <v>45687</v>
      </c>
      <c r="C384" s="6" t="s">
        <v>1596</v>
      </c>
      <c r="D384" s="6" t="s">
        <v>2407</v>
      </c>
      <c r="E384" s="9">
        <v>4</v>
      </c>
      <c r="F384" s="4">
        <v>263.08999999999997</v>
      </c>
      <c r="G384" t="s">
        <v>2724</v>
      </c>
      <c r="H384" s="6" t="s">
        <v>3065</v>
      </c>
      <c r="I384" s="6" t="s">
        <v>3070</v>
      </c>
      <c r="J384" s="6" t="s">
        <v>3457</v>
      </c>
      <c r="K384" s="9">
        <v>8</v>
      </c>
      <c r="L384" s="6" t="s">
        <v>4275</v>
      </c>
      <c r="M384" s="6" t="s">
        <v>4282</v>
      </c>
      <c r="N384" s="4">
        <v>1052.3599999999999</v>
      </c>
      <c r="O384" s="6">
        <f t="shared" si="5"/>
        <v>813</v>
      </c>
    </row>
    <row r="385" spans="1:15" x14ac:dyDescent="0.3">
      <c r="A385" s="6" t="s">
        <v>397</v>
      </c>
      <c r="B385" s="2">
        <v>44946</v>
      </c>
      <c r="C385" s="6" t="s">
        <v>1597</v>
      </c>
      <c r="D385" s="6" t="s">
        <v>2406</v>
      </c>
      <c r="E385" s="9">
        <v>4</v>
      </c>
      <c r="F385" s="4">
        <v>393.8</v>
      </c>
      <c r="G385" t="s">
        <v>2497</v>
      </c>
      <c r="H385" s="6" t="s">
        <v>3067</v>
      </c>
      <c r="I385" s="6" t="s">
        <v>3074</v>
      </c>
      <c r="J385" s="6" t="s">
        <v>3458</v>
      </c>
      <c r="K385" s="9">
        <v>7</v>
      </c>
      <c r="L385" s="6" t="s">
        <v>4275</v>
      </c>
      <c r="M385" s="6" t="s">
        <v>4280</v>
      </c>
      <c r="N385" s="4">
        <v>1575.2</v>
      </c>
      <c r="O385" s="6">
        <f t="shared" si="5"/>
        <v>812</v>
      </c>
    </row>
    <row r="386" spans="1:15" x14ac:dyDescent="0.3">
      <c r="A386" s="6" t="s">
        <v>398</v>
      </c>
      <c r="B386" s="2">
        <v>45620</v>
      </c>
      <c r="C386" s="6" t="s">
        <v>1598</v>
      </c>
      <c r="D386" s="6" t="s">
        <v>2406</v>
      </c>
      <c r="E386" s="9">
        <v>3</v>
      </c>
      <c r="F386" s="4">
        <v>553.57000000000005</v>
      </c>
      <c r="G386" t="s">
        <v>2725</v>
      </c>
      <c r="H386" s="6" t="s">
        <v>3067</v>
      </c>
      <c r="I386" s="6" t="s">
        <v>3072</v>
      </c>
      <c r="J386" s="6" t="s">
        <v>3459</v>
      </c>
      <c r="K386" s="9">
        <v>4</v>
      </c>
      <c r="L386" s="6" t="s">
        <v>4276</v>
      </c>
      <c r="M386" s="6" t="s">
        <v>4281</v>
      </c>
      <c r="N386" s="4">
        <v>1660.71</v>
      </c>
      <c r="O386" s="6">
        <f t="shared" ref="O386:O449" si="6">COUNTA(_xlfn.UNIQUE(C385:C1584))</f>
        <v>811</v>
      </c>
    </row>
    <row r="387" spans="1:15" x14ac:dyDescent="0.3">
      <c r="A387" s="6" t="s">
        <v>399</v>
      </c>
      <c r="B387" s="2">
        <v>45230</v>
      </c>
      <c r="C387" s="6" t="s">
        <v>1599</v>
      </c>
      <c r="D387" s="6" t="s">
        <v>2406</v>
      </c>
      <c r="E387" s="9">
        <v>5</v>
      </c>
      <c r="F387" s="4">
        <v>191.63</v>
      </c>
      <c r="G387" t="s">
        <v>2470</v>
      </c>
      <c r="H387" s="6" t="s">
        <v>3068</v>
      </c>
      <c r="I387" s="6" t="s">
        <v>3073</v>
      </c>
      <c r="J387" s="6" t="s">
        <v>3460</v>
      </c>
      <c r="K387" s="9">
        <v>6</v>
      </c>
      <c r="L387" s="6" t="s">
        <v>4276</v>
      </c>
      <c r="M387" s="6" t="s">
        <v>4281</v>
      </c>
      <c r="N387" s="4">
        <v>958.15</v>
      </c>
      <c r="O387" s="6">
        <f t="shared" si="6"/>
        <v>810</v>
      </c>
    </row>
    <row r="388" spans="1:15" x14ac:dyDescent="0.3">
      <c r="A388" s="6" t="s">
        <v>400</v>
      </c>
      <c r="B388" s="2">
        <v>45044</v>
      </c>
      <c r="C388" s="6" t="s">
        <v>1600</v>
      </c>
      <c r="D388" s="6" t="s">
        <v>2405</v>
      </c>
      <c r="E388" s="9">
        <v>1</v>
      </c>
      <c r="F388" s="4">
        <v>93.02</v>
      </c>
      <c r="G388" t="s">
        <v>2726</v>
      </c>
      <c r="H388" s="6" t="s">
        <v>3066</v>
      </c>
      <c r="I388" s="6" t="s">
        <v>3072</v>
      </c>
      <c r="J388" s="6" t="s">
        <v>3461</v>
      </c>
      <c r="K388" s="9">
        <v>4</v>
      </c>
      <c r="L388" s="6" t="s">
        <v>4283</v>
      </c>
      <c r="M388" s="6" t="s">
        <v>4280</v>
      </c>
      <c r="N388" s="4">
        <v>93.02</v>
      </c>
      <c r="O388" s="6">
        <f t="shared" si="6"/>
        <v>809</v>
      </c>
    </row>
    <row r="389" spans="1:15" x14ac:dyDescent="0.3">
      <c r="A389" s="6" t="s">
        <v>401</v>
      </c>
      <c r="B389" s="2">
        <v>45470</v>
      </c>
      <c r="C389" s="6" t="s">
        <v>1601</v>
      </c>
      <c r="D389" s="6" t="s">
        <v>2407</v>
      </c>
      <c r="E389" s="9">
        <v>2</v>
      </c>
      <c r="F389" s="4">
        <v>39.53</v>
      </c>
      <c r="G389" t="s">
        <v>2418</v>
      </c>
      <c r="H389" s="6" t="s">
        <v>3067</v>
      </c>
      <c r="I389" s="6" t="s">
        <v>3070</v>
      </c>
      <c r="J389" s="6" t="s">
        <v>3462</v>
      </c>
      <c r="K389" s="9">
        <v>3</v>
      </c>
      <c r="L389" s="6" t="s">
        <v>4277</v>
      </c>
      <c r="M389" s="6" t="s">
        <v>4282</v>
      </c>
      <c r="N389" s="4">
        <v>79.06</v>
      </c>
      <c r="O389" s="6">
        <f t="shared" si="6"/>
        <v>808</v>
      </c>
    </row>
    <row r="390" spans="1:15" x14ac:dyDescent="0.3">
      <c r="A390" s="6" t="s">
        <v>402</v>
      </c>
      <c r="B390" s="2">
        <v>45288</v>
      </c>
      <c r="C390" s="6" t="s">
        <v>1602</v>
      </c>
      <c r="D390" s="6" t="s">
        <v>2407</v>
      </c>
      <c r="E390" s="9">
        <v>3</v>
      </c>
      <c r="F390" s="4">
        <v>633.97</v>
      </c>
      <c r="G390" t="s">
        <v>2504</v>
      </c>
      <c r="H390" s="6" t="s">
        <v>3069</v>
      </c>
      <c r="I390" s="6" t="s">
        <v>3074</v>
      </c>
      <c r="J390" s="6" t="s">
        <v>3463</v>
      </c>
      <c r="K390" s="9">
        <v>7</v>
      </c>
      <c r="L390" s="6" t="s">
        <v>4277</v>
      </c>
      <c r="M390" s="6" t="s">
        <v>4281</v>
      </c>
      <c r="N390" s="4">
        <v>1901.91</v>
      </c>
      <c r="O390" s="6">
        <f t="shared" si="6"/>
        <v>807</v>
      </c>
    </row>
    <row r="391" spans="1:15" x14ac:dyDescent="0.3">
      <c r="A391" s="6" t="s">
        <v>403</v>
      </c>
      <c r="B391" s="2">
        <v>45277</v>
      </c>
      <c r="C391" s="6" t="s">
        <v>1603</v>
      </c>
      <c r="D391" s="6" t="s">
        <v>2409</v>
      </c>
      <c r="E391" s="9">
        <v>4</v>
      </c>
      <c r="F391" s="4">
        <v>697.5</v>
      </c>
      <c r="G391" t="s">
        <v>2727</v>
      </c>
      <c r="H391" s="6" t="s">
        <v>3069</v>
      </c>
      <c r="I391" s="6" t="s">
        <v>3070</v>
      </c>
      <c r="J391" s="6" t="s">
        <v>3464</v>
      </c>
      <c r="K391" s="9">
        <v>7</v>
      </c>
      <c r="L391" s="6" t="s">
        <v>4276</v>
      </c>
      <c r="M391" s="6" t="s">
        <v>4279</v>
      </c>
      <c r="N391" s="4">
        <v>2790</v>
      </c>
      <c r="O391" s="6">
        <f t="shared" si="6"/>
        <v>806</v>
      </c>
    </row>
    <row r="392" spans="1:15" x14ac:dyDescent="0.3">
      <c r="A392" s="6" t="s">
        <v>404</v>
      </c>
      <c r="B392" s="2">
        <v>45121</v>
      </c>
      <c r="C392" s="6" t="s">
        <v>1604</v>
      </c>
      <c r="D392" s="6" t="s">
        <v>2407</v>
      </c>
      <c r="E392" s="9">
        <v>5</v>
      </c>
      <c r="F392" s="4">
        <v>508.69</v>
      </c>
      <c r="G392" t="s">
        <v>2701</v>
      </c>
      <c r="H392" s="6" t="s">
        <v>3069</v>
      </c>
      <c r="I392" s="6" t="s">
        <v>3073</v>
      </c>
      <c r="J392" s="6" t="s">
        <v>3465</v>
      </c>
      <c r="K392" s="9">
        <v>10</v>
      </c>
      <c r="L392" s="6" t="s">
        <v>4276</v>
      </c>
      <c r="M392" s="6" t="s">
        <v>4282</v>
      </c>
      <c r="N392" s="4">
        <v>2543.4499999999998</v>
      </c>
      <c r="O392" s="6">
        <f t="shared" si="6"/>
        <v>805</v>
      </c>
    </row>
    <row r="393" spans="1:15" x14ac:dyDescent="0.3">
      <c r="A393" s="6" t="s">
        <v>405</v>
      </c>
      <c r="B393" s="2">
        <v>45673</v>
      </c>
      <c r="C393" s="6" t="s">
        <v>1605</v>
      </c>
      <c r="D393" s="6" t="s">
        <v>2408</v>
      </c>
      <c r="E393" s="9">
        <v>2</v>
      </c>
      <c r="F393" s="4">
        <v>527.46</v>
      </c>
      <c r="G393" t="s">
        <v>2654</v>
      </c>
      <c r="H393" s="6" t="s">
        <v>3065</v>
      </c>
      <c r="I393" s="6" t="s">
        <v>3071</v>
      </c>
      <c r="J393" s="6" t="s">
        <v>3466</v>
      </c>
      <c r="K393" s="9">
        <v>3</v>
      </c>
      <c r="L393" s="6" t="s">
        <v>4276</v>
      </c>
      <c r="M393" s="6" t="s">
        <v>4279</v>
      </c>
      <c r="N393" s="4">
        <v>1054.92</v>
      </c>
      <c r="O393" s="6">
        <f t="shared" si="6"/>
        <v>804</v>
      </c>
    </row>
    <row r="394" spans="1:15" x14ac:dyDescent="0.3">
      <c r="A394" s="6" t="s">
        <v>406</v>
      </c>
      <c r="B394" s="2">
        <v>45350</v>
      </c>
      <c r="C394" s="6" t="s">
        <v>1606</v>
      </c>
      <c r="D394" s="6" t="s">
        <v>2404</v>
      </c>
      <c r="E394" s="9">
        <v>1</v>
      </c>
      <c r="F394" s="4">
        <v>627.20000000000005</v>
      </c>
      <c r="G394" t="s">
        <v>2713</v>
      </c>
      <c r="H394" s="6" t="s">
        <v>3066</v>
      </c>
      <c r="I394" s="6" t="s">
        <v>3073</v>
      </c>
      <c r="J394" s="6" t="s">
        <v>3467</v>
      </c>
      <c r="K394" s="9">
        <v>1</v>
      </c>
      <c r="L394" s="6" t="s">
        <v>4277</v>
      </c>
      <c r="M394" s="6" t="s">
        <v>4280</v>
      </c>
      <c r="N394" s="4">
        <v>627.20000000000005</v>
      </c>
      <c r="O394" s="6">
        <f t="shared" si="6"/>
        <v>803</v>
      </c>
    </row>
    <row r="395" spans="1:15" x14ac:dyDescent="0.3">
      <c r="A395" s="6" t="s">
        <v>407</v>
      </c>
      <c r="B395" s="2">
        <v>45487</v>
      </c>
      <c r="C395" s="6" t="s">
        <v>1607</v>
      </c>
      <c r="D395" s="6" t="s">
        <v>2407</v>
      </c>
      <c r="E395" s="9">
        <v>1</v>
      </c>
      <c r="F395" s="4">
        <v>75.010000000000005</v>
      </c>
      <c r="G395" t="s">
        <v>2728</v>
      </c>
      <c r="H395" s="6" t="s">
        <v>3067</v>
      </c>
      <c r="I395" s="6" t="s">
        <v>3072</v>
      </c>
      <c r="J395" s="6" t="s">
        <v>3468</v>
      </c>
      <c r="K395" s="9">
        <v>3</v>
      </c>
      <c r="L395" s="6" t="s">
        <v>4283</v>
      </c>
      <c r="M395" s="6" t="s">
        <v>4282</v>
      </c>
      <c r="N395" s="4">
        <v>75.010000000000005</v>
      </c>
      <c r="O395" s="6">
        <f t="shared" si="6"/>
        <v>802</v>
      </c>
    </row>
    <row r="396" spans="1:15" x14ac:dyDescent="0.3">
      <c r="A396" s="6" t="s">
        <v>408</v>
      </c>
      <c r="B396" s="2">
        <v>45112</v>
      </c>
      <c r="C396" s="6" t="s">
        <v>1608</v>
      </c>
      <c r="D396" s="6" t="s">
        <v>2409</v>
      </c>
      <c r="E396" s="9">
        <v>5</v>
      </c>
      <c r="F396" s="4">
        <v>529.54999999999995</v>
      </c>
      <c r="G396" t="s">
        <v>2729</v>
      </c>
      <c r="H396" s="6" t="s">
        <v>3068</v>
      </c>
      <c r="I396" s="6" t="s">
        <v>3070</v>
      </c>
      <c r="J396" s="6" t="s">
        <v>3469</v>
      </c>
      <c r="K396" s="9">
        <v>10</v>
      </c>
      <c r="L396" s="6" t="s">
        <v>4283</v>
      </c>
      <c r="M396" s="6" t="s">
        <v>4281</v>
      </c>
      <c r="N396" s="4">
        <v>2647.75</v>
      </c>
      <c r="O396" s="6">
        <f t="shared" si="6"/>
        <v>801</v>
      </c>
    </row>
    <row r="397" spans="1:15" x14ac:dyDescent="0.3">
      <c r="A397" s="6" t="s">
        <v>409</v>
      </c>
      <c r="B397" s="2">
        <v>45772</v>
      </c>
      <c r="C397" s="6" t="s">
        <v>1609</v>
      </c>
      <c r="D397" s="6" t="s">
        <v>2404</v>
      </c>
      <c r="E397" s="9">
        <v>3</v>
      </c>
      <c r="F397" s="4">
        <v>127.41</v>
      </c>
      <c r="G397" t="s">
        <v>2442</v>
      </c>
      <c r="H397" s="6" t="s">
        <v>3068</v>
      </c>
      <c r="I397" s="6" t="s">
        <v>3073</v>
      </c>
      <c r="J397" s="6" t="s">
        <v>3470</v>
      </c>
      <c r="K397" s="9">
        <v>7</v>
      </c>
      <c r="L397" s="6" t="s">
        <v>4275</v>
      </c>
      <c r="M397" s="6" t="s">
        <v>4279</v>
      </c>
      <c r="N397" s="4">
        <v>382.23</v>
      </c>
      <c r="O397" s="6">
        <f t="shared" si="6"/>
        <v>800</v>
      </c>
    </row>
    <row r="398" spans="1:15" x14ac:dyDescent="0.3">
      <c r="A398" s="6" t="s">
        <v>410</v>
      </c>
      <c r="B398" s="2">
        <v>45261</v>
      </c>
      <c r="C398" s="6" t="s">
        <v>1610</v>
      </c>
      <c r="D398" s="6" t="s">
        <v>2405</v>
      </c>
      <c r="E398" s="9">
        <v>5</v>
      </c>
      <c r="F398" s="4">
        <v>287.13</v>
      </c>
      <c r="G398" t="s">
        <v>2730</v>
      </c>
      <c r="H398" s="6" t="s">
        <v>3066</v>
      </c>
      <c r="I398" s="6" t="s">
        <v>3070</v>
      </c>
      <c r="J398" s="6" t="s">
        <v>3471</v>
      </c>
      <c r="K398" s="9">
        <v>10</v>
      </c>
      <c r="L398" s="6" t="s">
        <v>4275</v>
      </c>
      <c r="M398" s="6" t="s">
        <v>4280</v>
      </c>
      <c r="N398" s="4">
        <v>1435.65</v>
      </c>
      <c r="O398" s="6">
        <f t="shared" si="6"/>
        <v>799</v>
      </c>
    </row>
    <row r="399" spans="1:15" x14ac:dyDescent="0.3">
      <c r="A399" s="6" t="s">
        <v>411</v>
      </c>
      <c r="B399" s="2">
        <v>45197</v>
      </c>
      <c r="C399" s="6" t="s">
        <v>1611</v>
      </c>
      <c r="D399" s="6" t="s">
        <v>2403</v>
      </c>
      <c r="E399" s="9">
        <v>1</v>
      </c>
      <c r="F399" s="4">
        <v>427.06</v>
      </c>
      <c r="G399" t="s">
        <v>2731</v>
      </c>
      <c r="H399" s="6" t="s">
        <v>3066</v>
      </c>
      <c r="I399" s="6" t="s">
        <v>3071</v>
      </c>
      <c r="J399" s="6" t="s">
        <v>3472</v>
      </c>
      <c r="K399" s="9">
        <v>1</v>
      </c>
      <c r="L399" s="6" t="s">
        <v>4277</v>
      </c>
      <c r="M399" s="6" t="s">
        <v>4279</v>
      </c>
      <c r="N399" s="4">
        <v>427.06</v>
      </c>
      <c r="O399" s="6">
        <f t="shared" si="6"/>
        <v>798</v>
      </c>
    </row>
    <row r="400" spans="1:15" x14ac:dyDescent="0.3">
      <c r="A400" s="6" t="s">
        <v>412</v>
      </c>
      <c r="B400" s="2">
        <v>45539</v>
      </c>
      <c r="C400" s="6" t="s">
        <v>1612</v>
      </c>
      <c r="D400" s="6" t="s">
        <v>2404</v>
      </c>
      <c r="E400" s="9">
        <v>5</v>
      </c>
      <c r="F400" s="4">
        <v>53.93</v>
      </c>
      <c r="G400" t="s">
        <v>2592</v>
      </c>
      <c r="H400" s="6" t="s">
        <v>3068</v>
      </c>
      <c r="I400" s="6" t="s">
        <v>3070</v>
      </c>
      <c r="J400" s="6" t="s">
        <v>3473</v>
      </c>
      <c r="K400" s="9">
        <v>7</v>
      </c>
      <c r="L400" s="6" t="s">
        <v>4275</v>
      </c>
      <c r="M400" s="6" t="s">
        <v>4278</v>
      </c>
      <c r="N400" s="4">
        <v>269.64999999999998</v>
      </c>
      <c r="O400" s="6">
        <f t="shared" si="6"/>
        <v>797</v>
      </c>
    </row>
    <row r="401" spans="1:15" x14ac:dyDescent="0.3">
      <c r="A401" s="6" t="s">
        <v>413</v>
      </c>
      <c r="B401" s="2">
        <v>45298</v>
      </c>
      <c r="C401" s="6" t="s">
        <v>1613</v>
      </c>
      <c r="D401" s="6" t="s">
        <v>2405</v>
      </c>
      <c r="E401" s="9">
        <v>5</v>
      </c>
      <c r="F401" s="4">
        <v>423.93</v>
      </c>
      <c r="G401" t="s">
        <v>2732</v>
      </c>
      <c r="H401" s="6" t="s">
        <v>3065</v>
      </c>
      <c r="I401" s="6" t="s">
        <v>3072</v>
      </c>
      <c r="J401" s="6" t="s">
        <v>3474</v>
      </c>
      <c r="K401" s="9">
        <v>5</v>
      </c>
      <c r="L401" s="6" t="s">
        <v>4276</v>
      </c>
      <c r="M401" s="6" t="s">
        <v>4281</v>
      </c>
      <c r="N401" s="4">
        <v>2119.65</v>
      </c>
      <c r="O401" s="6">
        <f t="shared" si="6"/>
        <v>796</v>
      </c>
    </row>
    <row r="402" spans="1:15" x14ac:dyDescent="0.3">
      <c r="A402" s="6" t="s">
        <v>414</v>
      </c>
      <c r="B402" s="2">
        <v>45563</v>
      </c>
      <c r="C402" s="6" t="s">
        <v>1614</v>
      </c>
      <c r="D402" s="6" t="s">
        <v>2409</v>
      </c>
      <c r="E402" s="9">
        <v>4</v>
      </c>
      <c r="F402" s="4">
        <v>160.22</v>
      </c>
      <c r="G402" t="s">
        <v>2733</v>
      </c>
      <c r="H402" s="6" t="s">
        <v>3065</v>
      </c>
      <c r="I402" s="6" t="s">
        <v>3072</v>
      </c>
      <c r="J402" s="6" t="s">
        <v>3475</v>
      </c>
      <c r="K402" s="9">
        <v>9</v>
      </c>
      <c r="L402" s="6" t="s">
        <v>4277</v>
      </c>
      <c r="M402" s="6" t="s">
        <v>4278</v>
      </c>
      <c r="N402" s="4">
        <v>640.88</v>
      </c>
      <c r="O402" s="6">
        <f t="shared" si="6"/>
        <v>795</v>
      </c>
    </row>
    <row r="403" spans="1:15" x14ac:dyDescent="0.3">
      <c r="A403" s="6" t="s">
        <v>415</v>
      </c>
      <c r="B403" s="2">
        <v>45756</v>
      </c>
      <c r="C403" s="6" t="s">
        <v>1615</v>
      </c>
      <c r="D403" s="6" t="s">
        <v>2407</v>
      </c>
      <c r="E403" s="9">
        <v>1</v>
      </c>
      <c r="F403" s="4">
        <v>538.67999999999995</v>
      </c>
      <c r="G403" t="s">
        <v>2713</v>
      </c>
      <c r="H403" s="6" t="s">
        <v>3065</v>
      </c>
      <c r="I403" s="6" t="s">
        <v>3072</v>
      </c>
      <c r="J403" s="6" t="s">
        <v>3476</v>
      </c>
      <c r="K403" s="9">
        <v>6</v>
      </c>
      <c r="L403" s="6" t="s">
        <v>4283</v>
      </c>
      <c r="M403" s="6" t="s">
        <v>4279</v>
      </c>
      <c r="N403" s="4">
        <v>538.67999999999995</v>
      </c>
      <c r="O403" s="6">
        <f t="shared" si="6"/>
        <v>794</v>
      </c>
    </row>
    <row r="404" spans="1:15" x14ac:dyDescent="0.3">
      <c r="A404" s="6" t="s">
        <v>416</v>
      </c>
      <c r="B404" s="2">
        <v>45025</v>
      </c>
      <c r="C404" s="6" t="s">
        <v>1616</v>
      </c>
      <c r="D404" s="6" t="s">
        <v>2407</v>
      </c>
      <c r="E404" s="9">
        <v>5</v>
      </c>
      <c r="F404" s="4">
        <v>337.38</v>
      </c>
      <c r="G404" t="s">
        <v>2734</v>
      </c>
      <c r="H404" s="6" t="s">
        <v>3068</v>
      </c>
      <c r="I404" s="6" t="s">
        <v>3070</v>
      </c>
      <c r="J404" s="6" t="s">
        <v>3477</v>
      </c>
      <c r="K404" s="9">
        <v>5</v>
      </c>
      <c r="L404" s="6" t="s">
        <v>4283</v>
      </c>
      <c r="M404" s="6" t="s">
        <v>4279</v>
      </c>
      <c r="N404" s="4">
        <v>1686.9</v>
      </c>
      <c r="O404" s="6">
        <f t="shared" si="6"/>
        <v>793</v>
      </c>
    </row>
    <row r="405" spans="1:15" x14ac:dyDescent="0.3">
      <c r="A405" s="6" t="s">
        <v>417</v>
      </c>
      <c r="B405" s="2">
        <v>45606</v>
      </c>
      <c r="C405" s="6" t="s">
        <v>1617</v>
      </c>
      <c r="D405" s="6" t="s">
        <v>2405</v>
      </c>
      <c r="E405" s="9">
        <v>1</v>
      </c>
      <c r="F405" s="4">
        <v>620.21</v>
      </c>
      <c r="G405" t="s">
        <v>2650</v>
      </c>
      <c r="H405" s="6" t="s">
        <v>3066</v>
      </c>
      <c r="I405" s="6" t="s">
        <v>3072</v>
      </c>
      <c r="J405" s="6" t="s">
        <v>3478</v>
      </c>
      <c r="K405" s="9">
        <v>1</v>
      </c>
      <c r="L405" s="6" t="s">
        <v>4276</v>
      </c>
      <c r="M405" s="6" t="s">
        <v>4279</v>
      </c>
      <c r="N405" s="4">
        <v>620.21</v>
      </c>
      <c r="O405" s="6">
        <f t="shared" si="6"/>
        <v>792</v>
      </c>
    </row>
    <row r="406" spans="1:15" x14ac:dyDescent="0.3">
      <c r="A406" s="6" t="s">
        <v>418</v>
      </c>
      <c r="B406" s="2">
        <v>44994</v>
      </c>
      <c r="C406" s="6" t="s">
        <v>1618</v>
      </c>
      <c r="D406" s="6" t="s">
        <v>2403</v>
      </c>
      <c r="E406" s="9">
        <v>2</v>
      </c>
      <c r="F406" s="4">
        <v>99.1</v>
      </c>
      <c r="G406" t="s">
        <v>2473</v>
      </c>
      <c r="H406" s="6" t="s">
        <v>3069</v>
      </c>
      <c r="I406" s="6" t="s">
        <v>3073</v>
      </c>
      <c r="J406" s="6" t="s">
        <v>3479</v>
      </c>
      <c r="K406" s="9">
        <v>6</v>
      </c>
      <c r="L406" s="6" t="s">
        <v>4283</v>
      </c>
      <c r="M406" s="6" t="s">
        <v>4278</v>
      </c>
      <c r="N406" s="4">
        <v>198.2</v>
      </c>
      <c r="O406" s="6">
        <f t="shared" si="6"/>
        <v>791</v>
      </c>
    </row>
    <row r="407" spans="1:15" x14ac:dyDescent="0.3">
      <c r="A407" s="6" t="s">
        <v>419</v>
      </c>
      <c r="B407" s="2">
        <v>45683</v>
      </c>
      <c r="C407" s="6" t="s">
        <v>1619</v>
      </c>
      <c r="D407" s="6" t="s">
        <v>2403</v>
      </c>
      <c r="E407" s="9">
        <v>4</v>
      </c>
      <c r="F407" s="4">
        <v>451.97</v>
      </c>
      <c r="G407" t="s">
        <v>2715</v>
      </c>
      <c r="H407" s="6" t="s">
        <v>3066</v>
      </c>
      <c r="I407" s="6" t="s">
        <v>3071</v>
      </c>
      <c r="J407" s="6" t="s">
        <v>3480</v>
      </c>
      <c r="K407" s="9">
        <v>7</v>
      </c>
      <c r="L407" s="6" t="s">
        <v>4277</v>
      </c>
      <c r="M407" s="6" t="s">
        <v>4280</v>
      </c>
      <c r="N407" s="4">
        <v>1807.88</v>
      </c>
      <c r="O407" s="6">
        <f t="shared" si="6"/>
        <v>790</v>
      </c>
    </row>
    <row r="408" spans="1:15" x14ac:dyDescent="0.3">
      <c r="A408" s="6" t="s">
        <v>420</v>
      </c>
      <c r="B408" s="2">
        <v>45270</v>
      </c>
      <c r="C408" s="6" t="s">
        <v>1620</v>
      </c>
      <c r="D408" s="6" t="s">
        <v>2405</v>
      </c>
      <c r="E408" s="9">
        <v>4</v>
      </c>
      <c r="F408" s="4">
        <v>66.099999999999994</v>
      </c>
      <c r="G408" t="s">
        <v>2577</v>
      </c>
      <c r="H408" s="6" t="s">
        <v>3069</v>
      </c>
      <c r="I408" s="6" t="s">
        <v>3072</v>
      </c>
      <c r="J408" s="6" t="s">
        <v>3481</v>
      </c>
      <c r="K408" s="9">
        <v>9</v>
      </c>
      <c r="L408" s="6" t="s">
        <v>4277</v>
      </c>
      <c r="M408" s="6" t="s">
        <v>4282</v>
      </c>
      <c r="N408" s="4">
        <v>264.39999999999998</v>
      </c>
      <c r="O408" s="6">
        <f t="shared" si="6"/>
        <v>789</v>
      </c>
    </row>
    <row r="409" spans="1:15" x14ac:dyDescent="0.3">
      <c r="A409" s="6" t="s">
        <v>421</v>
      </c>
      <c r="B409" s="2">
        <v>45151</v>
      </c>
      <c r="C409" s="6" t="s">
        <v>1621</v>
      </c>
      <c r="D409" s="6" t="s">
        <v>2405</v>
      </c>
      <c r="E409" s="9">
        <v>4</v>
      </c>
      <c r="F409" s="4">
        <v>547.32000000000005</v>
      </c>
      <c r="G409" t="s">
        <v>2634</v>
      </c>
      <c r="H409" s="6" t="s">
        <v>3069</v>
      </c>
      <c r="I409" s="6" t="s">
        <v>3072</v>
      </c>
      <c r="J409" s="6" t="s">
        <v>3482</v>
      </c>
      <c r="K409" s="9">
        <v>8</v>
      </c>
      <c r="L409" s="6" t="s">
        <v>4276</v>
      </c>
      <c r="M409" s="6" t="s">
        <v>4278</v>
      </c>
      <c r="N409" s="4">
        <v>2189.2800000000002</v>
      </c>
      <c r="O409" s="6">
        <f t="shared" si="6"/>
        <v>788</v>
      </c>
    </row>
    <row r="410" spans="1:15" x14ac:dyDescent="0.3">
      <c r="A410" s="6" t="s">
        <v>422</v>
      </c>
      <c r="B410" s="2">
        <v>45658</v>
      </c>
      <c r="C410" s="6" t="s">
        <v>1622</v>
      </c>
      <c r="D410" s="6" t="s">
        <v>2407</v>
      </c>
      <c r="E410" s="9">
        <v>3</v>
      </c>
      <c r="F410" s="4">
        <v>412.53</v>
      </c>
      <c r="G410" t="s">
        <v>2735</v>
      </c>
      <c r="H410" s="6" t="s">
        <v>3066</v>
      </c>
      <c r="I410" s="6" t="s">
        <v>3074</v>
      </c>
      <c r="J410" s="6" t="s">
        <v>3483</v>
      </c>
      <c r="K410" s="9">
        <v>6</v>
      </c>
      <c r="L410" s="6" t="s">
        <v>4277</v>
      </c>
      <c r="M410" s="6" t="s">
        <v>4282</v>
      </c>
      <c r="N410" s="4">
        <v>1237.5899999999999</v>
      </c>
      <c r="O410" s="6">
        <f t="shared" si="6"/>
        <v>787</v>
      </c>
    </row>
    <row r="411" spans="1:15" x14ac:dyDescent="0.3">
      <c r="A411" s="6" t="s">
        <v>423</v>
      </c>
      <c r="B411" s="2">
        <v>45105</v>
      </c>
      <c r="C411" s="6" t="s">
        <v>1623</v>
      </c>
      <c r="D411" s="6" t="s">
        <v>2409</v>
      </c>
      <c r="E411" s="9">
        <v>5</v>
      </c>
      <c r="F411" s="4">
        <v>84.13</v>
      </c>
      <c r="G411" t="s">
        <v>2736</v>
      </c>
      <c r="H411" s="6" t="s">
        <v>3066</v>
      </c>
      <c r="I411" s="6" t="s">
        <v>3073</v>
      </c>
      <c r="J411" s="6" t="s">
        <v>3484</v>
      </c>
      <c r="K411" s="9">
        <v>9</v>
      </c>
      <c r="L411" s="6" t="s">
        <v>4275</v>
      </c>
      <c r="M411" s="6" t="s">
        <v>4282</v>
      </c>
      <c r="N411" s="4">
        <v>420.65</v>
      </c>
      <c r="O411" s="6">
        <f t="shared" si="6"/>
        <v>786</v>
      </c>
    </row>
    <row r="412" spans="1:15" x14ac:dyDescent="0.3">
      <c r="A412" s="6" t="s">
        <v>424</v>
      </c>
      <c r="B412" s="2">
        <v>45309</v>
      </c>
      <c r="C412" s="6" t="s">
        <v>1624</v>
      </c>
      <c r="D412" s="6" t="s">
        <v>2405</v>
      </c>
      <c r="E412" s="9">
        <v>2</v>
      </c>
      <c r="F412" s="4">
        <v>518.23</v>
      </c>
      <c r="G412" t="s">
        <v>2737</v>
      </c>
      <c r="H412" s="6" t="s">
        <v>3065</v>
      </c>
      <c r="I412" s="6" t="s">
        <v>3070</v>
      </c>
      <c r="J412" s="6" t="s">
        <v>3485</v>
      </c>
      <c r="K412" s="9">
        <v>5</v>
      </c>
      <c r="L412" s="6" t="s">
        <v>4283</v>
      </c>
      <c r="M412" s="6" t="s">
        <v>4280</v>
      </c>
      <c r="N412" s="4">
        <v>1036.46</v>
      </c>
      <c r="O412" s="6">
        <f t="shared" si="6"/>
        <v>785</v>
      </c>
    </row>
    <row r="413" spans="1:15" x14ac:dyDescent="0.3">
      <c r="A413" s="6" t="s">
        <v>425</v>
      </c>
      <c r="B413" s="2">
        <v>45462</v>
      </c>
      <c r="C413" s="6" t="s">
        <v>1625</v>
      </c>
      <c r="D413" s="6" t="s">
        <v>2409</v>
      </c>
      <c r="E413" s="9">
        <v>2</v>
      </c>
      <c r="F413" s="4">
        <v>39.51</v>
      </c>
      <c r="G413" t="s">
        <v>2549</v>
      </c>
      <c r="H413" s="6" t="s">
        <v>3066</v>
      </c>
      <c r="I413" s="6" t="s">
        <v>3070</v>
      </c>
      <c r="J413" s="6" t="s">
        <v>3486</v>
      </c>
      <c r="K413" s="9">
        <v>5</v>
      </c>
      <c r="L413" s="6" t="s">
        <v>4283</v>
      </c>
      <c r="M413" s="6" t="s">
        <v>4281</v>
      </c>
      <c r="N413" s="4">
        <v>79.02</v>
      </c>
      <c r="O413" s="6">
        <f t="shared" si="6"/>
        <v>784</v>
      </c>
    </row>
    <row r="414" spans="1:15" x14ac:dyDescent="0.3">
      <c r="A414" s="6" t="s">
        <v>426</v>
      </c>
      <c r="B414" s="2">
        <v>45758</v>
      </c>
      <c r="C414" s="6" t="s">
        <v>1626</v>
      </c>
      <c r="D414" s="6" t="s">
        <v>2405</v>
      </c>
      <c r="E414" s="9">
        <v>5</v>
      </c>
      <c r="F414" s="4">
        <v>133.01</v>
      </c>
      <c r="G414" t="s">
        <v>2738</v>
      </c>
      <c r="H414" s="6" t="s">
        <v>3067</v>
      </c>
      <c r="I414" s="6" t="s">
        <v>3072</v>
      </c>
      <c r="J414" s="6" t="s">
        <v>3487</v>
      </c>
      <c r="K414" s="9">
        <v>10</v>
      </c>
      <c r="L414" s="6" t="s">
        <v>4283</v>
      </c>
      <c r="M414" s="6" t="s">
        <v>4281</v>
      </c>
      <c r="N414" s="4">
        <v>665.05</v>
      </c>
      <c r="O414" s="6">
        <f t="shared" si="6"/>
        <v>783</v>
      </c>
    </row>
    <row r="415" spans="1:15" x14ac:dyDescent="0.3">
      <c r="A415" s="6" t="s">
        <v>427</v>
      </c>
      <c r="B415" s="2">
        <v>45207</v>
      </c>
      <c r="C415" s="6" t="s">
        <v>1627</v>
      </c>
      <c r="D415" s="6" t="s">
        <v>2405</v>
      </c>
      <c r="E415" s="9">
        <v>1</v>
      </c>
      <c r="F415" s="4">
        <v>118.8</v>
      </c>
      <c r="G415" t="s">
        <v>2739</v>
      </c>
      <c r="H415" s="6" t="s">
        <v>3066</v>
      </c>
      <c r="I415" s="6" t="s">
        <v>3073</v>
      </c>
      <c r="J415" s="6" t="s">
        <v>3488</v>
      </c>
      <c r="K415" s="9">
        <v>6</v>
      </c>
      <c r="L415" s="6" t="s">
        <v>4275</v>
      </c>
      <c r="M415" s="6" t="s">
        <v>4280</v>
      </c>
      <c r="N415" s="4">
        <v>118.8</v>
      </c>
      <c r="O415" s="6">
        <f t="shared" si="6"/>
        <v>782</v>
      </c>
    </row>
    <row r="416" spans="1:15" x14ac:dyDescent="0.3">
      <c r="A416" s="6" t="s">
        <v>428</v>
      </c>
      <c r="B416" s="2">
        <v>45781</v>
      </c>
      <c r="C416" s="6" t="s">
        <v>1628</v>
      </c>
      <c r="D416" s="6" t="s">
        <v>2409</v>
      </c>
      <c r="E416" s="9">
        <v>2</v>
      </c>
      <c r="F416" s="4">
        <v>139.57</v>
      </c>
      <c r="G416" t="s">
        <v>2740</v>
      </c>
      <c r="H416" s="6" t="s">
        <v>3069</v>
      </c>
      <c r="I416" s="6" t="s">
        <v>3073</v>
      </c>
      <c r="J416" s="6" t="s">
        <v>3489</v>
      </c>
      <c r="K416" s="9">
        <v>4</v>
      </c>
      <c r="L416" s="6" t="s">
        <v>4277</v>
      </c>
      <c r="M416" s="6" t="s">
        <v>4281</v>
      </c>
      <c r="N416" s="4">
        <v>279.14</v>
      </c>
      <c r="O416" s="6">
        <f t="shared" si="6"/>
        <v>781</v>
      </c>
    </row>
    <row r="417" spans="1:15" x14ac:dyDescent="0.3">
      <c r="A417" s="6" t="s">
        <v>429</v>
      </c>
      <c r="B417" s="2">
        <v>45753</v>
      </c>
      <c r="C417" s="6" t="s">
        <v>1629</v>
      </c>
      <c r="D417" s="6" t="s">
        <v>2406</v>
      </c>
      <c r="E417" s="9">
        <v>1</v>
      </c>
      <c r="F417" s="4">
        <v>184.15</v>
      </c>
      <c r="G417" t="s">
        <v>2639</v>
      </c>
      <c r="H417" s="6" t="s">
        <v>3068</v>
      </c>
      <c r="I417" s="6" t="s">
        <v>3070</v>
      </c>
      <c r="J417" s="6" t="s">
        <v>3490</v>
      </c>
      <c r="K417" s="9">
        <v>5</v>
      </c>
      <c r="L417" s="6" t="s">
        <v>4276</v>
      </c>
      <c r="M417" s="6" t="s">
        <v>4281</v>
      </c>
      <c r="N417" s="4">
        <v>184.15</v>
      </c>
      <c r="O417" s="6">
        <f t="shared" si="6"/>
        <v>780</v>
      </c>
    </row>
    <row r="418" spans="1:15" x14ac:dyDescent="0.3">
      <c r="A418" s="6" t="s">
        <v>430</v>
      </c>
      <c r="B418" s="2">
        <v>45125</v>
      </c>
      <c r="C418" s="6" t="s">
        <v>1630</v>
      </c>
      <c r="D418" s="6" t="s">
        <v>2408</v>
      </c>
      <c r="E418" s="9">
        <v>2</v>
      </c>
      <c r="F418" s="4">
        <v>644.04999999999995</v>
      </c>
      <c r="G418" t="s">
        <v>2741</v>
      </c>
      <c r="H418" s="6" t="s">
        <v>3068</v>
      </c>
      <c r="I418" s="6" t="s">
        <v>3071</v>
      </c>
      <c r="J418" s="6" t="s">
        <v>3491</v>
      </c>
      <c r="K418" s="9">
        <v>5</v>
      </c>
      <c r="L418" s="6" t="s">
        <v>4277</v>
      </c>
      <c r="M418" s="6" t="s">
        <v>4279</v>
      </c>
      <c r="N418" s="4">
        <v>1288.0999999999999</v>
      </c>
      <c r="O418" s="6">
        <f t="shared" si="6"/>
        <v>779</v>
      </c>
    </row>
    <row r="419" spans="1:15" x14ac:dyDescent="0.3">
      <c r="A419" s="6" t="s">
        <v>431</v>
      </c>
      <c r="B419" s="2">
        <v>45223</v>
      </c>
      <c r="C419" s="6" t="s">
        <v>1631</v>
      </c>
      <c r="D419" s="6" t="s">
        <v>2408</v>
      </c>
      <c r="E419" s="9">
        <v>5</v>
      </c>
      <c r="F419" s="4">
        <v>55.41</v>
      </c>
      <c r="G419" t="s">
        <v>2742</v>
      </c>
      <c r="H419" s="6" t="s">
        <v>3066</v>
      </c>
      <c r="I419" s="6" t="s">
        <v>3071</v>
      </c>
      <c r="J419" s="6" t="s">
        <v>3492</v>
      </c>
      <c r="K419" s="9">
        <v>5</v>
      </c>
      <c r="L419" s="6" t="s">
        <v>4283</v>
      </c>
      <c r="M419" s="6" t="s">
        <v>4282</v>
      </c>
      <c r="N419" s="4">
        <v>277.05</v>
      </c>
      <c r="O419" s="6">
        <f t="shared" si="6"/>
        <v>778</v>
      </c>
    </row>
    <row r="420" spans="1:15" x14ac:dyDescent="0.3">
      <c r="A420" s="6" t="s">
        <v>432</v>
      </c>
      <c r="B420" s="2">
        <v>44937</v>
      </c>
      <c r="C420" s="6" t="s">
        <v>1632</v>
      </c>
      <c r="D420" s="6" t="s">
        <v>2407</v>
      </c>
      <c r="E420" s="9">
        <v>1</v>
      </c>
      <c r="F420" s="4">
        <v>310.93</v>
      </c>
      <c r="G420" t="s">
        <v>2743</v>
      </c>
      <c r="H420" s="6" t="s">
        <v>3066</v>
      </c>
      <c r="I420" s="6" t="s">
        <v>3071</v>
      </c>
      <c r="J420" s="6" t="s">
        <v>3493</v>
      </c>
      <c r="K420" s="9">
        <v>3</v>
      </c>
      <c r="L420" s="6" t="s">
        <v>4283</v>
      </c>
      <c r="M420" s="6" t="s">
        <v>4281</v>
      </c>
      <c r="N420" s="4">
        <v>310.93</v>
      </c>
      <c r="O420" s="6">
        <f t="shared" si="6"/>
        <v>777</v>
      </c>
    </row>
    <row r="421" spans="1:15" x14ac:dyDescent="0.3">
      <c r="A421" s="6" t="s">
        <v>433</v>
      </c>
      <c r="B421" s="2">
        <v>45399</v>
      </c>
      <c r="C421" s="6" t="s">
        <v>1633</v>
      </c>
      <c r="D421" s="6" t="s">
        <v>2405</v>
      </c>
      <c r="E421" s="9">
        <v>2</v>
      </c>
      <c r="F421" s="4">
        <v>216.66</v>
      </c>
      <c r="G421" t="s">
        <v>2701</v>
      </c>
      <c r="H421" s="6" t="s">
        <v>3065</v>
      </c>
      <c r="I421" s="6" t="s">
        <v>3074</v>
      </c>
      <c r="J421" s="6" t="s">
        <v>3494</v>
      </c>
      <c r="K421" s="9">
        <v>6</v>
      </c>
      <c r="L421" s="6" t="s">
        <v>4276</v>
      </c>
      <c r="M421" s="6" t="s">
        <v>4278</v>
      </c>
      <c r="N421" s="4">
        <v>433.32</v>
      </c>
      <c r="O421" s="6">
        <f t="shared" si="6"/>
        <v>776</v>
      </c>
    </row>
    <row r="422" spans="1:15" x14ac:dyDescent="0.3">
      <c r="A422" s="6" t="s">
        <v>434</v>
      </c>
      <c r="B422" s="2">
        <v>45625</v>
      </c>
      <c r="C422" s="6" t="s">
        <v>1634</v>
      </c>
      <c r="D422" s="6" t="s">
        <v>2404</v>
      </c>
      <c r="E422" s="9">
        <v>1</v>
      </c>
      <c r="F422" s="4">
        <v>452.7</v>
      </c>
      <c r="G422" t="s">
        <v>2744</v>
      </c>
      <c r="H422" s="6" t="s">
        <v>3065</v>
      </c>
      <c r="I422" s="6" t="s">
        <v>3070</v>
      </c>
      <c r="J422" s="6" t="s">
        <v>3495</v>
      </c>
      <c r="K422" s="9">
        <v>5</v>
      </c>
      <c r="L422" s="6" t="s">
        <v>4276</v>
      </c>
      <c r="M422" s="6" t="s">
        <v>4278</v>
      </c>
      <c r="N422" s="4">
        <v>452.7</v>
      </c>
      <c r="O422" s="6">
        <f t="shared" si="6"/>
        <v>775</v>
      </c>
    </row>
    <row r="423" spans="1:15" x14ac:dyDescent="0.3">
      <c r="A423" s="6" t="s">
        <v>435</v>
      </c>
      <c r="B423" s="2">
        <v>45214</v>
      </c>
      <c r="C423" s="6" t="s">
        <v>1635</v>
      </c>
      <c r="D423" s="6" t="s">
        <v>2406</v>
      </c>
      <c r="E423" s="9">
        <v>2</v>
      </c>
      <c r="F423" s="4">
        <v>288.20999999999998</v>
      </c>
      <c r="G423" t="s">
        <v>2745</v>
      </c>
      <c r="H423" s="6" t="s">
        <v>3065</v>
      </c>
      <c r="I423" s="6" t="s">
        <v>3071</v>
      </c>
      <c r="J423" s="6" t="s">
        <v>3496</v>
      </c>
      <c r="K423" s="9">
        <v>5</v>
      </c>
      <c r="L423" s="6" t="s">
        <v>4283</v>
      </c>
      <c r="M423" s="6" t="s">
        <v>4280</v>
      </c>
      <c r="N423" s="4">
        <v>576.41999999999996</v>
      </c>
      <c r="O423" s="6">
        <f t="shared" si="6"/>
        <v>774</v>
      </c>
    </row>
    <row r="424" spans="1:15" x14ac:dyDescent="0.3">
      <c r="A424" s="6" t="s">
        <v>436</v>
      </c>
      <c r="B424" s="2">
        <v>45082</v>
      </c>
      <c r="C424" s="6" t="s">
        <v>1636</v>
      </c>
      <c r="D424" s="6" t="s">
        <v>2404</v>
      </c>
      <c r="E424" s="9">
        <v>4</v>
      </c>
      <c r="F424" s="4">
        <v>206.6</v>
      </c>
      <c r="G424" t="s">
        <v>2426</v>
      </c>
      <c r="H424" s="6" t="s">
        <v>3068</v>
      </c>
      <c r="I424" s="6" t="s">
        <v>3072</v>
      </c>
      <c r="J424" s="6" t="s">
        <v>3497</v>
      </c>
      <c r="K424" s="9">
        <v>6</v>
      </c>
      <c r="L424" s="6" t="s">
        <v>4277</v>
      </c>
      <c r="M424" s="6" t="s">
        <v>4279</v>
      </c>
      <c r="N424" s="4">
        <v>826.4</v>
      </c>
      <c r="O424" s="6">
        <f t="shared" si="6"/>
        <v>773</v>
      </c>
    </row>
    <row r="425" spans="1:15" x14ac:dyDescent="0.3">
      <c r="A425" s="6" t="s">
        <v>437</v>
      </c>
      <c r="B425" s="2">
        <v>45493</v>
      </c>
      <c r="C425" s="6" t="s">
        <v>1637</v>
      </c>
      <c r="D425" s="6" t="s">
        <v>2407</v>
      </c>
      <c r="E425" s="9">
        <v>4</v>
      </c>
      <c r="F425" s="4">
        <v>685.2</v>
      </c>
      <c r="G425" t="s">
        <v>2651</v>
      </c>
      <c r="H425" s="6" t="s">
        <v>3068</v>
      </c>
      <c r="I425" s="6" t="s">
        <v>3071</v>
      </c>
      <c r="J425" s="6" t="s">
        <v>3498</v>
      </c>
      <c r="K425" s="9">
        <v>6</v>
      </c>
      <c r="L425" s="6" t="s">
        <v>4277</v>
      </c>
      <c r="M425" s="6" t="s">
        <v>4282</v>
      </c>
      <c r="N425" s="4">
        <v>2740.8</v>
      </c>
      <c r="O425" s="6">
        <f t="shared" si="6"/>
        <v>772</v>
      </c>
    </row>
    <row r="426" spans="1:15" x14ac:dyDescent="0.3">
      <c r="A426" s="6" t="s">
        <v>438</v>
      </c>
      <c r="B426" s="2">
        <v>45028</v>
      </c>
      <c r="C426" s="6" t="s">
        <v>1638</v>
      </c>
      <c r="D426" s="6" t="s">
        <v>2406</v>
      </c>
      <c r="E426" s="9">
        <v>5</v>
      </c>
      <c r="F426" s="4">
        <v>22.94</v>
      </c>
      <c r="G426" t="s">
        <v>2678</v>
      </c>
      <c r="H426" s="6" t="s">
        <v>3069</v>
      </c>
      <c r="I426" s="6" t="s">
        <v>3074</v>
      </c>
      <c r="J426" s="6" t="s">
        <v>3499</v>
      </c>
      <c r="K426" s="9">
        <v>10</v>
      </c>
      <c r="L426" s="6" t="s">
        <v>4283</v>
      </c>
      <c r="M426" s="6" t="s">
        <v>4280</v>
      </c>
      <c r="N426" s="4">
        <v>114.7</v>
      </c>
      <c r="O426" s="6">
        <f t="shared" si="6"/>
        <v>771</v>
      </c>
    </row>
    <row r="427" spans="1:15" x14ac:dyDescent="0.3">
      <c r="A427" s="6" t="s">
        <v>439</v>
      </c>
      <c r="B427" s="2">
        <v>44994</v>
      </c>
      <c r="C427" s="6" t="s">
        <v>1639</v>
      </c>
      <c r="D427" s="6" t="s">
        <v>2408</v>
      </c>
      <c r="E427" s="9">
        <v>2</v>
      </c>
      <c r="F427" s="4">
        <v>301.88</v>
      </c>
      <c r="G427" t="s">
        <v>2746</v>
      </c>
      <c r="H427" s="6" t="s">
        <v>3068</v>
      </c>
      <c r="I427" s="6" t="s">
        <v>3072</v>
      </c>
      <c r="J427" s="6" t="s">
        <v>3500</v>
      </c>
      <c r="K427" s="9">
        <v>5</v>
      </c>
      <c r="L427" s="6" t="s">
        <v>4277</v>
      </c>
      <c r="M427" s="6" t="s">
        <v>4280</v>
      </c>
      <c r="N427" s="4">
        <v>603.76</v>
      </c>
      <c r="O427" s="6">
        <f t="shared" si="6"/>
        <v>770</v>
      </c>
    </row>
    <row r="428" spans="1:15" x14ac:dyDescent="0.3">
      <c r="A428" s="6" t="s">
        <v>440</v>
      </c>
      <c r="B428" s="2">
        <v>45732</v>
      </c>
      <c r="C428" s="6" t="s">
        <v>1640</v>
      </c>
      <c r="D428" s="6" t="s">
        <v>2403</v>
      </c>
      <c r="E428" s="9">
        <v>5</v>
      </c>
      <c r="F428" s="4">
        <v>57.45</v>
      </c>
      <c r="G428" t="s">
        <v>2747</v>
      </c>
      <c r="H428" s="6" t="s">
        <v>3069</v>
      </c>
      <c r="I428" s="6" t="s">
        <v>3071</v>
      </c>
      <c r="J428" s="6" t="s">
        <v>3501</v>
      </c>
      <c r="K428" s="9">
        <v>10</v>
      </c>
      <c r="L428" s="6" t="s">
        <v>4283</v>
      </c>
      <c r="M428" s="6" t="s">
        <v>4281</v>
      </c>
      <c r="N428" s="4">
        <v>287.25</v>
      </c>
      <c r="O428" s="6">
        <f t="shared" si="6"/>
        <v>769</v>
      </c>
    </row>
    <row r="429" spans="1:15" x14ac:dyDescent="0.3">
      <c r="A429" s="6" t="s">
        <v>441</v>
      </c>
      <c r="B429" s="2">
        <v>45644</v>
      </c>
      <c r="C429" s="6" t="s">
        <v>1641</v>
      </c>
      <c r="D429" s="6" t="s">
        <v>2409</v>
      </c>
      <c r="E429" s="9">
        <v>1</v>
      </c>
      <c r="F429" s="4">
        <v>161.24</v>
      </c>
      <c r="G429" t="s">
        <v>2748</v>
      </c>
      <c r="H429" s="6" t="s">
        <v>3067</v>
      </c>
      <c r="I429" s="6" t="s">
        <v>3074</v>
      </c>
      <c r="J429" s="6" t="s">
        <v>3502</v>
      </c>
      <c r="K429" s="9">
        <v>3</v>
      </c>
      <c r="L429" s="6" t="s">
        <v>4277</v>
      </c>
      <c r="M429" s="6" t="s">
        <v>4278</v>
      </c>
      <c r="N429" s="4">
        <v>161.24</v>
      </c>
      <c r="O429" s="6">
        <f t="shared" si="6"/>
        <v>768</v>
      </c>
    </row>
    <row r="430" spans="1:15" x14ac:dyDescent="0.3">
      <c r="A430" s="6" t="s">
        <v>442</v>
      </c>
      <c r="B430" s="2">
        <v>45622</v>
      </c>
      <c r="C430" s="6" t="s">
        <v>1642</v>
      </c>
      <c r="D430" s="6" t="s">
        <v>2406</v>
      </c>
      <c r="E430" s="9">
        <v>4</v>
      </c>
      <c r="F430" s="4">
        <v>262.58</v>
      </c>
      <c r="G430" t="s">
        <v>2440</v>
      </c>
      <c r="H430" s="6" t="s">
        <v>3066</v>
      </c>
      <c r="I430" s="6" t="s">
        <v>3071</v>
      </c>
      <c r="J430" s="6" t="s">
        <v>3503</v>
      </c>
      <c r="K430" s="9">
        <v>8</v>
      </c>
      <c r="L430" s="6" t="s">
        <v>4277</v>
      </c>
      <c r="M430" s="6" t="s">
        <v>4280</v>
      </c>
      <c r="N430" s="4">
        <v>1050.32</v>
      </c>
      <c r="O430" s="6">
        <f t="shared" si="6"/>
        <v>767</v>
      </c>
    </row>
    <row r="431" spans="1:15" x14ac:dyDescent="0.3">
      <c r="A431" s="6" t="s">
        <v>443</v>
      </c>
      <c r="B431" s="2">
        <v>45645</v>
      </c>
      <c r="C431" s="6" t="s">
        <v>1643</v>
      </c>
      <c r="D431" s="6" t="s">
        <v>2407</v>
      </c>
      <c r="E431" s="9">
        <v>4</v>
      </c>
      <c r="F431" s="4">
        <v>515.19000000000005</v>
      </c>
      <c r="G431" t="s">
        <v>2511</v>
      </c>
      <c r="H431" s="6" t="s">
        <v>3067</v>
      </c>
      <c r="I431" s="6" t="s">
        <v>3074</v>
      </c>
      <c r="J431" s="6" t="s">
        <v>3504</v>
      </c>
      <c r="K431" s="9">
        <v>9</v>
      </c>
      <c r="L431" s="6" t="s">
        <v>4275</v>
      </c>
      <c r="M431" s="6" t="s">
        <v>4281</v>
      </c>
      <c r="N431" s="4">
        <v>2060.7600000000002</v>
      </c>
      <c r="O431" s="6">
        <f t="shared" si="6"/>
        <v>766</v>
      </c>
    </row>
    <row r="432" spans="1:15" x14ac:dyDescent="0.3">
      <c r="A432" s="6" t="s">
        <v>444</v>
      </c>
      <c r="B432" s="2">
        <v>45084</v>
      </c>
      <c r="C432" s="6" t="s">
        <v>1644</v>
      </c>
      <c r="D432" s="6" t="s">
        <v>2404</v>
      </c>
      <c r="E432" s="9">
        <v>1</v>
      </c>
      <c r="F432" s="4">
        <v>450.07</v>
      </c>
      <c r="G432" t="s">
        <v>2749</v>
      </c>
      <c r="H432" s="6" t="s">
        <v>3068</v>
      </c>
      <c r="I432" s="6" t="s">
        <v>3070</v>
      </c>
      <c r="J432" s="6" t="s">
        <v>3505</v>
      </c>
      <c r="K432" s="9">
        <v>6</v>
      </c>
      <c r="L432" s="6" t="s">
        <v>4276</v>
      </c>
      <c r="M432" s="6" t="s">
        <v>4282</v>
      </c>
      <c r="N432" s="4">
        <v>450.07</v>
      </c>
      <c r="O432" s="6">
        <f t="shared" si="6"/>
        <v>765</v>
      </c>
    </row>
    <row r="433" spans="1:15" x14ac:dyDescent="0.3">
      <c r="A433" s="6" t="s">
        <v>445</v>
      </c>
      <c r="B433" s="2">
        <v>45571</v>
      </c>
      <c r="C433" s="6" t="s">
        <v>1645</v>
      </c>
      <c r="D433" s="6" t="s">
        <v>2407</v>
      </c>
      <c r="E433" s="9">
        <v>1</v>
      </c>
      <c r="F433" s="4">
        <v>52.54</v>
      </c>
      <c r="G433" t="s">
        <v>2553</v>
      </c>
      <c r="H433" s="6" t="s">
        <v>3065</v>
      </c>
      <c r="I433" s="6" t="s">
        <v>3071</v>
      </c>
      <c r="J433" s="6" t="s">
        <v>3506</v>
      </c>
      <c r="K433" s="9">
        <v>6</v>
      </c>
      <c r="L433" s="6" t="s">
        <v>4277</v>
      </c>
      <c r="M433" s="6" t="s">
        <v>4281</v>
      </c>
      <c r="N433" s="4">
        <v>52.54</v>
      </c>
      <c r="O433" s="6">
        <f t="shared" si="6"/>
        <v>764</v>
      </c>
    </row>
    <row r="434" spans="1:15" x14ac:dyDescent="0.3">
      <c r="A434" s="6" t="s">
        <v>446</v>
      </c>
      <c r="B434" s="2">
        <v>45173</v>
      </c>
      <c r="C434" s="6" t="s">
        <v>1646</v>
      </c>
      <c r="D434" s="6" t="s">
        <v>2405</v>
      </c>
      <c r="E434" s="9">
        <v>2</v>
      </c>
      <c r="F434" s="4">
        <v>424.32</v>
      </c>
      <c r="G434" t="s">
        <v>2750</v>
      </c>
      <c r="H434" s="6" t="s">
        <v>3067</v>
      </c>
      <c r="I434" s="6" t="s">
        <v>3072</v>
      </c>
      <c r="J434" s="6" t="s">
        <v>3507</v>
      </c>
      <c r="K434" s="9">
        <v>6</v>
      </c>
      <c r="L434" s="6" t="s">
        <v>4283</v>
      </c>
      <c r="M434" s="6" t="s">
        <v>4279</v>
      </c>
      <c r="N434" s="4">
        <v>848.64</v>
      </c>
      <c r="O434" s="6">
        <f t="shared" si="6"/>
        <v>763</v>
      </c>
    </row>
    <row r="435" spans="1:15" x14ac:dyDescent="0.3">
      <c r="A435" s="6" t="s">
        <v>447</v>
      </c>
      <c r="B435" s="2">
        <v>45164</v>
      </c>
      <c r="C435" s="6" t="s">
        <v>1647</v>
      </c>
      <c r="D435" s="6" t="s">
        <v>2403</v>
      </c>
      <c r="E435" s="9">
        <v>3</v>
      </c>
      <c r="F435" s="4">
        <v>631.64</v>
      </c>
      <c r="G435" t="s">
        <v>2624</v>
      </c>
      <c r="H435" s="6" t="s">
        <v>3067</v>
      </c>
      <c r="I435" s="6" t="s">
        <v>3072</v>
      </c>
      <c r="J435" s="6" t="s">
        <v>3508</v>
      </c>
      <c r="K435" s="9">
        <v>3</v>
      </c>
      <c r="L435" s="6" t="s">
        <v>4276</v>
      </c>
      <c r="M435" s="6" t="s">
        <v>4281</v>
      </c>
      <c r="N435" s="4">
        <v>1894.92</v>
      </c>
      <c r="O435" s="6">
        <f t="shared" si="6"/>
        <v>762</v>
      </c>
    </row>
    <row r="436" spans="1:15" x14ac:dyDescent="0.3">
      <c r="A436" s="6" t="s">
        <v>448</v>
      </c>
      <c r="B436" s="2">
        <v>45221</v>
      </c>
      <c r="C436" s="6" t="s">
        <v>1648</v>
      </c>
      <c r="D436" s="6" t="s">
        <v>2407</v>
      </c>
      <c r="E436" s="9">
        <v>5</v>
      </c>
      <c r="F436" s="4">
        <v>327.68</v>
      </c>
      <c r="G436" t="s">
        <v>2475</v>
      </c>
      <c r="H436" s="6" t="s">
        <v>3067</v>
      </c>
      <c r="I436" s="6" t="s">
        <v>3072</v>
      </c>
      <c r="J436" s="6" t="s">
        <v>3509</v>
      </c>
      <c r="K436" s="9">
        <v>6</v>
      </c>
      <c r="L436" s="6" t="s">
        <v>4283</v>
      </c>
      <c r="M436" s="6" t="s">
        <v>4281</v>
      </c>
      <c r="N436" s="4">
        <v>1638.4</v>
      </c>
      <c r="O436" s="6">
        <f t="shared" si="6"/>
        <v>761</v>
      </c>
    </row>
    <row r="437" spans="1:15" x14ac:dyDescent="0.3">
      <c r="A437" s="6" t="s">
        <v>449</v>
      </c>
      <c r="B437" s="2">
        <v>45073</v>
      </c>
      <c r="C437" s="6" t="s">
        <v>1649</v>
      </c>
      <c r="D437" s="6" t="s">
        <v>2407</v>
      </c>
      <c r="E437" s="9">
        <v>1</v>
      </c>
      <c r="F437" s="4">
        <v>414.47</v>
      </c>
      <c r="G437" t="s">
        <v>2677</v>
      </c>
      <c r="H437" s="6" t="s">
        <v>3065</v>
      </c>
      <c r="I437" s="6" t="s">
        <v>3072</v>
      </c>
      <c r="J437" s="6" t="s">
        <v>3510</v>
      </c>
      <c r="K437" s="9">
        <v>3</v>
      </c>
      <c r="L437" s="6" t="s">
        <v>4276</v>
      </c>
      <c r="M437" s="6" t="s">
        <v>4278</v>
      </c>
      <c r="N437" s="4">
        <v>414.47</v>
      </c>
      <c r="O437" s="6">
        <f t="shared" si="6"/>
        <v>760</v>
      </c>
    </row>
    <row r="438" spans="1:15" x14ac:dyDescent="0.3">
      <c r="A438" s="6" t="s">
        <v>450</v>
      </c>
      <c r="B438" s="2">
        <v>44968</v>
      </c>
      <c r="C438" s="6" t="s">
        <v>1650</v>
      </c>
      <c r="D438" s="6" t="s">
        <v>2408</v>
      </c>
      <c r="E438" s="9">
        <v>4</v>
      </c>
      <c r="F438" s="4">
        <v>221.33</v>
      </c>
      <c r="G438" t="s">
        <v>2553</v>
      </c>
      <c r="H438" s="6" t="s">
        <v>3066</v>
      </c>
      <c r="I438" s="6" t="s">
        <v>3074</v>
      </c>
      <c r="J438" s="6" t="s">
        <v>3511</v>
      </c>
      <c r="K438" s="9">
        <v>5</v>
      </c>
      <c r="L438" s="6" t="s">
        <v>4283</v>
      </c>
      <c r="M438" s="6" t="s">
        <v>4282</v>
      </c>
      <c r="N438" s="4">
        <v>885.32</v>
      </c>
      <c r="O438" s="6">
        <f t="shared" si="6"/>
        <v>759</v>
      </c>
    </row>
    <row r="439" spans="1:15" x14ac:dyDescent="0.3">
      <c r="A439" s="6" t="s">
        <v>451</v>
      </c>
      <c r="B439" s="2">
        <v>45400</v>
      </c>
      <c r="C439" s="6" t="s">
        <v>1651</v>
      </c>
      <c r="D439" s="6" t="s">
        <v>2404</v>
      </c>
      <c r="E439" s="9">
        <v>1</v>
      </c>
      <c r="F439" s="4">
        <v>512.39</v>
      </c>
      <c r="G439" t="s">
        <v>2751</v>
      </c>
      <c r="H439" s="6" t="s">
        <v>3066</v>
      </c>
      <c r="I439" s="6" t="s">
        <v>3073</v>
      </c>
      <c r="J439" s="6" t="s">
        <v>3512</v>
      </c>
      <c r="K439" s="9">
        <v>2</v>
      </c>
      <c r="L439" s="6" t="s">
        <v>4276</v>
      </c>
      <c r="M439" s="6" t="s">
        <v>4278</v>
      </c>
      <c r="N439" s="4">
        <v>512.39</v>
      </c>
      <c r="O439" s="6">
        <f t="shared" si="6"/>
        <v>758</v>
      </c>
    </row>
    <row r="440" spans="1:15" x14ac:dyDescent="0.3">
      <c r="A440" s="6" t="s">
        <v>452</v>
      </c>
      <c r="B440" s="2">
        <v>45660</v>
      </c>
      <c r="C440" s="6" t="s">
        <v>1652</v>
      </c>
      <c r="D440" s="6" t="s">
        <v>2405</v>
      </c>
      <c r="E440" s="9">
        <v>3</v>
      </c>
      <c r="F440" s="4">
        <v>459.34</v>
      </c>
      <c r="G440" t="s">
        <v>2752</v>
      </c>
      <c r="H440" s="6" t="s">
        <v>3068</v>
      </c>
      <c r="I440" s="6" t="s">
        <v>3074</v>
      </c>
      <c r="J440" s="6" t="s">
        <v>3513</v>
      </c>
      <c r="K440" s="9">
        <v>3</v>
      </c>
      <c r="L440" s="6" t="s">
        <v>4275</v>
      </c>
      <c r="M440" s="6" t="s">
        <v>4278</v>
      </c>
      <c r="N440" s="4">
        <v>1378.02</v>
      </c>
      <c r="O440" s="6">
        <f t="shared" si="6"/>
        <v>757</v>
      </c>
    </row>
    <row r="441" spans="1:15" x14ac:dyDescent="0.3">
      <c r="A441" s="6" t="s">
        <v>453</v>
      </c>
      <c r="B441" s="2">
        <v>45543</v>
      </c>
      <c r="C441" s="6" t="s">
        <v>1653</v>
      </c>
      <c r="D441" s="6" t="s">
        <v>2405</v>
      </c>
      <c r="E441" s="9">
        <v>1</v>
      </c>
      <c r="F441" s="4">
        <v>146.32</v>
      </c>
      <c r="G441" t="s">
        <v>2753</v>
      </c>
      <c r="H441" s="6" t="s">
        <v>3066</v>
      </c>
      <c r="I441" s="6" t="s">
        <v>3070</v>
      </c>
      <c r="J441" s="6" t="s">
        <v>3514</v>
      </c>
      <c r="K441" s="9">
        <v>4</v>
      </c>
      <c r="L441" s="6" t="s">
        <v>4277</v>
      </c>
      <c r="M441" s="6" t="s">
        <v>4281</v>
      </c>
      <c r="N441" s="4">
        <v>146.32</v>
      </c>
      <c r="O441" s="6">
        <f t="shared" si="6"/>
        <v>756</v>
      </c>
    </row>
    <row r="442" spans="1:15" x14ac:dyDescent="0.3">
      <c r="A442" s="6" t="s">
        <v>454</v>
      </c>
      <c r="B442" s="2">
        <v>45601</v>
      </c>
      <c r="C442" s="6" t="s">
        <v>1654</v>
      </c>
      <c r="D442" s="6" t="s">
        <v>2409</v>
      </c>
      <c r="E442" s="9">
        <v>4</v>
      </c>
      <c r="F442" s="4">
        <v>83.6</v>
      </c>
      <c r="G442" t="s">
        <v>2674</v>
      </c>
      <c r="H442" s="6" t="s">
        <v>3065</v>
      </c>
      <c r="I442" s="6" t="s">
        <v>3074</v>
      </c>
      <c r="J442" s="6" t="s">
        <v>3515</v>
      </c>
      <c r="K442" s="9">
        <v>4</v>
      </c>
      <c r="L442" s="6" t="s">
        <v>4275</v>
      </c>
      <c r="M442" s="6" t="s">
        <v>4281</v>
      </c>
      <c r="N442" s="4">
        <v>334.4</v>
      </c>
      <c r="O442" s="6">
        <f t="shared" si="6"/>
        <v>755</v>
      </c>
    </row>
    <row r="443" spans="1:15" x14ac:dyDescent="0.3">
      <c r="A443" s="6" t="s">
        <v>455</v>
      </c>
      <c r="B443" s="2">
        <v>45273</v>
      </c>
      <c r="C443" s="6" t="s">
        <v>1655</v>
      </c>
      <c r="D443" s="6" t="s">
        <v>2407</v>
      </c>
      <c r="E443" s="9">
        <v>2</v>
      </c>
      <c r="F443" s="4">
        <v>328.54</v>
      </c>
      <c r="G443" t="s">
        <v>2754</v>
      </c>
      <c r="H443" s="6" t="s">
        <v>3068</v>
      </c>
      <c r="I443" s="6" t="s">
        <v>3072</v>
      </c>
      <c r="J443" s="6" t="s">
        <v>3516</v>
      </c>
      <c r="K443" s="9">
        <v>6</v>
      </c>
      <c r="L443" s="6" t="s">
        <v>4276</v>
      </c>
      <c r="M443" s="6" t="s">
        <v>4280</v>
      </c>
      <c r="N443" s="4">
        <v>657.08</v>
      </c>
      <c r="O443" s="6">
        <f t="shared" si="6"/>
        <v>755</v>
      </c>
    </row>
    <row r="444" spans="1:15" x14ac:dyDescent="0.3">
      <c r="A444" s="6" t="s">
        <v>456</v>
      </c>
      <c r="B444" s="2">
        <v>45418</v>
      </c>
      <c r="C444" s="6" t="s">
        <v>1656</v>
      </c>
      <c r="D444" s="6" t="s">
        <v>2406</v>
      </c>
      <c r="E444" s="9">
        <v>5</v>
      </c>
      <c r="F444" s="4">
        <v>314.94</v>
      </c>
      <c r="G444" t="s">
        <v>2755</v>
      </c>
      <c r="H444" s="6" t="s">
        <v>3069</v>
      </c>
      <c r="I444" s="6" t="s">
        <v>3074</v>
      </c>
      <c r="J444" s="6" t="s">
        <v>3517</v>
      </c>
      <c r="K444" s="9">
        <v>8</v>
      </c>
      <c r="L444" s="6" t="s">
        <v>4275</v>
      </c>
      <c r="M444" s="6" t="s">
        <v>4278</v>
      </c>
      <c r="N444" s="4">
        <v>1574.7</v>
      </c>
      <c r="O444" s="6">
        <f t="shared" si="6"/>
        <v>754</v>
      </c>
    </row>
    <row r="445" spans="1:15" x14ac:dyDescent="0.3">
      <c r="A445" s="6" t="s">
        <v>457</v>
      </c>
      <c r="B445" s="2">
        <v>45426</v>
      </c>
      <c r="C445" s="6" t="s">
        <v>1657</v>
      </c>
      <c r="D445" s="6" t="s">
        <v>2406</v>
      </c>
      <c r="E445" s="9">
        <v>2</v>
      </c>
      <c r="F445" s="4">
        <v>69.64</v>
      </c>
      <c r="G445" t="s">
        <v>2469</v>
      </c>
      <c r="H445" s="6" t="s">
        <v>3069</v>
      </c>
      <c r="I445" s="6" t="s">
        <v>3072</v>
      </c>
      <c r="J445" s="6" t="s">
        <v>3518</v>
      </c>
      <c r="K445" s="9">
        <v>6</v>
      </c>
      <c r="L445" s="6" t="s">
        <v>4283</v>
      </c>
      <c r="M445" s="6" t="s">
        <v>4281</v>
      </c>
      <c r="N445" s="4">
        <v>139.28</v>
      </c>
      <c r="O445" s="6">
        <f t="shared" si="6"/>
        <v>753</v>
      </c>
    </row>
    <row r="446" spans="1:15" x14ac:dyDescent="0.3">
      <c r="A446" s="6" t="s">
        <v>458</v>
      </c>
      <c r="B446" s="2">
        <v>45451</v>
      </c>
      <c r="C446" s="6" t="s">
        <v>1658</v>
      </c>
      <c r="D446" s="6" t="s">
        <v>2407</v>
      </c>
      <c r="E446" s="9">
        <v>1</v>
      </c>
      <c r="F446" s="4">
        <v>135.16999999999999</v>
      </c>
      <c r="G446" t="s">
        <v>2756</v>
      </c>
      <c r="H446" s="6" t="s">
        <v>3066</v>
      </c>
      <c r="I446" s="6" t="s">
        <v>3070</v>
      </c>
      <c r="J446" s="6" t="s">
        <v>3519</v>
      </c>
      <c r="K446" s="9">
        <v>6</v>
      </c>
      <c r="L446" s="6" t="s">
        <v>4276</v>
      </c>
      <c r="M446" s="6" t="s">
        <v>4278</v>
      </c>
      <c r="N446" s="4">
        <v>135.16999999999999</v>
      </c>
      <c r="O446" s="6">
        <f t="shared" si="6"/>
        <v>752</v>
      </c>
    </row>
    <row r="447" spans="1:15" x14ac:dyDescent="0.3">
      <c r="A447" s="6" t="s">
        <v>459</v>
      </c>
      <c r="B447" s="2">
        <v>45374</v>
      </c>
      <c r="C447" s="6" t="s">
        <v>1659</v>
      </c>
      <c r="D447" s="6" t="s">
        <v>2404</v>
      </c>
      <c r="E447" s="9">
        <v>1</v>
      </c>
      <c r="F447" s="4">
        <v>487.21</v>
      </c>
      <c r="G447" t="s">
        <v>2757</v>
      </c>
      <c r="H447" s="6" t="s">
        <v>3069</v>
      </c>
      <c r="I447" s="6" t="s">
        <v>3073</v>
      </c>
      <c r="J447" s="6" t="s">
        <v>3520</v>
      </c>
      <c r="K447" s="9">
        <v>3</v>
      </c>
      <c r="L447" s="6" t="s">
        <v>4275</v>
      </c>
      <c r="M447" s="6" t="s">
        <v>4279</v>
      </c>
      <c r="N447" s="4">
        <v>487.21</v>
      </c>
      <c r="O447" s="6">
        <f t="shared" si="6"/>
        <v>751</v>
      </c>
    </row>
    <row r="448" spans="1:15" x14ac:dyDescent="0.3">
      <c r="A448" s="6" t="s">
        <v>460</v>
      </c>
      <c r="B448" s="2">
        <v>45217</v>
      </c>
      <c r="C448" s="6" t="s">
        <v>1660</v>
      </c>
      <c r="D448" s="6" t="s">
        <v>2408</v>
      </c>
      <c r="E448" s="9">
        <v>5</v>
      </c>
      <c r="F448" s="4">
        <v>509.58</v>
      </c>
      <c r="G448" t="s">
        <v>2758</v>
      </c>
      <c r="H448" s="6" t="s">
        <v>3066</v>
      </c>
      <c r="I448" s="6" t="s">
        <v>3073</v>
      </c>
      <c r="J448" s="6" t="s">
        <v>3521</v>
      </c>
      <c r="K448" s="9">
        <v>6</v>
      </c>
      <c r="L448" s="6" t="s">
        <v>4276</v>
      </c>
      <c r="M448" s="6" t="s">
        <v>4278</v>
      </c>
      <c r="N448" s="4">
        <v>2547.9</v>
      </c>
      <c r="O448" s="6">
        <f t="shared" si="6"/>
        <v>750</v>
      </c>
    </row>
    <row r="449" spans="1:15" x14ac:dyDescent="0.3">
      <c r="A449" s="6" t="s">
        <v>461</v>
      </c>
      <c r="B449" s="2">
        <v>45389</v>
      </c>
      <c r="C449" s="6" t="s">
        <v>1661</v>
      </c>
      <c r="D449" s="6" t="s">
        <v>2407</v>
      </c>
      <c r="E449" s="9">
        <v>2</v>
      </c>
      <c r="F449" s="4">
        <v>416.81</v>
      </c>
      <c r="G449" t="s">
        <v>2759</v>
      </c>
      <c r="H449" s="6" t="s">
        <v>3069</v>
      </c>
      <c r="I449" s="6" t="s">
        <v>3072</v>
      </c>
      <c r="J449" s="6" t="s">
        <v>3522</v>
      </c>
      <c r="K449" s="9">
        <v>2</v>
      </c>
      <c r="L449" s="6" t="s">
        <v>4283</v>
      </c>
      <c r="M449" s="6" t="s">
        <v>4281</v>
      </c>
      <c r="N449" s="4">
        <v>833.62</v>
      </c>
      <c r="O449" s="6">
        <f t="shared" si="6"/>
        <v>750</v>
      </c>
    </row>
    <row r="450" spans="1:15" x14ac:dyDescent="0.3">
      <c r="A450" s="6" t="s">
        <v>462</v>
      </c>
      <c r="B450" s="2">
        <v>45173</v>
      </c>
      <c r="C450" s="6" t="s">
        <v>1662</v>
      </c>
      <c r="D450" s="6" t="s">
        <v>2408</v>
      </c>
      <c r="E450" s="9">
        <v>2</v>
      </c>
      <c r="F450" s="4">
        <v>160</v>
      </c>
      <c r="G450" t="s">
        <v>2760</v>
      </c>
      <c r="H450" s="6" t="s">
        <v>3069</v>
      </c>
      <c r="I450" s="6" t="s">
        <v>3074</v>
      </c>
      <c r="J450" s="6" t="s">
        <v>3523</v>
      </c>
      <c r="K450" s="9">
        <v>4</v>
      </c>
      <c r="L450" s="6" t="s">
        <v>4275</v>
      </c>
      <c r="M450" s="6" t="s">
        <v>4278</v>
      </c>
      <c r="N450" s="4">
        <v>320</v>
      </c>
      <c r="O450" s="6">
        <f t="shared" ref="O450:O513" si="7">COUNTA(_xlfn.UNIQUE(C449:C1648))</f>
        <v>749</v>
      </c>
    </row>
    <row r="451" spans="1:15" x14ac:dyDescent="0.3">
      <c r="A451" s="6" t="s">
        <v>463</v>
      </c>
      <c r="B451" s="2">
        <v>45530</v>
      </c>
      <c r="C451" s="6" t="s">
        <v>1663</v>
      </c>
      <c r="D451" s="6" t="s">
        <v>2405</v>
      </c>
      <c r="E451" s="9">
        <v>3</v>
      </c>
      <c r="F451" s="4">
        <v>253.05</v>
      </c>
      <c r="G451" t="s">
        <v>2761</v>
      </c>
      <c r="H451" s="6" t="s">
        <v>3066</v>
      </c>
      <c r="I451" s="6" t="s">
        <v>3074</v>
      </c>
      <c r="J451" s="6" t="s">
        <v>3524</v>
      </c>
      <c r="K451" s="9">
        <v>3</v>
      </c>
      <c r="L451" s="6" t="s">
        <v>4283</v>
      </c>
      <c r="M451" s="6" t="s">
        <v>4278</v>
      </c>
      <c r="N451" s="4">
        <v>759.15000000000009</v>
      </c>
      <c r="O451" s="6">
        <f t="shared" si="7"/>
        <v>748</v>
      </c>
    </row>
    <row r="452" spans="1:15" x14ac:dyDescent="0.3">
      <c r="A452" s="6" t="s">
        <v>464</v>
      </c>
      <c r="B452" s="2">
        <v>45306</v>
      </c>
      <c r="C452" s="6" t="s">
        <v>1664</v>
      </c>
      <c r="D452" s="6" t="s">
        <v>2403</v>
      </c>
      <c r="E452" s="9">
        <v>5</v>
      </c>
      <c r="F452" s="4">
        <v>615.1</v>
      </c>
      <c r="G452" t="s">
        <v>2762</v>
      </c>
      <c r="H452" s="6" t="s">
        <v>3068</v>
      </c>
      <c r="I452" s="6" t="s">
        <v>3072</v>
      </c>
      <c r="J452" s="6" t="s">
        <v>3525</v>
      </c>
      <c r="K452" s="9">
        <v>10</v>
      </c>
      <c r="L452" s="6" t="s">
        <v>4277</v>
      </c>
      <c r="M452" s="6" t="s">
        <v>4278</v>
      </c>
      <c r="N452" s="4">
        <v>3075.5</v>
      </c>
      <c r="O452" s="6">
        <f t="shared" si="7"/>
        <v>747</v>
      </c>
    </row>
    <row r="453" spans="1:15" x14ac:dyDescent="0.3">
      <c r="A453" s="6" t="s">
        <v>465</v>
      </c>
      <c r="B453" s="2">
        <v>45017</v>
      </c>
      <c r="C453" s="6" t="s">
        <v>1665</v>
      </c>
      <c r="D453" s="6" t="s">
        <v>2403</v>
      </c>
      <c r="E453" s="9">
        <v>1</v>
      </c>
      <c r="F453" s="4">
        <v>183.18</v>
      </c>
      <c r="G453" t="s">
        <v>2507</v>
      </c>
      <c r="H453" s="6" t="s">
        <v>3065</v>
      </c>
      <c r="I453" s="6" t="s">
        <v>3071</v>
      </c>
      <c r="J453" s="6" t="s">
        <v>3526</v>
      </c>
      <c r="K453" s="9">
        <v>6</v>
      </c>
      <c r="L453" s="6" t="s">
        <v>4275</v>
      </c>
      <c r="M453" s="6" t="s">
        <v>4280</v>
      </c>
      <c r="N453" s="4">
        <v>183.18</v>
      </c>
      <c r="O453" s="6">
        <f t="shared" si="7"/>
        <v>746</v>
      </c>
    </row>
    <row r="454" spans="1:15" x14ac:dyDescent="0.3">
      <c r="A454" s="6" t="s">
        <v>466</v>
      </c>
      <c r="B454" s="2">
        <v>45130</v>
      </c>
      <c r="C454" s="6" t="s">
        <v>1666</v>
      </c>
      <c r="D454" s="6" t="s">
        <v>2407</v>
      </c>
      <c r="E454" s="9">
        <v>1</v>
      </c>
      <c r="F454" s="4">
        <v>75.78</v>
      </c>
      <c r="G454" t="s">
        <v>2763</v>
      </c>
      <c r="H454" s="6" t="s">
        <v>3069</v>
      </c>
      <c r="I454" s="6" t="s">
        <v>3074</v>
      </c>
      <c r="J454" s="6" t="s">
        <v>3527</v>
      </c>
      <c r="K454" s="9">
        <v>5</v>
      </c>
      <c r="L454" s="6" t="s">
        <v>4275</v>
      </c>
      <c r="M454" s="6" t="s">
        <v>4282</v>
      </c>
      <c r="N454" s="4">
        <v>75.78</v>
      </c>
      <c r="O454" s="6">
        <f t="shared" si="7"/>
        <v>745</v>
      </c>
    </row>
    <row r="455" spans="1:15" x14ac:dyDescent="0.3">
      <c r="A455" s="6" t="s">
        <v>467</v>
      </c>
      <c r="B455" s="2">
        <v>45779</v>
      </c>
      <c r="C455" s="6" t="s">
        <v>1667</v>
      </c>
      <c r="D455" s="6" t="s">
        <v>2405</v>
      </c>
      <c r="E455" s="9">
        <v>1</v>
      </c>
      <c r="F455" s="4">
        <v>675.57</v>
      </c>
      <c r="G455" t="s">
        <v>2764</v>
      </c>
      <c r="H455" s="6" t="s">
        <v>3069</v>
      </c>
      <c r="I455" s="6" t="s">
        <v>3070</v>
      </c>
      <c r="J455" s="6" t="s">
        <v>3528</v>
      </c>
      <c r="K455" s="9">
        <v>1</v>
      </c>
      <c r="L455" s="6" t="s">
        <v>4277</v>
      </c>
      <c r="M455" s="6" t="s">
        <v>4281</v>
      </c>
      <c r="N455" s="4">
        <v>675.57</v>
      </c>
      <c r="O455" s="6">
        <f t="shared" si="7"/>
        <v>744</v>
      </c>
    </row>
    <row r="456" spans="1:15" x14ac:dyDescent="0.3">
      <c r="A456" s="6" t="s">
        <v>468</v>
      </c>
      <c r="B456" s="2">
        <v>45623</v>
      </c>
      <c r="C456" s="6" t="s">
        <v>1668</v>
      </c>
      <c r="D456" s="6" t="s">
        <v>2408</v>
      </c>
      <c r="E456" s="9">
        <v>1</v>
      </c>
      <c r="F456" s="4">
        <v>109.29</v>
      </c>
      <c r="G456" t="s">
        <v>2765</v>
      </c>
      <c r="H456" s="6" t="s">
        <v>3065</v>
      </c>
      <c r="I456" s="6" t="s">
        <v>3071</v>
      </c>
      <c r="J456" s="6" t="s">
        <v>3529</v>
      </c>
      <c r="K456" s="9">
        <v>5</v>
      </c>
      <c r="L456" s="6" t="s">
        <v>4276</v>
      </c>
      <c r="M456" s="6" t="s">
        <v>4282</v>
      </c>
      <c r="N456" s="4">
        <v>109.29</v>
      </c>
      <c r="O456" s="6">
        <f t="shared" si="7"/>
        <v>743</v>
      </c>
    </row>
    <row r="457" spans="1:15" x14ac:dyDescent="0.3">
      <c r="A457" s="6" t="s">
        <v>469</v>
      </c>
      <c r="B457" s="2">
        <v>45377</v>
      </c>
      <c r="C457" s="6" t="s">
        <v>1669</v>
      </c>
      <c r="D457" s="6" t="s">
        <v>2404</v>
      </c>
      <c r="E457" s="9">
        <v>1</v>
      </c>
      <c r="F457" s="4">
        <v>639.83000000000004</v>
      </c>
      <c r="G457" t="s">
        <v>2766</v>
      </c>
      <c r="H457" s="6" t="s">
        <v>3065</v>
      </c>
      <c r="I457" s="6" t="s">
        <v>3074</v>
      </c>
      <c r="J457" s="6" t="s">
        <v>3530</v>
      </c>
      <c r="K457" s="9">
        <v>2</v>
      </c>
      <c r="L457" s="6" t="s">
        <v>4275</v>
      </c>
      <c r="M457" s="6" t="s">
        <v>4279</v>
      </c>
      <c r="N457" s="4">
        <v>639.83000000000004</v>
      </c>
      <c r="O457" s="6">
        <f t="shared" si="7"/>
        <v>742</v>
      </c>
    </row>
    <row r="458" spans="1:15" x14ac:dyDescent="0.3">
      <c r="A458" s="6" t="s">
        <v>470</v>
      </c>
      <c r="B458" s="2">
        <v>45103</v>
      </c>
      <c r="C458" s="6" t="s">
        <v>1670</v>
      </c>
      <c r="D458" s="6" t="s">
        <v>2409</v>
      </c>
      <c r="E458" s="9">
        <v>5</v>
      </c>
      <c r="F458" s="4">
        <v>62.81</v>
      </c>
      <c r="G458" t="s">
        <v>2698</v>
      </c>
      <c r="H458" s="6" t="s">
        <v>3067</v>
      </c>
      <c r="I458" s="6" t="s">
        <v>3070</v>
      </c>
      <c r="J458" s="6" t="s">
        <v>3531</v>
      </c>
      <c r="K458" s="9">
        <v>9</v>
      </c>
      <c r="L458" s="6" t="s">
        <v>4275</v>
      </c>
      <c r="M458" s="6" t="s">
        <v>4281</v>
      </c>
      <c r="N458" s="4">
        <v>314.05</v>
      </c>
      <c r="O458" s="6">
        <f t="shared" si="7"/>
        <v>741</v>
      </c>
    </row>
    <row r="459" spans="1:15" x14ac:dyDescent="0.3">
      <c r="A459" s="6" t="s">
        <v>471</v>
      </c>
      <c r="B459" s="2">
        <v>45802</v>
      </c>
      <c r="C459" s="6" t="s">
        <v>1671</v>
      </c>
      <c r="D459" s="6" t="s">
        <v>2409</v>
      </c>
      <c r="E459" s="9">
        <v>4</v>
      </c>
      <c r="F459" s="4">
        <v>615.83000000000004</v>
      </c>
      <c r="G459" t="s">
        <v>2767</v>
      </c>
      <c r="H459" s="6" t="s">
        <v>3066</v>
      </c>
      <c r="I459" s="6" t="s">
        <v>3072</v>
      </c>
      <c r="J459" s="6" t="s">
        <v>3532</v>
      </c>
      <c r="K459" s="9">
        <v>4</v>
      </c>
      <c r="L459" s="6" t="s">
        <v>4277</v>
      </c>
      <c r="M459" s="6" t="s">
        <v>4278</v>
      </c>
      <c r="N459" s="4">
        <v>2463.3200000000002</v>
      </c>
      <c r="O459" s="6">
        <f t="shared" si="7"/>
        <v>740</v>
      </c>
    </row>
    <row r="460" spans="1:15" x14ac:dyDescent="0.3">
      <c r="A460" s="6" t="s">
        <v>472</v>
      </c>
      <c r="B460" s="2">
        <v>45475</v>
      </c>
      <c r="C460" s="6" t="s">
        <v>1672</v>
      </c>
      <c r="D460" s="6" t="s">
        <v>2403</v>
      </c>
      <c r="E460" s="9">
        <v>4</v>
      </c>
      <c r="F460" s="4">
        <v>510.58</v>
      </c>
      <c r="G460" t="s">
        <v>2495</v>
      </c>
      <c r="H460" s="6" t="s">
        <v>3067</v>
      </c>
      <c r="I460" s="6" t="s">
        <v>3072</v>
      </c>
      <c r="J460" s="6" t="s">
        <v>3533</v>
      </c>
      <c r="K460" s="9">
        <v>7</v>
      </c>
      <c r="L460" s="6" t="s">
        <v>4277</v>
      </c>
      <c r="M460" s="6" t="s">
        <v>4280</v>
      </c>
      <c r="N460" s="4">
        <v>2042.32</v>
      </c>
      <c r="O460" s="6">
        <f t="shared" si="7"/>
        <v>739</v>
      </c>
    </row>
    <row r="461" spans="1:15" x14ac:dyDescent="0.3">
      <c r="A461" s="6" t="s">
        <v>473</v>
      </c>
      <c r="B461" s="2">
        <v>45497</v>
      </c>
      <c r="C461" s="6" t="s">
        <v>1673</v>
      </c>
      <c r="D461" s="6" t="s">
        <v>2409</v>
      </c>
      <c r="E461" s="9">
        <v>1</v>
      </c>
      <c r="F461" s="4">
        <v>334.39</v>
      </c>
      <c r="G461" t="s">
        <v>2749</v>
      </c>
      <c r="H461" s="6" t="s">
        <v>3067</v>
      </c>
      <c r="I461" s="6" t="s">
        <v>3072</v>
      </c>
      <c r="J461" s="6" t="s">
        <v>3534</v>
      </c>
      <c r="K461" s="9">
        <v>2</v>
      </c>
      <c r="L461" s="6" t="s">
        <v>4283</v>
      </c>
      <c r="M461" s="6" t="s">
        <v>4278</v>
      </c>
      <c r="N461" s="4">
        <v>334.39</v>
      </c>
      <c r="O461" s="6">
        <f t="shared" si="7"/>
        <v>738</v>
      </c>
    </row>
    <row r="462" spans="1:15" x14ac:dyDescent="0.3">
      <c r="A462" s="6" t="s">
        <v>474</v>
      </c>
      <c r="B462" s="2">
        <v>45571</v>
      </c>
      <c r="C462" s="6" t="s">
        <v>1674</v>
      </c>
      <c r="D462" s="6" t="s">
        <v>2408</v>
      </c>
      <c r="E462" s="9">
        <v>1</v>
      </c>
      <c r="F462" s="4">
        <v>144.25</v>
      </c>
      <c r="G462" t="s">
        <v>2768</v>
      </c>
      <c r="H462" s="6" t="s">
        <v>3069</v>
      </c>
      <c r="I462" s="6" t="s">
        <v>3072</v>
      </c>
      <c r="J462" s="6" t="s">
        <v>3535</v>
      </c>
      <c r="K462" s="9">
        <v>2</v>
      </c>
      <c r="L462" s="6" t="s">
        <v>4277</v>
      </c>
      <c r="M462" s="6" t="s">
        <v>4279</v>
      </c>
      <c r="N462" s="4">
        <v>144.25</v>
      </c>
      <c r="O462" s="6">
        <f t="shared" si="7"/>
        <v>737</v>
      </c>
    </row>
    <row r="463" spans="1:15" x14ac:dyDescent="0.3">
      <c r="A463" s="6" t="s">
        <v>475</v>
      </c>
      <c r="B463" s="2">
        <v>45451</v>
      </c>
      <c r="C463" s="6" t="s">
        <v>1675</v>
      </c>
      <c r="D463" s="6" t="s">
        <v>2405</v>
      </c>
      <c r="E463" s="9">
        <v>1</v>
      </c>
      <c r="F463" s="4">
        <v>401.82</v>
      </c>
      <c r="G463" t="s">
        <v>2618</v>
      </c>
      <c r="H463" s="6" t="s">
        <v>3067</v>
      </c>
      <c r="I463" s="6" t="s">
        <v>3070</v>
      </c>
      <c r="J463" s="6" t="s">
        <v>3536</v>
      </c>
      <c r="K463" s="9">
        <v>5</v>
      </c>
      <c r="L463" s="6" t="s">
        <v>4276</v>
      </c>
      <c r="M463" s="6" t="s">
        <v>4282</v>
      </c>
      <c r="N463" s="4">
        <v>401.82</v>
      </c>
      <c r="O463" s="6">
        <f t="shared" si="7"/>
        <v>736</v>
      </c>
    </row>
    <row r="464" spans="1:15" x14ac:dyDescent="0.3">
      <c r="A464" s="6" t="s">
        <v>476</v>
      </c>
      <c r="B464" s="2">
        <v>45747</v>
      </c>
      <c r="C464" s="6" t="s">
        <v>1676</v>
      </c>
      <c r="D464" s="6" t="s">
        <v>2404</v>
      </c>
      <c r="E464" s="9">
        <v>1</v>
      </c>
      <c r="F464" s="4">
        <v>252.68</v>
      </c>
      <c r="G464" t="s">
        <v>2769</v>
      </c>
      <c r="H464" s="6" t="s">
        <v>3066</v>
      </c>
      <c r="I464" s="6" t="s">
        <v>3071</v>
      </c>
      <c r="J464" s="6" t="s">
        <v>3537</v>
      </c>
      <c r="K464" s="9">
        <v>1</v>
      </c>
      <c r="L464" s="6" t="s">
        <v>4283</v>
      </c>
      <c r="M464" s="6" t="s">
        <v>4279</v>
      </c>
      <c r="N464" s="4">
        <v>252.68</v>
      </c>
      <c r="O464" s="6">
        <f t="shared" si="7"/>
        <v>735</v>
      </c>
    </row>
    <row r="465" spans="1:15" x14ac:dyDescent="0.3">
      <c r="A465" s="6" t="s">
        <v>477</v>
      </c>
      <c r="B465" s="2">
        <v>45072</v>
      </c>
      <c r="C465" s="6" t="s">
        <v>1677</v>
      </c>
      <c r="D465" s="6" t="s">
        <v>2408</v>
      </c>
      <c r="E465" s="9">
        <v>5</v>
      </c>
      <c r="F465" s="4">
        <v>662.78</v>
      </c>
      <c r="G465" t="s">
        <v>2770</v>
      </c>
      <c r="H465" s="6" t="s">
        <v>3065</v>
      </c>
      <c r="I465" s="6" t="s">
        <v>3070</v>
      </c>
      <c r="J465" s="6" t="s">
        <v>3538</v>
      </c>
      <c r="K465" s="9">
        <v>9</v>
      </c>
      <c r="L465" s="6" t="s">
        <v>4275</v>
      </c>
      <c r="M465" s="6" t="s">
        <v>4278</v>
      </c>
      <c r="N465" s="4">
        <v>3313.9</v>
      </c>
      <c r="O465" s="6">
        <f t="shared" si="7"/>
        <v>734</v>
      </c>
    </row>
    <row r="466" spans="1:15" x14ac:dyDescent="0.3">
      <c r="A466" s="6" t="s">
        <v>478</v>
      </c>
      <c r="B466" s="2">
        <v>44999</v>
      </c>
      <c r="C466" s="6" t="s">
        <v>1678</v>
      </c>
      <c r="D466" s="6" t="s">
        <v>2405</v>
      </c>
      <c r="E466" s="9">
        <v>4</v>
      </c>
      <c r="F466" s="4">
        <v>434.42</v>
      </c>
      <c r="G466" t="s">
        <v>2771</v>
      </c>
      <c r="H466" s="6" t="s">
        <v>3066</v>
      </c>
      <c r="I466" s="6" t="s">
        <v>3071</v>
      </c>
      <c r="J466" s="6" t="s">
        <v>3539</v>
      </c>
      <c r="K466" s="9">
        <v>6</v>
      </c>
      <c r="L466" s="6" t="s">
        <v>4276</v>
      </c>
      <c r="M466" s="6" t="s">
        <v>4282</v>
      </c>
      <c r="N466" s="4">
        <v>1737.68</v>
      </c>
      <c r="O466" s="6">
        <f t="shared" si="7"/>
        <v>733</v>
      </c>
    </row>
    <row r="467" spans="1:15" x14ac:dyDescent="0.3">
      <c r="A467" s="6" t="s">
        <v>479</v>
      </c>
      <c r="B467" s="2">
        <v>45348</v>
      </c>
      <c r="C467" s="6" t="s">
        <v>1679</v>
      </c>
      <c r="D467" s="6" t="s">
        <v>2407</v>
      </c>
      <c r="E467" s="9">
        <v>5</v>
      </c>
      <c r="F467" s="4">
        <v>513.49</v>
      </c>
      <c r="G467" t="s">
        <v>2772</v>
      </c>
      <c r="H467" s="6" t="s">
        <v>3068</v>
      </c>
      <c r="I467" s="6" t="s">
        <v>3071</v>
      </c>
      <c r="J467" s="6" t="s">
        <v>3540</v>
      </c>
      <c r="K467" s="9">
        <v>8</v>
      </c>
      <c r="L467" s="6" t="s">
        <v>4283</v>
      </c>
      <c r="M467" s="6" t="s">
        <v>4282</v>
      </c>
      <c r="N467" s="4">
        <v>2567.4499999999998</v>
      </c>
      <c r="O467" s="6">
        <f t="shared" si="7"/>
        <v>732</v>
      </c>
    </row>
    <row r="468" spans="1:15" x14ac:dyDescent="0.3">
      <c r="A468" s="6" t="s">
        <v>480</v>
      </c>
      <c r="B468" s="2">
        <v>45125</v>
      </c>
      <c r="C468" s="6" t="s">
        <v>1680</v>
      </c>
      <c r="D468" s="6" t="s">
        <v>2404</v>
      </c>
      <c r="E468" s="9">
        <v>1</v>
      </c>
      <c r="F468" s="4">
        <v>432.47</v>
      </c>
      <c r="G468" t="s">
        <v>2440</v>
      </c>
      <c r="H468" s="6" t="s">
        <v>3069</v>
      </c>
      <c r="I468" s="6" t="s">
        <v>3073</v>
      </c>
      <c r="J468" s="6" t="s">
        <v>3541</v>
      </c>
      <c r="K468" s="9">
        <v>4</v>
      </c>
      <c r="L468" s="6" t="s">
        <v>4276</v>
      </c>
      <c r="M468" s="6" t="s">
        <v>4279</v>
      </c>
      <c r="N468" s="4">
        <v>432.47</v>
      </c>
      <c r="O468" s="6">
        <f t="shared" si="7"/>
        <v>731</v>
      </c>
    </row>
    <row r="469" spans="1:15" x14ac:dyDescent="0.3">
      <c r="A469" s="6" t="s">
        <v>481</v>
      </c>
      <c r="B469" s="2">
        <v>45534</v>
      </c>
      <c r="C469" s="6" t="s">
        <v>1681</v>
      </c>
      <c r="D469" s="6" t="s">
        <v>2409</v>
      </c>
      <c r="E469" s="9">
        <v>1</v>
      </c>
      <c r="F469" s="4">
        <v>45.94</v>
      </c>
      <c r="G469" t="s">
        <v>2577</v>
      </c>
      <c r="H469" s="6" t="s">
        <v>3069</v>
      </c>
      <c r="I469" s="6" t="s">
        <v>3071</v>
      </c>
      <c r="J469" s="6" t="s">
        <v>3542</v>
      </c>
      <c r="K469" s="9">
        <v>2</v>
      </c>
      <c r="L469" s="6" t="s">
        <v>4277</v>
      </c>
      <c r="M469" s="6" t="s">
        <v>4280</v>
      </c>
      <c r="N469" s="4">
        <v>45.94</v>
      </c>
      <c r="O469" s="6">
        <f t="shared" si="7"/>
        <v>730</v>
      </c>
    </row>
    <row r="470" spans="1:15" x14ac:dyDescent="0.3">
      <c r="A470" s="6" t="s">
        <v>482</v>
      </c>
      <c r="B470" s="2">
        <v>45829</v>
      </c>
      <c r="C470" s="6" t="s">
        <v>1682</v>
      </c>
      <c r="D470" s="6" t="s">
        <v>2404</v>
      </c>
      <c r="E470" s="9">
        <v>1</v>
      </c>
      <c r="F470" s="4">
        <v>418.36</v>
      </c>
      <c r="G470" t="s">
        <v>2773</v>
      </c>
      <c r="H470" s="6" t="s">
        <v>3067</v>
      </c>
      <c r="I470" s="6" t="s">
        <v>3073</v>
      </c>
      <c r="J470" s="6" t="s">
        <v>3543</v>
      </c>
      <c r="K470" s="9">
        <v>5</v>
      </c>
      <c r="L470" s="6" t="s">
        <v>4276</v>
      </c>
      <c r="M470" s="6" t="s">
        <v>4280</v>
      </c>
      <c r="N470" s="4">
        <v>418.36</v>
      </c>
      <c r="O470" s="6">
        <f t="shared" si="7"/>
        <v>729</v>
      </c>
    </row>
    <row r="471" spans="1:15" x14ac:dyDescent="0.3">
      <c r="A471" s="6" t="s">
        <v>483</v>
      </c>
      <c r="B471" s="2">
        <v>45256</v>
      </c>
      <c r="C471" s="6" t="s">
        <v>1683</v>
      </c>
      <c r="D471" s="6" t="s">
        <v>2406</v>
      </c>
      <c r="E471" s="9">
        <v>5</v>
      </c>
      <c r="F471" s="4">
        <v>676.98</v>
      </c>
      <c r="G471" t="s">
        <v>2546</v>
      </c>
      <c r="H471" s="6" t="s">
        <v>3069</v>
      </c>
      <c r="I471" s="6" t="s">
        <v>3071</v>
      </c>
      <c r="J471" s="6" t="s">
        <v>3544</v>
      </c>
      <c r="K471" s="9">
        <v>5</v>
      </c>
      <c r="L471" s="6" t="s">
        <v>4283</v>
      </c>
      <c r="M471" s="6" t="s">
        <v>4281</v>
      </c>
      <c r="N471" s="4">
        <v>3384.9</v>
      </c>
      <c r="O471" s="6">
        <f t="shared" si="7"/>
        <v>728</v>
      </c>
    </row>
    <row r="472" spans="1:15" x14ac:dyDescent="0.3">
      <c r="A472" s="6" t="s">
        <v>484</v>
      </c>
      <c r="B472" s="2">
        <v>45198</v>
      </c>
      <c r="C472" s="6" t="s">
        <v>1684</v>
      </c>
      <c r="D472" s="6" t="s">
        <v>2405</v>
      </c>
      <c r="E472" s="9">
        <v>4</v>
      </c>
      <c r="F472" s="4">
        <v>263.62</v>
      </c>
      <c r="G472" t="s">
        <v>2774</v>
      </c>
      <c r="H472" s="6" t="s">
        <v>3069</v>
      </c>
      <c r="I472" s="6" t="s">
        <v>3070</v>
      </c>
      <c r="J472" s="6" t="s">
        <v>3545</v>
      </c>
      <c r="K472" s="9">
        <v>5</v>
      </c>
      <c r="L472" s="6" t="s">
        <v>4275</v>
      </c>
      <c r="M472" s="6" t="s">
        <v>4280</v>
      </c>
      <c r="N472" s="4">
        <v>1054.48</v>
      </c>
      <c r="O472" s="6">
        <f t="shared" si="7"/>
        <v>727</v>
      </c>
    </row>
    <row r="473" spans="1:15" x14ac:dyDescent="0.3">
      <c r="A473" s="6" t="s">
        <v>485</v>
      </c>
      <c r="B473" s="2">
        <v>45766</v>
      </c>
      <c r="C473" s="6" t="s">
        <v>1685</v>
      </c>
      <c r="D473" s="6" t="s">
        <v>2409</v>
      </c>
      <c r="E473" s="9">
        <v>5</v>
      </c>
      <c r="F473" s="4">
        <v>551.27</v>
      </c>
      <c r="G473" t="s">
        <v>2775</v>
      </c>
      <c r="H473" s="6" t="s">
        <v>3066</v>
      </c>
      <c r="I473" s="6" t="s">
        <v>3071</v>
      </c>
      <c r="J473" s="6" t="s">
        <v>3546</v>
      </c>
      <c r="K473" s="9">
        <v>7</v>
      </c>
      <c r="L473" s="6" t="s">
        <v>4276</v>
      </c>
      <c r="M473" s="6" t="s">
        <v>4279</v>
      </c>
      <c r="N473" s="4">
        <v>2756.35</v>
      </c>
      <c r="O473" s="6">
        <f t="shared" si="7"/>
        <v>726</v>
      </c>
    </row>
    <row r="474" spans="1:15" x14ac:dyDescent="0.3">
      <c r="A474" s="6" t="s">
        <v>486</v>
      </c>
      <c r="B474" s="2">
        <v>44932</v>
      </c>
      <c r="C474" s="6" t="s">
        <v>1686</v>
      </c>
      <c r="D474" s="6" t="s">
        <v>2406</v>
      </c>
      <c r="E474" s="9">
        <v>3</v>
      </c>
      <c r="F474" s="4">
        <v>508.12</v>
      </c>
      <c r="G474" t="s">
        <v>2776</v>
      </c>
      <c r="H474" s="6" t="s">
        <v>3067</v>
      </c>
      <c r="I474" s="6" t="s">
        <v>3071</v>
      </c>
      <c r="J474" s="6" t="s">
        <v>3547</v>
      </c>
      <c r="K474" s="9">
        <v>8</v>
      </c>
      <c r="L474" s="6" t="s">
        <v>4276</v>
      </c>
      <c r="M474" s="6" t="s">
        <v>4279</v>
      </c>
      <c r="N474" s="4">
        <v>1524.36</v>
      </c>
      <c r="O474" s="6">
        <f t="shared" si="7"/>
        <v>725</v>
      </c>
    </row>
    <row r="475" spans="1:15" x14ac:dyDescent="0.3">
      <c r="A475" s="6" t="s">
        <v>487</v>
      </c>
      <c r="B475" s="2">
        <v>45713</v>
      </c>
      <c r="C475" s="6" t="s">
        <v>1687</v>
      </c>
      <c r="D475" s="6" t="s">
        <v>2406</v>
      </c>
      <c r="E475" s="9">
        <v>2</v>
      </c>
      <c r="F475" s="4">
        <v>14.93</v>
      </c>
      <c r="G475" t="s">
        <v>2777</v>
      </c>
      <c r="H475" s="6" t="s">
        <v>3066</v>
      </c>
      <c r="I475" s="6" t="s">
        <v>3070</v>
      </c>
      <c r="J475" s="6" t="s">
        <v>3548</v>
      </c>
      <c r="K475" s="9">
        <v>4</v>
      </c>
      <c r="L475" s="6" t="s">
        <v>4283</v>
      </c>
      <c r="M475" s="6" t="s">
        <v>4281</v>
      </c>
      <c r="N475" s="4">
        <v>29.86</v>
      </c>
      <c r="O475" s="6">
        <f t="shared" si="7"/>
        <v>724</v>
      </c>
    </row>
    <row r="476" spans="1:15" x14ac:dyDescent="0.3">
      <c r="A476" s="6" t="s">
        <v>488</v>
      </c>
      <c r="B476" s="2">
        <v>45245</v>
      </c>
      <c r="C476" s="6" t="s">
        <v>1688</v>
      </c>
      <c r="D476" s="6" t="s">
        <v>2407</v>
      </c>
      <c r="E476" s="9">
        <v>3</v>
      </c>
      <c r="F476" s="4">
        <v>229.34</v>
      </c>
      <c r="G476" t="s">
        <v>2692</v>
      </c>
      <c r="H476" s="6" t="s">
        <v>3067</v>
      </c>
      <c r="I476" s="6" t="s">
        <v>3070</v>
      </c>
      <c r="J476" s="6" t="s">
        <v>3549</v>
      </c>
      <c r="K476" s="9">
        <v>6</v>
      </c>
      <c r="L476" s="6" t="s">
        <v>4275</v>
      </c>
      <c r="M476" s="6" t="s">
        <v>4279</v>
      </c>
      <c r="N476" s="4">
        <v>688.02</v>
      </c>
      <c r="O476" s="6">
        <f t="shared" si="7"/>
        <v>723</v>
      </c>
    </row>
    <row r="477" spans="1:15" x14ac:dyDescent="0.3">
      <c r="A477" s="6" t="s">
        <v>489</v>
      </c>
      <c r="B477" s="2">
        <v>45766</v>
      </c>
      <c r="C477" s="6" t="s">
        <v>1689</v>
      </c>
      <c r="D477" s="6" t="s">
        <v>2405</v>
      </c>
      <c r="E477" s="9">
        <v>2</v>
      </c>
      <c r="F477" s="4">
        <v>438.62</v>
      </c>
      <c r="G477" t="s">
        <v>2778</v>
      </c>
      <c r="H477" s="6" t="s">
        <v>3069</v>
      </c>
      <c r="I477" s="6" t="s">
        <v>3071</v>
      </c>
      <c r="J477" s="6" t="s">
        <v>3550</v>
      </c>
      <c r="K477" s="9">
        <v>3</v>
      </c>
      <c r="L477" s="6" t="s">
        <v>4275</v>
      </c>
      <c r="M477" s="6" t="s">
        <v>4281</v>
      </c>
      <c r="N477" s="4">
        <v>877.24</v>
      </c>
      <c r="O477" s="6">
        <f t="shared" si="7"/>
        <v>722</v>
      </c>
    </row>
    <row r="478" spans="1:15" x14ac:dyDescent="0.3">
      <c r="A478" s="6" t="s">
        <v>490</v>
      </c>
      <c r="B478" s="2">
        <v>45306</v>
      </c>
      <c r="C478" s="6" t="s">
        <v>1690</v>
      </c>
      <c r="D478" s="6" t="s">
        <v>2404</v>
      </c>
      <c r="E478" s="9">
        <v>2</v>
      </c>
      <c r="F478" s="4">
        <v>513.59</v>
      </c>
      <c r="G478" t="s">
        <v>2779</v>
      </c>
      <c r="H478" s="6" t="s">
        <v>3066</v>
      </c>
      <c r="I478" s="6" t="s">
        <v>3072</v>
      </c>
      <c r="J478" s="6" t="s">
        <v>3551</v>
      </c>
      <c r="K478" s="9">
        <v>4</v>
      </c>
      <c r="L478" s="6" t="s">
        <v>4276</v>
      </c>
      <c r="M478" s="6" t="s">
        <v>4279</v>
      </c>
      <c r="N478" s="4">
        <v>1027.18</v>
      </c>
      <c r="O478" s="6">
        <f t="shared" si="7"/>
        <v>721</v>
      </c>
    </row>
    <row r="479" spans="1:15" x14ac:dyDescent="0.3">
      <c r="A479" s="6" t="s">
        <v>491</v>
      </c>
      <c r="B479" s="2">
        <v>45721</v>
      </c>
      <c r="C479" s="6" t="s">
        <v>1691</v>
      </c>
      <c r="D479" s="6" t="s">
        <v>2404</v>
      </c>
      <c r="E479" s="9">
        <v>2</v>
      </c>
      <c r="F479" s="4">
        <v>253.74</v>
      </c>
      <c r="G479" t="s">
        <v>2780</v>
      </c>
      <c r="H479" s="6" t="s">
        <v>3066</v>
      </c>
      <c r="I479" s="6" t="s">
        <v>3070</v>
      </c>
      <c r="J479" s="6" t="s">
        <v>3552</v>
      </c>
      <c r="K479" s="9">
        <v>5</v>
      </c>
      <c r="L479" s="6" t="s">
        <v>4275</v>
      </c>
      <c r="M479" s="6" t="s">
        <v>4282</v>
      </c>
      <c r="N479" s="4">
        <v>507.48</v>
      </c>
      <c r="O479" s="6">
        <f t="shared" si="7"/>
        <v>720</v>
      </c>
    </row>
    <row r="480" spans="1:15" x14ac:dyDescent="0.3">
      <c r="A480" s="6" t="s">
        <v>492</v>
      </c>
      <c r="B480" s="2">
        <v>45597</v>
      </c>
      <c r="C480" s="6" t="s">
        <v>1692</v>
      </c>
      <c r="D480" s="6" t="s">
        <v>2405</v>
      </c>
      <c r="E480" s="9">
        <v>3</v>
      </c>
      <c r="F480" s="4">
        <v>62.77</v>
      </c>
      <c r="G480" t="s">
        <v>2426</v>
      </c>
      <c r="H480" s="6" t="s">
        <v>3068</v>
      </c>
      <c r="I480" s="6" t="s">
        <v>3070</v>
      </c>
      <c r="J480" s="6" t="s">
        <v>3553</v>
      </c>
      <c r="K480" s="9">
        <v>6</v>
      </c>
      <c r="L480" s="6" t="s">
        <v>4276</v>
      </c>
      <c r="M480" s="6" t="s">
        <v>4279</v>
      </c>
      <c r="N480" s="4">
        <v>188.31</v>
      </c>
      <c r="O480" s="6">
        <f t="shared" si="7"/>
        <v>719</v>
      </c>
    </row>
    <row r="481" spans="1:15" x14ac:dyDescent="0.3">
      <c r="A481" s="6" t="s">
        <v>493</v>
      </c>
      <c r="B481" s="2">
        <v>44975</v>
      </c>
      <c r="C481" s="6" t="s">
        <v>1693</v>
      </c>
      <c r="D481" s="6" t="s">
        <v>2403</v>
      </c>
      <c r="E481" s="9">
        <v>4</v>
      </c>
      <c r="F481" s="4">
        <v>25.29</v>
      </c>
      <c r="G481" t="s">
        <v>2781</v>
      </c>
      <c r="H481" s="6" t="s">
        <v>3067</v>
      </c>
      <c r="I481" s="6" t="s">
        <v>3074</v>
      </c>
      <c r="J481" s="6" t="s">
        <v>3554</v>
      </c>
      <c r="K481" s="9">
        <v>8</v>
      </c>
      <c r="L481" s="6" t="s">
        <v>4283</v>
      </c>
      <c r="M481" s="6" t="s">
        <v>4282</v>
      </c>
      <c r="N481" s="4">
        <v>101.16</v>
      </c>
      <c r="O481" s="6">
        <f t="shared" si="7"/>
        <v>718</v>
      </c>
    </row>
    <row r="482" spans="1:15" x14ac:dyDescent="0.3">
      <c r="A482" s="6" t="s">
        <v>494</v>
      </c>
      <c r="B482" s="2">
        <v>45093</v>
      </c>
      <c r="C482" s="6" t="s">
        <v>1694</v>
      </c>
      <c r="D482" s="6" t="s">
        <v>2406</v>
      </c>
      <c r="E482" s="9">
        <v>1</v>
      </c>
      <c r="F482" s="4">
        <v>335.1</v>
      </c>
      <c r="G482" t="s">
        <v>2509</v>
      </c>
      <c r="H482" s="6" t="s">
        <v>3065</v>
      </c>
      <c r="I482" s="6" t="s">
        <v>3074</v>
      </c>
      <c r="J482" s="6" t="s">
        <v>3555</v>
      </c>
      <c r="K482" s="9">
        <v>6</v>
      </c>
      <c r="L482" s="6" t="s">
        <v>4276</v>
      </c>
      <c r="M482" s="6" t="s">
        <v>4279</v>
      </c>
      <c r="N482" s="4">
        <v>335.1</v>
      </c>
      <c r="O482" s="6">
        <f t="shared" si="7"/>
        <v>717</v>
      </c>
    </row>
    <row r="483" spans="1:15" x14ac:dyDescent="0.3">
      <c r="A483" s="6" t="s">
        <v>495</v>
      </c>
      <c r="B483" s="2">
        <v>45039</v>
      </c>
      <c r="C483" s="6" t="s">
        <v>1695</v>
      </c>
      <c r="D483" s="6" t="s">
        <v>2408</v>
      </c>
      <c r="E483" s="9">
        <v>4</v>
      </c>
      <c r="F483" s="4">
        <v>484.85</v>
      </c>
      <c r="G483" t="s">
        <v>2596</v>
      </c>
      <c r="H483" s="6" t="s">
        <v>3065</v>
      </c>
      <c r="I483" s="6" t="s">
        <v>3073</v>
      </c>
      <c r="J483" s="6" t="s">
        <v>3556</v>
      </c>
      <c r="K483" s="9">
        <v>5</v>
      </c>
      <c r="L483" s="6" t="s">
        <v>4277</v>
      </c>
      <c r="M483" s="6" t="s">
        <v>4279</v>
      </c>
      <c r="N483" s="4">
        <v>1939.4</v>
      </c>
      <c r="O483" s="6">
        <f t="shared" si="7"/>
        <v>716</v>
      </c>
    </row>
    <row r="484" spans="1:15" x14ac:dyDescent="0.3">
      <c r="A484" s="6" t="s">
        <v>496</v>
      </c>
      <c r="B484" s="2">
        <v>45718</v>
      </c>
      <c r="C484" s="6" t="s">
        <v>1696</v>
      </c>
      <c r="D484" s="6" t="s">
        <v>2403</v>
      </c>
      <c r="E484" s="9">
        <v>3</v>
      </c>
      <c r="F484" s="4">
        <v>381.41</v>
      </c>
      <c r="G484" t="s">
        <v>2487</v>
      </c>
      <c r="H484" s="6" t="s">
        <v>3066</v>
      </c>
      <c r="I484" s="6" t="s">
        <v>3074</v>
      </c>
      <c r="J484" s="6" t="s">
        <v>3557</v>
      </c>
      <c r="K484" s="9">
        <v>6</v>
      </c>
      <c r="L484" s="6" t="s">
        <v>4283</v>
      </c>
      <c r="M484" s="6" t="s">
        <v>4278</v>
      </c>
      <c r="N484" s="4">
        <v>1144.23</v>
      </c>
      <c r="O484" s="6">
        <f t="shared" si="7"/>
        <v>715</v>
      </c>
    </row>
    <row r="485" spans="1:15" x14ac:dyDescent="0.3">
      <c r="A485" s="6" t="s">
        <v>497</v>
      </c>
      <c r="B485" s="2">
        <v>44944</v>
      </c>
      <c r="C485" s="6" t="s">
        <v>1697</v>
      </c>
      <c r="D485" s="6" t="s">
        <v>2404</v>
      </c>
      <c r="E485" s="9">
        <v>5</v>
      </c>
      <c r="F485" s="4">
        <v>347.92</v>
      </c>
      <c r="G485" t="s">
        <v>2782</v>
      </c>
      <c r="H485" s="6" t="s">
        <v>3069</v>
      </c>
      <c r="I485" s="6" t="s">
        <v>3074</v>
      </c>
      <c r="J485" s="6" t="s">
        <v>3558</v>
      </c>
      <c r="K485" s="9">
        <v>6</v>
      </c>
      <c r="L485" s="6" t="s">
        <v>4277</v>
      </c>
      <c r="M485" s="6" t="s">
        <v>4282</v>
      </c>
      <c r="N485" s="4">
        <v>1739.6</v>
      </c>
      <c r="O485" s="6">
        <f t="shared" si="7"/>
        <v>714</v>
      </c>
    </row>
    <row r="486" spans="1:15" x14ac:dyDescent="0.3">
      <c r="A486" s="6" t="s">
        <v>498</v>
      </c>
      <c r="B486" s="2">
        <v>45441</v>
      </c>
      <c r="C486" s="6" t="s">
        <v>1698</v>
      </c>
      <c r="D486" s="6" t="s">
        <v>2406</v>
      </c>
      <c r="E486" s="9">
        <v>4</v>
      </c>
      <c r="F486" s="4">
        <v>15.01</v>
      </c>
      <c r="G486" t="s">
        <v>2736</v>
      </c>
      <c r="H486" s="6" t="s">
        <v>3069</v>
      </c>
      <c r="I486" s="6" t="s">
        <v>3071</v>
      </c>
      <c r="J486" s="6" t="s">
        <v>3559</v>
      </c>
      <c r="K486" s="9">
        <v>6</v>
      </c>
      <c r="L486" s="6" t="s">
        <v>4283</v>
      </c>
      <c r="M486" s="6" t="s">
        <v>4281</v>
      </c>
      <c r="N486" s="4">
        <v>60.04</v>
      </c>
      <c r="O486" s="6">
        <f t="shared" si="7"/>
        <v>714</v>
      </c>
    </row>
    <row r="487" spans="1:15" x14ac:dyDescent="0.3">
      <c r="A487" s="6" t="s">
        <v>499</v>
      </c>
      <c r="B487" s="2">
        <v>45139</v>
      </c>
      <c r="C487" s="6" t="s">
        <v>1699</v>
      </c>
      <c r="D487" s="6" t="s">
        <v>2406</v>
      </c>
      <c r="E487" s="9">
        <v>3</v>
      </c>
      <c r="F487" s="4">
        <v>404.79</v>
      </c>
      <c r="G487" t="s">
        <v>2783</v>
      </c>
      <c r="H487" s="6" t="s">
        <v>3069</v>
      </c>
      <c r="I487" s="6" t="s">
        <v>3070</v>
      </c>
      <c r="J487" s="6" t="s">
        <v>3560</v>
      </c>
      <c r="K487" s="9">
        <v>6</v>
      </c>
      <c r="L487" s="6" t="s">
        <v>4275</v>
      </c>
      <c r="M487" s="6" t="s">
        <v>4278</v>
      </c>
      <c r="N487" s="4">
        <v>1214.3699999999999</v>
      </c>
      <c r="O487" s="6">
        <f t="shared" si="7"/>
        <v>713</v>
      </c>
    </row>
    <row r="488" spans="1:15" x14ac:dyDescent="0.3">
      <c r="A488" s="6" t="s">
        <v>500</v>
      </c>
      <c r="B488" s="2">
        <v>44960</v>
      </c>
      <c r="C488" s="6" t="s">
        <v>1700</v>
      </c>
      <c r="D488" s="6" t="s">
        <v>2407</v>
      </c>
      <c r="E488" s="9">
        <v>4</v>
      </c>
      <c r="F488" s="4">
        <v>611.26</v>
      </c>
      <c r="G488" t="s">
        <v>2727</v>
      </c>
      <c r="H488" s="6" t="s">
        <v>3069</v>
      </c>
      <c r="I488" s="6" t="s">
        <v>3070</v>
      </c>
      <c r="J488" s="6" t="s">
        <v>3561</v>
      </c>
      <c r="K488" s="9">
        <v>5</v>
      </c>
      <c r="L488" s="6" t="s">
        <v>4275</v>
      </c>
      <c r="M488" s="6" t="s">
        <v>4279</v>
      </c>
      <c r="N488" s="4">
        <v>2445.04</v>
      </c>
      <c r="O488" s="6">
        <f t="shared" si="7"/>
        <v>712</v>
      </c>
    </row>
    <row r="489" spans="1:15" x14ac:dyDescent="0.3">
      <c r="A489" s="6" t="s">
        <v>501</v>
      </c>
      <c r="B489" s="2">
        <v>44994</v>
      </c>
      <c r="C489" s="6" t="s">
        <v>1701</v>
      </c>
      <c r="D489" s="6" t="s">
        <v>2407</v>
      </c>
      <c r="E489" s="9">
        <v>3</v>
      </c>
      <c r="F489" s="4">
        <v>346.52</v>
      </c>
      <c r="G489" t="s">
        <v>2784</v>
      </c>
      <c r="H489" s="6" t="s">
        <v>3067</v>
      </c>
      <c r="I489" s="6" t="s">
        <v>3074</v>
      </c>
      <c r="J489" s="6" t="s">
        <v>3562</v>
      </c>
      <c r="K489" s="9">
        <v>3</v>
      </c>
      <c r="L489" s="6" t="s">
        <v>4275</v>
      </c>
      <c r="M489" s="6" t="s">
        <v>4282</v>
      </c>
      <c r="N489" s="4">
        <v>1039.56</v>
      </c>
      <c r="O489" s="6">
        <f t="shared" si="7"/>
        <v>712</v>
      </c>
    </row>
    <row r="490" spans="1:15" x14ac:dyDescent="0.3">
      <c r="A490" s="6" t="s">
        <v>502</v>
      </c>
      <c r="B490" s="2">
        <v>45631</v>
      </c>
      <c r="C490" s="6" t="s">
        <v>1702</v>
      </c>
      <c r="D490" s="6" t="s">
        <v>2406</v>
      </c>
      <c r="E490" s="9">
        <v>1</v>
      </c>
      <c r="F490" s="4">
        <v>36.65</v>
      </c>
      <c r="G490" t="s">
        <v>2785</v>
      </c>
      <c r="H490" s="6" t="s">
        <v>3066</v>
      </c>
      <c r="I490" s="6" t="s">
        <v>3071</v>
      </c>
      <c r="J490" s="6" t="s">
        <v>3563</v>
      </c>
      <c r="K490" s="9">
        <v>1</v>
      </c>
      <c r="L490" s="6" t="s">
        <v>4277</v>
      </c>
      <c r="M490" s="6" t="s">
        <v>4280</v>
      </c>
      <c r="N490" s="4">
        <v>36.65</v>
      </c>
      <c r="O490" s="6">
        <f t="shared" si="7"/>
        <v>711</v>
      </c>
    </row>
    <row r="491" spans="1:15" x14ac:dyDescent="0.3">
      <c r="A491" s="6" t="s">
        <v>503</v>
      </c>
      <c r="B491" s="2">
        <v>45174</v>
      </c>
      <c r="C491" s="6" t="s">
        <v>1703</v>
      </c>
      <c r="D491" s="6" t="s">
        <v>2405</v>
      </c>
      <c r="E491" s="9">
        <v>3</v>
      </c>
      <c r="F491" s="4">
        <v>149.34</v>
      </c>
      <c r="G491" t="s">
        <v>2637</v>
      </c>
      <c r="H491" s="6" t="s">
        <v>3068</v>
      </c>
      <c r="I491" s="6" t="s">
        <v>3071</v>
      </c>
      <c r="J491" s="6" t="s">
        <v>3564</v>
      </c>
      <c r="K491" s="9">
        <v>7</v>
      </c>
      <c r="L491" s="6" t="s">
        <v>4277</v>
      </c>
      <c r="M491" s="6" t="s">
        <v>4280</v>
      </c>
      <c r="N491" s="4">
        <v>448.02</v>
      </c>
      <c r="O491" s="6">
        <f t="shared" si="7"/>
        <v>710</v>
      </c>
    </row>
    <row r="492" spans="1:15" x14ac:dyDescent="0.3">
      <c r="A492" s="6" t="s">
        <v>504</v>
      </c>
      <c r="B492" s="2">
        <v>45495</v>
      </c>
      <c r="C492" s="6" t="s">
        <v>1704</v>
      </c>
      <c r="D492" s="6" t="s">
        <v>2406</v>
      </c>
      <c r="E492" s="9">
        <v>5</v>
      </c>
      <c r="F492" s="4">
        <v>467.81</v>
      </c>
      <c r="G492" t="s">
        <v>2786</v>
      </c>
      <c r="H492" s="6" t="s">
        <v>3066</v>
      </c>
      <c r="I492" s="6" t="s">
        <v>3071</v>
      </c>
      <c r="J492" s="6" t="s">
        <v>3565</v>
      </c>
      <c r="K492" s="9">
        <v>10</v>
      </c>
      <c r="L492" s="6" t="s">
        <v>4283</v>
      </c>
      <c r="M492" s="6" t="s">
        <v>4281</v>
      </c>
      <c r="N492" s="4">
        <v>2339.0500000000002</v>
      </c>
      <c r="O492" s="6">
        <f t="shared" si="7"/>
        <v>709</v>
      </c>
    </row>
    <row r="493" spans="1:15" x14ac:dyDescent="0.3">
      <c r="A493" s="6" t="s">
        <v>505</v>
      </c>
      <c r="B493" s="2">
        <v>44931</v>
      </c>
      <c r="C493" s="6" t="s">
        <v>1705</v>
      </c>
      <c r="D493" s="6" t="s">
        <v>2404</v>
      </c>
      <c r="E493" s="9">
        <v>5</v>
      </c>
      <c r="F493" s="4">
        <v>420.7</v>
      </c>
      <c r="G493" t="s">
        <v>2780</v>
      </c>
      <c r="H493" s="6" t="s">
        <v>3069</v>
      </c>
      <c r="I493" s="6" t="s">
        <v>3074</v>
      </c>
      <c r="J493" s="6" t="s">
        <v>3566</v>
      </c>
      <c r="K493" s="9">
        <v>5</v>
      </c>
      <c r="L493" s="6" t="s">
        <v>4277</v>
      </c>
      <c r="M493" s="6" t="s">
        <v>4281</v>
      </c>
      <c r="N493" s="4">
        <v>2103.5</v>
      </c>
      <c r="O493" s="6">
        <f t="shared" si="7"/>
        <v>708</v>
      </c>
    </row>
    <row r="494" spans="1:15" x14ac:dyDescent="0.3">
      <c r="A494" s="6" t="s">
        <v>506</v>
      </c>
      <c r="B494" s="2">
        <v>45224</v>
      </c>
      <c r="C494" s="6" t="s">
        <v>1706</v>
      </c>
      <c r="D494" s="6" t="s">
        <v>2408</v>
      </c>
      <c r="E494" s="9">
        <v>5</v>
      </c>
      <c r="F494" s="4">
        <v>606.52</v>
      </c>
      <c r="G494" t="s">
        <v>2483</v>
      </c>
      <c r="H494" s="6" t="s">
        <v>3065</v>
      </c>
      <c r="I494" s="6" t="s">
        <v>3070</v>
      </c>
      <c r="J494" s="6" t="s">
        <v>3567</v>
      </c>
      <c r="K494" s="9">
        <v>6</v>
      </c>
      <c r="L494" s="6" t="s">
        <v>4275</v>
      </c>
      <c r="M494" s="6" t="s">
        <v>4278</v>
      </c>
      <c r="N494" s="4">
        <v>3032.6</v>
      </c>
      <c r="O494" s="6">
        <f t="shared" si="7"/>
        <v>707</v>
      </c>
    </row>
    <row r="495" spans="1:15" x14ac:dyDescent="0.3">
      <c r="A495" s="6" t="s">
        <v>507</v>
      </c>
      <c r="B495" s="2">
        <v>45685</v>
      </c>
      <c r="C495" s="6" t="s">
        <v>1707</v>
      </c>
      <c r="D495" s="6" t="s">
        <v>2404</v>
      </c>
      <c r="E495" s="9">
        <v>1</v>
      </c>
      <c r="F495" s="4">
        <v>420.26</v>
      </c>
      <c r="G495" t="s">
        <v>2787</v>
      </c>
      <c r="H495" s="6" t="s">
        <v>3067</v>
      </c>
      <c r="I495" s="6" t="s">
        <v>3074</v>
      </c>
      <c r="J495" s="6" t="s">
        <v>3568</v>
      </c>
      <c r="K495" s="9">
        <v>4</v>
      </c>
      <c r="L495" s="6" t="s">
        <v>4276</v>
      </c>
      <c r="M495" s="6" t="s">
        <v>4281</v>
      </c>
      <c r="N495" s="4">
        <v>420.26</v>
      </c>
      <c r="O495" s="6">
        <f t="shared" si="7"/>
        <v>706</v>
      </c>
    </row>
    <row r="496" spans="1:15" x14ac:dyDescent="0.3">
      <c r="A496" s="6" t="s">
        <v>508</v>
      </c>
      <c r="B496" s="2">
        <v>45126</v>
      </c>
      <c r="C496" s="6" t="s">
        <v>1708</v>
      </c>
      <c r="D496" s="6" t="s">
        <v>2408</v>
      </c>
      <c r="E496" s="9">
        <v>3</v>
      </c>
      <c r="F496" s="4">
        <v>505.79</v>
      </c>
      <c r="G496" t="s">
        <v>2788</v>
      </c>
      <c r="H496" s="6" t="s">
        <v>3065</v>
      </c>
      <c r="I496" s="6" t="s">
        <v>3074</v>
      </c>
      <c r="J496" s="6" t="s">
        <v>3569</v>
      </c>
      <c r="K496" s="9">
        <v>3</v>
      </c>
      <c r="L496" s="6" t="s">
        <v>4276</v>
      </c>
      <c r="M496" s="6" t="s">
        <v>4279</v>
      </c>
      <c r="N496" s="4">
        <v>1517.37</v>
      </c>
      <c r="O496" s="6">
        <f t="shared" si="7"/>
        <v>705</v>
      </c>
    </row>
    <row r="497" spans="1:15" x14ac:dyDescent="0.3">
      <c r="A497" s="6" t="s">
        <v>509</v>
      </c>
      <c r="B497" s="2">
        <v>45813</v>
      </c>
      <c r="C497" s="6" t="s">
        <v>1709</v>
      </c>
      <c r="D497" s="6" t="s">
        <v>2404</v>
      </c>
      <c r="E497" s="9">
        <v>4</v>
      </c>
      <c r="F497" s="4">
        <v>493.73</v>
      </c>
      <c r="G497" t="s">
        <v>2550</v>
      </c>
      <c r="H497" s="6" t="s">
        <v>3065</v>
      </c>
      <c r="I497" s="6" t="s">
        <v>3074</v>
      </c>
      <c r="J497" s="6" t="s">
        <v>3570</v>
      </c>
      <c r="K497" s="9">
        <v>6</v>
      </c>
      <c r="L497" s="6" t="s">
        <v>4275</v>
      </c>
      <c r="M497" s="6" t="s">
        <v>4281</v>
      </c>
      <c r="N497" s="4">
        <v>1974.92</v>
      </c>
      <c r="O497" s="6">
        <f t="shared" si="7"/>
        <v>704</v>
      </c>
    </row>
    <row r="498" spans="1:15" x14ac:dyDescent="0.3">
      <c r="A498" s="6" t="s">
        <v>510</v>
      </c>
      <c r="B498" s="2">
        <v>45730</v>
      </c>
      <c r="C498" s="6" t="s">
        <v>1710</v>
      </c>
      <c r="D498" s="6" t="s">
        <v>2407</v>
      </c>
      <c r="E498" s="9">
        <v>3</v>
      </c>
      <c r="F498" s="4">
        <v>201.21</v>
      </c>
      <c r="G498" t="s">
        <v>2789</v>
      </c>
      <c r="H498" s="6" t="s">
        <v>3066</v>
      </c>
      <c r="I498" s="6" t="s">
        <v>3071</v>
      </c>
      <c r="J498" s="6" t="s">
        <v>3571</v>
      </c>
      <c r="K498" s="9">
        <v>3</v>
      </c>
      <c r="L498" s="6" t="s">
        <v>4275</v>
      </c>
      <c r="M498" s="6" t="s">
        <v>4282</v>
      </c>
      <c r="N498" s="4">
        <v>603.63</v>
      </c>
      <c r="O498" s="6">
        <f t="shared" si="7"/>
        <v>703</v>
      </c>
    </row>
    <row r="499" spans="1:15" x14ac:dyDescent="0.3">
      <c r="A499" s="6" t="s">
        <v>511</v>
      </c>
      <c r="B499" s="2">
        <v>45589</v>
      </c>
      <c r="C499" s="6" t="s">
        <v>1711</v>
      </c>
      <c r="D499" s="6" t="s">
        <v>2407</v>
      </c>
      <c r="E499" s="9">
        <v>3</v>
      </c>
      <c r="F499" s="4">
        <v>112.29</v>
      </c>
      <c r="G499" t="s">
        <v>2790</v>
      </c>
      <c r="H499" s="6" t="s">
        <v>3068</v>
      </c>
      <c r="I499" s="6" t="s">
        <v>3070</v>
      </c>
      <c r="J499" s="6" t="s">
        <v>3572</v>
      </c>
      <c r="K499" s="9">
        <v>6</v>
      </c>
      <c r="L499" s="6" t="s">
        <v>4283</v>
      </c>
      <c r="M499" s="6" t="s">
        <v>4282</v>
      </c>
      <c r="N499" s="4">
        <v>336.87</v>
      </c>
      <c r="O499" s="6">
        <f t="shared" si="7"/>
        <v>702</v>
      </c>
    </row>
    <row r="500" spans="1:15" x14ac:dyDescent="0.3">
      <c r="A500" s="6" t="s">
        <v>512</v>
      </c>
      <c r="B500" s="2">
        <v>45119</v>
      </c>
      <c r="C500" s="6" t="s">
        <v>1712</v>
      </c>
      <c r="D500" s="6" t="s">
        <v>2405</v>
      </c>
      <c r="E500" s="9">
        <v>4</v>
      </c>
      <c r="F500" s="4">
        <v>132.56</v>
      </c>
      <c r="G500" t="s">
        <v>2622</v>
      </c>
      <c r="H500" s="6" t="s">
        <v>3069</v>
      </c>
      <c r="I500" s="6" t="s">
        <v>3072</v>
      </c>
      <c r="J500" s="6" t="s">
        <v>3573</v>
      </c>
      <c r="K500" s="9">
        <v>8</v>
      </c>
      <c r="L500" s="6" t="s">
        <v>4277</v>
      </c>
      <c r="M500" s="6" t="s">
        <v>4278</v>
      </c>
      <c r="N500" s="4">
        <v>530.24</v>
      </c>
      <c r="O500" s="6">
        <f t="shared" si="7"/>
        <v>701</v>
      </c>
    </row>
    <row r="501" spans="1:15" x14ac:dyDescent="0.3">
      <c r="A501" s="6" t="s">
        <v>513</v>
      </c>
      <c r="B501" s="2">
        <v>45022</v>
      </c>
      <c r="C501" s="6" t="s">
        <v>1713</v>
      </c>
      <c r="D501" s="6" t="s">
        <v>2407</v>
      </c>
      <c r="E501" s="9">
        <v>3</v>
      </c>
      <c r="F501" s="4">
        <v>539.46</v>
      </c>
      <c r="G501" t="s">
        <v>2791</v>
      </c>
      <c r="H501" s="6" t="s">
        <v>3067</v>
      </c>
      <c r="I501" s="6" t="s">
        <v>3070</v>
      </c>
      <c r="J501" s="6" t="s">
        <v>3574</v>
      </c>
      <c r="K501" s="9">
        <v>4</v>
      </c>
      <c r="L501" s="6" t="s">
        <v>4275</v>
      </c>
      <c r="M501" s="6" t="s">
        <v>4281</v>
      </c>
      <c r="N501" s="4">
        <v>1618.38</v>
      </c>
      <c r="O501" s="6">
        <f t="shared" si="7"/>
        <v>700</v>
      </c>
    </row>
    <row r="502" spans="1:15" x14ac:dyDescent="0.3">
      <c r="A502" s="6" t="s">
        <v>514</v>
      </c>
      <c r="B502" s="2">
        <v>45389</v>
      </c>
      <c r="C502" s="6" t="s">
        <v>1714</v>
      </c>
      <c r="D502" s="6" t="s">
        <v>2408</v>
      </c>
      <c r="E502" s="9">
        <v>5</v>
      </c>
      <c r="F502" s="4">
        <v>508.59</v>
      </c>
      <c r="G502" t="s">
        <v>2792</v>
      </c>
      <c r="H502" s="6" t="s">
        <v>3069</v>
      </c>
      <c r="I502" s="6" t="s">
        <v>3072</v>
      </c>
      <c r="J502" s="6" t="s">
        <v>3575</v>
      </c>
      <c r="K502" s="9">
        <v>8</v>
      </c>
      <c r="L502" s="6" t="s">
        <v>4277</v>
      </c>
      <c r="M502" s="6" t="s">
        <v>4281</v>
      </c>
      <c r="N502" s="4">
        <v>2542.9499999999998</v>
      </c>
      <c r="O502" s="6">
        <f t="shared" si="7"/>
        <v>699</v>
      </c>
    </row>
    <row r="503" spans="1:15" x14ac:dyDescent="0.3">
      <c r="A503" s="6" t="s">
        <v>515</v>
      </c>
      <c r="B503" s="2">
        <v>45326</v>
      </c>
      <c r="C503" s="6" t="s">
        <v>1715</v>
      </c>
      <c r="D503" s="6" t="s">
        <v>2409</v>
      </c>
      <c r="E503" s="9">
        <v>4</v>
      </c>
      <c r="F503" s="4">
        <v>203.46</v>
      </c>
      <c r="G503" t="s">
        <v>2559</v>
      </c>
      <c r="H503" s="6" t="s">
        <v>3067</v>
      </c>
      <c r="I503" s="6" t="s">
        <v>3074</v>
      </c>
      <c r="J503" s="6" t="s">
        <v>3576</v>
      </c>
      <c r="K503" s="9">
        <v>7</v>
      </c>
      <c r="L503" s="6" t="s">
        <v>4275</v>
      </c>
      <c r="M503" s="6" t="s">
        <v>4279</v>
      </c>
      <c r="N503" s="4">
        <v>813.84</v>
      </c>
      <c r="O503" s="6">
        <f t="shared" si="7"/>
        <v>698</v>
      </c>
    </row>
    <row r="504" spans="1:15" x14ac:dyDescent="0.3">
      <c r="A504" s="6" t="s">
        <v>516</v>
      </c>
      <c r="B504" s="2">
        <v>45066</v>
      </c>
      <c r="C504" s="6" t="s">
        <v>1716</v>
      </c>
      <c r="D504" s="6" t="s">
        <v>2403</v>
      </c>
      <c r="E504" s="9">
        <v>3</v>
      </c>
      <c r="F504" s="4">
        <v>565.25</v>
      </c>
      <c r="G504" t="s">
        <v>2793</v>
      </c>
      <c r="H504" s="6" t="s">
        <v>3065</v>
      </c>
      <c r="I504" s="6" t="s">
        <v>3072</v>
      </c>
      <c r="J504" s="6" t="s">
        <v>3577</v>
      </c>
      <c r="K504" s="9">
        <v>7</v>
      </c>
      <c r="L504" s="6" t="s">
        <v>4275</v>
      </c>
      <c r="M504" s="6" t="s">
        <v>4280</v>
      </c>
      <c r="N504" s="4">
        <v>1695.75</v>
      </c>
      <c r="O504" s="6">
        <f t="shared" si="7"/>
        <v>697</v>
      </c>
    </row>
    <row r="505" spans="1:15" x14ac:dyDescent="0.3">
      <c r="A505" s="6" t="s">
        <v>517</v>
      </c>
      <c r="B505" s="2">
        <v>45169</v>
      </c>
      <c r="C505" s="6" t="s">
        <v>1717</v>
      </c>
      <c r="D505" s="6" t="s">
        <v>2405</v>
      </c>
      <c r="E505" s="9">
        <v>3</v>
      </c>
      <c r="F505" s="4">
        <v>136.84</v>
      </c>
      <c r="G505" t="s">
        <v>2794</v>
      </c>
      <c r="H505" s="6" t="s">
        <v>3066</v>
      </c>
      <c r="I505" s="6" t="s">
        <v>3074</v>
      </c>
      <c r="J505" s="6" t="s">
        <v>3578</v>
      </c>
      <c r="K505" s="9">
        <v>4</v>
      </c>
      <c r="L505" s="6" t="s">
        <v>4276</v>
      </c>
      <c r="M505" s="6" t="s">
        <v>4281</v>
      </c>
      <c r="N505" s="4">
        <v>410.52</v>
      </c>
      <c r="O505" s="6">
        <f t="shared" si="7"/>
        <v>696</v>
      </c>
    </row>
    <row r="506" spans="1:15" x14ac:dyDescent="0.3">
      <c r="A506" s="6" t="s">
        <v>518</v>
      </c>
      <c r="B506" s="2">
        <v>45819</v>
      </c>
      <c r="C506" s="6" t="s">
        <v>1718</v>
      </c>
      <c r="D506" s="6" t="s">
        <v>2403</v>
      </c>
      <c r="E506" s="9">
        <v>2</v>
      </c>
      <c r="F506" s="4">
        <v>464.5</v>
      </c>
      <c r="G506" t="s">
        <v>2795</v>
      </c>
      <c r="H506" s="6" t="s">
        <v>3066</v>
      </c>
      <c r="I506" s="6" t="s">
        <v>3071</v>
      </c>
      <c r="J506" s="6" t="s">
        <v>3579</v>
      </c>
      <c r="K506" s="9">
        <v>2</v>
      </c>
      <c r="L506" s="6" t="s">
        <v>4277</v>
      </c>
      <c r="M506" s="6" t="s">
        <v>4278</v>
      </c>
      <c r="N506" s="4">
        <v>929</v>
      </c>
      <c r="O506" s="6">
        <f t="shared" si="7"/>
        <v>695</v>
      </c>
    </row>
    <row r="507" spans="1:15" x14ac:dyDescent="0.3">
      <c r="A507" s="6" t="s">
        <v>519</v>
      </c>
      <c r="B507" s="2">
        <v>45088</v>
      </c>
      <c r="C507" s="6" t="s">
        <v>1719</v>
      </c>
      <c r="D507" s="6" t="s">
        <v>2407</v>
      </c>
      <c r="E507" s="9">
        <v>2</v>
      </c>
      <c r="F507" s="4">
        <v>434.97</v>
      </c>
      <c r="G507" t="s">
        <v>2727</v>
      </c>
      <c r="H507" s="6" t="s">
        <v>3066</v>
      </c>
      <c r="I507" s="6" t="s">
        <v>3070</v>
      </c>
      <c r="J507" s="6" t="s">
        <v>3580</v>
      </c>
      <c r="K507" s="9">
        <v>7</v>
      </c>
      <c r="L507" s="6" t="s">
        <v>4283</v>
      </c>
      <c r="M507" s="6" t="s">
        <v>4280</v>
      </c>
      <c r="N507" s="4">
        <v>869.94</v>
      </c>
      <c r="O507" s="6">
        <f t="shared" si="7"/>
        <v>694</v>
      </c>
    </row>
    <row r="508" spans="1:15" x14ac:dyDescent="0.3">
      <c r="A508" s="6" t="s">
        <v>520</v>
      </c>
      <c r="B508" s="2">
        <v>45132</v>
      </c>
      <c r="C508" s="6" t="s">
        <v>1720</v>
      </c>
      <c r="D508" s="6" t="s">
        <v>2403</v>
      </c>
      <c r="E508" s="9">
        <v>2</v>
      </c>
      <c r="F508" s="4">
        <v>43.67</v>
      </c>
      <c r="G508" t="s">
        <v>2796</v>
      </c>
      <c r="H508" s="6" t="s">
        <v>3069</v>
      </c>
      <c r="I508" s="6" t="s">
        <v>3072</v>
      </c>
      <c r="J508" s="6" t="s">
        <v>3581</v>
      </c>
      <c r="K508" s="9">
        <v>4</v>
      </c>
      <c r="L508" s="6" t="s">
        <v>4277</v>
      </c>
      <c r="M508" s="6" t="s">
        <v>4278</v>
      </c>
      <c r="N508" s="4">
        <v>87.34</v>
      </c>
      <c r="O508" s="6">
        <f t="shared" si="7"/>
        <v>693</v>
      </c>
    </row>
    <row r="509" spans="1:15" x14ac:dyDescent="0.3">
      <c r="A509" s="6" t="s">
        <v>521</v>
      </c>
      <c r="B509" s="2">
        <v>45112</v>
      </c>
      <c r="C509" s="6" t="s">
        <v>1721</v>
      </c>
      <c r="D509" s="6" t="s">
        <v>2404</v>
      </c>
      <c r="E509" s="9">
        <v>1</v>
      </c>
      <c r="F509" s="4">
        <v>171.59</v>
      </c>
      <c r="G509" t="s">
        <v>2684</v>
      </c>
      <c r="H509" s="6" t="s">
        <v>3067</v>
      </c>
      <c r="I509" s="6" t="s">
        <v>3074</v>
      </c>
      <c r="J509" s="6" t="s">
        <v>3582</v>
      </c>
      <c r="K509" s="9">
        <v>5</v>
      </c>
      <c r="L509" s="6" t="s">
        <v>4277</v>
      </c>
      <c r="M509" s="6" t="s">
        <v>4280</v>
      </c>
      <c r="N509" s="4">
        <v>171.59</v>
      </c>
      <c r="O509" s="6">
        <f t="shared" si="7"/>
        <v>692</v>
      </c>
    </row>
    <row r="510" spans="1:15" x14ac:dyDescent="0.3">
      <c r="A510" s="6" t="s">
        <v>522</v>
      </c>
      <c r="B510" s="2">
        <v>45791</v>
      </c>
      <c r="C510" s="6" t="s">
        <v>1722</v>
      </c>
      <c r="D510" s="6" t="s">
        <v>2404</v>
      </c>
      <c r="E510" s="9">
        <v>1</v>
      </c>
      <c r="F510" s="4">
        <v>558.27</v>
      </c>
      <c r="G510" t="s">
        <v>2797</v>
      </c>
      <c r="H510" s="6" t="s">
        <v>3066</v>
      </c>
      <c r="I510" s="6" t="s">
        <v>3073</v>
      </c>
      <c r="J510" s="6" t="s">
        <v>3583</v>
      </c>
      <c r="K510" s="9">
        <v>1</v>
      </c>
      <c r="L510" s="6" t="s">
        <v>4283</v>
      </c>
      <c r="M510" s="6" t="s">
        <v>4279</v>
      </c>
      <c r="N510" s="4">
        <v>558.27</v>
      </c>
      <c r="O510" s="6">
        <f t="shared" si="7"/>
        <v>691</v>
      </c>
    </row>
    <row r="511" spans="1:15" x14ac:dyDescent="0.3">
      <c r="A511" s="6" t="s">
        <v>523</v>
      </c>
      <c r="B511" s="2">
        <v>44972</v>
      </c>
      <c r="C511" s="6" t="s">
        <v>1723</v>
      </c>
      <c r="D511" s="6" t="s">
        <v>2408</v>
      </c>
      <c r="E511" s="9">
        <v>2</v>
      </c>
      <c r="F511" s="4">
        <v>425.03</v>
      </c>
      <c r="G511" t="s">
        <v>2798</v>
      </c>
      <c r="H511" s="6" t="s">
        <v>3069</v>
      </c>
      <c r="I511" s="6" t="s">
        <v>3072</v>
      </c>
      <c r="J511" s="6" t="s">
        <v>3584</v>
      </c>
      <c r="K511" s="9">
        <v>2</v>
      </c>
      <c r="L511" s="6" t="s">
        <v>4277</v>
      </c>
      <c r="M511" s="6" t="s">
        <v>4282</v>
      </c>
      <c r="N511" s="4">
        <v>850.06</v>
      </c>
      <c r="O511" s="6">
        <f t="shared" si="7"/>
        <v>690</v>
      </c>
    </row>
    <row r="512" spans="1:15" x14ac:dyDescent="0.3">
      <c r="A512" s="6" t="s">
        <v>524</v>
      </c>
      <c r="B512" s="2">
        <v>45642</v>
      </c>
      <c r="C512" s="6" t="s">
        <v>1724</v>
      </c>
      <c r="D512" s="6" t="s">
        <v>2407</v>
      </c>
      <c r="E512" s="9">
        <v>1</v>
      </c>
      <c r="F512" s="4">
        <v>376.76</v>
      </c>
      <c r="G512" t="s">
        <v>2799</v>
      </c>
      <c r="H512" s="6" t="s">
        <v>3065</v>
      </c>
      <c r="I512" s="6" t="s">
        <v>3073</v>
      </c>
      <c r="J512" s="6" t="s">
        <v>3585</v>
      </c>
      <c r="K512" s="9">
        <v>5</v>
      </c>
      <c r="L512" s="6" t="s">
        <v>4275</v>
      </c>
      <c r="M512" s="6" t="s">
        <v>4280</v>
      </c>
      <c r="N512" s="4">
        <v>376.76</v>
      </c>
      <c r="O512" s="6">
        <f t="shared" si="7"/>
        <v>689</v>
      </c>
    </row>
    <row r="513" spans="1:15" x14ac:dyDescent="0.3">
      <c r="A513" s="6" t="s">
        <v>525</v>
      </c>
      <c r="B513" s="2">
        <v>45366</v>
      </c>
      <c r="C513" s="6" t="s">
        <v>1725</v>
      </c>
      <c r="D513" s="6" t="s">
        <v>2403</v>
      </c>
      <c r="E513" s="9">
        <v>5</v>
      </c>
      <c r="F513" s="4">
        <v>575.24</v>
      </c>
      <c r="G513" t="s">
        <v>2450</v>
      </c>
      <c r="H513" s="6" t="s">
        <v>3069</v>
      </c>
      <c r="I513" s="6" t="s">
        <v>3073</v>
      </c>
      <c r="J513" s="6" t="s">
        <v>3586</v>
      </c>
      <c r="K513" s="9">
        <v>7</v>
      </c>
      <c r="L513" s="6" t="s">
        <v>4277</v>
      </c>
      <c r="M513" s="6" t="s">
        <v>4280</v>
      </c>
      <c r="N513" s="4">
        <v>2876.2</v>
      </c>
      <c r="O513" s="6">
        <f t="shared" si="7"/>
        <v>688</v>
      </c>
    </row>
    <row r="514" spans="1:15" x14ac:dyDescent="0.3">
      <c r="A514" s="6" t="s">
        <v>526</v>
      </c>
      <c r="B514" s="2">
        <v>45562</v>
      </c>
      <c r="C514" s="6" t="s">
        <v>1726</v>
      </c>
      <c r="D514" s="6" t="s">
        <v>2409</v>
      </c>
      <c r="E514" s="9">
        <v>3</v>
      </c>
      <c r="F514" s="4">
        <v>568.02</v>
      </c>
      <c r="G514" t="s">
        <v>2662</v>
      </c>
      <c r="H514" s="6" t="s">
        <v>3066</v>
      </c>
      <c r="I514" s="6" t="s">
        <v>3074</v>
      </c>
      <c r="J514" s="6" t="s">
        <v>3587</v>
      </c>
      <c r="K514" s="9">
        <v>3</v>
      </c>
      <c r="L514" s="6" t="s">
        <v>4276</v>
      </c>
      <c r="M514" s="6" t="s">
        <v>4278</v>
      </c>
      <c r="N514" s="4">
        <v>1704.06</v>
      </c>
      <c r="O514" s="6">
        <f t="shared" ref="O514:O577" si="8">COUNTA(_xlfn.UNIQUE(C513:C1712))</f>
        <v>687</v>
      </c>
    </row>
    <row r="515" spans="1:15" x14ac:dyDescent="0.3">
      <c r="A515" s="6" t="s">
        <v>527</v>
      </c>
      <c r="B515" s="2">
        <v>45697</v>
      </c>
      <c r="C515" s="6" t="s">
        <v>1727</v>
      </c>
      <c r="D515" s="6" t="s">
        <v>2405</v>
      </c>
      <c r="E515" s="9">
        <v>3</v>
      </c>
      <c r="F515" s="4">
        <v>94.88</v>
      </c>
      <c r="G515" t="s">
        <v>2501</v>
      </c>
      <c r="H515" s="6" t="s">
        <v>3068</v>
      </c>
      <c r="I515" s="6" t="s">
        <v>3070</v>
      </c>
      <c r="J515" s="6" t="s">
        <v>3588</v>
      </c>
      <c r="K515" s="9">
        <v>8</v>
      </c>
      <c r="L515" s="6" t="s">
        <v>4283</v>
      </c>
      <c r="M515" s="6" t="s">
        <v>4279</v>
      </c>
      <c r="N515" s="4">
        <v>284.64</v>
      </c>
      <c r="O515" s="6">
        <f t="shared" si="8"/>
        <v>686</v>
      </c>
    </row>
    <row r="516" spans="1:15" x14ac:dyDescent="0.3">
      <c r="A516" s="6" t="s">
        <v>528</v>
      </c>
      <c r="B516" s="2">
        <v>45032</v>
      </c>
      <c r="C516" s="6" t="s">
        <v>1728</v>
      </c>
      <c r="D516" s="6" t="s">
        <v>2407</v>
      </c>
      <c r="E516" s="9">
        <v>3</v>
      </c>
      <c r="F516" s="4">
        <v>304.14999999999998</v>
      </c>
      <c r="G516" t="s">
        <v>2764</v>
      </c>
      <c r="H516" s="6" t="s">
        <v>3068</v>
      </c>
      <c r="I516" s="6" t="s">
        <v>3070</v>
      </c>
      <c r="J516" s="6" t="s">
        <v>3589</v>
      </c>
      <c r="K516" s="9">
        <v>3</v>
      </c>
      <c r="L516" s="6" t="s">
        <v>4277</v>
      </c>
      <c r="M516" s="6" t="s">
        <v>4278</v>
      </c>
      <c r="N516" s="4">
        <v>912.44999999999993</v>
      </c>
      <c r="O516" s="6">
        <f t="shared" si="8"/>
        <v>685</v>
      </c>
    </row>
    <row r="517" spans="1:15" x14ac:dyDescent="0.3">
      <c r="A517" s="6" t="s">
        <v>529</v>
      </c>
      <c r="B517" s="2">
        <v>44999</v>
      </c>
      <c r="C517" s="6" t="s">
        <v>1729</v>
      </c>
      <c r="D517" s="6" t="s">
        <v>2404</v>
      </c>
      <c r="E517" s="9">
        <v>3</v>
      </c>
      <c r="F517" s="4">
        <v>553.52</v>
      </c>
      <c r="G517" t="s">
        <v>2762</v>
      </c>
      <c r="H517" s="6" t="s">
        <v>3068</v>
      </c>
      <c r="I517" s="6" t="s">
        <v>3070</v>
      </c>
      <c r="J517" s="6" t="s">
        <v>3590</v>
      </c>
      <c r="K517" s="9">
        <v>4</v>
      </c>
      <c r="L517" s="6" t="s">
        <v>4276</v>
      </c>
      <c r="M517" s="6" t="s">
        <v>4281</v>
      </c>
      <c r="N517" s="4">
        <v>1660.56</v>
      </c>
      <c r="O517" s="6">
        <f t="shared" si="8"/>
        <v>684</v>
      </c>
    </row>
    <row r="518" spans="1:15" x14ac:dyDescent="0.3">
      <c r="A518" s="6" t="s">
        <v>530</v>
      </c>
      <c r="B518" s="2">
        <v>45389</v>
      </c>
      <c r="C518" s="6" t="s">
        <v>1730</v>
      </c>
      <c r="D518" s="6" t="s">
        <v>2403</v>
      </c>
      <c r="E518" s="9">
        <v>3</v>
      </c>
      <c r="F518" s="4">
        <v>166.99</v>
      </c>
      <c r="G518" t="s">
        <v>2659</v>
      </c>
      <c r="H518" s="6" t="s">
        <v>3069</v>
      </c>
      <c r="I518" s="6" t="s">
        <v>3072</v>
      </c>
      <c r="J518" s="6" t="s">
        <v>3591</v>
      </c>
      <c r="K518" s="9">
        <v>8</v>
      </c>
      <c r="L518" s="6" t="s">
        <v>4283</v>
      </c>
      <c r="M518" s="6" t="s">
        <v>4281</v>
      </c>
      <c r="N518" s="4">
        <v>500.97</v>
      </c>
      <c r="O518" s="6">
        <f t="shared" si="8"/>
        <v>683</v>
      </c>
    </row>
    <row r="519" spans="1:15" x14ac:dyDescent="0.3">
      <c r="A519" s="6" t="s">
        <v>531</v>
      </c>
      <c r="B519" s="2">
        <v>45391</v>
      </c>
      <c r="C519" s="6" t="s">
        <v>1731</v>
      </c>
      <c r="D519" s="6" t="s">
        <v>2405</v>
      </c>
      <c r="E519" s="9">
        <v>4</v>
      </c>
      <c r="F519" s="4">
        <v>198.35</v>
      </c>
      <c r="G519" t="s">
        <v>2781</v>
      </c>
      <c r="H519" s="6" t="s">
        <v>3069</v>
      </c>
      <c r="I519" s="6" t="s">
        <v>3071</v>
      </c>
      <c r="J519" s="6" t="s">
        <v>3592</v>
      </c>
      <c r="K519" s="9">
        <v>7</v>
      </c>
      <c r="L519" s="6" t="s">
        <v>4276</v>
      </c>
      <c r="M519" s="6" t="s">
        <v>4282</v>
      </c>
      <c r="N519" s="4">
        <v>793.4</v>
      </c>
      <c r="O519" s="6">
        <f t="shared" si="8"/>
        <v>682</v>
      </c>
    </row>
    <row r="520" spans="1:15" x14ac:dyDescent="0.3">
      <c r="A520" s="6" t="s">
        <v>532</v>
      </c>
      <c r="B520" s="2">
        <v>45821</v>
      </c>
      <c r="C520" s="6" t="s">
        <v>1732</v>
      </c>
      <c r="D520" s="6" t="s">
        <v>2407</v>
      </c>
      <c r="E520" s="9">
        <v>4</v>
      </c>
      <c r="F520" s="4">
        <v>403.58</v>
      </c>
      <c r="G520" t="s">
        <v>2732</v>
      </c>
      <c r="H520" s="6" t="s">
        <v>3066</v>
      </c>
      <c r="I520" s="6" t="s">
        <v>3074</v>
      </c>
      <c r="J520" s="6" t="s">
        <v>3593</v>
      </c>
      <c r="K520" s="9">
        <v>9</v>
      </c>
      <c r="L520" s="6" t="s">
        <v>4275</v>
      </c>
      <c r="M520" s="6" t="s">
        <v>4279</v>
      </c>
      <c r="N520" s="4">
        <v>1614.32</v>
      </c>
      <c r="O520" s="6">
        <f t="shared" si="8"/>
        <v>681</v>
      </c>
    </row>
    <row r="521" spans="1:15" x14ac:dyDescent="0.3">
      <c r="A521" s="6" t="s">
        <v>533</v>
      </c>
      <c r="B521" s="2">
        <v>45787</v>
      </c>
      <c r="C521" s="6" t="s">
        <v>1733</v>
      </c>
      <c r="D521" s="6" t="s">
        <v>2408</v>
      </c>
      <c r="E521" s="9">
        <v>4</v>
      </c>
      <c r="F521" s="4">
        <v>464.29</v>
      </c>
      <c r="G521" t="s">
        <v>2800</v>
      </c>
      <c r="H521" s="6" t="s">
        <v>3065</v>
      </c>
      <c r="I521" s="6" t="s">
        <v>3072</v>
      </c>
      <c r="J521" s="6" t="s">
        <v>3594</v>
      </c>
      <c r="K521" s="9">
        <v>5</v>
      </c>
      <c r="L521" s="6" t="s">
        <v>4275</v>
      </c>
      <c r="M521" s="6" t="s">
        <v>4280</v>
      </c>
      <c r="N521" s="4">
        <v>1857.16</v>
      </c>
      <c r="O521" s="6">
        <f t="shared" si="8"/>
        <v>680</v>
      </c>
    </row>
    <row r="522" spans="1:15" x14ac:dyDescent="0.3">
      <c r="A522" s="6" t="s">
        <v>534</v>
      </c>
      <c r="B522" s="2">
        <v>44995</v>
      </c>
      <c r="C522" s="6" t="s">
        <v>1734</v>
      </c>
      <c r="D522" s="6" t="s">
        <v>2403</v>
      </c>
      <c r="E522" s="9">
        <v>3</v>
      </c>
      <c r="F522" s="4">
        <v>635.98</v>
      </c>
      <c r="G522" t="s">
        <v>2801</v>
      </c>
      <c r="H522" s="6" t="s">
        <v>3069</v>
      </c>
      <c r="I522" s="6" t="s">
        <v>3072</v>
      </c>
      <c r="J522" s="6" t="s">
        <v>3595</v>
      </c>
      <c r="K522" s="9">
        <v>5</v>
      </c>
      <c r="L522" s="6" t="s">
        <v>4283</v>
      </c>
      <c r="M522" s="6" t="s">
        <v>4279</v>
      </c>
      <c r="N522" s="4">
        <v>1907.94</v>
      </c>
      <c r="O522" s="6">
        <f t="shared" si="8"/>
        <v>679</v>
      </c>
    </row>
    <row r="523" spans="1:15" x14ac:dyDescent="0.3">
      <c r="A523" s="6" t="s">
        <v>535</v>
      </c>
      <c r="B523" s="2">
        <v>45347</v>
      </c>
      <c r="C523" s="6" t="s">
        <v>1735</v>
      </c>
      <c r="D523" s="6" t="s">
        <v>2404</v>
      </c>
      <c r="E523" s="9">
        <v>1</v>
      </c>
      <c r="F523" s="4">
        <v>528.05999999999995</v>
      </c>
      <c r="G523" t="s">
        <v>2802</v>
      </c>
      <c r="H523" s="6" t="s">
        <v>3067</v>
      </c>
      <c r="I523" s="6" t="s">
        <v>3070</v>
      </c>
      <c r="J523" s="6" t="s">
        <v>3596</v>
      </c>
      <c r="K523" s="9">
        <v>2</v>
      </c>
      <c r="L523" s="6" t="s">
        <v>4283</v>
      </c>
      <c r="M523" s="6" t="s">
        <v>4281</v>
      </c>
      <c r="N523" s="4">
        <v>528.05999999999995</v>
      </c>
      <c r="O523" s="6">
        <f t="shared" si="8"/>
        <v>678</v>
      </c>
    </row>
    <row r="524" spans="1:15" x14ac:dyDescent="0.3">
      <c r="A524" s="6" t="s">
        <v>536</v>
      </c>
      <c r="B524" s="2">
        <v>45402</v>
      </c>
      <c r="C524" s="6" t="s">
        <v>1736</v>
      </c>
      <c r="D524" s="6" t="s">
        <v>2406</v>
      </c>
      <c r="E524" s="9">
        <v>1</v>
      </c>
      <c r="F524" s="4">
        <v>515.32000000000005</v>
      </c>
      <c r="G524" t="s">
        <v>2650</v>
      </c>
      <c r="H524" s="6" t="s">
        <v>3068</v>
      </c>
      <c r="I524" s="6" t="s">
        <v>3071</v>
      </c>
      <c r="J524" s="6" t="s">
        <v>3597</v>
      </c>
      <c r="K524" s="9">
        <v>1</v>
      </c>
      <c r="L524" s="6" t="s">
        <v>4276</v>
      </c>
      <c r="M524" s="6" t="s">
        <v>4280</v>
      </c>
      <c r="N524" s="4">
        <v>515.32000000000005</v>
      </c>
      <c r="O524" s="6">
        <f t="shared" si="8"/>
        <v>677</v>
      </c>
    </row>
    <row r="525" spans="1:15" x14ac:dyDescent="0.3">
      <c r="A525" s="6" t="s">
        <v>537</v>
      </c>
      <c r="B525" s="2">
        <v>45706</v>
      </c>
      <c r="C525" s="6" t="s">
        <v>1737</v>
      </c>
      <c r="D525" s="6" t="s">
        <v>2409</v>
      </c>
      <c r="E525" s="9">
        <v>4</v>
      </c>
      <c r="F525" s="4">
        <v>657.79</v>
      </c>
      <c r="G525" t="s">
        <v>2741</v>
      </c>
      <c r="H525" s="6" t="s">
        <v>3067</v>
      </c>
      <c r="I525" s="6" t="s">
        <v>3072</v>
      </c>
      <c r="J525" s="6" t="s">
        <v>3598</v>
      </c>
      <c r="K525" s="9">
        <v>6</v>
      </c>
      <c r="L525" s="6" t="s">
        <v>4277</v>
      </c>
      <c r="M525" s="6" t="s">
        <v>4282</v>
      </c>
      <c r="N525" s="4">
        <v>2631.16</v>
      </c>
      <c r="O525" s="6">
        <f t="shared" si="8"/>
        <v>676</v>
      </c>
    </row>
    <row r="526" spans="1:15" x14ac:dyDescent="0.3">
      <c r="A526" s="6" t="s">
        <v>538</v>
      </c>
      <c r="B526" s="2">
        <v>45224</v>
      </c>
      <c r="C526" s="6" t="s">
        <v>1738</v>
      </c>
      <c r="D526" s="6" t="s">
        <v>2404</v>
      </c>
      <c r="E526" s="9">
        <v>1</v>
      </c>
      <c r="F526" s="4">
        <v>153</v>
      </c>
      <c r="G526" t="s">
        <v>2483</v>
      </c>
      <c r="H526" s="6" t="s">
        <v>3067</v>
      </c>
      <c r="I526" s="6" t="s">
        <v>3072</v>
      </c>
      <c r="J526" s="6" t="s">
        <v>3599</v>
      </c>
      <c r="K526" s="9">
        <v>4</v>
      </c>
      <c r="L526" s="6" t="s">
        <v>4283</v>
      </c>
      <c r="M526" s="6" t="s">
        <v>4279</v>
      </c>
      <c r="N526" s="4">
        <v>153</v>
      </c>
      <c r="O526" s="6">
        <f t="shared" si="8"/>
        <v>675</v>
      </c>
    </row>
    <row r="527" spans="1:15" x14ac:dyDescent="0.3">
      <c r="A527" s="6" t="s">
        <v>539</v>
      </c>
      <c r="B527" s="2">
        <v>45263</v>
      </c>
      <c r="C527" s="6" t="s">
        <v>1739</v>
      </c>
      <c r="D527" s="6" t="s">
        <v>2403</v>
      </c>
      <c r="E527" s="9">
        <v>1</v>
      </c>
      <c r="F527" s="4">
        <v>668.48</v>
      </c>
      <c r="G527" t="s">
        <v>2762</v>
      </c>
      <c r="H527" s="6" t="s">
        <v>3065</v>
      </c>
      <c r="I527" s="6" t="s">
        <v>3070</v>
      </c>
      <c r="J527" s="6" t="s">
        <v>3600</v>
      </c>
      <c r="K527" s="9">
        <v>1</v>
      </c>
      <c r="L527" s="6" t="s">
        <v>4275</v>
      </c>
      <c r="M527" s="6" t="s">
        <v>4280</v>
      </c>
      <c r="N527" s="4">
        <v>668.48</v>
      </c>
      <c r="O527" s="6">
        <f t="shared" si="8"/>
        <v>674</v>
      </c>
    </row>
    <row r="528" spans="1:15" x14ac:dyDescent="0.3">
      <c r="A528" s="6" t="s">
        <v>540</v>
      </c>
      <c r="B528" s="2">
        <v>45351</v>
      </c>
      <c r="C528" s="6" t="s">
        <v>1740</v>
      </c>
      <c r="D528" s="6" t="s">
        <v>2409</v>
      </c>
      <c r="E528" s="9">
        <v>2</v>
      </c>
      <c r="F528" s="4">
        <v>46.5</v>
      </c>
      <c r="G528" t="s">
        <v>2497</v>
      </c>
      <c r="H528" s="6" t="s">
        <v>3069</v>
      </c>
      <c r="I528" s="6" t="s">
        <v>3072</v>
      </c>
      <c r="J528" s="6" t="s">
        <v>3601</v>
      </c>
      <c r="K528" s="9">
        <v>7</v>
      </c>
      <c r="L528" s="6" t="s">
        <v>4277</v>
      </c>
      <c r="M528" s="6" t="s">
        <v>4282</v>
      </c>
      <c r="N528" s="4">
        <v>93</v>
      </c>
      <c r="O528" s="6">
        <f t="shared" si="8"/>
        <v>673</v>
      </c>
    </row>
    <row r="529" spans="1:15" x14ac:dyDescent="0.3">
      <c r="A529" s="6" t="s">
        <v>541</v>
      </c>
      <c r="B529" s="2">
        <v>45523</v>
      </c>
      <c r="C529" s="6" t="s">
        <v>1741</v>
      </c>
      <c r="D529" s="6" t="s">
        <v>2406</v>
      </c>
      <c r="E529" s="9">
        <v>5</v>
      </c>
      <c r="F529" s="4">
        <v>653.47</v>
      </c>
      <c r="G529" t="s">
        <v>2488</v>
      </c>
      <c r="H529" s="6" t="s">
        <v>3067</v>
      </c>
      <c r="I529" s="6" t="s">
        <v>3071</v>
      </c>
      <c r="J529" s="6" t="s">
        <v>3602</v>
      </c>
      <c r="K529" s="9">
        <v>10</v>
      </c>
      <c r="L529" s="6" t="s">
        <v>4275</v>
      </c>
      <c r="M529" s="6" t="s">
        <v>4279</v>
      </c>
      <c r="N529" s="4">
        <v>3267.35</v>
      </c>
      <c r="O529" s="6">
        <f t="shared" si="8"/>
        <v>672</v>
      </c>
    </row>
    <row r="530" spans="1:15" x14ac:dyDescent="0.3">
      <c r="A530" s="6" t="s">
        <v>542</v>
      </c>
      <c r="B530" s="2">
        <v>45714</v>
      </c>
      <c r="C530" s="6" t="s">
        <v>1742</v>
      </c>
      <c r="D530" s="6" t="s">
        <v>2406</v>
      </c>
      <c r="E530" s="9">
        <v>1</v>
      </c>
      <c r="F530" s="4">
        <v>628.89</v>
      </c>
      <c r="G530" t="s">
        <v>2765</v>
      </c>
      <c r="H530" s="6" t="s">
        <v>3067</v>
      </c>
      <c r="I530" s="6" t="s">
        <v>3072</v>
      </c>
      <c r="J530" s="6" t="s">
        <v>3603</v>
      </c>
      <c r="K530" s="9">
        <v>2</v>
      </c>
      <c r="L530" s="6" t="s">
        <v>4275</v>
      </c>
      <c r="M530" s="6" t="s">
        <v>4279</v>
      </c>
      <c r="N530" s="4">
        <v>628.89</v>
      </c>
      <c r="O530" s="6">
        <f t="shared" si="8"/>
        <v>671</v>
      </c>
    </row>
    <row r="531" spans="1:15" x14ac:dyDescent="0.3">
      <c r="A531" s="6" t="s">
        <v>543</v>
      </c>
      <c r="B531" s="2">
        <v>45389</v>
      </c>
      <c r="C531" s="6" t="s">
        <v>1743</v>
      </c>
      <c r="D531" s="6" t="s">
        <v>2405</v>
      </c>
      <c r="E531" s="9">
        <v>2</v>
      </c>
      <c r="F531" s="4">
        <v>675.1</v>
      </c>
      <c r="G531" t="s">
        <v>2803</v>
      </c>
      <c r="H531" s="6" t="s">
        <v>3069</v>
      </c>
      <c r="I531" s="6" t="s">
        <v>3074</v>
      </c>
      <c r="J531" s="6" t="s">
        <v>3604</v>
      </c>
      <c r="K531" s="9">
        <v>4</v>
      </c>
      <c r="L531" s="6" t="s">
        <v>4276</v>
      </c>
      <c r="M531" s="6" t="s">
        <v>4282</v>
      </c>
      <c r="N531" s="4">
        <v>1350.2</v>
      </c>
      <c r="O531" s="6">
        <f t="shared" si="8"/>
        <v>670</v>
      </c>
    </row>
    <row r="532" spans="1:15" x14ac:dyDescent="0.3">
      <c r="A532" s="6" t="s">
        <v>544</v>
      </c>
      <c r="B532" s="2">
        <v>45491</v>
      </c>
      <c r="C532" s="6" t="s">
        <v>1744</v>
      </c>
      <c r="D532" s="6" t="s">
        <v>2406</v>
      </c>
      <c r="E532" s="9">
        <v>4</v>
      </c>
      <c r="F532" s="4">
        <v>89.41</v>
      </c>
      <c r="G532" t="s">
        <v>2804</v>
      </c>
      <c r="H532" s="6" t="s">
        <v>3066</v>
      </c>
      <c r="I532" s="6" t="s">
        <v>3074</v>
      </c>
      <c r="J532" s="6" t="s">
        <v>3605</v>
      </c>
      <c r="K532" s="9">
        <v>9</v>
      </c>
      <c r="L532" s="6" t="s">
        <v>4283</v>
      </c>
      <c r="M532" s="6" t="s">
        <v>4282</v>
      </c>
      <c r="N532" s="4">
        <v>357.64</v>
      </c>
      <c r="O532" s="6">
        <f t="shared" si="8"/>
        <v>669</v>
      </c>
    </row>
    <row r="533" spans="1:15" x14ac:dyDescent="0.3">
      <c r="A533" s="6" t="s">
        <v>545</v>
      </c>
      <c r="B533" s="2">
        <v>45475</v>
      </c>
      <c r="C533" s="6" t="s">
        <v>1745</v>
      </c>
      <c r="D533" s="6" t="s">
        <v>2409</v>
      </c>
      <c r="E533" s="9">
        <v>5</v>
      </c>
      <c r="F533" s="4">
        <v>320.01</v>
      </c>
      <c r="G533" t="s">
        <v>2805</v>
      </c>
      <c r="H533" s="6" t="s">
        <v>3068</v>
      </c>
      <c r="I533" s="6" t="s">
        <v>3073</v>
      </c>
      <c r="J533" s="6" t="s">
        <v>3606</v>
      </c>
      <c r="K533" s="9">
        <v>6</v>
      </c>
      <c r="L533" s="6" t="s">
        <v>4283</v>
      </c>
      <c r="M533" s="6" t="s">
        <v>4279</v>
      </c>
      <c r="N533" s="4">
        <v>1600.05</v>
      </c>
      <c r="O533" s="6">
        <f t="shared" si="8"/>
        <v>668</v>
      </c>
    </row>
    <row r="534" spans="1:15" x14ac:dyDescent="0.3">
      <c r="A534" s="6" t="s">
        <v>546</v>
      </c>
      <c r="B534" s="2">
        <v>45780</v>
      </c>
      <c r="C534" s="6" t="s">
        <v>1746</v>
      </c>
      <c r="D534" s="6" t="s">
        <v>2408</v>
      </c>
      <c r="E534" s="9">
        <v>2</v>
      </c>
      <c r="F534" s="4">
        <v>41</v>
      </c>
      <c r="G534" t="s">
        <v>2806</v>
      </c>
      <c r="H534" s="6" t="s">
        <v>3066</v>
      </c>
      <c r="I534" s="6" t="s">
        <v>3073</v>
      </c>
      <c r="J534" s="6" t="s">
        <v>3607</v>
      </c>
      <c r="K534" s="9">
        <v>7</v>
      </c>
      <c r="L534" s="6" t="s">
        <v>4283</v>
      </c>
      <c r="M534" s="6" t="s">
        <v>4280</v>
      </c>
      <c r="N534" s="4">
        <v>82</v>
      </c>
      <c r="O534" s="6">
        <f t="shared" si="8"/>
        <v>667</v>
      </c>
    </row>
    <row r="535" spans="1:15" x14ac:dyDescent="0.3">
      <c r="A535" s="6" t="s">
        <v>547</v>
      </c>
      <c r="B535" s="2">
        <v>44990</v>
      </c>
      <c r="C535" s="6" t="s">
        <v>1747</v>
      </c>
      <c r="D535" s="6" t="s">
        <v>2409</v>
      </c>
      <c r="E535" s="9">
        <v>1</v>
      </c>
      <c r="F535" s="4">
        <v>565.85</v>
      </c>
      <c r="G535" t="s">
        <v>2472</v>
      </c>
      <c r="H535" s="6" t="s">
        <v>3068</v>
      </c>
      <c r="I535" s="6" t="s">
        <v>3072</v>
      </c>
      <c r="J535" s="6" t="s">
        <v>3608</v>
      </c>
      <c r="K535" s="9">
        <v>1</v>
      </c>
      <c r="L535" s="6" t="s">
        <v>4276</v>
      </c>
      <c r="M535" s="6" t="s">
        <v>4281</v>
      </c>
      <c r="N535" s="4">
        <v>565.85</v>
      </c>
      <c r="O535" s="6">
        <f t="shared" si="8"/>
        <v>666</v>
      </c>
    </row>
    <row r="536" spans="1:15" x14ac:dyDescent="0.3">
      <c r="A536" s="6" t="s">
        <v>548</v>
      </c>
      <c r="B536" s="2">
        <v>45449</v>
      </c>
      <c r="C536" s="6" t="s">
        <v>1748</v>
      </c>
      <c r="D536" s="6" t="s">
        <v>2406</v>
      </c>
      <c r="E536" s="9">
        <v>3</v>
      </c>
      <c r="F536" s="4">
        <v>648.59</v>
      </c>
      <c r="G536" t="s">
        <v>2807</v>
      </c>
      <c r="H536" s="6" t="s">
        <v>3065</v>
      </c>
      <c r="I536" s="6" t="s">
        <v>3071</v>
      </c>
      <c r="J536" s="6" t="s">
        <v>3609</v>
      </c>
      <c r="K536" s="9">
        <v>4</v>
      </c>
      <c r="L536" s="6" t="s">
        <v>4275</v>
      </c>
      <c r="M536" s="6" t="s">
        <v>4280</v>
      </c>
      <c r="N536" s="4">
        <v>1945.77</v>
      </c>
      <c r="O536" s="6">
        <f t="shared" si="8"/>
        <v>665</v>
      </c>
    </row>
    <row r="537" spans="1:15" x14ac:dyDescent="0.3">
      <c r="A537" s="6" t="s">
        <v>549</v>
      </c>
      <c r="B537" s="2">
        <v>45497</v>
      </c>
      <c r="C537" s="6" t="s">
        <v>1749</v>
      </c>
      <c r="D537" s="6" t="s">
        <v>2403</v>
      </c>
      <c r="E537" s="9">
        <v>3</v>
      </c>
      <c r="F537" s="4">
        <v>68.12</v>
      </c>
      <c r="G537" t="s">
        <v>2567</v>
      </c>
      <c r="H537" s="6" t="s">
        <v>3066</v>
      </c>
      <c r="I537" s="6" t="s">
        <v>3071</v>
      </c>
      <c r="J537" s="6" t="s">
        <v>3610</v>
      </c>
      <c r="K537" s="9">
        <v>3</v>
      </c>
      <c r="L537" s="6" t="s">
        <v>4276</v>
      </c>
      <c r="M537" s="6" t="s">
        <v>4280</v>
      </c>
      <c r="N537" s="4">
        <v>204.36</v>
      </c>
      <c r="O537" s="6">
        <f t="shared" si="8"/>
        <v>664</v>
      </c>
    </row>
    <row r="538" spans="1:15" x14ac:dyDescent="0.3">
      <c r="A538" s="6" t="s">
        <v>550</v>
      </c>
      <c r="B538" s="2">
        <v>45452</v>
      </c>
      <c r="C538" s="6" t="s">
        <v>1750</v>
      </c>
      <c r="D538" s="6" t="s">
        <v>2406</v>
      </c>
      <c r="E538" s="9">
        <v>1</v>
      </c>
      <c r="F538" s="4">
        <v>616.1</v>
      </c>
      <c r="G538" t="s">
        <v>2808</v>
      </c>
      <c r="H538" s="6" t="s">
        <v>3069</v>
      </c>
      <c r="I538" s="6" t="s">
        <v>3072</v>
      </c>
      <c r="J538" s="6" t="s">
        <v>3611</v>
      </c>
      <c r="K538" s="9">
        <v>6</v>
      </c>
      <c r="L538" s="6" t="s">
        <v>4283</v>
      </c>
      <c r="M538" s="6" t="s">
        <v>4280</v>
      </c>
      <c r="N538" s="4">
        <v>616.1</v>
      </c>
      <c r="O538" s="6">
        <f t="shared" si="8"/>
        <v>663</v>
      </c>
    </row>
    <row r="539" spans="1:15" x14ac:dyDescent="0.3">
      <c r="A539" s="6" t="s">
        <v>551</v>
      </c>
      <c r="B539" s="2">
        <v>45739</v>
      </c>
      <c r="C539" s="6" t="s">
        <v>1751</v>
      </c>
      <c r="D539" s="6" t="s">
        <v>2405</v>
      </c>
      <c r="E539" s="9">
        <v>3</v>
      </c>
      <c r="F539" s="4">
        <v>247.47</v>
      </c>
      <c r="G539" t="s">
        <v>2471</v>
      </c>
      <c r="H539" s="6" t="s">
        <v>3066</v>
      </c>
      <c r="I539" s="6" t="s">
        <v>3073</v>
      </c>
      <c r="J539" s="6" t="s">
        <v>3612</v>
      </c>
      <c r="K539" s="9">
        <v>4</v>
      </c>
      <c r="L539" s="6" t="s">
        <v>4275</v>
      </c>
      <c r="M539" s="6" t="s">
        <v>4281</v>
      </c>
      <c r="N539" s="4">
        <v>742.41</v>
      </c>
      <c r="O539" s="6">
        <f t="shared" si="8"/>
        <v>662</v>
      </c>
    </row>
    <row r="540" spans="1:15" x14ac:dyDescent="0.3">
      <c r="A540" s="6" t="s">
        <v>552</v>
      </c>
      <c r="B540" s="2">
        <v>45436</v>
      </c>
      <c r="C540" s="6" t="s">
        <v>1752</v>
      </c>
      <c r="D540" s="6" t="s">
        <v>2404</v>
      </c>
      <c r="E540" s="9">
        <v>3</v>
      </c>
      <c r="F540" s="4">
        <v>490.74</v>
      </c>
      <c r="G540" t="s">
        <v>2809</v>
      </c>
      <c r="H540" s="6" t="s">
        <v>3069</v>
      </c>
      <c r="I540" s="6" t="s">
        <v>3070</v>
      </c>
      <c r="J540" s="6" t="s">
        <v>3613</v>
      </c>
      <c r="K540" s="9">
        <v>3</v>
      </c>
      <c r="L540" s="6" t="s">
        <v>4277</v>
      </c>
      <c r="M540" s="6" t="s">
        <v>4280</v>
      </c>
      <c r="N540" s="4">
        <v>1472.22</v>
      </c>
      <c r="O540" s="6">
        <f t="shared" si="8"/>
        <v>661</v>
      </c>
    </row>
    <row r="541" spans="1:15" x14ac:dyDescent="0.3">
      <c r="A541" s="6" t="s">
        <v>553</v>
      </c>
      <c r="B541" s="2">
        <v>45706</v>
      </c>
      <c r="C541" s="6" t="s">
        <v>1753</v>
      </c>
      <c r="D541" s="6" t="s">
        <v>2409</v>
      </c>
      <c r="E541" s="9">
        <v>3</v>
      </c>
      <c r="F541" s="4">
        <v>531.72</v>
      </c>
      <c r="G541" t="s">
        <v>2810</v>
      </c>
      <c r="H541" s="6" t="s">
        <v>3068</v>
      </c>
      <c r="I541" s="6" t="s">
        <v>3073</v>
      </c>
      <c r="J541" s="6" t="s">
        <v>3614</v>
      </c>
      <c r="K541" s="9">
        <v>7</v>
      </c>
      <c r="L541" s="6" t="s">
        <v>4275</v>
      </c>
      <c r="M541" s="6" t="s">
        <v>4282</v>
      </c>
      <c r="N541" s="4">
        <v>1595.16</v>
      </c>
      <c r="O541" s="6">
        <f t="shared" si="8"/>
        <v>660</v>
      </c>
    </row>
    <row r="542" spans="1:15" x14ac:dyDescent="0.3">
      <c r="A542" s="6" t="s">
        <v>554</v>
      </c>
      <c r="B542" s="2">
        <v>45320</v>
      </c>
      <c r="C542" s="6" t="s">
        <v>1754</v>
      </c>
      <c r="D542" s="6" t="s">
        <v>2408</v>
      </c>
      <c r="E542" s="9">
        <v>5</v>
      </c>
      <c r="F542" s="4">
        <v>648.65</v>
      </c>
      <c r="G542" t="s">
        <v>2811</v>
      </c>
      <c r="H542" s="6" t="s">
        <v>3066</v>
      </c>
      <c r="I542" s="6" t="s">
        <v>3074</v>
      </c>
      <c r="J542" s="6" t="s">
        <v>3615</v>
      </c>
      <c r="K542" s="9">
        <v>7</v>
      </c>
      <c r="L542" s="6" t="s">
        <v>4283</v>
      </c>
      <c r="M542" s="6" t="s">
        <v>4279</v>
      </c>
      <c r="N542" s="4">
        <v>3243.25</v>
      </c>
      <c r="O542" s="6">
        <f t="shared" si="8"/>
        <v>659</v>
      </c>
    </row>
    <row r="543" spans="1:15" x14ac:dyDescent="0.3">
      <c r="A543" s="6" t="s">
        <v>555</v>
      </c>
      <c r="B543" s="2">
        <v>45145</v>
      </c>
      <c r="C543" s="6" t="s">
        <v>1755</v>
      </c>
      <c r="D543" s="6" t="s">
        <v>2407</v>
      </c>
      <c r="E543" s="9">
        <v>5</v>
      </c>
      <c r="F543" s="4">
        <v>456.06</v>
      </c>
      <c r="G543" t="s">
        <v>2812</v>
      </c>
      <c r="H543" s="6" t="s">
        <v>3069</v>
      </c>
      <c r="I543" s="6" t="s">
        <v>3074</v>
      </c>
      <c r="J543" s="6" t="s">
        <v>3616</v>
      </c>
      <c r="K543" s="9">
        <v>10</v>
      </c>
      <c r="L543" s="6" t="s">
        <v>4283</v>
      </c>
      <c r="M543" s="6" t="s">
        <v>4278</v>
      </c>
      <c r="N543" s="4">
        <v>2280.3000000000002</v>
      </c>
      <c r="O543" s="6">
        <f t="shared" si="8"/>
        <v>658</v>
      </c>
    </row>
    <row r="544" spans="1:15" x14ac:dyDescent="0.3">
      <c r="A544" s="6" t="s">
        <v>556</v>
      </c>
      <c r="B544" s="2">
        <v>45244</v>
      </c>
      <c r="C544" s="6" t="s">
        <v>1756</v>
      </c>
      <c r="D544" s="6" t="s">
        <v>2405</v>
      </c>
      <c r="E544" s="9">
        <v>1</v>
      </c>
      <c r="F544" s="4">
        <v>17.98</v>
      </c>
      <c r="G544" t="s">
        <v>2415</v>
      </c>
      <c r="H544" s="6" t="s">
        <v>3069</v>
      </c>
      <c r="I544" s="6" t="s">
        <v>3071</v>
      </c>
      <c r="J544" s="6" t="s">
        <v>3617</v>
      </c>
      <c r="K544" s="9">
        <v>6</v>
      </c>
      <c r="L544" s="6" t="s">
        <v>4276</v>
      </c>
      <c r="M544" s="6" t="s">
        <v>4280</v>
      </c>
      <c r="N544" s="4">
        <v>17.98</v>
      </c>
      <c r="O544" s="6">
        <f t="shared" si="8"/>
        <v>657</v>
      </c>
    </row>
    <row r="545" spans="1:15" x14ac:dyDescent="0.3">
      <c r="A545" s="6" t="s">
        <v>557</v>
      </c>
      <c r="B545" s="2">
        <v>45360</v>
      </c>
      <c r="C545" s="6" t="s">
        <v>1757</v>
      </c>
      <c r="D545" s="6" t="s">
        <v>2409</v>
      </c>
      <c r="E545" s="9">
        <v>5</v>
      </c>
      <c r="F545" s="4">
        <v>269.86</v>
      </c>
      <c r="G545" t="s">
        <v>2569</v>
      </c>
      <c r="H545" s="6" t="s">
        <v>3069</v>
      </c>
      <c r="I545" s="6" t="s">
        <v>3070</v>
      </c>
      <c r="J545" s="6" t="s">
        <v>3618</v>
      </c>
      <c r="K545" s="9">
        <v>6</v>
      </c>
      <c r="L545" s="6" t="s">
        <v>4277</v>
      </c>
      <c r="M545" s="6" t="s">
        <v>4281</v>
      </c>
      <c r="N545" s="4">
        <v>1349.3</v>
      </c>
      <c r="O545" s="6">
        <f t="shared" si="8"/>
        <v>656</v>
      </c>
    </row>
    <row r="546" spans="1:15" x14ac:dyDescent="0.3">
      <c r="A546" s="6" t="s">
        <v>558</v>
      </c>
      <c r="B546" s="2">
        <v>45361</v>
      </c>
      <c r="C546" s="6" t="s">
        <v>1758</v>
      </c>
      <c r="D546" s="6" t="s">
        <v>2407</v>
      </c>
      <c r="E546" s="9">
        <v>5</v>
      </c>
      <c r="F546" s="4">
        <v>31.96</v>
      </c>
      <c r="G546" t="s">
        <v>2726</v>
      </c>
      <c r="H546" s="6" t="s">
        <v>3067</v>
      </c>
      <c r="I546" s="6" t="s">
        <v>3072</v>
      </c>
      <c r="J546" s="6" t="s">
        <v>3619</v>
      </c>
      <c r="K546" s="9">
        <v>5</v>
      </c>
      <c r="L546" s="6" t="s">
        <v>4276</v>
      </c>
      <c r="M546" s="6" t="s">
        <v>4279</v>
      </c>
      <c r="N546" s="4">
        <v>159.80000000000001</v>
      </c>
      <c r="O546" s="6">
        <f t="shared" si="8"/>
        <v>655</v>
      </c>
    </row>
    <row r="547" spans="1:15" x14ac:dyDescent="0.3">
      <c r="A547" s="6" t="s">
        <v>559</v>
      </c>
      <c r="B547" s="2">
        <v>45279</v>
      </c>
      <c r="C547" s="6" t="s">
        <v>1759</v>
      </c>
      <c r="D547" s="6" t="s">
        <v>2403</v>
      </c>
      <c r="E547" s="9">
        <v>2</v>
      </c>
      <c r="F547" s="4">
        <v>98.47</v>
      </c>
      <c r="G547" t="s">
        <v>2813</v>
      </c>
      <c r="H547" s="6" t="s">
        <v>3069</v>
      </c>
      <c r="I547" s="6" t="s">
        <v>3072</v>
      </c>
      <c r="J547" s="6" t="s">
        <v>3620</v>
      </c>
      <c r="K547" s="9">
        <v>3</v>
      </c>
      <c r="L547" s="6" t="s">
        <v>4283</v>
      </c>
      <c r="M547" s="6" t="s">
        <v>4278</v>
      </c>
      <c r="N547" s="4">
        <v>196.94</v>
      </c>
      <c r="O547" s="6">
        <f t="shared" si="8"/>
        <v>654</v>
      </c>
    </row>
    <row r="548" spans="1:15" x14ac:dyDescent="0.3">
      <c r="A548" s="6" t="s">
        <v>560</v>
      </c>
      <c r="B548" s="2">
        <v>45352</v>
      </c>
      <c r="C548" s="6" t="s">
        <v>1760</v>
      </c>
      <c r="D548" s="6" t="s">
        <v>2403</v>
      </c>
      <c r="E548" s="9">
        <v>1</v>
      </c>
      <c r="F548" s="4">
        <v>158.68</v>
      </c>
      <c r="G548" t="s">
        <v>2410</v>
      </c>
      <c r="H548" s="6" t="s">
        <v>3067</v>
      </c>
      <c r="I548" s="6" t="s">
        <v>3072</v>
      </c>
      <c r="J548" s="6" t="s">
        <v>3621</v>
      </c>
      <c r="K548" s="9">
        <v>6</v>
      </c>
      <c r="L548" s="6" t="s">
        <v>4277</v>
      </c>
      <c r="M548" s="6" t="s">
        <v>4278</v>
      </c>
      <c r="N548" s="4">
        <v>158.68</v>
      </c>
      <c r="O548" s="6">
        <f t="shared" si="8"/>
        <v>653</v>
      </c>
    </row>
    <row r="549" spans="1:15" x14ac:dyDescent="0.3">
      <c r="A549" s="6" t="s">
        <v>561</v>
      </c>
      <c r="B549" s="2">
        <v>45158</v>
      </c>
      <c r="C549" s="6" t="s">
        <v>1761</v>
      </c>
      <c r="D549" s="6" t="s">
        <v>2404</v>
      </c>
      <c r="E549" s="9">
        <v>1</v>
      </c>
      <c r="F549" s="4">
        <v>613.98</v>
      </c>
      <c r="G549" t="s">
        <v>2814</v>
      </c>
      <c r="H549" s="6" t="s">
        <v>3066</v>
      </c>
      <c r="I549" s="6" t="s">
        <v>3073</v>
      </c>
      <c r="J549" s="6" t="s">
        <v>3622</v>
      </c>
      <c r="K549" s="9">
        <v>4</v>
      </c>
      <c r="L549" s="6" t="s">
        <v>4276</v>
      </c>
      <c r="M549" s="6" t="s">
        <v>4281</v>
      </c>
      <c r="N549" s="4">
        <v>613.98</v>
      </c>
      <c r="O549" s="6">
        <f t="shared" si="8"/>
        <v>652</v>
      </c>
    </row>
    <row r="550" spans="1:15" x14ac:dyDescent="0.3">
      <c r="A550" s="6" t="s">
        <v>562</v>
      </c>
      <c r="B550" s="2">
        <v>45296</v>
      </c>
      <c r="C550" s="6" t="s">
        <v>1762</v>
      </c>
      <c r="D550" s="6" t="s">
        <v>2407</v>
      </c>
      <c r="E550" s="9">
        <v>3</v>
      </c>
      <c r="F550" s="4">
        <v>426.12</v>
      </c>
      <c r="G550" t="s">
        <v>2500</v>
      </c>
      <c r="H550" s="6" t="s">
        <v>3066</v>
      </c>
      <c r="I550" s="6" t="s">
        <v>3073</v>
      </c>
      <c r="J550" s="6" t="s">
        <v>3623</v>
      </c>
      <c r="K550" s="9">
        <v>5</v>
      </c>
      <c r="L550" s="6" t="s">
        <v>4277</v>
      </c>
      <c r="M550" s="6" t="s">
        <v>4278</v>
      </c>
      <c r="N550" s="4">
        <v>1278.3599999999999</v>
      </c>
      <c r="O550" s="6">
        <f t="shared" si="8"/>
        <v>651</v>
      </c>
    </row>
    <row r="551" spans="1:15" x14ac:dyDescent="0.3">
      <c r="A551" s="6" t="s">
        <v>563</v>
      </c>
      <c r="B551" s="2">
        <v>45713</v>
      </c>
      <c r="C551" s="6" t="s">
        <v>1763</v>
      </c>
      <c r="D551" s="6" t="s">
        <v>2403</v>
      </c>
      <c r="E551" s="9">
        <v>4</v>
      </c>
      <c r="F551" s="4">
        <v>629.88</v>
      </c>
      <c r="G551" t="s">
        <v>2815</v>
      </c>
      <c r="H551" s="6" t="s">
        <v>3065</v>
      </c>
      <c r="I551" s="6" t="s">
        <v>3071</v>
      </c>
      <c r="J551" s="6" t="s">
        <v>3624</v>
      </c>
      <c r="K551" s="9">
        <v>8</v>
      </c>
      <c r="L551" s="6" t="s">
        <v>4277</v>
      </c>
      <c r="M551" s="6" t="s">
        <v>4278</v>
      </c>
      <c r="N551" s="4">
        <v>2519.52</v>
      </c>
      <c r="O551" s="6">
        <f t="shared" si="8"/>
        <v>650</v>
      </c>
    </row>
    <row r="552" spans="1:15" x14ac:dyDescent="0.3">
      <c r="A552" s="6" t="s">
        <v>564</v>
      </c>
      <c r="B552" s="2">
        <v>45228</v>
      </c>
      <c r="C552" s="6" t="s">
        <v>1764</v>
      </c>
      <c r="D552" s="6" t="s">
        <v>2408</v>
      </c>
      <c r="E552" s="9">
        <v>4</v>
      </c>
      <c r="F552" s="4">
        <v>228.91</v>
      </c>
      <c r="G552" t="s">
        <v>2542</v>
      </c>
      <c r="H552" s="6" t="s">
        <v>3069</v>
      </c>
      <c r="I552" s="6" t="s">
        <v>3070</v>
      </c>
      <c r="J552" s="6" t="s">
        <v>3625</v>
      </c>
      <c r="K552" s="9">
        <v>4</v>
      </c>
      <c r="L552" s="6" t="s">
        <v>4276</v>
      </c>
      <c r="M552" s="6" t="s">
        <v>4282</v>
      </c>
      <c r="N552" s="4">
        <v>915.64</v>
      </c>
      <c r="O552" s="6">
        <f t="shared" si="8"/>
        <v>649</v>
      </c>
    </row>
    <row r="553" spans="1:15" x14ac:dyDescent="0.3">
      <c r="A553" s="6" t="s">
        <v>565</v>
      </c>
      <c r="B553" s="2">
        <v>45064</v>
      </c>
      <c r="C553" s="6" t="s">
        <v>1765</v>
      </c>
      <c r="D553" s="6" t="s">
        <v>2408</v>
      </c>
      <c r="E553" s="9">
        <v>1</v>
      </c>
      <c r="F553" s="4">
        <v>120.98</v>
      </c>
      <c r="G553" t="s">
        <v>2528</v>
      </c>
      <c r="H553" s="6" t="s">
        <v>3065</v>
      </c>
      <c r="I553" s="6" t="s">
        <v>3073</v>
      </c>
      <c r="J553" s="6" t="s">
        <v>3626</v>
      </c>
      <c r="K553" s="9">
        <v>6</v>
      </c>
      <c r="L553" s="6" t="s">
        <v>4277</v>
      </c>
      <c r="M553" s="6" t="s">
        <v>4280</v>
      </c>
      <c r="N553" s="4">
        <v>120.98</v>
      </c>
      <c r="O553" s="6">
        <f t="shared" si="8"/>
        <v>648</v>
      </c>
    </row>
    <row r="554" spans="1:15" x14ac:dyDescent="0.3">
      <c r="A554" s="6" t="s">
        <v>566</v>
      </c>
      <c r="B554" s="2">
        <v>45199</v>
      </c>
      <c r="C554" s="6" t="s">
        <v>1766</v>
      </c>
      <c r="D554" s="6" t="s">
        <v>2406</v>
      </c>
      <c r="E554" s="9">
        <v>4</v>
      </c>
      <c r="F554" s="4">
        <v>425.18</v>
      </c>
      <c r="G554" t="s">
        <v>2798</v>
      </c>
      <c r="H554" s="6" t="s">
        <v>3066</v>
      </c>
      <c r="I554" s="6" t="s">
        <v>3072</v>
      </c>
      <c r="J554" s="6" t="s">
        <v>3627</v>
      </c>
      <c r="K554" s="9">
        <v>8</v>
      </c>
      <c r="L554" s="6" t="s">
        <v>4277</v>
      </c>
      <c r="M554" s="6" t="s">
        <v>4281</v>
      </c>
      <c r="N554" s="4">
        <v>1700.72</v>
      </c>
      <c r="O554" s="6">
        <f t="shared" si="8"/>
        <v>647</v>
      </c>
    </row>
    <row r="555" spans="1:15" x14ac:dyDescent="0.3">
      <c r="A555" s="6" t="s">
        <v>567</v>
      </c>
      <c r="B555" s="2">
        <v>45161</v>
      </c>
      <c r="C555" s="6" t="s">
        <v>1767</v>
      </c>
      <c r="D555" s="6" t="s">
        <v>2404</v>
      </c>
      <c r="E555" s="9">
        <v>2</v>
      </c>
      <c r="F555" s="4">
        <v>333.83</v>
      </c>
      <c r="G555" t="s">
        <v>2816</v>
      </c>
      <c r="H555" s="6" t="s">
        <v>3068</v>
      </c>
      <c r="I555" s="6" t="s">
        <v>3071</v>
      </c>
      <c r="J555" s="6" t="s">
        <v>3628</v>
      </c>
      <c r="K555" s="9">
        <v>4</v>
      </c>
      <c r="L555" s="6" t="s">
        <v>4276</v>
      </c>
      <c r="M555" s="6" t="s">
        <v>4279</v>
      </c>
      <c r="N555" s="4">
        <v>667.66</v>
      </c>
      <c r="O555" s="6">
        <f t="shared" si="8"/>
        <v>646</v>
      </c>
    </row>
    <row r="556" spans="1:15" x14ac:dyDescent="0.3">
      <c r="A556" s="6" t="s">
        <v>568</v>
      </c>
      <c r="B556" s="2">
        <v>45807</v>
      </c>
      <c r="C556" s="6" t="s">
        <v>1768</v>
      </c>
      <c r="D556" s="6" t="s">
        <v>2408</v>
      </c>
      <c r="E556" s="9">
        <v>2</v>
      </c>
      <c r="F556" s="4">
        <v>492.9</v>
      </c>
      <c r="G556" t="s">
        <v>2610</v>
      </c>
      <c r="H556" s="6" t="s">
        <v>3069</v>
      </c>
      <c r="I556" s="6" t="s">
        <v>3072</v>
      </c>
      <c r="J556" s="6" t="s">
        <v>3629</v>
      </c>
      <c r="K556" s="9">
        <v>5</v>
      </c>
      <c r="L556" s="6" t="s">
        <v>4276</v>
      </c>
      <c r="M556" s="6" t="s">
        <v>4278</v>
      </c>
      <c r="N556" s="4">
        <v>985.8</v>
      </c>
      <c r="O556" s="6">
        <f t="shared" si="8"/>
        <v>645</v>
      </c>
    </row>
    <row r="557" spans="1:15" x14ac:dyDescent="0.3">
      <c r="A557" s="6" t="s">
        <v>569</v>
      </c>
      <c r="B557" s="2">
        <v>44933</v>
      </c>
      <c r="C557" s="6" t="s">
        <v>1769</v>
      </c>
      <c r="D557" s="6" t="s">
        <v>2405</v>
      </c>
      <c r="E557" s="9">
        <v>1</v>
      </c>
      <c r="F557" s="4">
        <v>92.04</v>
      </c>
      <c r="G557" t="s">
        <v>2420</v>
      </c>
      <c r="H557" s="6" t="s">
        <v>3069</v>
      </c>
      <c r="I557" s="6" t="s">
        <v>3070</v>
      </c>
      <c r="J557" s="6" t="s">
        <v>3630</v>
      </c>
      <c r="K557" s="9">
        <v>2</v>
      </c>
      <c r="L557" s="6" t="s">
        <v>4283</v>
      </c>
      <c r="M557" s="6" t="s">
        <v>4281</v>
      </c>
      <c r="N557" s="4">
        <v>92.04</v>
      </c>
      <c r="O557" s="6">
        <f t="shared" si="8"/>
        <v>644</v>
      </c>
    </row>
    <row r="558" spans="1:15" x14ac:dyDescent="0.3">
      <c r="A558" s="6" t="s">
        <v>570</v>
      </c>
      <c r="B558" s="2">
        <v>44954</v>
      </c>
      <c r="C558" s="6" t="s">
        <v>1770</v>
      </c>
      <c r="D558" s="6" t="s">
        <v>2408</v>
      </c>
      <c r="E558" s="9">
        <v>1</v>
      </c>
      <c r="F558" s="4">
        <v>654.27</v>
      </c>
      <c r="G558" t="s">
        <v>2817</v>
      </c>
      <c r="H558" s="6" t="s">
        <v>3068</v>
      </c>
      <c r="I558" s="6" t="s">
        <v>3074</v>
      </c>
      <c r="J558" s="6" t="s">
        <v>3631</v>
      </c>
      <c r="K558" s="9">
        <v>2</v>
      </c>
      <c r="L558" s="6" t="s">
        <v>4275</v>
      </c>
      <c r="M558" s="6" t="s">
        <v>4281</v>
      </c>
      <c r="N558" s="4">
        <v>654.27</v>
      </c>
      <c r="O558" s="6">
        <f t="shared" si="8"/>
        <v>643</v>
      </c>
    </row>
    <row r="559" spans="1:15" x14ac:dyDescent="0.3">
      <c r="A559" s="6" t="s">
        <v>571</v>
      </c>
      <c r="B559" s="2">
        <v>45106</v>
      </c>
      <c r="C559" s="6" t="s">
        <v>1771</v>
      </c>
      <c r="D559" s="6" t="s">
        <v>2405</v>
      </c>
      <c r="E559" s="9">
        <v>1</v>
      </c>
      <c r="F559" s="4">
        <v>56.2</v>
      </c>
      <c r="G559" t="s">
        <v>2818</v>
      </c>
      <c r="H559" s="6" t="s">
        <v>3065</v>
      </c>
      <c r="I559" s="6" t="s">
        <v>3074</v>
      </c>
      <c r="J559" s="6" t="s">
        <v>3632</v>
      </c>
      <c r="K559" s="9">
        <v>1</v>
      </c>
      <c r="L559" s="6" t="s">
        <v>4277</v>
      </c>
      <c r="M559" s="6" t="s">
        <v>4281</v>
      </c>
      <c r="N559" s="4">
        <v>56.2</v>
      </c>
      <c r="O559" s="6">
        <f t="shared" si="8"/>
        <v>642</v>
      </c>
    </row>
    <row r="560" spans="1:15" x14ac:dyDescent="0.3">
      <c r="A560" s="6" t="s">
        <v>572</v>
      </c>
      <c r="B560" s="2">
        <v>45489</v>
      </c>
      <c r="C560" s="6" t="s">
        <v>1772</v>
      </c>
      <c r="D560" s="6" t="s">
        <v>2404</v>
      </c>
      <c r="E560" s="9">
        <v>4</v>
      </c>
      <c r="F560" s="4">
        <v>628.12</v>
      </c>
      <c r="G560" t="s">
        <v>2819</v>
      </c>
      <c r="H560" s="6" t="s">
        <v>3066</v>
      </c>
      <c r="I560" s="6" t="s">
        <v>3073</v>
      </c>
      <c r="J560" s="6" t="s">
        <v>3633</v>
      </c>
      <c r="K560" s="9">
        <v>6</v>
      </c>
      <c r="L560" s="6" t="s">
        <v>4277</v>
      </c>
      <c r="M560" s="6" t="s">
        <v>4278</v>
      </c>
      <c r="N560" s="4">
        <v>2512.48</v>
      </c>
      <c r="O560" s="6">
        <f t="shared" si="8"/>
        <v>641</v>
      </c>
    </row>
    <row r="561" spans="1:15" x14ac:dyDescent="0.3">
      <c r="A561" s="6" t="s">
        <v>573</v>
      </c>
      <c r="B561" s="2">
        <v>45397</v>
      </c>
      <c r="C561" s="6" t="s">
        <v>1773</v>
      </c>
      <c r="D561" s="6" t="s">
        <v>2409</v>
      </c>
      <c r="E561" s="9">
        <v>3</v>
      </c>
      <c r="F561" s="4">
        <v>157.4</v>
      </c>
      <c r="G561" t="s">
        <v>2790</v>
      </c>
      <c r="H561" s="6" t="s">
        <v>3065</v>
      </c>
      <c r="I561" s="6" t="s">
        <v>3071</v>
      </c>
      <c r="J561" s="6" t="s">
        <v>3634</v>
      </c>
      <c r="K561" s="9">
        <v>7</v>
      </c>
      <c r="L561" s="6" t="s">
        <v>4277</v>
      </c>
      <c r="M561" s="6" t="s">
        <v>4280</v>
      </c>
      <c r="N561" s="4">
        <v>472.2</v>
      </c>
      <c r="O561" s="6">
        <f t="shared" si="8"/>
        <v>641</v>
      </c>
    </row>
    <row r="562" spans="1:15" x14ac:dyDescent="0.3">
      <c r="A562" s="6" t="s">
        <v>574</v>
      </c>
      <c r="B562" s="2">
        <v>44957</v>
      </c>
      <c r="C562" s="6" t="s">
        <v>1774</v>
      </c>
      <c r="D562" s="6" t="s">
        <v>2403</v>
      </c>
      <c r="E562" s="9">
        <v>4</v>
      </c>
      <c r="F562" s="4">
        <v>588.85</v>
      </c>
      <c r="G562" t="s">
        <v>2820</v>
      </c>
      <c r="H562" s="6" t="s">
        <v>3068</v>
      </c>
      <c r="I562" s="6" t="s">
        <v>3074</v>
      </c>
      <c r="J562" s="6" t="s">
        <v>3635</v>
      </c>
      <c r="K562" s="9">
        <v>7</v>
      </c>
      <c r="L562" s="6" t="s">
        <v>4283</v>
      </c>
      <c r="M562" s="6" t="s">
        <v>4280</v>
      </c>
      <c r="N562" s="4">
        <v>2355.4</v>
      </c>
      <c r="O562" s="6">
        <f t="shared" si="8"/>
        <v>640</v>
      </c>
    </row>
    <row r="563" spans="1:15" x14ac:dyDescent="0.3">
      <c r="A563" s="6" t="s">
        <v>575</v>
      </c>
      <c r="B563" s="2">
        <v>44957</v>
      </c>
      <c r="C563" s="6" t="s">
        <v>1775</v>
      </c>
      <c r="D563" s="6" t="s">
        <v>2407</v>
      </c>
      <c r="E563" s="9">
        <v>2</v>
      </c>
      <c r="F563" s="4">
        <v>494.78</v>
      </c>
      <c r="G563" t="s">
        <v>2821</v>
      </c>
      <c r="H563" s="6" t="s">
        <v>3066</v>
      </c>
      <c r="I563" s="6" t="s">
        <v>3070</v>
      </c>
      <c r="J563" s="6" t="s">
        <v>3636</v>
      </c>
      <c r="K563" s="9">
        <v>2</v>
      </c>
      <c r="L563" s="6" t="s">
        <v>4283</v>
      </c>
      <c r="M563" s="6" t="s">
        <v>4282</v>
      </c>
      <c r="N563" s="4">
        <v>989.56</v>
      </c>
      <c r="O563" s="6">
        <f t="shared" si="8"/>
        <v>639</v>
      </c>
    </row>
    <row r="564" spans="1:15" x14ac:dyDescent="0.3">
      <c r="A564" s="6" t="s">
        <v>576</v>
      </c>
      <c r="B564" s="2">
        <v>45205</v>
      </c>
      <c r="C564" s="6" t="s">
        <v>1776</v>
      </c>
      <c r="D564" s="6" t="s">
        <v>2408</v>
      </c>
      <c r="E564" s="9">
        <v>3</v>
      </c>
      <c r="F564" s="4">
        <v>663.93</v>
      </c>
      <c r="G564" t="s">
        <v>2500</v>
      </c>
      <c r="H564" s="6" t="s">
        <v>3068</v>
      </c>
      <c r="I564" s="6" t="s">
        <v>3072</v>
      </c>
      <c r="J564" s="6" t="s">
        <v>3637</v>
      </c>
      <c r="K564" s="9">
        <v>6</v>
      </c>
      <c r="L564" s="6" t="s">
        <v>4276</v>
      </c>
      <c r="M564" s="6" t="s">
        <v>4280</v>
      </c>
      <c r="N564" s="4">
        <v>1991.79</v>
      </c>
      <c r="O564" s="6">
        <f t="shared" si="8"/>
        <v>638</v>
      </c>
    </row>
    <row r="565" spans="1:15" x14ac:dyDescent="0.3">
      <c r="A565" s="6" t="s">
        <v>577</v>
      </c>
      <c r="B565" s="2">
        <v>45272</v>
      </c>
      <c r="C565" s="6" t="s">
        <v>1777</v>
      </c>
      <c r="D565" s="6" t="s">
        <v>2408</v>
      </c>
      <c r="E565" s="9">
        <v>1</v>
      </c>
      <c r="F565" s="4">
        <v>132.68</v>
      </c>
      <c r="G565" t="s">
        <v>2822</v>
      </c>
      <c r="H565" s="6" t="s">
        <v>3065</v>
      </c>
      <c r="I565" s="6" t="s">
        <v>3072</v>
      </c>
      <c r="J565" s="6" t="s">
        <v>3638</v>
      </c>
      <c r="K565" s="9">
        <v>1</v>
      </c>
      <c r="L565" s="6" t="s">
        <v>4275</v>
      </c>
      <c r="M565" s="6" t="s">
        <v>4279</v>
      </c>
      <c r="N565" s="4">
        <v>132.68</v>
      </c>
      <c r="O565" s="6">
        <f t="shared" si="8"/>
        <v>637</v>
      </c>
    </row>
    <row r="566" spans="1:15" x14ac:dyDescent="0.3">
      <c r="A566" s="6" t="s">
        <v>578</v>
      </c>
      <c r="B566" s="2">
        <v>45755</v>
      </c>
      <c r="C566" s="6" t="s">
        <v>1778</v>
      </c>
      <c r="D566" s="6" t="s">
        <v>2409</v>
      </c>
      <c r="E566" s="9">
        <v>5</v>
      </c>
      <c r="F566" s="4">
        <v>364.28</v>
      </c>
      <c r="G566" t="s">
        <v>2823</v>
      </c>
      <c r="H566" s="6" t="s">
        <v>3067</v>
      </c>
      <c r="I566" s="6" t="s">
        <v>3071</v>
      </c>
      <c r="J566" s="6" t="s">
        <v>3639</v>
      </c>
      <c r="K566" s="9">
        <v>5</v>
      </c>
      <c r="L566" s="6" t="s">
        <v>4277</v>
      </c>
      <c r="M566" s="6" t="s">
        <v>4282</v>
      </c>
      <c r="N566" s="4">
        <v>1821.4</v>
      </c>
      <c r="O566" s="6">
        <f t="shared" si="8"/>
        <v>636</v>
      </c>
    </row>
    <row r="567" spans="1:15" x14ac:dyDescent="0.3">
      <c r="A567" s="6" t="s">
        <v>579</v>
      </c>
      <c r="B567" s="2">
        <v>45060</v>
      </c>
      <c r="C567" s="6" t="s">
        <v>1779</v>
      </c>
      <c r="D567" s="6" t="s">
        <v>2405</v>
      </c>
      <c r="E567" s="9">
        <v>5</v>
      </c>
      <c r="F567" s="4">
        <v>307.98</v>
      </c>
      <c r="G567" t="s">
        <v>2770</v>
      </c>
      <c r="H567" s="6" t="s">
        <v>3066</v>
      </c>
      <c r="I567" s="6" t="s">
        <v>3074</v>
      </c>
      <c r="J567" s="6" t="s">
        <v>3640</v>
      </c>
      <c r="K567" s="9">
        <v>10</v>
      </c>
      <c r="L567" s="6" t="s">
        <v>4283</v>
      </c>
      <c r="M567" s="6" t="s">
        <v>4281</v>
      </c>
      <c r="N567" s="4">
        <v>1539.9</v>
      </c>
      <c r="O567" s="6">
        <f t="shared" si="8"/>
        <v>635</v>
      </c>
    </row>
    <row r="568" spans="1:15" x14ac:dyDescent="0.3">
      <c r="A568" s="6" t="s">
        <v>580</v>
      </c>
      <c r="B568" s="2">
        <v>45400</v>
      </c>
      <c r="C568" s="6" t="s">
        <v>1780</v>
      </c>
      <c r="D568" s="6" t="s">
        <v>2404</v>
      </c>
      <c r="E568" s="9">
        <v>4</v>
      </c>
      <c r="F568" s="4">
        <v>162.71</v>
      </c>
      <c r="G568" t="s">
        <v>2824</v>
      </c>
      <c r="H568" s="6" t="s">
        <v>3069</v>
      </c>
      <c r="I568" s="6" t="s">
        <v>3071</v>
      </c>
      <c r="J568" s="6" t="s">
        <v>3641</v>
      </c>
      <c r="K568" s="9">
        <v>7</v>
      </c>
      <c r="L568" s="6" t="s">
        <v>4276</v>
      </c>
      <c r="M568" s="6" t="s">
        <v>4280</v>
      </c>
      <c r="N568" s="4">
        <v>650.84</v>
      </c>
      <c r="O568" s="6">
        <f t="shared" si="8"/>
        <v>634</v>
      </c>
    </row>
    <row r="569" spans="1:15" x14ac:dyDescent="0.3">
      <c r="A569" s="6" t="s">
        <v>581</v>
      </c>
      <c r="B569" s="2">
        <v>45565</v>
      </c>
      <c r="C569" s="6" t="s">
        <v>1781</v>
      </c>
      <c r="D569" s="6" t="s">
        <v>2406</v>
      </c>
      <c r="E569" s="9">
        <v>5</v>
      </c>
      <c r="F569" s="4">
        <v>492.94</v>
      </c>
      <c r="G569" t="s">
        <v>2632</v>
      </c>
      <c r="H569" s="6" t="s">
        <v>3069</v>
      </c>
      <c r="I569" s="6" t="s">
        <v>3070</v>
      </c>
      <c r="J569" s="6" t="s">
        <v>3642</v>
      </c>
      <c r="K569" s="9">
        <v>10</v>
      </c>
      <c r="L569" s="6" t="s">
        <v>4276</v>
      </c>
      <c r="M569" s="6" t="s">
        <v>4280</v>
      </c>
      <c r="N569" s="4">
        <v>2464.6999999999998</v>
      </c>
      <c r="O569" s="6">
        <f t="shared" si="8"/>
        <v>633</v>
      </c>
    </row>
    <row r="570" spans="1:15" x14ac:dyDescent="0.3">
      <c r="A570" s="6" t="s">
        <v>582</v>
      </c>
      <c r="B570" s="2">
        <v>44995</v>
      </c>
      <c r="C570" s="6" t="s">
        <v>1782</v>
      </c>
      <c r="D570" s="6" t="s">
        <v>2408</v>
      </c>
      <c r="E570" s="9">
        <v>2</v>
      </c>
      <c r="F570" s="4">
        <v>343.99</v>
      </c>
      <c r="G570" t="s">
        <v>2714</v>
      </c>
      <c r="H570" s="6" t="s">
        <v>3066</v>
      </c>
      <c r="I570" s="6" t="s">
        <v>3073</v>
      </c>
      <c r="J570" s="6" t="s">
        <v>3643</v>
      </c>
      <c r="K570" s="9">
        <v>4</v>
      </c>
      <c r="L570" s="6" t="s">
        <v>4283</v>
      </c>
      <c r="M570" s="6" t="s">
        <v>4282</v>
      </c>
      <c r="N570" s="4">
        <v>687.98</v>
      </c>
      <c r="O570" s="6">
        <f t="shared" si="8"/>
        <v>632</v>
      </c>
    </row>
    <row r="571" spans="1:15" x14ac:dyDescent="0.3">
      <c r="A571" s="6" t="s">
        <v>583</v>
      </c>
      <c r="B571" s="2">
        <v>45738</v>
      </c>
      <c r="C571" s="6" t="s">
        <v>1783</v>
      </c>
      <c r="D571" s="6" t="s">
        <v>2409</v>
      </c>
      <c r="E571" s="9">
        <v>5</v>
      </c>
      <c r="F571" s="4">
        <v>250.68</v>
      </c>
      <c r="G571" t="s">
        <v>2774</v>
      </c>
      <c r="H571" s="6" t="s">
        <v>3069</v>
      </c>
      <c r="I571" s="6" t="s">
        <v>3070</v>
      </c>
      <c r="J571" s="6" t="s">
        <v>3644</v>
      </c>
      <c r="K571" s="9">
        <v>8</v>
      </c>
      <c r="L571" s="6" t="s">
        <v>4275</v>
      </c>
      <c r="M571" s="6" t="s">
        <v>4278</v>
      </c>
      <c r="N571" s="4">
        <v>1253.4000000000001</v>
      </c>
      <c r="O571" s="6">
        <f t="shared" si="8"/>
        <v>631</v>
      </c>
    </row>
    <row r="572" spans="1:15" x14ac:dyDescent="0.3">
      <c r="A572" s="6" t="s">
        <v>584</v>
      </c>
      <c r="B572" s="2">
        <v>45653</v>
      </c>
      <c r="C572" s="6" t="s">
        <v>1784</v>
      </c>
      <c r="D572" s="6" t="s">
        <v>2409</v>
      </c>
      <c r="E572" s="9">
        <v>2</v>
      </c>
      <c r="F572" s="4">
        <v>362.14</v>
      </c>
      <c r="G572" t="s">
        <v>2518</v>
      </c>
      <c r="H572" s="6" t="s">
        <v>3065</v>
      </c>
      <c r="I572" s="6" t="s">
        <v>3074</v>
      </c>
      <c r="J572" s="6" t="s">
        <v>3645</v>
      </c>
      <c r="K572" s="9">
        <v>2</v>
      </c>
      <c r="L572" s="6" t="s">
        <v>4275</v>
      </c>
      <c r="M572" s="6" t="s">
        <v>4278</v>
      </c>
      <c r="N572" s="4">
        <v>724.28</v>
      </c>
      <c r="O572" s="6">
        <f t="shared" si="8"/>
        <v>630</v>
      </c>
    </row>
    <row r="573" spans="1:15" x14ac:dyDescent="0.3">
      <c r="A573" s="6" t="s">
        <v>585</v>
      </c>
      <c r="B573" s="2">
        <v>45619</v>
      </c>
      <c r="C573" s="6" t="s">
        <v>1785</v>
      </c>
      <c r="D573" s="6" t="s">
        <v>2405</v>
      </c>
      <c r="E573" s="9">
        <v>1</v>
      </c>
      <c r="F573" s="4">
        <v>214.08</v>
      </c>
      <c r="G573" t="s">
        <v>2779</v>
      </c>
      <c r="H573" s="6" t="s">
        <v>3068</v>
      </c>
      <c r="I573" s="6" t="s">
        <v>3072</v>
      </c>
      <c r="J573" s="6" t="s">
        <v>3646</v>
      </c>
      <c r="K573" s="9">
        <v>2</v>
      </c>
      <c r="L573" s="6" t="s">
        <v>4277</v>
      </c>
      <c r="M573" s="6" t="s">
        <v>4282</v>
      </c>
      <c r="N573" s="4">
        <v>214.08</v>
      </c>
      <c r="O573" s="6">
        <f t="shared" si="8"/>
        <v>629</v>
      </c>
    </row>
    <row r="574" spans="1:15" x14ac:dyDescent="0.3">
      <c r="A574" s="6" t="s">
        <v>586</v>
      </c>
      <c r="B574" s="2">
        <v>45241</v>
      </c>
      <c r="C574" s="6" t="s">
        <v>1786</v>
      </c>
      <c r="D574" s="6" t="s">
        <v>2407</v>
      </c>
      <c r="E574" s="9">
        <v>1</v>
      </c>
      <c r="F574" s="4">
        <v>70.319999999999993</v>
      </c>
      <c r="G574" t="s">
        <v>2722</v>
      </c>
      <c r="H574" s="6" t="s">
        <v>3069</v>
      </c>
      <c r="I574" s="6" t="s">
        <v>3072</v>
      </c>
      <c r="J574" s="6" t="s">
        <v>3647</v>
      </c>
      <c r="K574" s="9">
        <v>4</v>
      </c>
      <c r="L574" s="6" t="s">
        <v>4277</v>
      </c>
      <c r="M574" s="6" t="s">
        <v>4281</v>
      </c>
      <c r="N574" s="4">
        <v>70.319999999999993</v>
      </c>
      <c r="O574" s="6">
        <f t="shared" si="8"/>
        <v>628</v>
      </c>
    </row>
    <row r="575" spans="1:15" x14ac:dyDescent="0.3">
      <c r="A575" s="6" t="s">
        <v>587</v>
      </c>
      <c r="B575" s="2">
        <v>44951</v>
      </c>
      <c r="C575" s="6" t="s">
        <v>1787</v>
      </c>
      <c r="D575" s="6" t="s">
        <v>2406</v>
      </c>
      <c r="E575" s="9">
        <v>5</v>
      </c>
      <c r="F575" s="4">
        <v>421.42</v>
      </c>
      <c r="G575" t="s">
        <v>2511</v>
      </c>
      <c r="H575" s="6" t="s">
        <v>3065</v>
      </c>
      <c r="I575" s="6" t="s">
        <v>3071</v>
      </c>
      <c r="J575" s="6" t="s">
        <v>3648</v>
      </c>
      <c r="K575" s="9">
        <v>7</v>
      </c>
      <c r="L575" s="6" t="s">
        <v>4283</v>
      </c>
      <c r="M575" s="6" t="s">
        <v>4278</v>
      </c>
      <c r="N575" s="4">
        <v>2107.1</v>
      </c>
      <c r="O575" s="6">
        <f t="shared" si="8"/>
        <v>627</v>
      </c>
    </row>
    <row r="576" spans="1:15" x14ac:dyDescent="0.3">
      <c r="A576" s="6" t="s">
        <v>588</v>
      </c>
      <c r="B576" s="2">
        <v>45315</v>
      </c>
      <c r="C576" s="6" t="s">
        <v>1788</v>
      </c>
      <c r="D576" s="6" t="s">
        <v>2406</v>
      </c>
      <c r="E576" s="9">
        <v>5</v>
      </c>
      <c r="F576" s="4">
        <v>384.69</v>
      </c>
      <c r="G576" t="s">
        <v>2413</v>
      </c>
      <c r="H576" s="6" t="s">
        <v>3067</v>
      </c>
      <c r="I576" s="6" t="s">
        <v>3074</v>
      </c>
      <c r="J576" s="6" t="s">
        <v>3649</v>
      </c>
      <c r="K576" s="9">
        <v>6</v>
      </c>
      <c r="L576" s="6" t="s">
        <v>4276</v>
      </c>
      <c r="M576" s="6" t="s">
        <v>4280</v>
      </c>
      <c r="N576" s="4">
        <v>1923.45</v>
      </c>
      <c r="O576" s="6">
        <f t="shared" si="8"/>
        <v>626</v>
      </c>
    </row>
    <row r="577" spans="1:15" x14ac:dyDescent="0.3">
      <c r="A577" s="6" t="s">
        <v>589</v>
      </c>
      <c r="B577" s="2">
        <v>45084</v>
      </c>
      <c r="C577" s="6" t="s">
        <v>1789</v>
      </c>
      <c r="D577" s="6" t="s">
        <v>2406</v>
      </c>
      <c r="E577" s="9">
        <v>5</v>
      </c>
      <c r="F577" s="4">
        <v>448.15</v>
      </c>
      <c r="G577" t="s">
        <v>2825</v>
      </c>
      <c r="H577" s="6" t="s">
        <v>3068</v>
      </c>
      <c r="I577" s="6" t="s">
        <v>3072</v>
      </c>
      <c r="J577" s="6" t="s">
        <v>3650</v>
      </c>
      <c r="K577" s="9">
        <v>7</v>
      </c>
      <c r="L577" s="6" t="s">
        <v>4275</v>
      </c>
      <c r="M577" s="6" t="s">
        <v>4282</v>
      </c>
      <c r="N577" s="4">
        <v>2240.75</v>
      </c>
      <c r="O577" s="6">
        <f t="shared" si="8"/>
        <v>625</v>
      </c>
    </row>
    <row r="578" spans="1:15" x14ac:dyDescent="0.3">
      <c r="A578" s="6" t="s">
        <v>590</v>
      </c>
      <c r="B578" s="2">
        <v>45441</v>
      </c>
      <c r="C578" s="6" t="s">
        <v>1790</v>
      </c>
      <c r="D578" s="6" t="s">
        <v>2408</v>
      </c>
      <c r="E578" s="9">
        <v>5</v>
      </c>
      <c r="F578" s="4">
        <v>79.08</v>
      </c>
      <c r="G578" t="s">
        <v>2710</v>
      </c>
      <c r="H578" s="6" t="s">
        <v>3069</v>
      </c>
      <c r="I578" s="6" t="s">
        <v>3074</v>
      </c>
      <c r="J578" s="6" t="s">
        <v>3651</v>
      </c>
      <c r="K578" s="9">
        <v>8</v>
      </c>
      <c r="L578" s="6" t="s">
        <v>4283</v>
      </c>
      <c r="M578" s="6" t="s">
        <v>4281</v>
      </c>
      <c r="N578" s="4">
        <v>395.4</v>
      </c>
      <c r="O578" s="6">
        <f t="shared" ref="O578:O641" si="9">COUNTA(_xlfn.UNIQUE(C577:C1776))</f>
        <v>624</v>
      </c>
    </row>
    <row r="579" spans="1:15" x14ac:dyDescent="0.3">
      <c r="A579" s="6" t="s">
        <v>591</v>
      </c>
      <c r="B579" s="2">
        <v>44948</v>
      </c>
      <c r="C579" s="6" t="s">
        <v>1791</v>
      </c>
      <c r="D579" s="6" t="s">
        <v>2405</v>
      </c>
      <c r="E579" s="9">
        <v>4</v>
      </c>
      <c r="F579" s="4">
        <v>185.41</v>
      </c>
      <c r="G579" t="s">
        <v>2488</v>
      </c>
      <c r="H579" s="6" t="s">
        <v>3066</v>
      </c>
      <c r="I579" s="6" t="s">
        <v>3072</v>
      </c>
      <c r="J579" s="6" t="s">
        <v>3652</v>
      </c>
      <c r="K579" s="9">
        <v>9</v>
      </c>
      <c r="L579" s="6" t="s">
        <v>4277</v>
      </c>
      <c r="M579" s="6" t="s">
        <v>4282</v>
      </c>
      <c r="N579" s="4">
        <v>741.64</v>
      </c>
      <c r="O579" s="6">
        <f t="shared" si="9"/>
        <v>623</v>
      </c>
    </row>
    <row r="580" spans="1:15" x14ac:dyDescent="0.3">
      <c r="A580" s="6" t="s">
        <v>592</v>
      </c>
      <c r="B580" s="2">
        <v>45575</v>
      </c>
      <c r="C580" s="6" t="s">
        <v>1792</v>
      </c>
      <c r="D580" s="6" t="s">
        <v>2403</v>
      </c>
      <c r="E580" s="9">
        <v>5</v>
      </c>
      <c r="F580" s="4">
        <v>566.07000000000005</v>
      </c>
      <c r="G580" t="s">
        <v>2430</v>
      </c>
      <c r="H580" s="6" t="s">
        <v>3067</v>
      </c>
      <c r="I580" s="6" t="s">
        <v>3073</v>
      </c>
      <c r="J580" s="6" t="s">
        <v>3653</v>
      </c>
      <c r="K580" s="9">
        <v>6</v>
      </c>
      <c r="L580" s="6" t="s">
        <v>4275</v>
      </c>
      <c r="M580" s="6" t="s">
        <v>4278</v>
      </c>
      <c r="N580" s="4">
        <v>2830.35</v>
      </c>
      <c r="O580" s="6">
        <f t="shared" si="9"/>
        <v>622</v>
      </c>
    </row>
    <row r="581" spans="1:15" x14ac:dyDescent="0.3">
      <c r="A581" s="6" t="s">
        <v>593</v>
      </c>
      <c r="B581" s="2">
        <v>45081</v>
      </c>
      <c r="C581" s="6" t="s">
        <v>1793</v>
      </c>
      <c r="D581" s="6" t="s">
        <v>2405</v>
      </c>
      <c r="E581" s="9">
        <v>2</v>
      </c>
      <c r="F581" s="4">
        <v>187.88</v>
      </c>
      <c r="G581" t="s">
        <v>2679</v>
      </c>
      <c r="H581" s="6" t="s">
        <v>3066</v>
      </c>
      <c r="I581" s="6" t="s">
        <v>3070</v>
      </c>
      <c r="J581" s="6" t="s">
        <v>3654</v>
      </c>
      <c r="K581" s="9">
        <v>4</v>
      </c>
      <c r="L581" s="6" t="s">
        <v>4277</v>
      </c>
      <c r="M581" s="6" t="s">
        <v>4281</v>
      </c>
      <c r="N581" s="4">
        <v>375.76</v>
      </c>
      <c r="O581" s="6">
        <f t="shared" si="9"/>
        <v>621</v>
      </c>
    </row>
    <row r="582" spans="1:15" x14ac:dyDescent="0.3">
      <c r="A582" s="6" t="s">
        <v>594</v>
      </c>
      <c r="B582" s="2">
        <v>45244</v>
      </c>
      <c r="C582" s="6" t="s">
        <v>1794</v>
      </c>
      <c r="D582" s="6" t="s">
        <v>2403</v>
      </c>
      <c r="E582" s="9">
        <v>2</v>
      </c>
      <c r="F582" s="4">
        <v>255.99</v>
      </c>
      <c r="G582" t="s">
        <v>2826</v>
      </c>
      <c r="H582" s="6" t="s">
        <v>3067</v>
      </c>
      <c r="I582" s="6" t="s">
        <v>3073</v>
      </c>
      <c r="J582" s="6" t="s">
        <v>3655</v>
      </c>
      <c r="K582" s="9">
        <v>4</v>
      </c>
      <c r="L582" s="6" t="s">
        <v>4275</v>
      </c>
      <c r="M582" s="6" t="s">
        <v>4278</v>
      </c>
      <c r="N582" s="4">
        <v>511.98</v>
      </c>
      <c r="O582" s="6">
        <f t="shared" si="9"/>
        <v>620</v>
      </c>
    </row>
    <row r="583" spans="1:15" x14ac:dyDescent="0.3">
      <c r="A583" s="6" t="s">
        <v>595</v>
      </c>
      <c r="B583" s="2">
        <v>45607</v>
      </c>
      <c r="C583" s="6" t="s">
        <v>1795</v>
      </c>
      <c r="D583" s="6" t="s">
        <v>2408</v>
      </c>
      <c r="E583" s="9">
        <v>1</v>
      </c>
      <c r="F583" s="4">
        <v>627.34</v>
      </c>
      <c r="G583" t="s">
        <v>2425</v>
      </c>
      <c r="H583" s="6" t="s">
        <v>3066</v>
      </c>
      <c r="I583" s="6" t="s">
        <v>3073</v>
      </c>
      <c r="J583" s="6" t="s">
        <v>3656</v>
      </c>
      <c r="K583" s="9">
        <v>1</v>
      </c>
      <c r="L583" s="6" t="s">
        <v>4283</v>
      </c>
      <c r="M583" s="6" t="s">
        <v>4279</v>
      </c>
      <c r="N583" s="4">
        <v>627.34</v>
      </c>
      <c r="O583" s="6">
        <f t="shared" si="9"/>
        <v>619</v>
      </c>
    </row>
    <row r="584" spans="1:15" x14ac:dyDescent="0.3">
      <c r="A584" s="6" t="s">
        <v>596</v>
      </c>
      <c r="B584" s="2">
        <v>45341</v>
      </c>
      <c r="C584" s="6" t="s">
        <v>1796</v>
      </c>
      <c r="D584" s="6" t="s">
        <v>2405</v>
      </c>
      <c r="E584" s="9">
        <v>3</v>
      </c>
      <c r="F584" s="4">
        <v>474.14</v>
      </c>
      <c r="G584" t="s">
        <v>2727</v>
      </c>
      <c r="H584" s="6" t="s">
        <v>3068</v>
      </c>
      <c r="I584" s="6" t="s">
        <v>3070</v>
      </c>
      <c r="J584" s="6" t="s">
        <v>3657</v>
      </c>
      <c r="K584" s="9">
        <v>8</v>
      </c>
      <c r="L584" s="6" t="s">
        <v>4277</v>
      </c>
      <c r="M584" s="6" t="s">
        <v>4282</v>
      </c>
      <c r="N584" s="4">
        <v>1422.42</v>
      </c>
      <c r="O584" s="6">
        <f t="shared" si="9"/>
        <v>618</v>
      </c>
    </row>
    <row r="585" spans="1:15" x14ac:dyDescent="0.3">
      <c r="A585" s="6" t="s">
        <v>597</v>
      </c>
      <c r="B585" s="2">
        <v>45823</v>
      </c>
      <c r="C585" s="6" t="s">
        <v>1797</v>
      </c>
      <c r="D585" s="6" t="s">
        <v>2406</v>
      </c>
      <c r="E585" s="9">
        <v>3</v>
      </c>
      <c r="F585" s="4">
        <v>154.37</v>
      </c>
      <c r="G585" t="s">
        <v>2441</v>
      </c>
      <c r="H585" s="6" t="s">
        <v>3068</v>
      </c>
      <c r="I585" s="6" t="s">
        <v>3073</v>
      </c>
      <c r="J585" s="6" t="s">
        <v>3658</v>
      </c>
      <c r="K585" s="9">
        <v>4</v>
      </c>
      <c r="L585" s="6" t="s">
        <v>4283</v>
      </c>
      <c r="M585" s="6" t="s">
        <v>4278</v>
      </c>
      <c r="N585" s="4">
        <v>463.11</v>
      </c>
      <c r="O585" s="6">
        <f t="shared" si="9"/>
        <v>617</v>
      </c>
    </row>
    <row r="586" spans="1:15" x14ac:dyDescent="0.3">
      <c r="A586" s="6" t="s">
        <v>598</v>
      </c>
      <c r="B586" s="2">
        <v>45737</v>
      </c>
      <c r="C586" s="6" t="s">
        <v>1798</v>
      </c>
      <c r="D586" s="6" t="s">
        <v>2406</v>
      </c>
      <c r="E586" s="9">
        <v>4</v>
      </c>
      <c r="F586" s="4">
        <v>145.05000000000001</v>
      </c>
      <c r="G586" t="s">
        <v>2827</v>
      </c>
      <c r="H586" s="6" t="s">
        <v>3066</v>
      </c>
      <c r="I586" s="6" t="s">
        <v>3073</v>
      </c>
      <c r="J586" s="6" t="s">
        <v>3659</v>
      </c>
      <c r="K586" s="9">
        <v>6</v>
      </c>
      <c r="L586" s="6" t="s">
        <v>4275</v>
      </c>
      <c r="M586" s="6" t="s">
        <v>4282</v>
      </c>
      <c r="N586" s="4">
        <v>580.20000000000005</v>
      </c>
      <c r="O586" s="6">
        <f t="shared" si="9"/>
        <v>616</v>
      </c>
    </row>
    <row r="587" spans="1:15" x14ac:dyDescent="0.3">
      <c r="A587" s="6" t="s">
        <v>599</v>
      </c>
      <c r="B587" s="2">
        <v>45158</v>
      </c>
      <c r="C587" s="6" t="s">
        <v>1799</v>
      </c>
      <c r="D587" s="6" t="s">
        <v>2405</v>
      </c>
      <c r="E587" s="9">
        <v>4</v>
      </c>
      <c r="F587" s="4">
        <v>67.08</v>
      </c>
      <c r="G587" t="s">
        <v>2709</v>
      </c>
      <c r="H587" s="6" t="s">
        <v>3069</v>
      </c>
      <c r="I587" s="6" t="s">
        <v>3072</v>
      </c>
      <c r="J587" s="6" t="s">
        <v>3660</v>
      </c>
      <c r="K587" s="9">
        <v>8</v>
      </c>
      <c r="L587" s="6" t="s">
        <v>4277</v>
      </c>
      <c r="M587" s="6" t="s">
        <v>4282</v>
      </c>
      <c r="N587" s="4">
        <v>268.32</v>
      </c>
      <c r="O587" s="6">
        <f t="shared" si="9"/>
        <v>615</v>
      </c>
    </row>
    <row r="588" spans="1:15" x14ac:dyDescent="0.3">
      <c r="A588" s="6" t="s">
        <v>600</v>
      </c>
      <c r="B588" s="2">
        <v>45606</v>
      </c>
      <c r="C588" s="6" t="s">
        <v>1800</v>
      </c>
      <c r="D588" s="6" t="s">
        <v>2403</v>
      </c>
      <c r="E588" s="9">
        <v>1</v>
      </c>
      <c r="F588" s="4">
        <v>522.08000000000004</v>
      </c>
      <c r="G588" t="s">
        <v>2828</v>
      </c>
      <c r="H588" s="6" t="s">
        <v>3068</v>
      </c>
      <c r="I588" s="6" t="s">
        <v>3072</v>
      </c>
      <c r="J588" s="6" t="s">
        <v>3661</v>
      </c>
      <c r="K588" s="9">
        <v>5</v>
      </c>
      <c r="L588" s="6" t="s">
        <v>4276</v>
      </c>
      <c r="M588" s="6" t="s">
        <v>4279</v>
      </c>
      <c r="N588" s="4">
        <v>522.08000000000004</v>
      </c>
      <c r="O588" s="6">
        <f t="shared" si="9"/>
        <v>614</v>
      </c>
    </row>
    <row r="589" spans="1:15" x14ac:dyDescent="0.3">
      <c r="A589" s="6" t="s">
        <v>601</v>
      </c>
      <c r="B589" s="2">
        <v>45089</v>
      </c>
      <c r="C589" s="6" t="s">
        <v>1801</v>
      </c>
      <c r="D589" s="6" t="s">
        <v>2403</v>
      </c>
      <c r="E589" s="9">
        <v>5</v>
      </c>
      <c r="F589" s="4">
        <v>514.6</v>
      </c>
      <c r="G589" t="s">
        <v>2829</v>
      </c>
      <c r="H589" s="6" t="s">
        <v>3068</v>
      </c>
      <c r="I589" s="6" t="s">
        <v>3073</v>
      </c>
      <c r="J589" s="6" t="s">
        <v>3662</v>
      </c>
      <c r="K589" s="9">
        <v>10</v>
      </c>
      <c r="L589" s="6" t="s">
        <v>4276</v>
      </c>
      <c r="M589" s="6" t="s">
        <v>4278</v>
      </c>
      <c r="N589" s="4">
        <v>2573</v>
      </c>
      <c r="O589" s="6">
        <f t="shared" si="9"/>
        <v>613</v>
      </c>
    </row>
    <row r="590" spans="1:15" x14ac:dyDescent="0.3">
      <c r="A590" s="6" t="s">
        <v>602</v>
      </c>
      <c r="B590" s="2">
        <v>45636</v>
      </c>
      <c r="C590" s="6" t="s">
        <v>1802</v>
      </c>
      <c r="D590" s="6" t="s">
        <v>2403</v>
      </c>
      <c r="E590" s="9">
        <v>4</v>
      </c>
      <c r="F590" s="4">
        <v>577.82000000000005</v>
      </c>
      <c r="G590" t="s">
        <v>2465</v>
      </c>
      <c r="H590" s="6" t="s">
        <v>3067</v>
      </c>
      <c r="I590" s="6" t="s">
        <v>3073</v>
      </c>
      <c r="J590" s="6" t="s">
        <v>3663</v>
      </c>
      <c r="K590" s="9">
        <v>9</v>
      </c>
      <c r="L590" s="6" t="s">
        <v>4283</v>
      </c>
      <c r="M590" s="6" t="s">
        <v>4282</v>
      </c>
      <c r="N590" s="4">
        <v>2311.2800000000002</v>
      </c>
      <c r="O590" s="6">
        <f t="shared" si="9"/>
        <v>612</v>
      </c>
    </row>
    <row r="591" spans="1:15" x14ac:dyDescent="0.3">
      <c r="A591" s="6" t="s">
        <v>603</v>
      </c>
      <c r="B591" s="2">
        <v>45698</v>
      </c>
      <c r="C591" s="6" t="s">
        <v>1803</v>
      </c>
      <c r="D591" s="6" t="s">
        <v>2408</v>
      </c>
      <c r="E591" s="9">
        <v>2</v>
      </c>
      <c r="F591" s="4">
        <v>500.8</v>
      </c>
      <c r="G591" t="s">
        <v>2830</v>
      </c>
      <c r="H591" s="6" t="s">
        <v>3069</v>
      </c>
      <c r="I591" s="6" t="s">
        <v>3073</v>
      </c>
      <c r="J591" s="6" t="s">
        <v>3664</v>
      </c>
      <c r="K591" s="9">
        <v>3</v>
      </c>
      <c r="L591" s="6" t="s">
        <v>4276</v>
      </c>
      <c r="M591" s="6" t="s">
        <v>4279</v>
      </c>
      <c r="N591" s="4">
        <v>1001.6</v>
      </c>
      <c r="O591" s="6">
        <f t="shared" si="9"/>
        <v>611</v>
      </c>
    </row>
    <row r="592" spans="1:15" x14ac:dyDescent="0.3">
      <c r="A592" s="6" t="s">
        <v>604</v>
      </c>
      <c r="B592" s="2">
        <v>45179</v>
      </c>
      <c r="C592" s="6" t="s">
        <v>1804</v>
      </c>
      <c r="D592" s="6" t="s">
        <v>2407</v>
      </c>
      <c r="E592" s="9">
        <v>2</v>
      </c>
      <c r="F592" s="4">
        <v>461.13</v>
      </c>
      <c r="G592" t="s">
        <v>2831</v>
      </c>
      <c r="H592" s="6" t="s">
        <v>3068</v>
      </c>
      <c r="I592" s="6" t="s">
        <v>3072</v>
      </c>
      <c r="J592" s="6" t="s">
        <v>3665</v>
      </c>
      <c r="K592" s="9">
        <v>4</v>
      </c>
      <c r="L592" s="6" t="s">
        <v>4283</v>
      </c>
      <c r="M592" s="6" t="s">
        <v>4280</v>
      </c>
      <c r="N592" s="4">
        <v>922.26</v>
      </c>
      <c r="O592" s="6">
        <f t="shared" si="9"/>
        <v>610</v>
      </c>
    </row>
    <row r="593" spans="1:15" x14ac:dyDescent="0.3">
      <c r="A593" s="6" t="s">
        <v>605</v>
      </c>
      <c r="B593" s="2">
        <v>45614</v>
      </c>
      <c r="C593" s="6" t="s">
        <v>1805</v>
      </c>
      <c r="D593" s="6" t="s">
        <v>2408</v>
      </c>
      <c r="E593" s="9">
        <v>1</v>
      </c>
      <c r="F593" s="4">
        <v>605.28</v>
      </c>
      <c r="G593" t="s">
        <v>2832</v>
      </c>
      <c r="H593" s="6" t="s">
        <v>3068</v>
      </c>
      <c r="I593" s="6" t="s">
        <v>3070</v>
      </c>
      <c r="J593" s="6" t="s">
        <v>3666</v>
      </c>
      <c r="K593" s="9">
        <v>3</v>
      </c>
      <c r="L593" s="6" t="s">
        <v>4276</v>
      </c>
      <c r="M593" s="6" t="s">
        <v>4279</v>
      </c>
      <c r="N593" s="4">
        <v>605.28</v>
      </c>
      <c r="O593" s="6">
        <f t="shared" si="9"/>
        <v>609</v>
      </c>
    </row>
    <row r="594" spans="1:15" x14ac:dyDescent="0.3">
      <c r="A594" s="6" t="s">
        <v>606</v>
      </c>
      <c r="B594" s="2">
        <v>45405</v>
      </c>
      <c r="C594" s="6" t="s">
        <v>1806</v>
      </c>
      <c r="D594" s="6" t="s">
        <v>2404</v>
      </c>
      <c r="E594" s="9">
        <v>3</v>
      </c>
      <c r="F594" s="4">
        <v>204.27</v>
      </c>
      <c r="G594" t="s">
        <v>2803</v>
      </c>
      <c r="H594" s="6" t="s">
        <v>3066</v>
      </c>
      <c r="I594" s="6" t="s">
        <v>3072</v>
      </c>
      <c r="J594" s="6" t="s">
        <v>3667</v>
      </c>
      <c r="K594" s="9">
        <v>4</v>
      </c>
      <c r="L594" s="6" t="s">
        <v>4283</v>
      </c>
      <c r="M594" s="6" t="s">
        <v>4282</v>
      </c>
      <c r="N594" s="4">
        <v>612.81000000000006</v>
      </c>
      <c r="O594" s="6">
        <f t="shared" si="9"/>
        <v>608</v>
      </c>
    </row>
    <row r="595" spans="1:15" x14ac:dyDescent="0.3">
      <c r="A595" s="6" t="s">
        <v>607</v>
      </c>
      <c r="B595" s="2">
        <v>45140</v>
      </c>
      <c r="C595" s="6" t="s">
        <v>1807</v>
      </c>
      <c r="D595" s="6" t="s">
        <v>2403</v>
      </c>
      <c r="E595" s="9">
        <v>1</v>
      </c>
      <c r="F595" s="4">
        <v>489.8</v>
      </c>
      <c r="G595" t="s">
        <v>2535</v>
      </c>
      <c r="H595" s="6" t="s">
        <v>3068</v>
      </c>
      <c r="I595" s="6" t="s">
        <v>3070</v>
      </c>
      <c r="J595" s="6" t="s">
        <v>3668</v>
      </c>
      <c r="K595" s="9">
        <v>4</v>
      </c>
      <c r="L595" s="6" t="s">
        <v>4276</v>
      </c>
      <c r="M595" s="6" t="s">
        <v>4281</v>
      </c>
      <c r="N595" s="4">
        <v>489.8</v>
      </c>
      <c r="O595" s="6">
        <f t="shared" si="9"/>
        <v>607</v>
      </c>
    </row>
    <row r="596" spans="1:15" x14ac:dyDescent="0.3">
      <c r="A596" s="6" t="s">
        <v>608</v>
      </c>
      <c r="B596" s="2">
        <v>45343</v>
      </c>
      <c r="C596" s="6" t="s">
        <v>1808</v>
      </c>
      <c r="D596" s="6" t="s">
        <v>2404</v>
      </c>
      <c r="E596" s="9">
        <v>5</v>
      </c>
      <c r="F596" s="4">
        <v>72.64</v>
      </c>
      <c r="G596" t="s">
        <v>2538</v>
      </c>
      <c r="H596" s="6" t="s">
        <v>3067</v>
      </c>
      <c r="I596" s="6" t="s">
        <v>3071</v>
      </c>
      <c r="J596" s="6" t="s">
        <v>3669</v>
      </c>
      <c r="K596" s="9">
        <v>7</v>
      </c>
      <c r="L596" s="6" t="s">
        <v>4283</v>
      </c>
      <c r="M596" s="6" t="s">
        <v>4280</v>
      </c>
      <c r="N596" s="4">
        <v>363.2</v>
      </c>
      <c r="O596" s="6">
        <f t="shared" si="9"/>
        <v>606</v>
      </c>
    </row>
    <row r="597" spans="1:15" x14ac:dyDescent="0.3">
      <c r="A597" s="6" t="s">
        <v>609</v>
      </c>
      <c r="B597" s="2">
        <v>45667</v>
      </c>
      <c r="C597" s="6" t="s">
        <v>1809</v>
      </c>
      <c r="D597" s="6" t="s">
        <v>2407</v>
      </c>
      <c r="E597" s="9">
        <v>2</v>
      </c>
      <c r="F597" s="4">
        <v>385.16</v>
      </c>
      <c r="G597" t="s">
        <v>2833</v>
      </c>
      <c r="H597" s="6" t="s">
        <v>3066</v>
      </c>
      <c r="I597" s="6" t="s">
        <v>3074</v>
      </c>
      <c r="J597" s="6" t="s">
        <v>3670</v>
      </c>
      <c r="K597" s="9">
        <v>7</v>
      </c>
      <c r="L597" s="6" t="s">
        <v>4275</v>
      </c>
      <c r="M597" s="6" t="s">
        <v>4280</v>
      </c>
      <c r="N597" s="4">
        <v>770.32</v>
      </c>
      <c r="O597" s="6">
        <f t="shared" si="9"/>
        <v>605</v>
      </c>
    </row>
    <row r="598" spans="1:15" x14ac:dyDescent="0.3">
      <c r="A598" s="6" t="s">
        <v>610</v>
      </c>
      <c r="B598" s="2">
        <v>45089</v>
      </c>
      <c r="C598" s="6" t="s">
        <v>1810</v>
      </c>
      <c r="D598" s="6" t="s">
        <v>2409</v>
      </c>
      <c r="E598" s="9">
        <v>3</v>
      </c>
      <c r="F598" s="4">
        <v>606.41</v>
      </c>
      <c r="G598" t="s">
        <v>2834</v>
      </c>
      <c r="H598" s="6" t="s">
        <v>3065</v>
      </c>
      <c r="I598" s="6" t="s">
        <v>3072</v>
      </c>
      <c r="J598" s="6" t="s">
        <v>3671</v>
      </c>
      <c r="K598" s="9">
        <v>7</v>
      </c>
      <c r="L598" s="6" t="s">
        <v>4276</v>
      </c>
      <c r="M598" s="6" t="s">
        <v>4281</v>
      </c>
      <c r="N598" s="4">
        <v>1819.23</v>
      </c>
      <c r="O598" s="6">
        <f t="shared" si="9"/>
        <v>604</v>
      </c>
    </row>
    <row r="599" spans="1:15" x14ac:dyDescent="0.3">
      <c r="A599" s="6" t="s">
        <v>611</v>
      </c>
      <c r="B599" s="2">
        <v>45621</v>
      </c>
      <c r="C599" s="6" t="s">
        <v>1811</v>
      </c>
      <c r="D599" s="6" t="s">
        <v>2409</v>
      </c>
      <c r="E599" s="9">
        <v>2</v>
      </c>
      <c r="F599" s="4">
        <v>211.82</v>
      </c>
      <c r="G599" t="s">
        <v>2835</v>
      </c>
      <c r="H599" s="6" t="s">
        <v>3068</v>
      </c>
      <c r="I599" s="6" t="s">
        <v>3071</v>
      </c>
      <c r="J599" s="6" t="s">
        <v>3672</v>
      </c>
      <c r="K599" s="9">
        <v>4</v>
      </c>
      <c r="L599" s="6" t="s">
        <v>4277</v>
      </c>
      <c r="M599" s="6" t="s">
        <v>4280</v>
      </c>
      <c r="N599" s="4">
        <v>423.64</v>
      </c>
      <c r="O599" s="6">
        <f t="shared" si="9"/>
        <v>603</v>
      </c>
    </row>
    <row r="600" spans="1:15" x14ac:dyDescent="0.3">
      <c r="A600" s="6" t="s">
        <v>612</v>
      </c>
      <c r="B600" s="2">
        <v>45408</v>
      </c>
      <c r="C600" s="6" t="s">
        <v>1812</v>
      </c>
      <c r="D600" s="6" t="s">
        <v>2409</v>
      </c>
      <c r="E600" s="9">
        <v>5</v>
      </c>
      <c r="F600" s="4">
        <v>495.35</v>
      </c>
      <c r="G600" t="s">
        <v>2693</v>
      </c>
      <c r="H600" s="6" t="s">
        <v>3067</v>
      </c>
      <c r="I600" s="6" t="s">
        <v>3074</v>
      </c>
      <c r="J600" s="6" t="s">
        <v>3673</v>
      </c>
      <c r="K600" s="9">
        <v>5</v>
      </c>
      <c r="L600" s="6" t="s">
        <v>4283</v>
      </c>
      <c r="M600" s="6" t="s">
        <v>4281</v>
      </c>
      <c r="N600" s="4">
        <v>2476.75</v>
      </c>
      <c r="O600" s="6">
        <f t="shared" si="9"/>
        <v>602</v>
      </c>
    </row>
    <row r="601" spans="1:15" x14ac:dyDescent="0.3">
      <c r="A601" s="6" t="s">
        <v>613</v>
      </c>
      <c r="B601" s="2">
        <v>45107</v>
      </c>
      <c r="C601" s="6" t="s">
        <v>1813</v>
      </c>
      <c r="D601" s="6" t="s">
        <v>2406</v>
      </c>
      <c r="E601" s="9">
        <v>3</v>
      </c>
      <c r="F601" s="4">
        <v>556.99</v>
      </c>
      <c r="G601" t="s">
        <v>2739</v>
      </c>
      <c r="H601" s="6" t="s">
        <v>3066</v>
      </c>
      <c r="I601" s="6" t="s">
        <v>3071</v>
      </c>
      <c r="J601" s="6" t="s">
        <v>3674</v>
      </c>
      <c r="K601" s="9">
        <v>4</v>
      </c>
      <c r="L601" s="6" t="s">
        <v>4276</v>
      </c>
      <c r="M601" s="6" t="s">
        <v>4281</v>
      </c>
      <c r="N601" s="4">
        <v>1670.97</v>
      </c>
      <c r="O601" s="6">
        <f t="shared" si="9"/>
        <v>601</v>
      </c>
    </row>
    <row r="602" spans="1:15" x14ac:dyDescent="0.3">
      <c r="A602" s="6" t="s">
        <v>614</v>
      </c>
      <c r="B602" s="2">
        <v>45072</v>
      </c>
      <c r="C602" s="6" t="s">
        <v>1814</v>
      </c>
      <c r="D602" s="6" t="s">
        <v>2407</v>
      </c>
      <c r="E602" s="9">
        <v>1</v>
      </c>
      <c r="F602" s="4">
        <v>72.31</v>
      </c>
      <c r="G602" t="s">
        <v>2633</v>
      </c>
      <c r="H602" s="6" t="s">
        <v>3068</v>
      </c>
      <c r="I602" s="6" t="s">
        <v>3071</v>
      </c>
      <c r="J602" s="6" t="s">
        <v>3675</v>
      </c>
      <c r="K602" s="9">
        <v>1</v>
      </c>
      <c r="L602" s="6" t="s">
        <v>4276</v>
      </c>
      <c r="M602" s="6" t="s">
        <v>4281</v>
      </c>
      <c r="N602" s="4">
        <v>72.31</v>
      </c>
      <c r="O602" s="6">
        <f t="shared" si="9"/>
        <v>600</v>
      </c>
    </row>
    <row r="603" spans="1:15" x14ac:dyDescent="0.3">
      <c r="A603" s="6" t="s">
        <v>615</v>
      </c>
      <c r="B603" s="2">
        <v>45201</v>
      </c>
      <c r="C603" s="6" t="s">
        <v>1815</v>
      </c>
      <c r="D603" s="6" t="s">
        <v>2403</v>
      </c>
      <c r="E603" s="9">
        <v>5</v>
      </c>
      <c r="F603" s="4">
        <v>24.82</v>
      </c>
      <c r="G603" t="s">
        <v>2836</v>
      </c>
      <c r="H603" s="6" t="s">
        <v>3067</v>
      </c>
      <c r="I603" s="6" t="s">
        <v>3070</v>
      </c>
      <c r="J603" s="6" t="s">
        <v>3676</v>
      </c>
      <c r="K603" s="9">
        <v>10</v>
      </c>
      <c r="L603" s="6" t="s">
        <v>4283</v>
      </c>
      <c r="M603" s="6" t="s">
        <v>4279</v>
      </c>
      <c r="N603" s="4">
        <v>124.1</v>
      </c>
      <c r="O603" s="6">
        <f t="shared" si="9"/>
        <v>599</v>
      </c>
    </row>
    <row r="604" spans="1:15" x14ac:dyDescent="0.3">
      <c r="A604" s="6" t="s">
        <v>616</v>
      </c>
      <c r="B604" s="2">
        <v>45356</v>
      </c>
      <c r="C604" s="6" t="s">
        <v>1696</v>
      </c>
      <c r="D604" s="6" t="s">
        <v>2405</v>
      </c>
      <c r="E604" s="9">
        <v>4</v>
      </c>
      <c r="F604" s="4">
        <v>26.04</v>
      </c>
      <c r="G604" t="s">
        <v>2782</v>
      </c>
      <c r="H604" s="6" t="s">
        <v>3066</v>
      </c>
      <c r="I604" s="6" t="s">
        <v>3074</v>
      </c>
      <c r="J604" s="6" t="s">
        <v>3677</v>
      </c>
      <c r="K604" s="9">
        <v>5</v>
      </c>
      <c r="L604" s="6" t="s">
        <v>4275</v>
      </c>
      <c r="M604" s="6" t="s">
        <v>4278</v>
      </c>
      <c r="N604" s="4">
        <v>104.16</v>
      </c>
      <c r="O604" s="6">
        <f t="shared" si="9"/>
        <v>598</v>
      </c>
    </row>
    <row r="605" spans="1:15" x14ac:dyDescent="0.3">
      <c r="A605" s="6" t="s">
        <v>617</v>
      </c>
      <c r="B605" s="2">
        <v>45569</v>
      </c>
      <c r="C605" s="6" t="s">
        <v>1816</v>
      </c>
      <c r="D605" s="6" t="s">
        <v>2405</v>
      </c>
      <c r="E605" s="9">
        <v>1</v>
      </c>
      <c r="F605" s="4">
        <v>657.07</v>
      </c>
      <c r="G605" t="s">
        <v>2837</v>
      </c>
      <c r="H605" s="6" t="s">
        <v>3069</v>
      </c>
      <c r="I605" s="6" t="s">
        <v>3074</v>
      </c>
      <c r="J605" s="6" t="s">
        <v>3678</v>
      </c>
      <c r="K605" s="9">
        <v>4</v>
      </c>
      <c r="L605" s="6" t="s">
        <v>4275</v>
      </c>
      <c r="M605" s="6" t="s">
        <v>4282</v>
      </c>
      <c r="N605" s="4">
        <v>657.07</v>
      </c>
      <c r="O605" s="6">
        <f t="shared" si="9"/>
        <v>597</v>
      </c>
    </row>
    <row r="606" spans="1:15" x14ac:dyDescent="0.3">
      <c r="A606" s="6" t="s">
        <v>618</v>
      </c>
      <c r="B606" s="2">
        <v>45830</v>
      </c>
      <c r="C606" s="6" t="s">
        <v>1817</v>
      </c>
      <c r="D606" s="6" t="s">
        <v>2406</v>
      </c>
      <c r="E606" s="9">
        <v>3</v>
      </c>
      <c r="F606" s="4">
        <v>32.619999999999997</v>
      </c>
      <c r="G606" t="s">
        <v>2661</v>
      </c>
      <c r="H606" s="6" t="s">
        <v>3065</v>
      </c>
      <c r="I606" s="6" t="s">
        <v>3073</v>
      </c>
      <c r="J606" s="6" t="s">
        <v>3679</v>
      </c>
      <c r="K606" s="9">
        <v>6</v>
      </c>
      <c r="L606" s="6" t="s">
        <v>4283</v>
      </c>
      <c r="M606" s="6" t="s">
        <v>4281</v>
      </c>
      <c r="N606" s="4">
        <v>97.859999999999985</v>
      </c>
      <c r="O606" s="6">
        <f t="shared" si="9"/>
        <v>596</v>
      </c>
    </row>
    <row r="607" spans="1:15" x14ac:dyDescent="0.3">
      <c r="A607" s="6" t="s">
        <v>619</v>
      </c>
      <c r="B607" s="2">
        <v>45422</v>
      </c>
      <c r="C607" s="6" t="s">
        <v>1818</v>
      </c>
      <c r="D607" s="6" t="s">
        <v>2403</v>
      </c>
      <c r="E607" s="9">
        <v>2</v>
      </c>
      <c r="F607" s="4">
        <v>228.91</v>
      </c>
      <c r="G607" t="s">
        <v>2838</v>
      </c>
      <c r="H607" s="6" t="s">
        <v>3065</v>
      </c>
      <c r="I607" s="6" t="s">
        <v>3070</v>
      </c>
      <c r="J607" s="6" t="s">
        <v>3680</v>
      </c>
      <c r="K607" s="9">
        <v>4</v>
      </c>
      <c r="L607" s="6" t="s">
        <v>4275</v>
      </c>
      <c r="M607" s="6" t="s">
        <v>4279</v>
      </c>
      <c r="N607" s="4">
        <v>457.82</v>
      </c>
      <c r="O607" s="6">
        <f t="shared" si="9"/>
        <v>595</v>
      </c>
    </row>
    <row r="608" spans="1:15" x14ac:dyDescent="0.3">
      <c r="A608" s="6" t="s">
        <v>620</v>
      </c>
      <c r="B608" s="2">
        <v>45602</v>
      </c>
      <c r="C608" s="6" t="s">
        <v>1819</v>
      </c>
      <c r="D608" s="6" t="s">
        <v>2408</v>
      </c>
      <c r="E608" s="9">
        <v>3</v>
      </c>
      <c r="F608" s="4">
        <v>274.75</v>
      </c>
      <c r="G608" t="s">
        <v>2614</v>
      </c>
      <c r="H608" s="6" t="s">
        <v>3069</v>
      </c>
      <c r="I608" s="6" t="s">
        <v>3071</v>
      </c>
      <c r="J608" s="6" t="s">
        <v>3681</v>
      </c>
      <c r="K608" s="9">
        <v>3</v>
      </c>
      <c r="L608" s="6" t="s">
        <v>4275</v>
      </c>
      <c r="M608" s="6" t="s">
        <v>4282</v>
      </c>
      <c r="N608" s="4">
        <v>824.25</v>
      </c>
      <c r="O608" s="6">
        <f t="shared" si="9"/>
        <v>594</v>
      </c>
    </row>
    <row r="609" spans="1:15" x14ac:dyDescent="0.3">
      <c r="A609" s="6" t="s">
        <v>621</v>
      </c>
      <c r="B609" s="2">
        <v>45808</v>
      </c>
      <c r="C609" s="6" t="s">
        <v>1820</v>
      </c>
      <c r="D609" s="6" t="s">
        <v>2407</v>
      </c>
      <c r="E609" s="9">
        <v>4</v>
      </c>
      <c r="F609" s="4">
        <v>634.04999999999995</v>
      </c>
      <c r="G609" t="s">
        <v>2839</v>
      </c>
      <c r="H609" s="6" t="s">
        <v>3069</v>
      </c>
      <c r="I609" s="6" t="s">
        <v>3070</v>
      </c>
      <c r="J609" s="6" t="s">
        <v>3682</v>
      </c>
      <c r="K609" s="9">
        <v>6</v>
      </c>
      <c r="L609" s="6" t="s">
        <v>4275</v>
      </c>
      <c r="M609" s="6" t="s">
        <v>4282</v>
      </c>
      <c r="N609" s="4">
        <v>2536.1999999999998</v>
      </c>
      <c r="O609" s="6">
        <f t="shared" si="9"/>
        <v>593</v>
      </c>
    </row>
    <row r="610" spans="1:15" x14ac:dyDescent="0.3">
      <c r="A610" s="6" t="s">
        <v>622</v>
      </c>
      <c r="B610" s="2">
        <v>45497</v>
      </c>
      <c r="C610" s="6" t="s">
        <v>1821</v>
      </c>
      <c r="D610" s="6" t="s">
        <v>2408</v>
      </c>
      <c r="E610" s="9">
        <v>5</v>
      </c>
      <c r="F610" s="4">
        <v>543.16</v>
      </c>
      <c r="G610" t="s">
        <v>2840</v>
      </c>
      <c r="H610" s="6" t="s">
        <v>3066</v>
      </c>
      <c r="I610" s="6" t="s">
        <v>3071</v>
      </c>
      <c r="J610" s="6" t="s">
        <v>3683</v>
      </c>
      <c r="K610" s="9">
        <v>6</v>
      </c>
      <c r="L610" s="6" t="s">
        <v>4275</v>
      </c>
      <c r="M610" s="6" t="s">
        <v>4278</v>
      </c>
      <c r="N610" s="4">
        <v>2715.8</v>
      </c>
      <c r="O610" s="6">
        <f t="shared" si="9"/>
        <v>592</v>
      </c>
    </row>
    <row r="611" spans="1:15" x14ac:dyDescent="0.3">
      <c r="A611" s="6" t="s">
        <v>623</v>
      </c>
      <c r="B611" s="2">
        <v>45684</v>
      </c>
      <c r="C611" s="6" t="s">
        <v>1822</v>
      </c>
      <c r="D611" s="6" t="s">
        <v>2406</v>
      </c>
      <c r="E611" s="9">
        <v>3</v>
      </c>
      <c r="F611" s="4">
        <v>449.13</v>
      </c>
      <c r="G611" t="s">
        <v>2841</v>
      </c>
      <c r="H611" s="6" t="s">
        <v>3069</v>
      </c>
      <c r="I611" s="6" t="s">
        <v>3072</v>
      </c>
      <c r="J611" s="6" t="s">
        <v>3684</v>
      </c>
      <c r="K611" s="9">
        <v>5</v>
      </c>
      <c r="L611" s="6" t="s">
        <v>4277</v>
      </c>
      <c r="M611" s="6" t="s">
        <v>4279</v>
      </c>
      <c r="N611" s="4">
        <v>1347.39</v>
      </c>
      <c r="O611" s="6">
        <f t="shared" si="9"/>
        <v>591</v>
      </c>
    </row>
    <row r="612" spans="1:15" x14ac:dyDescent="0.3">
      <c r="A612" s="6" t="s">
        <v>624</v>
      </c>
      <c r="B612" s="2">
        <v>45459</v>
      </c>
      <c r="C612" s="6" t="s">
        <v>1823</v>
      </c>
      <c r="D612" s="6" t="s">
        <v>2409</v>
      </c>
      <c r="E612" s="9">
        <v>5</v>
      </c>
      <c r="F612" s="4">
        <v>389.62</v>
      </c>
      <c r="G612" t="s">
        <v>2460</v>
      </c>
      <c r="H612" s="6" t="s">
        <v>3069</v>
      </c>
      <c r="I612" s="6" t="s">
        <v>3072</v>
      </c>
      <c r="J612" s="6" t="s">
        <v>3685</v>
      </c>
      <c r="K612" s="9">
        <v>7</v>
      </c>
      <c r="L612" s="6" t="s">
        <v>4276</v>
      </c>
      <c r="M612" s="6" t="s">
        <v>4281</v>
      </c>
      <c r="N612" s="4">
        <v>1948.1</v>
      </c>
      <c r="O612" s="6">
        <f t="shared" si="9"/>
        <v>590</v>
      </c>
    </row>
    <row r="613" spans="1:15" x14ac:dyDescent="0.3">
      <c r="A613" s="6" t="s">
        <v>625</v>
      </c>
      <c r="B613" s="2">
        <v>45037</v>
      </c>
      <c r="C613" s="6" t="s">
        <v>1824</v>
      </c>
      <c r="D613" s="6" t="s">
        <v>2409</v>
      </c>
      <c r="E613" s="9">
        <v>1</v>
      </c>
      <c r="F613" s="4">
        <v>305.17</v>
      </c>
      <c r="G613" t="s">
        <v>2835</v>
      </c>
      <c r="H613" s="6" t="s">
        <v>3068</v>
      </c>
      <c r="I613" s="6" t="s">
        <v>3072</v>
      </c>
      <c r="J613" s="6" t="s">
        <v>3686</v>
      </c>
      <c r="K613" s="9">
        <v>3</v>
      </c>
      <c r="L613" s="6" t="s">
        <v>4277</v>
      </c>
      <c r="M613" s="6" t="s">
        <v>4279</v>
      </c>
      <c r="N613" s="4">
        <v>305.17</v>
      </c>
      <c r="O613" s="6">
        <f t="shared" si="9"/>
        <v>589</v>
      </c>
    </row>
    <row r="614" spans="1:15" x14ac:dyDescent="0.3">
      <c r="A614" s="6" t="s">
        <v>626</v>
      </c>
      <c r="B614" s="2">
        <v>45079</v>
      </c>
      <c r="C614" s="6" t="s">
        <v>1825</v>
      </c>
      <c r="D614" s="6" t="s">
        <v>2406</v>
      </c>
      <c r="E614" s="9">
        <v>3</v>
      </c>
      <c r="F614" s="4">
        <v>445.12</v>
      </c>
      <c r="G614" t="s">
        <v>2678</v>
      </c>
      <c r="H614" s="6" t="s">
        <v>3068</v>
      </c>
      <c r="I614" s="6" t="s">
        <v>3071</v>
      </c>
      <c r="J614" s="6" t="s">
        <v>3687</v>
      </c>
      <c r="K614" s="9">
        <v>8</v>
      </c>
      <c r="L614" s="6" t="s">
        <v>4283</v>
      </c>
      <c r="M614" s="6" t="s">
        <v>4282</v>
      </c>
      <c r="N614" s="4">
        <v>1335.36</v>
      </c>
      <c r="O614" s="6">
        <f t="shared" si="9"/>
        <v>588</v>
      </c>
    </row>
    <row r="615" spans="1:15" x14ac:dyDescent="0.3">
      <c r="A615" s="6" t="s">
        <v>627</v>
      </c>
      <c r="B615" s="2">
        <v>45645</v>
      </c>
      <c r="C615" s="6" t="s">
        <v>1826</v>
      </c>
      <c r="D615" s="6" t="s">
        <v>2408</v>
      </c>
      <c r="E615" s="9">
        <v>2</v>
      </c>
      <c r="F615" s="4">
        <v>230.36</v>
      </c>
      <c r="G615" t="s">
        <v>2842</v>
      </c>
      <c r="H615" s="6" t="s">
        <v>3066</v>
      </c>
      <c r="I615" s="6" t="s">
        <v>3072</v>
      </c>
      <c r="J615" s="6" t="s">
        <v>3688</v>
      </c>
      <c r="K615" s="9">
        <v>4</v>
      </c>
      <c r="L615" s="6" t="s">
        <v>4277</v>
      </c>
      <c r="M615" s="6" t="s">
        <v>4280</v>
      </c>
      <c r="N615" s="4">
        <v>460.72</v>
      </c>
      <c r="O615" s="6">
        <f t="shared" si="9"/>
        <v>587</v>
      </c>
    </row>
    <row r="616" spans="1:15" x14ac:dyDescent="0.3">
      <c r="A616" s="6" t="s">
        <v>628</v>
      </c>
      <c r="B616" s="2">
        <v>45359</v>
      </c>
      <c r="C616" s="6" t="s">
        <v>1827</v>
      </c>
      <c r="D616" s="6" t="s">
        <v>2404</v>
      </c>
      <c r="E616" s="9">
        <v>1</v>
      </c>
      <c r="F616" s="4">
        <v>96.81</v>
      </c>
      <c r="G616" t="s">
        <v>2521</v>
      </c>
      <c r="H616" s="6" t="s">
        <v>3068</v>
      </c>
      <c r="I616" s="6" t="s">
        <v>3071</v>
      </c>
      <c r="J616" s="6" t="s">
        <v>3689</v>
      </c>
      <c r="K616" s="9">
        <v>3</v>
      </c>
      <c r="L616" s="6" t="s">
        <v>4283</v>
      </c>
      <c r="M616" s="6" t="s">
        <v>4279</v>
      </c>
      <c r="N616" s="4">
        <v>96.81</v>
      </c>
      <c r="O616" s="6">
        <f t="shared" si="9"/>
        <v>586</v>
      </c>
    </row>
    <row r="617" spans="1:15" x14ac:dyDescent="0.3">
      <c r="A617" s="6" t="s">
        <v>629</v>
      </c>
      <c r="B617" s="2">
        <v>45723</v>
      </c>
      <c r="C617" s="6" t="s">
        <v>1828</v>
      </c>
      <c r="D617" s="6" t="s">
        <v>2403</v>
      </c>
      <c r="E617" s="9">
        <v>5</v>
      </c>
      <c r="F617" s="4">
        <v>460.14</v>
      </c>
      <c r="G617" t="s">
        <v>2661</v>
      </c>
      <c r="H617" s="6" t="s">
        <v>3067</v>
      </c>
      <c r="I617" s="6" t="s">
        <v>3072</v>
      </c>
      <c r="J617" s="6" t="s">
        <v>3690</v>
      </c>
      <c r="K617" s="9">
        <v>10</v>
      </c>
      <c r="L617" s="6" t="s">
        <v>4277</v>
      </c>
      <c r="M617" s="6" t="s">
        <v>4281</v>
      </c>
      <c r="N617" s="4">
        <v>2300.6999999999998</v>
      </c>
      <c r="O617" s="6">
        <f t="shared" si="9"/>
        <v>585</v>
      </c>
    </row>
    <row r="618" spans="1:15" x14ac:dyDescent="0.3">
      <c r="A618" s="6" t="s">
        <v>630</v>
      </c>
      <c r="B618" s="2">
        <v>45582</v>
      </c>
      <c r="C618" s="6" t="s">
        <v>1829</v>
      </c>
      <c r="D618" s="6" t="s">
        <v>2405</v>
      </c>
      <c r="E618" s="9">
        <v>3</v>
      </c>
      <c r="F618" s="4">
        <v>601.6</v>
      </c>
      <c r="G618" t="s">
        <v>2843</v>
      </c>
      <c r="H618" s="6" t="s">
        <v>3067</v>
      </c>
      <c r="I618" s="6" t="s">
        <v>3071</v>
      </c>
      <c r="J618" s="6" t="s">
        <v>3691</v>
      </c>
      <c r="K618" s="9">
        <v>7</v>
      </c>
      <c r="L618" s="6" t="s">
        <v>4275</v>
      </c>
      <c r="M618" s="6" t="s">
        <v>4281</v>
      </c>
      <c r="N618" s="4">
        <v>1804.8</v>
      </c>
      <c r="O618" s="6">
        <f t="shared" si="9"/>
        <v>584</v>
      </c>
    </row>
    <row r="619" spans="1:15" x14ac:dyDescent="0.3">
      <c r="A619" s="6" t="s">
        <v>631</v>
      </c>
      <c r="B619" s="2">
        <v>45330</v>
      </c>
      <c r="C619" s="6" t="s">
        <v>1830</v>
      </c>
      <c r="D619" s="6" t="s">
        <v>2405</v>
      </c>
      <c r="E619" s="9">
        <v>3</v>
      </c>
      <c r="F619" s="4">
        <v>184.47</v>
      </c>
      <c r="G619" t="s">
        <v>2844</v>
      </c>
      <c r="H619" s="6" t="s">
        <v>3066</v>
      </c>
      <c r="I619" s="6" t="s">
        <v>3071</v>
      </c>
      <c r="J619" s="6" t="s">
        <v>3692</v>
      </c>
      <c r="K619" s="9">
        <v>4</v>
      </c>
      <c r="L619" s="6" t="s">
        <v>4283</v>
      </c>
      <c r="M619" s="6" t="s">
        <v>4279</v>
      </c>
      <c r="N619" s="4">
        <v>553.41</v>
      </c>
      <c r="O619" s="6">
        <f t="shared" si="9"/>
        <v>583</v>
      </c>
    </row>
    <row r="620" spans="1:15" x14ac:dyDescent="0.3">
      <c r="A620" s="6" t="s">
        <v>632</v>
      </c>
      <c r="B620" s="2">
        <v>45538</v>
      </c>
      <c r="C620" s="6" t="s">
        <v>1831</v>
      </c>
      <c r="D620" s="6" t="s">
        <v>2405</v>
      </c>
      <c r="E620" s="9">
        <v>1</v>
      </c>
      <c r="F620" s="4">
        <v>411.34</v>
      </c>
      <c r="G620" t="s">
        <v>2845</v>
      </c>
      <c r="H620" s="6" t="s">
        <v>3065</v>
      </c>
      <c r="I620" s="6" t="s">
        <v>3072</v>
      </c>
      <c r="J620" s="6" t="s">
        <v>3693</v>
      </c>
      <c r="K620" s="9">
        <v>5</v>
      </c>
      <c r="L620" s="6" t="s">
        <v>4283</v>
      </c>
      <c r="M620" s="6" t="s">
        <v>4278</v>
      </c>
      <c r="N620" s="4">
        <v>411.34</v>
      </c>
      <c r="O620" s="6">
        <f t="shared" si="9"/>
        <v>582</v>
      </c>
    </row>
    <row r="621" spans="1:15" x14ac:dyDescent="0.3">
      <c r="A621" s="6" t="s">
        <v>633</v>
      </c>
      <c r="B621" s="2">
        <v>45489</v>
      </c>
      <c r="C621" s="6" t="s">
        <v>1832</v>
      </c>
      <c r="D621" s="6" t="s">
        <v>2408</v>
      </c>
      <c r="E621" s="9">
        <v>1</v>
      </c>
      <c r="F621" s="4">
        <v>532.89</v>
      </c>
      <c r="G621" t="s">
        <v>2783</v>
      </c>
      <c r="H621" s="6" t="s">
        <v>3068</v>
      </c>
      <c r="I621" s="6" t="s">
        <v>3074</v>
      </c>
      <c r="J621" s="6" t="s">
        <v>3694</v>
      </c>
      <c r="K621" s="9">
        <v>2</v>
      </c>
      <c r="L621" s="6" t="s">
        <v>4283</v>
      </c>
      <c r="M621" s="6" t="s">
        <v>4279</v>
      </c>
      <c r="N621" s="4">
        <v>532.89</v>
      </c>
      <c r="O621" s="6">
        <f t="shared" si="9"/>
        <v>581</v>
      </c>
    </row>
    <row r="622" spans="1:15" x14ac:dyDescent="0.3">
      <c r="A622" s="6" t="s">
        <v>634</v>
      </c>
      <c r="B622" s="2">
        <v>45378</v>
      </c>
      <c r="C622" s="6" t="s">
        <v>1833</v>
      </c>
      <c r="D622" s="6" t="s">
        <v>2405</v>
      </c>
      <c r="E622" s="9">
        <v>3</v>
      </c>
      <c r="F622" s="4">
        <v>136.34</v>
      </c>
      <c r="G622" t="s">
        <v>2846</v>
      </c>
      <c r="H622" s="6" t="s">
        <v>3065</v>
      </c>
      <c r="I622" s="6" t="s">
        <v>3072</v>
      </c>
      <c r="J622" s="6" t="s">
        <v>3695</v>
      </c>
      <c r="K622" s="9">
        <v>8</v>
      </c>
      <c r="L622" s="6" t="s">
        <v>4275</v>
      </c>
      <c r="M622" s="6" t="s">
        <v>4279</v>
      </c>
      <c r="N622" s="4">
        <v>409.02</v>
      </c>
      <c r="O622" s="6">
        <f t="shared" si="9"/>
        <v>580</v>
      </c>
    </row>
    <row r="623" spans="1:15" x14ac:dyDescent="0.3">
      <c r="A623" s="6" t="s">
        <v>635</v>
      </c>
      <c r="B623" s="2">
        <v>45221</v>
      </c>
      <c r="C623" s="6" t="s">
        <v>1834</v>
      </c>
      <c r="D623" s="6" t="s">
        <v>2404</v>
      </c>
      <c r="E623" s="9">
        <v>5</v>
      </c>
      <c r="F623" s="4">
        <v>476.01</v>
      </c>
      <c r="G623" t="s">
        <v>2482</v>
      </c>
      <c r="H623" s="6" t="s">
        <v>3067</v>
      </c>
      <c r="I623" s="6" t="s">
        <v>3073</v>
      </c>
      <c r="J623" s="6" t="s">
        <v>3696</v>
      </c>
      <c r="K623" s="9">
        <v>7</v>
      </c>
      <c r="L623" s="6" t="s">
        <v>4277</v>
      </c>
      <c r="M623" s="6" t="s">
        <v>4282</v>
      </c>
      <c r="N623" s="4">
        <v>2380.0500000000002</v>
      </c>
      <c r="O623" s="6">
        <f t="shared" si="9"/>
        <v>579</v>
      </c>
    </row>
    <row r="624" spans="1:15" x14ac:dyDescent="0.3">
      <c r="A624" s="6" t="s">
        <v>636</v>
      </c>
      <c r="B624" s="2">
        <v>45598</v>
      </c>
      <c r="C624" s="6" t="s">
        <v>1835</v>
      </c>
      <c r="D624" s="6" t="s">
        <v>2409</v>
      </c>
      <c r="E624" s="9">
        <v>5</v>
      </c>
      <c r="F624" s="4">
        <v>236.38</v>
      </c>
      <c r="G624" t="s">
        <v>2445</v>
      </c>
      <c r="H624" s="6" t="s">
        <v>3067</v>
      </c>
      <c r="I624" s="6" t="s">
        <v>3072</v>
      </c>
      <c r="J624" s="6" t="s">
        <v>3697</v>
      </c>
      <c r="K624" s="9">
        <v>7</v>
      </c>
      <c r="L624" s="6" t="s">
        <v>4283</v>
      </c>
      <c r="M624" s="6" t="s">
        <v>4281</v>
      </c>
      <c r="N624" s="4">
        <v>1181.9000000000001</v>
      </c>
      <c r="O624" s="6">
        <f t="shared" si="9"/>
        <v>578</v>
      </c>
    </row>
    <row r="625" spans="1:15" x14ac:dyDescent="0.3">
      <c r="A625" s="6" t="s">
        <v>637</v>
      </c>
      <c r="B625" s="2">
        <v>45093</v>
      </c>
      <c r="C625" s="6" t="s">
        <v>1836</v>
      </c>
      <c r="D625" s="6" t="s">
        <v>2407</v>
      </c>
      <c r="E625" s="9">
        <v>3</v>
      </c>
      <c r="F625" s="4">
        <v>396</v>
      </c>
      <c r="G625" t="s">
        <v>2847</v>
      </c>
      <c r="H625" s="6" t="s">
        <v>3068</v>
      </c>
      <c r="I625" s="6" t="s">
        <v>3071</v>
      </c>
      <c r="J625" s="6" t="s">
        <v>3698</v>
      </c>
      <c r="K625" s="9">
        <v>4</v>
      </c>
      <c r="L625" s="6" t="s">
        <v>4276</v>
      </c>
      <c r="M625" s="6" t="s">
        <v>4278</v>
      </c>
      <c r="N625" s="4">
        <v>1188</v>
      </c>
      <c r="O625" s="6">
        <f t="shared" si="9"/>
        <v>577</v>
      </c>
    </row>
    <row r="626" spans="1:15" x14ac:dyDescent="0.3">
      <c r="A626" s="6" t="s">
        <v>638</v>
      </c>
      <c r="B626" s="2">
        <v>45307</v>
      </c>
      <c r="C626" s="6" t="s">
        <v>1837</v>
      </c>
      <c r="D626" s="6" t="s">
        <v>2405</v>
      </c>
      <c r="E626" s="9">
        <v>5</v>
      </c>
      <c r="F626" s="4">
        <v>341.96</v>
      </c>
      <c r="G626" t="s">
        <v>2710</v>
      </c>
      <c r="H626" s="6" t="s">
        <v>3065</v>
      </c>
      <c r="I626" s="6" t="s">
        <v>3073</v>
      </c>
      <c r="J626" s="6" t="s">
        <v>3699</v>
      </c>
      <c r="K626" s="9">
        <v>6</v>
      </c>
      <c r="L626" s="6" t="s">
        <v>4283</v>
      </c>
      <c r="M626" s="6" t="s">
        <v>4280</v>
      </c>
      <c r="N626" s="4">
        <v>1709.8</v>
      </c>
      <c r="O626" s="6">
        <f t="shared" si="9"/>
        <v>576</v>
      </c>
    </row>
    <row r="627" spans="1:15" x14ac:dyDescent="0.3">
      <c r="A627" s="6" t="s">
        <v>639</v>
      </c>
      <c r="B627" s="2">
        <v>45193</v>
      </c>
      <c r="C627" s="6" t="s">
        <v>1838</v>
      </c>
      <c r="D627" s="6" t="s">
        <v>2405</v>
      </c>
      <c r="E627" s="9">
        <v>1</v>
      </c>
      <c r="F627" s="4">
        <v>672.89</v>
      </c>
      <c r="G627" t="s">
        <v>2848</v>
      </c>
      <c r="H627" s="6" t="s">
        <v>3067</v>
      </c>
      <c r="I627" s="6" t="s">
        <v>3074</v>
      </c>
      <c r="J627" s="6" t="s">
        <v>3700</v>
      </c>
      <c r="K627" s="9">
        <v>1</v>
      </c>
      <c r="L627" s="6" t="s">
        <v>4277</v>
      </c>
      <c r="M627" s="6" t="s">
        <v>4280</v>
      </c>
      <c r="N627" s="4">
        <v>672.89</v>
      </c>
      <c r="O627" s="6">
        <f t="shared" si="9"/>
        <v>575</v>
      </c>
    </row>
    <row r="628" spans="1:15" x14ac:dyDescent="0.3">
      <c r="A628" s="6" t="s">
        <v>640</v>
      </c>
      <c r="B628" s="2">
        <v>45352</v>
      </c>
      <c r="C628" s="6" t="s">
        <v>1839</v>
      </c>
      <c r="D628" s="6" t="s">
        <v>2405</v>
      </c>
      <c r="E628" s="9">
        <v>2</v>
      </c>
      <c r="F628" s="4">
        <v>657.48</v>
      </c>
      <c r="G628" t="s">
        <v>2745</v>
      </c>
      <c r="H628" s="6" t="s">
        <v>3066</v>
      </c>
      <c r="I628" s="6" t="s">
        <v>3070</v>
      </c>
      <c r="J628" s="6" t="s">
        <v>3701</v>
      </c>
      <c r="K628" s="9">
        <v>5</v>
      </c>
      <c r="L628" s="6" t="s">
        <v>4275</v>
      </c>
      <c r="M628" s="6" t="s">
        <v>4279</v>
      </c>
      <c r="N628" s="4">
        <v>1314.96</v>
      </c>
      <c r="O628" s="6">
        <f t="shared" si="9"/>
        <v>574</v>
      </c>
    </row>
    <row r="629" spans="1:15" x14ac:dyDescent="0.3">
      <c r="A629" s="6" t="s">
        <v>641</v>
      </c>
      <c r="B629" s="2">
        <v>45144</v>
      </c>
      <c r="C629" s="6" t="s">
        <v>1840</v>
      </c>
      <c r="D629" s="6" t="s">
        <v>2406</v>
      </c>
      <c r="E629" s="9">
        <v>3</v>
      </c>
      <c r="F629" s="4">
        <v>498.68</v>
      </c>
      <c r="G629" t="s">
        <v>2812</v>
      </c>
      <c r="H629" s="6" t="s">
        <v>3066</v>
      </c>
      <c r="I629" s="6" t="s">
        <v>3072</v>
      </c>
      <c r="J629" s="6" t="s">
        <v>3702</v>
      </c>
      <c r="K629" s="9">
        <v>4</v>
      </c>
      <c r="L629" s="6" t="s">
        <v>4276</v>
      </c>
      <c r="M629" s="6" t="s">
        <v>4280</v>
      </c>
      <c r="N629" s="4">
        <v>1496.04</v>
      </c>
      <c r="O629" s="6">
        <f t="shared" si="9"/>
        <v>573</v>
      </c>
    </row>
    <row r="630" spans="1:15" x14ac:dyDescent="0.3">
      <c r="A630" s="6" t="s">
        <v>642</v>
      </c>
      <c r="B630" s="2">
        <v>45011</v>
      </c>
      <c r="C630" s="6" t="s">
        <v>1841</v>
      </c>
      <c r="D630" s="6" t="s">
        <v>2407</v>
      </c>
      <c r="E630" s="9">
        <v>5</v>
      </c>
      <c r="F630" s="4">
        <v>558.63</v>
      </c>
      <c r="G630" t="s">
        <v>2849</v>
      </c>
      <c r="H630" s="6" t="s">
        <v>3069</v>
      </c>
      <c r="I630" s="6" t="s">
        <v>3074</v>
      </c>
      <c r="J630" s="6" t="s">
        <v>3703</v>
      </c>
      <c r="K630" s="9">
        <v>8</v>
      </c>
      <c r="L630" s="6" t="s">
        <v>4276</v>
      </c>
      <c r="M630" s="6" t="s">
        <v>4279</v>
      </c>
      <c r="N630" s="4">
        <v>2793.15</v>
      </c>
      <c r="O630" s="6">
        <f t="shared" si="9"/>
        <v>572</v>
      </c>
    </row>
    <row r="631" spans="1:15" x14ac:dyDescent="0.3">
      <c r="A631" s="6" t="s">
        <v>643</v>
      </c>
      <c r="B631" s="2">
        <v>45114</v>
      </c>
      <c r="C631" s="6" t="s">
        <v>1842</v>
      </c>
      <c r="D631" s="6" t="s">
        <v>2404</v>
      </c>
      <c r="E631" s="9">
        <v>3</v>
      </c>
      <c r="F631" s="4">
        <v>19.73</v>
      </c>
      <c r="G631" t="s">
        <v>2850</v>
      </c>
      <c r="H631" s="6" t="s">
        <v>3066</v>
      </c>
      <c r="I631" s="6" t="s">
        <v>3074</v>
      </c>
      <c r="J631" s="6" t="s">
        <v>3704</v>
      </c>
      <c r="K631" s="9">
        <v>3</v>
      </c>
      <c r="L631" s="6" t="s">
        <v>4283</v>
      </c>
      <c r="M631" s="6" t="s">
        <v>4279</v>
      </c>
      <c r="N631" s="4">
        <v>59.19</v>
      </c>
      <c r="O631" s="6">
        <f t="shared" si="9"/>
        <v>571</v>
      </c>
    </row>
    <row r="632" spans="1:15" x14ac:dyDescent="0.3">
      <c r="A632" s="6" t="s">
        <v>644</v>
      </c>
      <c r="B632" s="2">
        <v>45100</v>
      </c>
      <c r="C632" s="6" t="s">
        <v>1843</v>
      </c>
      <c r="D632" s="6" t="s">
        <v>2403</v>
      </c>
      <c r="E632" s="9">
        <v>5</v>
      </c>
      <c r="F632" s="4">
        <v>248.84</v>
      </c>
      <c r="G632" t="s">
        <v>2851</v>
      </c>
      <c r="H632" s="6" t="s">
        <v>3065</v>
      </c>
      <c r="I632" s="6" t="s">
        <v>3071</v>
      </c>
      <c r="J632" s="6" t="s">
        <v>3705</v>
      </c>
      <c r="K632" s="9">
        <v>10</v>
      </c>
      <c r="L632" s="6" t="s">
        <v>4283</v>
      </c>
      <c r="M632" s="6" t="s">
        <v>4278</v>
      </c>
      <c r="N632" s="4">
        <v>1244.2</v>
      </c>
      <c r="O632" s="6">
        <f t="shared" si="9"/>
        <v>570</v>
      </c>
    </row>
    <row r="633" spans="1:15" x14ac:dyDescent="0.3">
      <c r="A633" s="6" t="s">
        <v>645</v>
      </c>
      <c r="B633" s="2">
        <v>45535</v>
      </c>
      <c r="C633" s="6" t="s">
        <v>1844</v>
      </c>
      <c r="D633" s="6" t="s">
        <v>2406</v>
      </c>
      <c r="E633" s="9">
        <v>3</v>
      </c>
      <c r="F633" s="4">
        <v>46.11</v>
      </c>
      <c r="G633" t="s">
        <v>2645</v>
      </c>
      <c r="H633" s="6" t="s">
        <v>3068</v>
      </c>
      <c r="I633" s="6" t="s">
        <v>3072</v>
      </c>
      <c r="J633" s="6" t="s">
        <v>3706</v>
      </c>
      <c r="K633" s="9">
        <v>5</v>
      </c>
      <c r="L633" s="6" t="s">
        <v>4277</v>
      </c>
      <c r="M633" s="6" t="s">
        <v>4279</v>
      </c>
      <c r="N633" s="4">
        <v>138.33000000000001</v>
      </c>
      <c r="O633" s="6">
        <f t="shared" si="9"/>
        <v>569</v>
      </c>
    </row>
    <row r="634" spans="1:15" x14ac:dyDescent="0.3">
      <c r="A634" s="6" t="s">
        <v>646</v>
      </c>
      <c r="B634" s="2">
        <v>45048</v>
      </c>
      <c r="C634" s="6" t="s">
        <v>1845</v>
      </c>
      <c r="D634" s="6" t="s">
        <v>2408</v>
      </c>
      <c r="E634" s="9">
        <v>5</v>
      </c>
      <c r="F634" s="4">
        <v>678.16</v>
      </c>
      <c r="G634" t="s">
        <v>2629</v>
      </c>
      <c r="H634" s="6" t="s">
        <v>3068</v>
      </c>
      <c r="I634" s="6" t="s">
        <v>3073</v>
      </c>
      <c r="J634" s="6" t="s">
        <v>3707</v>
      </c>
      <c r="K634" s="9">
        <v>7</v>
      </c>
      <c r="L634" s="6" t="s">
        <v>4277</v>
      </c>
      <c r="M634" s="6" t="s">
        <v>4281</v>
      </c>
      <c r="N634" s="4">
        <v>3390.8</v>
      </c>
      <c r="O634" s="6">
        <f t="shared" si="9"/>
        <v>568</v>
      </c>
    </row>
    <row r="635" spans="1:15" x14ac:dyDescent="0.3">
      <c r="A635" s="6" t="s">
        <v>647</v>
      </c>
      <c r="B635" s="2">
        <v>45392</v>
      </c>
      <c r="C635" s="6" t="s">
        <v>1846</v>
      </c>
      <c r="D635" s="6" t="s">
        <v>2408</v>
      </c>
      <c r="E635" s="9">
        <v>5</v>
      </c>
      <c r="F635" s="4">
        <v>601.72</v>
      </c>
      <c r="G635" t="s">
        <v>2728</v>
      </c>
      <c r="H635" s="6" t="s">
        <v>3068</v>
      </c>
      <c r="I635" s="6" t="s">
        <v>3071</v>
      </c>
      <c r="J635" s="6" t="s">
        <v>3708</v>
      </c>
      <c r="K635" s="9">
        <v>5</v>
      </c>
      <c r="L635" s="6" t="s">
        <v>4277</v>
      </c>
      <c r="M635" s="6" t="s">
        <v>4278</v>
      </c>
      <c r="N635" s="4">
        <v>3008.6</v>
      </c>
      <c r="O635" s="6">
        <f t="shared" si="9"/>
        <v>567</v>
      </c>
    </row>
    <row r="636" spans="1:15" x14ac:dyDescent="0.3">
      <c r="A636" s="6" t="s">
        <v>648</v>
      </c>
      <c r="B636" s="2">
        <v>45407</v>
      </c>
      <c r="C636" s="6" t="s">
        <v>1847</v>
      </c>
      <c r="D636" s="6" t="s">
        <v>2407</v>
      </c>
      <c r="E636" s="9">
        <v>2</v>
      </c>
      <c r="F636" s="4">
        <v>259.32</v>
      </c>
      <c r="G636" t="s">
        <v>2852</v>
      </c>
      <c r="H636" s="6" t="s">
        <v>3068</v>
      </c>
      <c r="I636" s="6" t="s">
        <v>3073</v>
      </c>
      <c r="J636" s="6" t="s">
        <v>3709</v>
      </c>
      <c r="K636" s="9">
        <v>2</v>
      </c>
      <c r="L636" s="6" t="s">
        <v>4277</v>
      </c>
      <c r="M636" s="6" t="s">
        <v>4279</v>
      </c>
      <c r="N636" s="4">
        <v>518.64</v>
      </c>
      <c r="O636" s="6">
        <f t="shared" si="9"/>
        <v>566</v>
      </c>
    </row>
    <row r="637" spans="1:15" x14ac:dyDescent="0.3">
      <c r="A637" s="6" t="s">
        <v>649</v>
      </c>
      <c r="B637" s="2">
        <v>45273</v>
      </c>
      <c r="C637" s="6" t="s">
        <v>1848</v>
      </c>
      <c r="D637" s="6" t="s">
        <v>2406</v>
      </c>
      <c r="E637" s="9">
        <v>3</v>
      </c>
      <c r="F637" s="4">
        <v>63.68</v>
      </c>
      <c r="G637" t="s">
        <v>2458</v>
      </c>
      <c r="H637" s="6" t="s">
        <v>3069</v>
      </c>
      <c r="I637" s="6" t="s">
        <v>3072</v>
      </c>
      <c r="J637" s="6" t="s">
        <v>3710</v>
      </c>
      <c r="K637" s="9">
        <v>6</v>
      </c>
      <c r="L637" s="6" t="s">
        <v>4283</v>
      </c>
      <c r="M637" s="6" t="s">
        <v>4281</v>
      </c>
      <c r="N637" s="4">
        <v>191.04</v>
      </c>
      <c r="O637" s="6">
        <f t="shared" si="9"/>
        <v>565</v>
      </c>
    </row>
    <row r="638" spans="1:15" x14ac:dyDescent="0.3">
      <c r="A638" s="6" t="s">
        <v>650</v>
      </c>
      <c r="B638" s="2">
        <v>45204</v>
      </c>
      <c r="C638" s="6" t="s">
        <v>1849</v>
      </c>
      <c r="D638" s="6" t="s">
        <v>2408</v>
      </c>
      <c r="E638" s="9">
        <v>4</v>
      </c>
      <c r="F638" s="4">
        <v>371.07</v>
      </c>
      <c r="G638" t="s">
        <v>2564</v>
      </c>
      <c r="H638" s="6" t="s">
        <v>3069</v>
      </c>
      <c r="I638" s="6" t="s">
        <v>3071</v>
      </c>
      <c r="J638" s="6" t="s">
        <v>3711</v>
      </c>
      <c r="K638" s="9">
        <v>7</v>
      </c>
      <c r="L638" s="6" t="s">
        <v>4277</v>
      </c>
      <c r="M638" s="6" t="s">
        <v>4281</v>
      </c>
      <c r="N638" s="4">
        <v>1484.28</v>
      </c>
      <c r="O638" s="6">
        <f t="shared" si="9"/>
        <v>564</v>
      </c>
    </row>
    <row r="639" spans="1:15" x14ac:dyDescent="0.3">
      <c r="A639" s="6" t="s">
        <v>651</v>
      </c>
      <c r="B639" s="2">
        <v>45564</v>
      </c>
      <c r="C639" s="6" t="s">
        <v>1850</v>
      </c>
      <c r="D639" s="6" t="s">
        <v>2406</v>
      </c>
      <c r="E639" s="9">
        <v>4</v>
      </c>
      <c r="F639" s="4">
        <v>306.35000000000002</v>
      </c>
      <c r="G639" t="s">
        <v>2853</v>
      </c>
      <c r="H639" s="6" t="s">
        <v>3068</v>
      </c>
      <c r="I639" s="6" t="s">
        <v>3070</v>
      </c>
      <c r="J639" s="6" t="s">
        <v>3712</v>
      </c>
      <c r="K639" s="9">
        <v>7</v>
      </c>
      <c r="L639" s="6" t="s">
        <v>4277</v>
      </c>
      <c r="M639" s="6" t="s">
        <v>4279</v>
      </c>
      <c r="N639" s="4">
        <v>1225.4000000000001</v>
      </c>
      <c r="O639" s="6">
        <f t="shared" si="9"/>
        <v>563</v>
      </c>
    </row>
    <row r="640" spans="1:15" x14ac:dyDescent="0.3">
      <c r="A640" s="6" t="s">
        <v>652</v>
      </c>
      <c r="B640" s="2">
        <v>45214</v>
      </c>
      <c r="C640" s="6" t="s">
        <v>1851</v>
      </c>
      <c r="D640" s="6" t="s">
        <v>2405</v>
      </c>
      <c r="E640" s="9">
        <v>4</v>
      </c>
      <c r="F640" s="4">
        <v>578.27</v>
      </c>
      <c r="G640" t="s">
        <v>2854</v>
      </c>
      <c r="H640" s="6" t="s">
        <v>3066</v>
      </c>
      <c r="I640" s="6" t="s">
        <v>3073</v>
      </c>
      <c r="J640" s="6" t="s">
        <v>3713</v>
      </c>
      <c r="K640" s="9">
        <v>9</v>
      </c>
      <c r="L640" s="6" t="s">
        <v>4277</v>
      </c>
      <c r="M640" s="6" t="s">
        <v>4280</v>
      </c>
      <c r="N640" s="4">
        <v>2313.08</v>
      </c>
      <c r="O640" s="6">
        <f t="shared" si="9"/>
        <v>562</v>
      </c>
    </row>
    <row r="641" spans="1:15" x14ac:dyDescent="0.3">
      <c r="A641" s="6" t="s">
        <v>653</v>
      </c>
      <c r="B641" s="2">
        <v>44946</v>
      </c>
      <c r="C641" s="6" t="s">
        <v>1852</v>
      </c>
      <c r="D641" s="6" t="s">
        <v>2406</v>
      </c>
      <c r="E641" s="9">
        <v>1</v>
      </c>
      <c r="F641" s="4">
        <v>529.19000000000005</v>
      </c>
      <c r="G641" t="s">
        <v>2772</v>
      </c>
      <c r="H641" s="6" t="s">
        <v>3069</v>
      </c>
      <c r="I641" s="6" t="s">
        <v>3071</v>
      </c>
      <c r="J641" s="6" t="s">
        <v>3714</v>
      </c>
      <c r="K641" s="9">
        <v>5</v>
      </c>
      <c r="L641" s="6" t="s">
        <v>4283</v>
      </c>
      <c r="M641" s="6" t="s">
        <v>4279</v>
      </c>
      <c r="N641" s="4">
        <v>529.19000000000005</v>
      </c>
      <c r="O641" s="6">
        <f t="shared" si="9"/>
        <v>561</v>
      </c>
    </row>
    <row r="642" spans="1:15" x14ac:dyDescent="0.3">
      <c r="A642" s="6" t="s">
        <v>654</v>
      </c>
      <c r="B642" s="2">
        <v>45349</v>
      </c>
      <c r="C642" s="6" t="s">
        <v>1853</v>
      </c>
      <c r="D642" s="6" t="s">
        <v>2406</v>
      </c>
      <c r="E642" s="9">
        <v>2</v>
      </c>
      <c r="F642" s="4">
        <v>587.49</v>
      </c>
      <c r="G642" t="s">
        <v>2507</v>
      </c>
      <c r="H642" s="6" t="s">
        <v>3068</v>
      </c>
      <c r="I642" s="6" t="s">
        <v>3072</v>
      </c>
      <c r="J642" s="6" t="s">
        <v>3715</v>
      </c>
      <c r="K642" s="9">
        <v>6</v>
      </c>
      <c r="L642" s="6" t="s">
        <v>4275</v>
      </c>
      <c r="M642" s="6" t="s">
        <v>4279</v>
      </c>
      <c r="N642" s="4">
        <v>1174.98</v>
      </c>
      <c r="O642" s="6">
        <f t="shared" ref="O642:O705" si="10">COUNTA(_xlfn.UNIQUE(C641:C1840))</f>
        <v>560</v>
      </c>
    </row>
    <row r="643" spans="1:15" x14ac:dyDescent="0.3">
      <c r="A643" s="6" t="s">
        <v>655</v>
      </c>
      <c r="B643" s="2">
        <v>45473</v>
      </c>
      <c r="C643" s="6" t="s">
        <v>1854</v>
      </c>
      <c r="D643" s="6" t="s">
        <v>2407</v>
      </c>
      <c r="E643" s="9">
        <v>4</v>
      </c>
      <c r="F643" s="4">
        <v>567.57000000000005</v>
      </c>
      <c r="G643" t="s">
        <v>2627</v>
      </c>
      <c r="H643" s="6" t="s">
        <v>3065</v>
      </c>
      <c r="I643" s="6" t="s">
        <v>3074</v>
      </c>
      <c r="J643" s="6" t="s">
        <v>3716</v>
      </c>
      <c r="K643" s="9">
        <v>9</v>
      </c>
      <c r="L643" s="6" t="s">
        <v>4277</v>
      </c>
      <c r="M643" s="6" t="s">
        <v>4282</v>
      </c>
      <c r="N643" s="4">
        <v>2270.2800000000002</v>
      </c>
      <c r="O643" s="6">
        <f t="shared" si="10"/>
        <v>559</v>
      </c>
    </row>
    <row r="644" spans="1:15" x14ac:dyDescent="0.3">
      <c r="A644" s="6" t="s">
        <v>656</v>
      </c>
      <c r="B644" s="2">
        <v>45411</v>
      </c>
      <c r="C644" s="6" t="s">
        <v>1855</v>
      </c>
      <c r="D644" s="6" t="s">
        <v>2406</v>
      </c>
      <c r="E644" s="9">
        <v>5</v>
      </c>
      <c r="F644" s="4">
        <v>85.22</v>
      </c>
      <c r="G644" t="s">
        <v>2855</v>
      </c>
      <c r="H644" s="6" t="s">
        <v>3067</v>
      </c>
      <c r="I644" s="6" t="s">
        <v>3071</v>
      </c>
      <c r="J644" s="6" t="s">
        <v>3717</v>
      </c>
      <c r="K644" s="9">
        <v>7</v>
      </c>
      <c r="L644" s="6" t="s">
        <v>4276</v>
      </c>
      <c r="M644" s="6" t="s">
        <v>4280</v>
      </c>
      <c r="N644" s="4">
        <v>426.1</v>
      </c>
      <c r="O644" s="6">
        <f t="shared" si="10"/>
        <v>558</v>
      </c>
    </row>
    <row r="645" spans="1:15" x14ac:dyDescent="0.3">
      <c r="A645" s="6" t="s">
        <v>657</v>
      </c>
      <c r="B645" s="2">
        <v>45530</v>
      </c>
      <c r="C645" s="6" t="s">
        <v>1856</v>
      </c>
      <c r="D645" s="6" t="s">
        <v>2408</v>
      </c>
      <c r="E645" s="9">
        <v>1</v>
      </c>
      <c r="F645" s="4">
        <v>438.37</v>
      </c>
      <c r="G645" t="s">
        <v>2507</v>
      </c>
      <c r="H645" s="6" t="s">
        <v>3069</v>
      </c>
      <c r="I645" s="6" t="s">
        <v>3071</v>
      </c>
      <c r="J645" s="6" t="s">
        <v>3718</v>
      </c>
      <c r="K645" s="9">
        <v>4</v>
      </c>
      <c r="L645" s="6" t="s">
        <v>4275</v>
      </c>
      <c r="M645" s="6" t="s">
        <v>4279</v>
      </c>
      <c r="N645" s="4">
        <v>438.37</v>
      </c>
      <c r="O645" s="6">
        <f t="shared" si="10"/>
        <v>557</v>
      </c>
    </row>
    <row r="646" spans="1:15" x14ac:dyDescent="0.3">
      <c r="A646" s="6" t="s">
        <v>658</v>
      </c>
      <c r="B646" s="2">
        <v>45245</v>
      </c>
      <c r="C646" s="6" t="s">
        <v>1857</v>
      </c>
      <c r="D646" s="6" t="s">
        <v>2406</v>
      </c>
      <c r="E646" s="9">
        <v>2</v>
      </c>
      <c r="F646" s="4">
        <v>366.23</v>
      </c>
      <c r="G646" t="s">
        <v>2856</v>
      </c>
      <c r="H646" s="6" t="s">
        <v>3069</v>
      </c>
      <c r="I646" s="6" t="s">
        <v>3070</v>
      </c>
      <c r="J646" s="6" t="s">
        <v>3719</v>
      </c>
      <c r="K646" s="9">
        <v>2</v>
      </c>
      <c r="L646" s="6" t="s">
        <v>4277</v>
      </c>
      <c r="M646" s="6" t="s">
        <v>4280</v>
      </c>
      <c r="N646" s="4">
        <v>732.46</v>
      </c>
      <c r="O646" s="6">
        <f t="shared" si="10"/>
        <v>556</v>
      </c>
    </row>
    <row r="647" spans="1:15" x14ac:dyDescent="0.3">
      <c r="A647" s="6" t="s">
        <v>659</v>
      </c>
      <c r="B647" s="2">
        <v>44928</v>
      </c>
      <c r="C647" s="6" t="s">
        <v>1858</v>
      </c>
      <c r="D647" s="6" t="s">
        <v>2408</v>
      </c>
      <c r="E647" s="9">
        <v>2</v>
      </c>
      <c r="F647" s="4">
        <v>150.05000000000001</v>
      </c>
      <c r="G647" t="s">
        <v>2525</v>
      </c>
      <c r="H647" s="6" t="s">
        <v>3067</v>
      </c>
      <c r="I647" s="6" t="s">
        <v>3071</v>
      </c>
      <c r="J647" s="6" t="s">
        <v>3720</v>
      </c>
      <c r="K647" s="9">
        <v>4</v>
      </c>
      <c r="L647" s="6" t="s">
        <v>4275</v>
      </c>
      <c r="M647" s="6" t="s">
        <v>4281</v>
      </c>
      <c r="N647" s="4">
        <v>300.10000000000002</v>
      </c>
      <c r="O647" s="6">
        <f t="shared" si="10"/>
        <v>555</v>
      </c>
    </row>
    <row r="648" spans="1:15" x14ac:dyDescent="0.3">
      <c r="A648" s="6" t="s">
        <v>660</v>
      </c>
      <c r="B648" s="2">
        <v>45226</v>
      </c>
      <c r="C648" s="6" t="s">
        <v>1859</v>
      </c>
      <c r="D648" s="6" t="s">
        <v>2406</v>
      </c>
      <c r="E648" s="9">
        <v>4</v>
      </c>
      <c r="F648" s="4">
        <v>498.51</v>
      </c>
      <c r="G648" t="s">
        <v>2857</v>
      </c>
      <c r="H648" s="6" t="s">
        <v>3065</v>
      </c>
      <c r="I648" s="6" t="s">
        <v>3070</v>
      </c>
      <c r="J648" s="6" t="s">
        <v>3721</v>
      </c>
      <c r="K648" s="9">
        <v>4</v>
      </c>
      <c r="L648" s="6" t="s">
        <v>4275</v>
      </c>
      <c r="M648" s="6" t="s">
        <v>4282</v>
      </c>
      <c r="N648" s="4">
        <v>1994.04</v>
      </c>
      <c r="O648" s="6">
        <f t="shared" si="10"/>
        <v>554</v>
      </c>
    </row>
    <row r="649" spans="1:15" x14ac:dyDescent="0.3">
      <c r="A649" s="6" t="s">
        <v>661</v>
      </c>
      <c r="B649" s="2">
        <v>45771</v>
      </c>
      <c r="C649" s="6" t="s">
        <v>1860</v>
      </c>
      <c r="D649" s="6" t="s">
        <v>2409</v>
      </c>
      <c r="E649" s="9">
        <v>3</v>
      </c>
      <c r="F649" s="4">
        <v>339.39</v>
      </c>
      <c r="G649" t="s">
        <v>2558</v>
      </c>
      <c r="H649" s="6" t="s">
        <v>3069</v>
      </c>
      <c r="I649" s="6" t="s">
        <v>3072</v>
      </c>
      <c r="J649" s="6" t="s">
        <v>3722</v>
      </c>
      <c r="K649" s="9">
        <v>7</v>
      </c>
      <c r="L649" s="6" t="s">
        <v>4276</v>
      </c>
      <c r="M649" s="6" t="s">
        <v>4282</v>
      </c>
      <c r="N649" s="4">
        <v>1018.17</v>
      </c>
      <c r="O649" s="6">
        <f t="shared" si="10"/>
        <v>553</v>
      </c>
    </row>
    <row r="650" spans="1:15" x14ac:dyDescent="0.3">
      <c r="A650" s="6" t="s">
        <v>662</v>
      </c>
      <c r="B650" s="2">
        <v>45675</v>
      </c>
      <c r="C650" s="6" t="s">
        <v>1861</v>
      </c>
      <c r="D650" s="6" t="s">
        <v>2403</v>
      </c>
      <c r="E650" s="9">
        <v>2</v>
      </c>
      <c r="F650" s="4">
        <v>575.83000000000004</v>
      </c>
      <c r="G650" t="s">
        <v>2858</v>
      </c>
      <c r="H650" s="6" t="s">
        <v>3066</v>
      </c>
      <c r="I650" s="6" t="s">
        <v>3073</v>
      </c>
      <c r="J650" s="6" t="s">
        <v>3723</v>
      </c>
      <c r="K650" s="9">
        <v>3</v>
      </c>
      <c r="L650" s="6" t="s">
        <v>4277</v>
      </c>
      <c r="M650" s="6" t="s">
        <v>4279</v>
      </c>
      <c r="N650" s="4">
        <v>1151.6600000000001</v>
      </c>
      <c r="O650" s="6">
        <f t="shared" si="10"/>
        <v>552</v>
      </c>
    </row>
    <row r="651" spans="1:15" x14ac:dyDescent="0.3">
      <c r="A651" s="6" t="s">
        <v>663</v>
      </c>
      <c r="B651" s="2">
        <v>45283</v>
      </c>
      <c r="C651" s="6" t="s">
        <v>1862</v>
      </c>
      <c r="D651" s="6" t="s">
        <v>2403</v>
      </c>
      <c r="E651" s="9">
        <v>2</v>
      </c>
      <c r="F651" s="4">
        <v>642.98</v>
      </c>
      <c r="G651" t="s">
        <v>2632</v>
      </c>
      <c r="H651" s="6" t="s">
        <v>3065</v>
      </c>
      <c r="I651" s="6" t="s">
        <v>3072</v>
      </c>
      <c r="J651" s="6" t="s">
        <v>3724</v>
      </c>
      <c r="K651" s="9">
        <v>7</v>
      </c>
      <c r="L651" s="6" t="s">
        <v>4276</v>
      </c>
      <c r="M651" s="6" t="s">
        <v>4280</v>
      </c>
      <c r="N651" s="4">
        <v>1285.96</v>
      </c>
      <c r="O651" s="6">
        <f t="shared" si="10"/>
        <v>551</v>
      </c>
    </row>
    <row r="652" spans="1:15" x14ac:dyDescent="0.3">
      <c r="A652" s="6" t="s">
        <v>664</v>
      </c>
      <c r="B652" s="2">
        <v>45064</v>
      </c>
      <c r="C652" s="6" t="s">
        <v>1863</v>
      </c>
      <c r="D652" s="6" t="s">
        <v>2409</v>
      </c>
      <c r="E652" s="9">
        <v>2</v>
      </c>
      <c r="F652" s="4">
        <v>372.23</v>
      </c>
      <c r="G652" t="s">
        <v>2859</v>
      </c>
      <c r="H652" s="6" t="s">
        <v>3068</v>
      </c>
      <c r="I652" s="6" t="s">
        <v>3073</v>
      </c>
      <c r="J652" s="6" t="s">
        <v>3725</v>
      </c>
      <c r="K652" s="9">
        <v>7</v>
      </c>
      <c r="L652" s="6" t="s">
        <v>4275</v>
      </c>
      <c r="M652" s="6" t="s">
        <v>4280</v>
      </c>
      <c r="N652" s="4">
        <v>744.46</v>
      </c>
      <c r="O652" s="6">
        <f t="shared" si="10"/>
        <v>550</v>
      </c>
    </row>
    <row r="653" spans="1:15" x14ac:dyDescent="0.3">
      <c r="A653" s="6" t="s">
        <v>665</v>
      </c>
      <c r="B653" s="2">
        <v>45608</v>
      </c>
      <c r="C653" s="6" t="s">
        <v>1864</v>
      </c>
      <c r="D653" s="6" t="s">
        <v>2406</v>
      </c>
      <c r="E653" s="9">
        <v>3</v>
      </c>
      <c r="F653" s="4">
        <v>646.34</v>
      </c>
      <c r="G653" t="s">
        <v>2584</v>
      </c>
      <c r="H653" s="6" t="s">
        <v>3065</v>
      </c>
      <c r="I653" s="6" t="s">
        <v>3074</v>
      </c>
      <c r="J653" s="6" t="s">
        <v>3726</v>
      </c>
      <c r="K653" s="9">
        <v>5</v>
      </c>
      <c r="L653" s="6" t="s">
        <v>4283</v>
      </c>
      <c r="M653" s="6" t="s">
        <v>4282</v>
      </c>
      <c r="N653" s="4">
        <v>1939.02</v>
      </c>
      <c r="O653" s="6">
        <f t="shared" si="10"/>
        <v>549</v>
      </c>
    </row>
    <row r="654" spans="1:15" x14ac:dyDescent="0.3">
      <c r="A654" s="6" t="s">
        <v>666</v>
      </c>
      <c r="B654" s="2">
        <v>45448</v>
      </c>
      <c r="C654" s="6" t="s">
        <v>1865</v>
      </c>
      <c r="D654" s="6" t="s">
        <v>2406</v>
      </c>
      <c r="E654" s="9">
        <v>5</v>
      </c>
      <c r="F654" s="4">
        <v>341.84</v>
      </c>
      <c r="G654" t="s">
        <v>2860</v>
      </c>
      <c r="H654" s="6" t="s">
        <v>3066</v>
      </c>
      <c r="I654" s="6" t="s">
        <v>3070</v>
      </c>
      <c r="J654" s="6" t="s">
        <v>3727</v>
      </c>
      <c r="K654" s="9">
        <v>8</v>
      </c>
      <c r="L654" s="6" t="s">
        <v>4276</v>
      </c>
      <c r="M654" s="6" t="s">
        <v>4278</v>
      </c>
      <c r="N654" s="4">
        <v>1709.2</v>
      </c>
      <c r="O654" s="6">
        <f t="shared" si="10"/>
        <v>548</v>
      </c>
    </row>
    <row r="655" spans="1:15" x14ac:dyDescent="0.3">
      <c r="A655" s="6" t="s">
        <v>667</v>
      </c>
      <c r="B655" s="2">
        <v>45347</v>
      </c>
      <c r="C655" s="6" t="s">
        <v>1866</v>
      </c>
      <c r="D655" s="6" t="s">
        <v>2407</v>
      </c>
      <c r="E655" s="9">
        <v>3</v>
      </c>
      <c r="F655" s="4">
        <v>690.3</v>
      </c>
      <c r="G655" t="s">
        <v>2710</v>
      </c>
      <c r="H655" s="6" t="s">
        <v>3067</v>
      </c>
      <c r="I655" s="6" t="s">
        <v>3070</v>
      </c>
      <c r="J655" s="6" t="s">
        <v>3728</v>
      </c>
      <c r="K655" s="9">
        <v>6</v>
      </c>
      <c r="L655" s="6" t="s">
        <v>4277</v>
      </c>
      <c r="M655" s="6" t="s">
        <v>4282</v>
      </c>
      <c r="N655" s="4">
        <v>2070.9</v>
      </c>
      <c r="O655" s="6">
        <f t="shared" si="10"/>
        <v>547</v>
      </c>
    </row>
    <row r="656" spans="1:15" x14ac:dyDescent="0.3">
      <c r="A656" s="6" t="s">
        <v>668</v>
      </c>
      <c r="B656" s="2">
        <v>45089</v>
      </c>
      <c r="C656" s="6" t="s">
        <v>1867</v>
      </c>
      <c r="D656" s="6" t="s">
        <v>2405</v>
      </c>
      <c r="E656" s="9">
        <v>3</v>
      </c>
      <c r="F656" s="4">
        <v>382.37</v>
      </c>
      <c r="G656" t="s">
        <v>2861</v>
      </c>
      <c r="H656" s="6" t="s">
        <v>3065</v>
      </c>
      <c r="I656" s="6" t="s">
        <v>3072</v>
      </c>
      <c r="J656" s="6" t="s">
        <v>3729</v>
      </c>
      <c r="K656" s="9">
        <v>8</v>
      </c>
      <c r="L656" s="6" t="s">
        <v>4283</v>
      </c>
      <c r="M656" s="6" t="s">
        <v>4278</v>
      </c>
      <c r="N656" s="4">
        <v>1147.1099999999999</v>
      </c>
      <c r="O656" s="6">
        <f t="shared" si="10"/>
        <v>546</v>
      </c>
    </row>
    <row r="657" spans="1:15" x14ac:dyDescent="0.3">
      <c r="A657" s="6" t="s">
        <v>669</v>
      </c>
      <c r="B657" s="2">
        <v>44999</v>
      </c>
      <c r="C657" s="6" t="s">
        <v>1868</v>
      </c>
      <c r="D657" s="6" t="s">
        <v>2406</v>
      </c>
      <c r="E657" s="9">
        <v>2</v>
      </c>
      <c r="F657" s="4">
        <v>132.6</v>
      </c>
      <c r="G657" t="s">
        <v>2758</v>
      </c>
      <c r="H657" s="6" t="s">
        <v>3065</v>
      </c>
      <c r="I657" s="6" t="s">
        <v>3071</v>
      </c>
      <c r="J657" s="6" t="s">
        <v>3730</v>
      </c>
      <c r="K657" s="9">
        <v>4</v>
      </c>
      <c r="L657" s="6" t="s">
        <v>4277</v>
      </c>
      <c r="M657" s="6" t="s">
        <v>4280</v>
      </c>
      <c r="N657" s="4">
        <v>265.2</v>
      </c>
      <c r="O657" s="6">
        <f t="shared" si="10"/>
        <v>545</v>
      </c>
    </row>
    <row r="658" spans="1:15" x14ac:dyDescent="0.3">
      <c r="A658" s="6" t="s">
        <v>670</v>
      </c>
      <c r="B658" s="2">
        <v>45309</v>
      </c>
      <c r="C658" s="6" t="s">
        <v>1869</v>
      </c>
      <c r="D658" s="6" t="s">
        <v>2403</v>
      </c>
      <c r="E658" s="9">
        <v>2</v>
      </c>
      <c r="F658" s="4">
        <v>189.06</v>
      </c>
      <c r="G658" t="s">
        <v>2862</v>
      </c>
      <c r="H658" s="6" t="s">
        <v>3068</v>
      </c>
      <c r="I658" s="6" t="s">
        <v>3070</v>
      </c>
      <c r="J658" s="6" t="s">
        <v>3731</v>
      </c>
      <c r="K658" s="9">
        <v>7</v>
      </c>
      <c r="L658" s="6" t="s">
        <v>4275</v>
      </c>
      <c r="M658" s="6" t="s">
        <v>4281</v>
      </c>
      <c r="N658" s="4">
        <v>378.12</v>
      </c>
      <c r="O658" s="6">
        <f t="shared" si="10"/>
        <v>544</v>
      </c>
    </row>
    <row r="659" spans="1:15" x14ac:dyDescent="0.3">
      <c r="A659" s="6" t="s">
        <v>671</v>
      </c>
      <c r="B659" s="2">
        <v>45284</v>
      </c>
      <c r="C659" s="6" t="s">
        <v>1870</v>
      </c>
      <c r="D659" s="6" t="s">
        <v>2405</v>
      </c>
      <c r="E659" s="9">
        <v>4</v>
      </c>
      <c r="F659" s="4">
        <v>87.79</v>
      </c>
      <c r="G659" t="s">
        <v>2685</v>
      </c>
      <c r="H659" s="6" t="s">
        <v>3069</v>
      </c>
      <c r="I659" s="6" t="s">
        <v>3071</v>
      </c>
      <c r="J659" s="6" t="s">
        <v>3732</v>
      </c>
      <c r="K659" s="9">
        <v>6</v>
      </c>
      <c r="L659" s="6" t="s">
        <v>4276</v>
      </c>
      <c r="M659" s="6" t="s">
        <v>4278</v>
      </c>
      <c r="N659" s="4">
        <v>351.16</v>
      </c>
      <c r="O659" s="6">
        <f t="shared" si="10"/>
        <v>543</v>
      </c>
    </row>
    <row r="660" spans="1:15" x14ac:dyDescent="0.3">
      <c r="A660" s="6" t="s">
        <v>672</v>
      </c>
      <c r="B660" s="2">
        <v>45765</v>
      </c>
      <c r="C660" s="6" t="s">
        <v>1871</v>
      </c>
      <c r="D660" s="6" t="s">
        <v>2407</v>
      </c>
      <c r="E660" s="9">
        <v>2</v>
      </c>
      <c r="F660" s="4">
        <v>46.36</v>
      </c>
      <c r="G660" t="s">
        <v>2657</v>
      </c>
      <c r="H660" s="6" t="s">
        <v>3068</v>
      </c>
      <c r="I660" s="6" t="s">
        <v>3072</v>
      </c>
      <c r="J660" s="6" t="s">
        <v>3733</v>
      </c>
      <c r="K660" s="9">
        <v>4</v>
      </c>
      <c r="L660" s="6" t="s">
        <v>4275</v>
      </c>
      <c r="M660" s="6" t="s">
        <v>4282</v>
      </c>
      <c r="N660" s="4">
        <v>92.72</v>
      </c>
      <c r="O660" s="6">
        <f t="shared" si="10"/>
        <v>542</v>
      </c>
    </row>
    <row r="661" spans="1:15" x14ac:dyDescent="0.3">
      <c r="A661" s="6" t="s">
        <v>673</v>
      </c>
      <c r="B661" s="2">
        <v>45591</v>
      </c>
      <c r="C661" s="6" t="s">
        <v>1872</v>
      </c>
      <c r="D661" s="6" t="s">
        <v>2404</v>
      </c>
      <c r="E661" s="9">
        <v>2</v>
      </c>
      <c r="F661" s="4">
        <v>642.04</v>
      </c>
      <c r="G661" t="s">
        <v>2813</v>
      </c>
      <c r="H661" s="6" t="s">
        <v>3068</v>
      </c>
      <c r="I661" s="6" t="s">
        <v>3073</v>
      </c>
      <c r="J661" s="6" t="s">
        <v>3734</v>
      </c>
      <c r="K661" s="9">
        <v>4</v>
      </c>
      <c r="L661" s="6" t="s">
        <v>4277</v>
      </c>
      <c r="M661" s="6" t="s">
        <v>4280</v>
      </c>
      <c r="N661" s="4">
        <v>1284.08</v>
      </c>
      <c r="O661" s="6">
        <f t="shared" si="10"/>
        <v>541</v>
      </c>
    </row>
    <row r="662" spans="1:15" x14ac:dyDescent="0.3">
      <c r="A662" s="6" t="s">
        <v>674</v>
      </c>
      <c r="B662" s="2">
        <v>45584</v>
      </c>
      <c r="C662" s="6" t="s">
        <v>1873</v>
      </c>
      <c r="D662" s="6" t="s">
        <v>2406</v>
      </c>
      <c r="E662" s="9">
        <v>2</v>
      </c>
      <c r="F662" s="4">
        <v>651.57000000000005</v>
      </c>
      <c r="G662" t="s">
        <v>2543</v>
      </c>
      <c r="H662" s="6" t="s">
        <v>3065</v>
      </c>
      <c r="I662" s="6" t="s">
        <v>3070</v>
      </c>
      <c r="J662" s="6" t="s">
        <v>3735</v>
      </c>
      <c r="K662" s="9">
        <v>7</v>
      </c>
      <c r="L662" s="6" t="s">
        <v>4277</v>
      </c>
      <c r="M662" s="6" t="s">
        <v>4281</v>
      </c>
      <c r="N662" s="4">
        <v>1303.1400000000001</v>
      </c>
      <c r="O662" s="6">
        <f t="shared" si="10"/>
        <v>540</v>
      </c>
    </row>
    <row r="663" spans="1:15" x14ac:dyDescent="0.3">
      <c r="A663" s="6" t="s">
        <v>675</v>
      </c>
      <c r="B663" s="2">
        <v>45716</v>
      </c>
      <c r="C663" s="6" t="s">
        <v>1874</v>
      </c>
      <c r="D663" s="6" t="s">
        <v>2405</v>
      </c>
      <c r="E663" s="9">
        <v>3</v>
      </c>
      <c r="F663" s="4">
        <v>424.89</v>
      </c>
      <c r="G663" t="s">
        <v>2863</v>
      </c>
      <c r="H663" s="6" t="s">
        <v>3065</v>
      </c>
      <c r="I663" s="6" t="s">
        <v>3071</v>
      </c>
      <c r="J663" s="6" t="s">
        <v>3736</v>
      </c>
      <c r="K663" s="9">
        <v>6</v>
      </c>
      <c r="L663" s="6" t="s">
        <v>4276</v>
      </c>
      <c r="M663" s="6" t="s">
        <v>4282</v>
      </c>
      <c r="N663" s="4">
        <v>1274.67</v>
      </c>
      <c r="O663" s="6">
        <f t="shared" si="10"/>
        <v>539</v>
      </c>
    </row>
    <row r="664" spans="1:15" x14ac:dyDescent="0.3">
      <c r="A664" s="6" t="s">
        <v>676</v>
      </c>
      <c r="B664" s="2">
        <v>44954</v>
      </c>
      <c r="C664" s="6" t="s">
        <v>1875</v>
      </c>
      <c r="D664" s="6" t="s">
        <v>2408</v>
      </c>
      <c r="E664" s="9">
        <v>3</v>
      </c>
      <c r="F664" s="4">
        <v>438.89</v>
      </c>
      <c r="G664" t="s">
        <v>2864</v>
      </c>
      <c r="H664" s="6" t="s">
        <v>3069</v>
      </c>
      <c r="I664" s="6" t="s">
        <v>3072</v>
      </c>
      <c r="J664" s="6" t="s">
        <v>3737</v>
      </c>
      <c r="K664" s="9">
        <v>3</v>
      </c>
      <c r="L664" s="6" t="s">
        <v>4283</v>
      </c>
      <c r="M664" s="6" t="s">
        <v>4281</v>
      </c>
      <c r="N664" s="4">
        <v>1316.67</v>
      </c>
      <c r="O664" s="6">
        <f t="shared" si="10"/>
        <v>538</v>
      </c>
    </row>
    <row r="665" spans="1:15" x14ac:dyDescent="0.3">
      <c r="A665" s="6" t="s">
        <v>677</v>
      </c>
      <c r="B665" s="2">
        <v>45397</v>
      </c>
      <c r="C665" s="6" t="s">
        <v>1876</v>
      </c>
      <c r="D665" s="6" t="s">
        <v>2403</v>
      </c>
      <c r="E665" s="9">
        <v>1</v>
      </c>
      <c r="F665" s="4">
        <v>72.599999999999994</v>
      </c>
      <c r="G665" t="s">
        <v>2800</v>
      </c>
      <c r="H665" s="6" t="s">
        <v>3065</v>
      </c>
      <c r="I665" s="6" t="s">
        <v>3071</v>
      </c>
      <c r="J665" s="6" t="s">
        <v>3738</v>
      </c>
      <c r="K665" s="9">
        <v>6</v>
      </c>
      <c r="L665" s="6" t="s">
        <v>4276</v>
      </c>
      <c r="M665" s="6" t="s">
        <v>4278</v>
      </c>
      <c r="N665" s="4">
        <v>72.599999999999994</v>
      </c>
      <c r="O665" s="6">
        <f t="shared" si="10"/>
        <v>537</v>
      </c>
    </row>
    <row r="666" spans="1:15" x14ac:dyDescent="0.3">
      <c r="A666" s="6" t="s">
        <v>678</v>
      </c>
      <c r="B666" s="2">
        <v>45645</v>
      </c>
      <c r="C666" s="6" t="s">
        <v>1450</v>
      </c>
      <c r="D666" s="6" t="s">
        <v>2408</v>
      </c>
      <c r="E666" s="9">
        <v>4</v>
      </c>
      <c r="F666" s="4">
        <v>194.75</v>
      </c>
      <c r="G666" t="s">
        <v>2865</v>
      </c>
      <c r="H666" s="6" t="s">
        <v>3069</v>
      </c>
      <c r="I666" s="6" t="s">
        <v>3070</v>
      </c>
      <c r="J666" s="6" t="s">
        <v>3739</v>
      </c>
      <c r="K666" s="9">
        <v>5</v>
      </c>
      <c r="L666" s="6" t="s">
        <v>4283</v>
      </c>
      <c r="M666" s="6" t="s">
        <v>4281</v>
      </c>
      <c r="N666" s="4">
        <v>779</v>
      </c>
      <c r="O666" s="6">
        <f t="shared" si="10"/>
        <v>536</v>
      </c>
    </row>
    <row r="667" spans="1:15" x14ac:dyDescent="0.3">
      <c r="A667" s="6" t="s">
        <v>679</v>
      </c>
      <c r="B667" s="2">
        <v>45048</v>
      </c>
      <c r="C667" s="6" t="s">
        <v>1877</v>
      </c>
      <c r="D667" s="6" t="s">
        <v>2405</v>
      </c>
      <c r="E667" s="9">
        <v>4</v>
      </c>
      <c r="F667" s="4">
        <v>231.26</v>
      </c>
      <c r="G667" t="s">
        <v>2866</v>
      </c>
      <c r="H667" s="6" t="s">
        <v>3066</v>
      </c>
      <c r="I667" s="6" t="s">
        <v>3070</v>
      </c>
      <c r="J667" s="6" t="s">
        <v>3740</v>
      </c>
      <c r="K667" s="9">
        <v>6</v>
      </c>
      <c r="L667" s="6" t="s">
        <v>4277</v>
      </c>
      <c r="M667" s="6" t="s">
        <v>4282</v>
      </c>
      <c r="N667" s="4">
        <v>925.04</v>
      </c>
      <c r="O667" s="6">
        <f t="shared" si="10"/>
        <v>535</v>
      </c>
    </row>
    <row r="668" spans="1:15" x14ac:dyDescent="0.3">
      <c r="A668" s="6" t="s">
        <v>680</v>
      </c>
      <c r="B668" s="2">
        <v>45535</v>
      </c>
      <c r="C668" s="6" t="s">
        <v>1878</v>
      </c>
      <c r="D668" s="6" t="s">
        <v>2403</v>
      </c>
      <c r="E668" s="9">
        <v>4</v>
      </c>
      <c r="F668" s="4">
        <v>327.12</v>
      </c>
      <c r="G668" t="s">
        <v>2840</v>
      </c>
      <c r="H668" s="6" t="s">
        <v>3067</v>
      </c>
      <c r="I668" s="6" t="s">
        <v>3071</v>
      </c>
      <c r="J668" s="6" t="s">
        <v>3741</v>
      </c>
      <c r="K668" s="9">
        <v>4</v>
      </c>
      <c r="L668" s="6" t="s">
        <v>4283</v>
      </c>
      <c r="M668" s="6" t="s">
        <v>4280</v>
      </c>
      <c r="N668" s="4">
        <v>1308.48</v>
      </c>
      <c r="O668" s="6">
        <f t="shared" si="10"/>
        <v>534</v>
      </c>
    </row>
    <row r="669" spans="1:15" x14ac:dyDescent="0.3">
      <c r="A669" s="6" t="s">
        <v>681</v>
      </c>
      <c r="B669" s="2">
        <v>45049</v>
      </c>
      <c r="C669" s="6" t="s">
        <v>1879</v>
      </c>
      <c r="D669" s="6" t="s">
        <v>2408</v>
      </c>
      <c r="E669" s="9">
        <v>1</v>
      </c>
      <c r="F669" s="4">
        <v>466.42</v>
      </c>
      <c r="G669" t="s">
        <v>2590</v>
      </c>
      <c r="H669" s="6" t="s">
        <v>3068</v>
      </c>
      <c r="I669" s="6" t="s">
        <v>3074</v>
      </c>
      <c r="J669" s="6" t="s">
        <v>3742</v>
      </c>
      <c r="K669" s="9">
        <v>5</v>
      </c>
      <c r="L669" s="6" t="s">
        <v>4275</v>
      </c>
      <c r="M669" s="6" t="s">
        <v>4280</v>
      </c>
      <c r="N669" s="4">
        <v>466.42</v>
      </c>
      <c r="O669" s="6">
        <f t="shared" si="10"/>
        <v>533</v>
      </c>
    </row>
    <row r="670" spans="1:15" x14ac:dyDescent="0.3">
      <c r="A670" s="6" t="s">
        <v>682</v>
      </c>
      <c r="B670" s="2">
        <v>45478</v>
      </c>
      <c r="C670" s="6" t="s">
        <v>1880</v>
      </c>
      <c r="D670" s="6" t="s">
        <v>2403</v>
      </c>
      <c r="E670" s="9">
        <v>2</v>
      </c>
      <c r="F670" s="4">
        <v>253.67</v>
      </c>
      <c r="G670" t="s">
        <v>2549</v>
      </c>
      <c r="H670" s="6" t="s">
        <v>3069</v>
      </c>
      <c r="I670" s="6" t="s">
        <v>3072</v>
      </c>
      <c r="J670" s="6" t="s">
        <v>3743</v>
      </c>
      <c r="K670" s="9">
        <v>3</v>
      </c>
      <c r="L670" s="6" t="s">
        <v>4277</v>
      </c>
      <c r="M670" s="6" t="s">
        <v>4281</v>
      </c>
      <c r="N670" s="4">
        <v>507.34</v>
      </c>
      <c r="O670" s="6">
        <f t="shared" si="10"/>
        <v>532</v>
      </c>
    </row>
    <row r="671" spans="1:15" x14ac:dyDescent="0.3">
      <c r="A671" s="6" t="s">
        <v>683</v>
      </c>
      <c r="B671" s="2">
        <v>44962</v>
      </c>
      <c r="C671" s="6" t="s">
        <v>1881</v>
      </c>
      <c r="D671" s="6" t="s">
        <v>2409</v>
      </c>
      <c r="E671" s="9">
        <v>1</v>
      </c>
      <c r="F671" s="4">
        <v>257</v>
      </c>
      <c r="G671" t="s">
        <v>2867</v>
      </c>
      <c r="H671" s="6" t="s">
        <v>3065</v>
      </c>
      <c r="I671" s="6" t="s">
        <v>3071</v>
      </c>
      <c r="J671" s="6" t="s">
        <v>3744</v>
      </c>
      <c r="K671" s="9">
        <v>5</v>
      </c>
      <c r="L671" s="6" t="s">
        <v>4283</v>
      </c>
      <c r="M671" s="6" t="s">
        <v>4279</v>
      </c>
      <c r="N671" s="4">
        <v>257</v>
      </c>
      <c r="O671" s="6">
        <f t="shared" si="10"/>
        <v>531</v>
      </c>
    </row>
    <row r="672" spans="1:15" x14ac:dyDescent="0.3">
      <c r="A672" s="6" t="s">
        <v>684</v>
      </c>
      <c r="B672" s="2">
        <v>45400</v>
      </c>
      <c r="C672" s="6" t="s">
        <v>1882</v>
      </c>
      <c r="D672" s="6" t="s">
        <v>2409</v>
      </c>
      <c r="E672" s="9">
        <v>4</v>
      </c>
      <c r="F672" s="4">
        <v>539.20000000000005</v>
      </c>
      <c r="G672" t="s">
        <v>2710</v>
      </c>
      <c r="H672" s="6" t="s">
        <v>3067</v>
      </c>
      <c r="I672" s="6" t="s">
        <v>3074</v>
      </c>
      <c r="J672" s="6" t="s">
        <v>3745</v>
      </c>
      <c r="K672" s="9">
        <v>8</v>
      </c>
      <c r="L672" s="6" t="s">
        <v>4276</v>
      </c>
      <c r="M672" s="6" t="s">
        <v>4282</v>
      </c>
      <c r="N672" s="4">
        <v>2156.8000000000002</v>
      </c>
      <c r="O672" s="6">
        <f t="shared" si="10"/>
        <v>530</v>
      </c>
    </row>
    <row r="673" spans="1:15" x14ac:dyDescent="0.3">
      <c r="A673" s="6" t="s">
        <v>685</v>
      </c>
      <c r="B673" s="2">
        <v>45092</v>
      </c>
      <c r="C673" s="6" t="s">
        <v>1883</v>
      </c>
      <c r="D673" s="6" t="s">
        <v>2406</v>
      </c>
      <c r="E673" s="9">
        <v>5</v>
      </c>
      <c r="F673" s="4">
        <v>50.74</v>
      </c>
      <c r="G673" t="s">
        <v>2554</v>
      </c>
      <c r="H673" s="6" t="s">
        <v>3068</v>
      </c>
      <c r="I673" s="6" t="s">
        <v>3071</v>
      </c>
      <c r="J673" s="6" t="s">
        <v>3746</v>
      </c>
      <c r="K673" s="9">
        <v>7</v>
      </c>
      <c r="L673" s="6" t="s">
        <v>4277</v>
      </c>
      <c r="M673" s="6" t="s">
        <v>4282</v>
      </c>
      <c r="N673" s="4">
        <v>253.7</v>
      </c>
      <c r="O673" s="6">
        <f t="shared" si="10"/>
        <v>529</v>
      </c>
    </row>
    <row r="674" spans="1:15" x14ac:dyDescent="0.3">
      <c r="A674" s="6" t="s">
        <v>686</v>
      </c>
      <c r="B674" s="2">
        <v>45055</v>
      </c>
      <c r="C674" s="6" t="s">
        <v>1884</v>
      </c>
      <c r="D674" s="6" t="s">
        <v>2404</v>
      </c>
      <c r="E674" s="9">
        <v>2</v>
      </c>
      <c r="F674" s="4">
        <v>624.16</v>
      </c>
      <c r="G674" t="s">
        <v>2843</v>
      </c>
      <c r="H674" s="6" t="s">
        <v>3065</v>
      </c>
      <c r="I674" s="6" t="s">
        <v>3070</v>
      </c>
      <c r="J674" s="6" t="s">
        <v>3747</v>
      </c>
      <c r="K674" s="9">
        <v>2</v>
      </c>
      <c r="L674" s="6" t="s">
        <v>4275</v>
      </c>
      <c r="M674" s="6" t="s">
        <v>4278</v>
      </c>
      <c r="N674" s="4">
        <v>1248.32</v>
      </c>
      <c r="O674" s="6">
        <f t="shared" si="10"/>
        <v>528</v>
      </c>
    </row>
    <row r="675" spans="1:15" x14ac:dyDescent="0.3">
      <c r="A675" s="6" t="s">
        <v>687</v>
      </c>
      <c r="B675" s="2">
        <v>44978</v>
      </c>
      <c r="C675" s="6" t="s">
        <v>1885</v>
      </c>
      <c r="D675" s="6" t="s">
        <v>2405</v>
      </c>
      <c r="E675" s="9">
        <v>2</v>
      </c>
      <c r="F675" s="4">
        <v>372.92</v>
      </c>
      <c r="G675" t="s">
        <v>2512</v>
      </c>
      <c r="H675" s="6" t="s">
        <v>3067</v>
      </c>
      <c r="I675" s="6" t="s">
        <v>3073</v>
      </c>
      <c r="J675" s="6" t="s">
        <v>3748</v>
      </c>
      <c r="K675" s="9">
        <v>7</v>
      </c>
      <c r="L675" s="6" t="s">
        <v>4275</v>
      </c>
      <c r="M675" s="6" t="s">
        <v>4280</v>
      </c>
      <c r="N675" s="4">
        <v>745.84</v>
      </c>
      <c r="O675" s="6">
        <f t="shared" si="10"/>
        <v>527</v>
      </c>
    </row>
    <row r="676" spans="1:15" x14ac:dyDescent="0.3">
      <c r="A676" s="6" t="s">
        <v>688</v>
      </c>
      <c r="B676" s="2">
        <v>45300</v>
      </c>
      <c r="C676" s="6" t="s">
        <v>1886</v>
      </c>
      <c r="D676" s="6" t="s">
        <v>2408</v>
      </c>
      <c r="E676" s="9">
        <v>4</v>
      </c>
      <c r="F676" s="4">
        <v>358.75</v>
      </c>
      <c r="G676" t="s">
        <v>2868</v>
      </c>
      <c r="H676" s="6" t="s">
        <v>3068</v>
      </c>
      <c r="I676" s="6" t="s">
        <v>3073</v>
      </c>
      <c r="J676" s="6" t="s">
        <v>3749</v>
      </c>
      <c r="K676" s="9">
        <v>9</v>
      </c>
      <c r="L676" s="6" t="s">
        <v>4275</v>
      </c>
      <c r="M676" s="6" t="s">
        <v>4281</v>
      </c>
      <c r="N676" s="4">
        <v>1435</v>
      </c>
      <c r="O676" s="6">
        <f t="shared" si="10"/>
        <v>526</v>
      </c>
    </row>
    <row r="677" spans="1:15" x14ac:dyDescent="0.3">
      <c r="A677" s="6" t="s">
        <v>689</v>
      </c>
      <c r="B677" s="2">
        <v>45510</v>
      </c>
      <c r="C677" s="6" t="s">
        <v>1887</v>
      </c>
      <c r="D677" s="6" t="s">
        <v>2409</v>
      </c>
      <c r="E677" s="9">
        <v>3</v>
      </c>
      <c r="F677" s="4">
        <v>342.02</v>
      </c>
      <c r="G677" t="s">
        <v>2807</v>
      </c>
      <c r="H677" s="6" t="s">
        <v>3065</v>
      </c>
      <c r="I677" s="6" t="s">
        <v>3074</v>
      </c>
      <c r="J677" s="6" t="s">
        <v>3750</v>
      </c>
      <c r="K677" s="9">
        <v>5</v>
      </c>
      <c r="L677" s="6" t="s">
        <v>4283</v>
      </c>
      <c r="M677" s="6" t="s">
        <v>4280</v>
      </c>
      <c r="N677" s="4">
        <v>1026.06</v>
      </c>
      <c r="O677" s="6">
        <f t="shared" si="10"/>
        <v>525</v>
      </c>
    </row>
    <row r="678" spans="1:15" x14ac:dyDescent="0.3">
      <c r="A678" s="6" t="s">
        <v>690</v>
      </c>
      <c r="B678" s="2">
        <v>45831</v>
      </c>
      <c r="C678" s="6" t="s">
        <v>1888</v>
      </c>
      <c r="D678" s="6" t="s">
        <v>2408</v>
      </c>
      <c r="E678" s="9">
        <v>2</v>
      </c>
      <c r="F678" s="4">
        <v>422.34</v>
      </c>
      <c r="G678" t="s">
        <v>2864</v>
      </c>
      <c r="H678" s="6" t="s">
        <v>3067</v>
      </c>
      <c r="I678" s="6" t="s">
        <v>3071</v>
      </c>
      <c r="J678" s="6" t="s">
        <v>3751</v>
      </c>
      <c r="K678" s="9">
        <v>4</v>
      </c>
      <c r="L678" s="6" t="s">
        <v>4276</v>
      </c>
      <c r="M678" s="6" t="s">
        <v>4278</v>
      </c>
      <c r="N678" s="4">
        <v>844.68</v>
      </c>
      <c r="O678" s="6">
        <f t="shared" si="10"/>
        <v>524</v>
      </c>
    </row>
    <row r="679" spans="1:15" x14ac:dyDescent="0.3">
      <c r="A679" s="6" t="s">
        <v>691</v>
      </c>
      <c r="B679" s="2">
        <v>45750</v>
      </c>
      <c r="C679" s="6" t="s">
        <v>1889</v>
      </c>
      <c r="D679" s="6" t="s">
        <v>2405</v>
      </c>
      <c r="E679" s="9">
        <v>5</v>
      </c>
      <c r="F679" s="4">
        <v>22.07</v>
      </c>
      <c r="G679" t="s">
        <v>2422</v>
      </c>
      <c r="H679" s="6" t="s">
        <v>3066</v>
      </c>
      <c r="I679" s="6" t="s">
        <v>3071</v>
      </c>
      <c r="J679" s="6" t="s">
        <v>3752</v>
      </c>
      <c r="K679" s="9">
        <v>7</v>
      </c>
      <c r="L679" s="6" t="s">
        <v>4276</v>
      </c>
      <c r="M679" s="6" t="s">
        <v>4278</v>
      </c>
      <c r="N679" s="4">
        <v>110.35</v>
      </c>
      <c r="O679" s="6">
        <f t="shared" si="10"/>
        <v>523</v>
      </c>
    </row>
    <row r="680" spans="1:15" x14ac:dyDescent="0.3">
      <c r="A680" s="6" t="s">
        <v>692</v>
      </c>
      <c r="B680" s="2">
        <v>45620</v>
      </c>
      <c r="C680" s="6" t="s">
        <v>1890</v>
      </c>
      <c r="D680" s="6" t="s">
        <v>2406</v>
      </c>
      <c r="E680" s="9">
        <v>3</v>
      </c>
      <c r="F680" s="4">
        <v>163.13</v>
      </c>
      <c r="G680" t="s">
        <v>2600</v>
      </c>
      <c r="H680" s="6" t="s">
        <v>3068</v>
      </c>
      <c r="I680" s="6" t="s">
        <v>3070</v>
      </c>
      <c r="J680" s="6" t="s">
        <v>3753</v>
      </c>
      <c r="K680" s="9">
        <v>5</v>
      </c>
      <c r="L680" s="6" t="s">
        <v>4277</v>
      </c>
      <c r="M680" s="6" t="s">
        <v>4281</v>
      </c>
      <c r="N680" s="4">
        <v>489.39</v>
      </c>
      <c r="O680" s="6">
        <f t="shared" si="10"/>
        <v>522</v>
      </c>
    </row>
    <row r="681" spans="1:15" x14ac:dyDescent="0.3">
      <c r="A681" s="6" t="s">
        <v>693</v>
      </c>
      <c r="B681" s="2">
        <v>44959</v>
      </c>
      <c r="C681" s="6" t="s">
        <v>1891</v>
      </c>
      <c r="D681" s="6" t="s">
        <v>2405</v>
      </c>
      <c r="E681" s="9">
        <v>3</v>
      </c>
      <c r="F681" s="4">
        <v>360.66</v>
      </c>
      <c r="G681" t="s">
        <v>2733</v>
      </c>
      <c r="H681" s="6" t="s">
        <v>3066</v>
      </c>
      <c r="I681" s="6" t="s">
        <v>3072</v>
      </c>
      <c r="J681" s="6" t="s">
        <v>3754</v>
      </c>
      <c r="K681" s="9">
        <v>5</v>
      </c>
      <c r="L681" s="6" t="s">
        <v>4276</v>
      </c>
      <c r="M681" s="6" t="s">
        <v>4278</v>
      </c>
      <c r="N681" s="4">
        <v>1081.98</v>
      </c>
      <c r="O681" s="6">
        <f t="shared" si="10"/>
        <v>521</v>
      </c>
    </row>
    <row r="682" spans="1:15" x14ac:dyDescent="0.3">
      <c r="A682" s="6" t="s">
        <v>694</v>
      </c>
      <c r="B682" s="2">
        <v>45165</v>
      </c>
      <c r="C682" s="6" t="s">
        <v>1892</v>
      </c>
      <c r="D682" s="6" t="s">
        <v>2403</v>
      </c>
      <c r="E682" s="9">
        <v>3</v>
      </c>
      <c r="F682" s="4">
        <v>463.39</v>
      </c>
      <c r="G682" t="s">
        <v>2869</v>
      </c>
      <c r="H682" s="6" t="s">
        <v>3067</v>
      </c>
      <c r="I682" s="6" t="s">
        <v>3072</v>
      </c>
      <c r="J682" s="6" t="s">
        <v>3755</v>
      </c>
      <c r="K682" s="9">
        <v>3</v>
      </c>
      <c r="L682" s="6" t="s">
        <v>4283</v>
      </c>
      <c r="M682" s="6" t="s">
        <v>4281</v>
      </c>
      <c r="N682" s="4">
        <v>1390.17</v>
      </c>
      <c r="O682" s="6">
        <f t="shared" si="10"/>
        <v>520</v>
      </c>
    </row>
    <row r="683" spans="1:15" x14ac:dyDescent="0.3">
      <c r="A683" s="6" t="s">
        <v>695</v>
      </c>
      <c r="B683" s="2">
        <v>45321</v>
      </c>
      <c r="C683" s="6" t="s">
        <v>1893</v>
      </c>
      <c r="D683" s="6" t="s">
        <v>2405</v>
      </c>
      <c r="E683" s="9">
        <v>1</v>
      </c>
      <c r="F683" s="4">
        <v>155.27000000000001</v>
      </c>
      <c r="G683" t="s">
        <v>2870</v>
      </c>
      <c r="H683" s="6" t="s">
        <v>3065</v>
      </c>
      <c r="I683" s="6" t="s">
        <v>3070</v>
      </c>
      <c r="J683" s="6" t="s">
        <v>3756</v>
      </c>
      <c r="K683" s="9">
        <v>6</v>
      </c>
      <c r="L683" s="6" t="s">
        <v>4283</v>
      </c>
      <c r="M683" s="6" t="s">
        <v>4280</v>
      </c>
      <c r="N683" s="4">
        <v>155.27000000000001</v>
      </c>
      <c r="O683" s="6">
        <f t="shared" si="10"/>
        <v>519</v>
      </c>
    </row>
    <row r="684" spans="1:15" x14ac:dyDescent="0.3">
      <c r="A684" s="6" t="s">
        <v>696</v>
      </c>
      <c r="B684" s="2">
        <v>45130</v>
      </c>
      <c r="C684" s="6" t="s">
        <v>1894</v>
      </c>
      <c r="D684" s="6" t="s">
        <v>2403</v>
      </c>
      <c r="E684" s="9">
        <v>3</v>
      </c>
      <c r="F684" s="4">
        <v>509.42</v>
      </c>
      <c r="G684" t="s">
        <v>2777</v>
      </c>
      <c r="H684" s="6" t="s">
        <v>3067</v>
      </c>
      <c r="I684" s="6" t="s">
        <v>3071</v>
      </c>
      <c r="J684" s="6" t="s">
        <v>3757</v>
      </c>
      <c r="K684" s="9">
        <v>5</v>
      </c>
      <c r="L684" s="6" t="s">
        <v>4276</v>
      </c>
      <c r="M684" s="6" t="s">
        <v>4282</v>
      </c>
      <c r="N684" s="4">
        <v>1528.26</v>
      </c>
      <c r="O684" s="6">
        <f t="shared" si="10"/>
        <v>518</v>
      </c>
    </row>
    <row r="685" spans="1:15" x14ac:dyDescent="0.3">
      <c r="A685" s="6" t="s">
        <v>697</v>
      </c>
      <c r="B685" s="2">
        <v>45795</v>
      </c>
      <c r="C685" s="6" t="s">
        <v>1895</v>
      </c>
      <c r="D685" s="6" t="s">
        <v>2409</v>
      </c>
      <c r="E685" s="9">
        <v>4</v>
      </c>
      <c r="F685" s="4">
        <v>652.48</v>
      </c>
      <c r="G685" t="s">
        <v>2871</v>
      </c>
      <c r="H685" s="6" t="s">
        <v>3069</v>
      </c>
      <c r="I685" s="6" t="s">
        <v>3074</v>
      </c>
      <c r="J685" s="6" t="s">
        <v>3758</v>
      </c>
      <c r="K685" s="9">
        <v>5</v>
      </c>
      <c r="L685" s="6" t="s">
        <v>4276</v>
      </c>
      <c r="M685" s="6" t="s">
        <v>4278</v>
      </c>
      <c r="N685" s="4">
        <v>2609.92</v>
      </c>
      <c r="O685" s="6">
        <f t="shared" si="10"/>
        <v>517</v>
      </c>
    </row>
    <row r="686" spans="1:15" x14ac:dyDescent="0.3">
      <c r="A686" s="6" t="s">
        <v>698</v>
      </c>
      <c r="B686" s="2">
        <v>45557</v>
      </c>
      <c r="C686" s="6" t="s">
        <v>1896</v>
      </c>
      <c r="D686" s="6" t="s">
        <v>2407</v>
      </c>
      <c r="E686" s="9">
        <v>4</v>
      </c>
      <c r="F686" s="4">
        <v>34.840000000000003</v>
      </c>
      <c r="G686" t="s">
        <v>2872</v>
      </c>
      <c r="H686" s="6" t="s">
        <v>3067</v>
      </c>
      <c r="I686" s="6" t="s">
        <v>3070</v>
      </c>
      <c r="J686" s="6" t="s">
        <v>3759</v>
      </c>
      <c r="K686" s="9">
        <v>8</v>
      </c>
      <c r="L686" s="6" t="s">
        <v>4283</v>
      </c>
      <c r="M686" s="6" t="s">
        <v>4280</v>
      </c>
      <c r="N686" s="4">
        <v>139.36000000000001</v>
      </c>
      <c r="O686" s="6">
        <f t="shared" si="10"/>
        <v>516</v>
      </c>
    </row>
    <row r="687" spans="1:15" x14ac:dyDescent="0.3">
      <c r="A687" s="6" t="s">
        <v>699</v>
      </c>
      <c r="B687" s="2">
        <v>45695</v>
      </c>
      <c r="C687" s="6" t="s">
        <v>1897</v>
      </c>
      <c r="D687" s="6" t="s">
        <v>2409</v>
      </c>
      <c r="E687" s="9">
        <v>1</v>
      </c>
      <c r="F687" s="4">
        <v>234.37</v>
      </c>
      <c r="G687" t="s">
        <v>2873</v>
      </c>
      <c r="H687" s="6" t="s">
        <v>3065</v>
      </c>
      <c r="I687" s="6" t="s">
        <v>3070</v>
      </c>
      <c r="J687" s="6" t="s">
        <v>3760</v>
      </c>
      <c r="K687" s="9">
        <v>5</v>
      </c>
      <c r="L687" s="6" t="s">
        <v>4276</v>
      </c>
      <c r="M687" s="6" t="s">
        <v>4280</v>
      </c>
      <c r="N687" s="4">
        <v>234.37</v>
      </c>
      <c r="O687" s="6">
        <f t="shared" si="10"/>
        <v>515</v>
      </c>
    </row>
    <row r="688" spans="1:15" x14ac:dyDescent="0.3">
      <c r="A688" s="6" t="s">
        <v>700</v>
      </c>
      <c r="B688" s="2">
        <v>45208</v>
      </c>
      <c r="C688" s="6" t="s">
        <v>1898</v>
      </c>
      <c r="D688" s="6" t="s">
        <v>2409</v>
      </c>
      <c r="E688" s="9">
        <v>3</v>
      </c>
      <c r="F688" s="4">
        <v>53.6</v>
      </c>
      <c r="G688" t="s">
        <v>2874</v>
      </c>
      <c r="H688" s="6" t="s">
        <v>3069</v>
      </c>
      <c r="I688" s="6" t="s">
        <v>3074</v>
      </c>
      <c r="J688" s="6" t="s">
        <v>3761</v>
      </c>
      <c r="K688" s="9">
        <v>4</v>
      </c>
      <c r="L688" s="6" t="s">
        <v>4277</v>
      </c>
      <c r="M688" s="6" t="s">
        <v>4281</v>
      </c>
      <c r="N688" s="4">
        <v>160.80000000000001</v>
      </c>
      <c r="O688" s="6">
        <f t="shared" si="10"/>
        <v>514</v>
      </c>
    </row>
    <row r="689" spans="1:15" x14ac:dyDescent="0.3">
      <c r="A689" s="6" t="s">
        <v>701</v>
      </c>
      <c r="B689" s="2">
        <v>45182</v>
      </c>
      <c r="C689" s="6" t="s">
        <v>1899</v>
      </c>
      <c r="D689" s="6" t="s">
        <v>2405</v>
      </c>
      <c r="E689" s="9">
        <v>1</v>
      </c>
      <c r="F689" s="4">
        <v>332.09</v>
      </c>
      <c r="G689" t="s">
        <v>2875</v>
      </c>
      <c r="H689" s="6" t="s">
        <v>3068</v>
      </c>
      <c r="I689" s="6" t="s">
        <v>3072</v>
      </c>
      <c r="J689" s="6" t="s">
        <v>3762</v>
      </c>
      <c r="K689" s="9">
        <v>5</v>
      </c>
      <c r="L689" s="6" t="s">
        <v>4276</v>
      </c>
      <c r="M689" s="6" t="s">
        <v>4278</v>
      </c>
      <c r="N689" s="4">
        <v>332.09</v>
      </c>
      <c r="O689" s="6">
        <f t="shared" si="10"/>
        <v>513</v>
      </c>
    </row>
    <row r="690" spans="1:15" x14ac:dyDescent="0.3">
      <c r="A690" s="6" t="s">
        <v>702</v>
      </c>
      <c r="B690" s="2">
        <v>45357</v>
      </c>
      <c r="C690" s="6" t="s">
        <v>1900</v>
      </c>
      <c r="D690" s="6" t="s">
        <v>2403</v>
      </c>
      <c r="E690" s="9">
        <v>4</v>
      </c>
      <c r="F690" s="4">
        <v>593.22</v>
      </c>
      <c r="G690" t="s">
        <v>2842</v>
      </c>
      <c r="H690" s="6" t="s">
        <v>3067</v>
      </c>
      <c r="I690" s="6" t="s">
        <v>3071</v>
      </c>
      <c r="J690" s="6" t="s">
        <v>3763</v>
      </c>
      <c r="K690" s="9">
        <v>8</v>
      </c>
      <c r="L690" s="6" t="s">
        <v>4277</v>
      </c>
      <c r="M690" s="6" t="s">
        <v>4281</v>
      </c>
      <c r="N690" s="4">
        <v>2372.88</v>
      </c>
      <c r="O690" s="6">
        <f t="shared" si="10"/>
        <v>512</v>
      </c>
    </row>
    <row r="691" spans="1:15" x14ac:dyDescent="0.3">
      <c r="A691" s="6" t="s">
        <v>703</v>
      </c>
      <c r="B691" s="2">
        <v>45167</v>
      </c>
      <c r="C691" s="6" t="s">
        <v>1901</v>
      </c>
      <c r="D691" s="6" t="s">
        <v>2405</v>
      </c>
      <c r="E691" s="9">
        <v>2</v>
      </c>
      <c r="F691" s="4">
        <v>444.84</v>
      </c>
      <c r="G691" t="s">
        <v>2876</v>
      </c>
      <c r="H691" s="6" t="s">
        <v>3066</v>
      </c>
      <c r="I691" s="6" t="s">
        <v>3070</v>
      </c>
      <c r="J691" s="6" t="s">
        <v>3764</v>
      </c>
      <c r="K691" s="9">
        <v>7</v>
      </c>
      <c r="L691" s="6" t="s">
        <v>4283</v>
      </c>
      <c r="M691" s="6" t="s">
        <v>4281</v>
      </c>
      <c r="N691" s="4">
        <v>889.68</v>
      </c>
      <c r="O691" s="6">
        <f t="shared" si="10"/>
        <v>511</v>
      </c>
    </row>
    <row r="692" spans="1:15" x14ac:dyDescent="0.3">
      <c r="A692" s="6" t="s">
        <v>704</v>
      </c>
      <c r="B692" s="2">
        <v>45485</v>
      </c>
      <c r="C692" s="6" t="s">
        <v>1902</v>
      </c>
      <c r="D692" s="6" t="s">
        <v>2403</v>
      </c>
      <c r="E692" s="9">
        <v>1</v>
      </c>
      <c r="F692" s="4">
        <v>24.48</v>
      </c>
      <c r="G692" t="s">
        <v>2445</v>
      </c>
      <c r="H692" s="6" t="s">
        <v>3068</v>
      </c>
      <c r="I692" s="6" t="s">
        <v>3072</v>
      </c>
      <c r="J692" s="6" t="s">
        <v>3765</v>
      </c>
      <c r="K692" s="9">
        <v>1</v>
      </c>
      <c r="L692" s="6" t="s">
        <v>4283</v>
      </c>
      <c r="M692" s="6" t="s">
        <v>4278</v>
      </c>
      <c r="N692" s="4">
        <v>24.48</v>
      </c>
      <c r="O692" s="6">
        <f t="shared" si="10"/>
        <v>510</v>
      </c>
    </row>
    <row r="693" spans="1:15" x14ac:dyDescent="0.3">
      <c r="A693" s="6" t="s">
        <v>705</v>
      </c>
      <c r="B693" s="2">
        <v>45620</v>
      </c>
      <c r="C693" s="6" t="s">
        <v>1903</v>
      </c>
      <c r="D693" s="6" t="s">
        <v>2408</v>
      </c>
      <c r="E693" s="9">
        <v>3</v>
      </c>
      <c r="F693" s="4">
        <v>239.08</v>
      </c>
      <c r="G693" t="s">
        <v>2877</v>
      </c>
      <c r="H693" s="6" t="s">
        <v>3069</v>
      </c>
      <c r="I693" s="6" t="s">
        <v>3070</v>
      </c>
      <c r="J693" s="6" t="s">
        <v>3766</v>
      </c>
      <c r="K693" s="9">
        <v>8</v>
      </c>
      <c r="L693" s="6" t="s">
        <v>4283</v>
      </c>
      <c r="M693" s="6" t="s">
        <v>4282</v>
      </c>
      <c r="N693" s="4">
        <v>717.24</v>
      </c>
      <c r="O693" s="6">
        <f t="shared" si="10"/>
        <v>509</v>
      </c>
    </row>
    <row r="694" spans="1:15" x14ac:dyDescent="0.3">
      <c r="A694" s="6" t="s">
        <v>706</v>
      </c>
      <c r="B694" s="2">
        <v>44949</v>
      </c>
      <c r="C694" s="6" t="s">
        <v>1904</v>
      </c>
      <c r="D694" s="6" t="s">
        <v>2409</v>
      </c>
      <c r="E694" s="9">
        <v>5</v>
      </c>
      <c r="F694" s="4">
        <v>196.84</v>
      </c>
      <c r="G694" t="s">
        <v>2732</v>
      </c>
      <c r="H694" s="6" t="s">
        <v>3067</v>
      </c>
      <c r="I694" s="6" t="s">
        <v>3073</v>
      </c>
      <c r="J694" s="6" t="s">
        <v>3767</v>
      </c>
      <c r="K694" s="9">
        <v>5</v>
      </c>
      <c r="L694" s="6" t="s">
        <v>4277</v>
      </c>
      <c r="M694" s="6" t="s">
        <v>4278</v>
      </c>
      <c r="N694" s="4">
        <v>984.2</v>
      </c>
      <c r="O694" s="6">
        <f t="shared" si="10"/>
        <v>508</v>
      </c>
    </row>
    <row r="695" spans="1:15" x14ac:dyDescent="0.3">
      <c r="A695" s="6" t="s">
        <v>707</v>
      </c>
      <c r="B695" s="2">
        <v>45728</v>
      </c>
      <c r="C695" s="6" t="s">
        <v>1905</v>
      </c>
      <c r="D695" s="6" t="s">
        <v>2403</v>
      </c>
      <c r="E695" s="9">
        <v>1</v>
      </c>
      <c r="F695" s="4">
        <v>176.58</v>
      </c>
      <c r="G695" t="s">
        <v>2878</v>
      </c>
      <c r="H695" s="6" t="s">
        <v>3065</v>
      </c>
      <c r="I695" s="6" t="s">
        <v>3072</v>
      </c>
      <c r="J695" s="6" t="s">
        <v>3768</v>
      </c>
      <c r="K695" s="9">
        <v>4</v>
      </c>
      <c r="L695" s="6" t="s">
        <v>4283</v>
      </c>
      <c r="M695" s="6" t="s">
        <v>4279</v>
      </c>
      <c r="N695" s="4">
        <v>176.58</v>
      </c>
      <c r="O695" s="6">
        <f t="shared" si="10"/>
        <v>507</v>
      </c>
    </row>
    <row r="696" spans="1:15" x14ac:dyDescent="0.3">
      <c r="A696" s="6" t="s">
        <v>708</v>
      </c>
      <c r="B696" s="2">
        <v>45201</v>
      </c>
      <c r="C696" s="6" t="s">
        <v>1906</v>
      </c>
      <c r="D696" s="6" t="s">
        <v>2407</v>
      </c>
      <c r="E696" s="9">
        <v>4</v>
      </c>
      <c r="F696" s="4">
        <v>666.52</v>
      </c>
      <c r="G696" t="s">
        <v>2695</v>
      </c>
      <c r="H696" s="6" t="s">
        <v>3069</v>
      </c>
      <c r="I696" s="6" t="s">
        <v>3070</v>
      </c>
      <c r="J696" s="6" t="s">
        <v>3769</v>
      </c>
      <c r="K696" s="9">
        <v>8</v>
      </c>
      <c r="L696" s="6" t="s">
        <v>4276</v>
      </c>
      <c r="M696" s="6" t="s">
        <v>4280</v>
      </c>
      <c r="N696" s="4">
        <v>2666.08</v>
      </c>
      <c r="O696" s="6">
        <f t="shared" si="10"/>
        <v>506</v>
      </c>
    </row>
    <row r="697" spans="1:15" x14ac:dyDescent="0.3">
      <c r="A697" s="6" t="s">
        <v>709</v>
      </c>
      <c r="B697" s="2">
        <v>45619</v>
      </c>
      <c r="C697" s="6" t="s">
        <v>1907</v>
      </c>
      <c r="D697" s="6" t="s">
        <v>2407</v>
      </c>
      <c r="E697" s="9">
        <v>5</v>
      </c>
      <c r="F697" s="4">
        <v>101.3</v>
      </c>
      <c r="G697" t="s">
        <v>2568</v>
      </c>
      <c r="H697" s="6" t="s">
        <v>3066</v>
      </c>
      <c r="I697" s="6" t="s">
        <v>3070</v>
      </c>
      <c r="J697" s="6" t="s">
        <v>3770</v>
      </c>
      <c r="K697" s="9">
        <v>7</v>
      </c>
      <c r="L697" s="6" t="s">
        <v>4276</v>
      </c>
      <c r="M697" s="6" t="s">
        <v>4280</v>
      </c>
      <c r="N697" s="4">
        <v>506.5</v>
      </c>
      <c r="O697" s="6">
        <f t="shared" si="10"/>
        <v>505</v>
      </c>
    </row>
    <row r="698" spans="1:15" x14ac:dyDescent="0.3">
      <c r="A698" s="6" t="s">
        <v>710</v>
      </c>
      <c r="B698" s="2">
        <v>45109</v>
      </c>
      <c r="C698" s="6" t="s">
        <v>1908</v>
      </c>
      <c r="D698" s="6" t="s">
        <v>2406</v>
      </c>
      <c r="E698" s="9">
        <v>4</v>
      </c>
      <c r="F698" s="4">
        <v>151.19999999999999</v>
      </c>
      <c r="G698" t="s">
        <v>2879</v>
      </c>
      <c r="H698" s="6" t="s">
        <v>3068</v>
      </c>
      <c r="I698" s="6" t="s">
        <v>3074</v>
      </c>
      <c r="J698" s="6" t="s">
        <v>3771</v>
      </c>
      <c r="K698" s="9">
        <v>9</v>
      </c>
      <c r="L698" s="6" t="s">
        <v>4277</v>
      </c>
      <c r="M698" s="6" t="s">
        <v>4281</v>
      </c>
      <c r="N698" s="4">
        <v>604.79999999999995</v>
      </c>
      <c r="O698" s="6">
        <f t="shared" si="10"/>
        <v>504</v>
      </c>
    </row>
    <row r="699" spans="1:15" x14ac:dyDescent="0.3">
      <c r="A699" s="6" t="s">
        <v>711</v>
      </c>
      <c r="B699" s="2">
        <v>45692</v>
      </c>
      <c r="C699" s="6" t="s">
        <v>1909</v>
      </c>
      <c r="D699" s="6" t="s">
        <v>2407</v>
      </c>
      <c r="E699" s="9">
        <v>5</v>
      </c>
      <c r="F699" s="4">
        <v>94.85</v>
      </c>
      <c r="G699" t="s">
        <v>2840</v>
      </c>
      <c r="H699" s="6" t="s">
        <v>3069</v>
      </c>
      <c r="I699" s="6" t="s">
        <v>3070</v>
      </c>
      <c r="J699" s="6" t="s">
        <v>3772</v>
      </c>
      <c r="K699" s="9">
        <v>6</v>
      </c>
      <c r="L699" s="6" t="s">
        <v>4277</v>
      </c>
      <c r="M699" s="6" t="s">
        <v>4280</v>
      </c>
      <c r="N699" s="4">
        <v>474.25</v>
      </c>
      <c r="O699" s="6">
        <f t="shared" si="10"/>
        <v>503</v>
      </c>
    </row>
    <row r="700" spans="1:15" x14ac:dyDescent="0.3">
      <c r="A700" s="6" t="s">
        <v>712</v>
      </c>
      <c r="B700" s="2">
        <v>44930</v>
      </c>
      <c r="C700" s="6" t="s">
        <v>1910</v>
      </c>
      <c r="D700" s="6" t="s">
        <v>2408</v>
      </c>
      <c r="E700" s="9">
        <v>2</v>
      </c>
      <c r="F700" s="4">
        <v>388.22</v>
      </c>
      <c r="G700" t="s">
        <v>2792</v>
      </c>
      <c r="H700" s="6" t="s">
        <v>3069</v>
      </c>
      <c r="I700" s="6" t="s">
        <v>3073</v>
      </c>
      <c r="J700" s="6" t="s">
        <v>3773</v>
      </c>
      <c r="K700" s="9">
        <v>2</v>
      </c>
      <c r="L700" s="6" t="s">
        <v>4277</v>
      </c>
      <c r="M700" s="6" t="s">
        <v>4278</v>
      </c>
      <c r="N700" s="4">
        <v>776.44</v>
      </c>
      <c r="O700" s="6">
        <f t="shared" si="10"/>
        <v>502</v>
      </c>
    </row>
    <row r="701" spans="1:15" x14ac:dyDescent="0.3">
      <c r="A701" s="6" t="s">
        <v>713</v>
      </c>
      <c r="B701" s="2">
        <v>45243</v>
      </c>
      <c r="C701" s="6" t="s">
        <v>1911</v>
      </c>
      <c r="D701" s="6" t="s">
        <v>2408</v>
      </c>
      <c r="E701" s="9">
        <v>3</v>
      </c>
      <c r="F701" s="4">
        <v>614.15</v>
      </c>
      <c r="G701" t="s">
        <v>2880</v>
      </c>
      <c r="H701" s="6" t="s">
        <v>3068</v>
      </c>
      <c r="I701" s="6" t="s">
        <v>3071</v>
      </c>
      <c r="J701" s="6" t="s">
        <v>3774</v>
      </c>
      <c r="K701" s="9">
        <v>3</v>
      </c>
      <c r="L701" s="6" t="s">
        <v>4283</v>
      </c>
      <c r="M701" s="6" t="s">
        <v>4281</v>
      </c>
      <c r="N701" s="4">
        <v>1842.45</v>
      </c>
      <c r="O701" s="6">
        <f t="shared" si="10"/>
        <v>501</v>
      </c>
    </row>
    <row r="702" spans="1:15" x14ac:dyDescent="0.3">
      <c r="A702" s="6" t="s">
        <v>714</v>
      </c>
      <c r="B702" s="2">
        <v>45560</v>
      </c>
      <c r="C702" s="6" t="s">
        <v>1912</v>
      </c>
      <c r="D702" s="6" t="s">
        <v>2408</v>
      </c>
      <c r="E702" s="9">
        <v>2</v>
      </c>
      <c r="F702" s="4">
        <v>92.91</v>
      </c>
      <c r="G702" t="s">
        <v>2881</v>
      </c>
      <c r="H702" s="6" t="s">
        <v>3069</v>
      </c>
      <c r="I702" s="6" t="s">
        <v>3072</v>
      </c>
      <c r="J702" s="6" t="s">
        <v>3775</v>
      </c>
      <c r="K702" s="9">
        <v>3</v>
      </c>
      <c r="L702" s="6" t="s">
        <v>4277</v>
      </c>
      <c r="M702" s="6" t="s">
        <v>4278</v>
      </c>
      <c r="N702" s="4">
        <v>185.82</v>
      </c>
      <c r="O702" s="6">
        <f t="shared" si="10"/>
        <v>500</v>
      </c>
    </row>
    <row r="703" spans="1:15" x14ac:dyDescent="0.3">
      <c r="A703" s="6" t="s">
        <v>715</v>
      </c>
      <c r="B703" s="2">
        <v>45466</v>
      </c>
      <c r="C703" s="6" t="s">
        <v>1913</v>
      </c>
      <c r="D703" s="6" t="s">
        <v>2403</v>
      </c>
      <c r="E703" s="9">
        <v>3</v>
      </c>
      <c r="F703" s="4">
        <v>92.22</v>
      </c>
      <c r="G703" t="s">
        <v>2517</v>
      </c>
      <c r="H703" s="6" t="s">
        <v>3067</v>
      </c>
      <c r="I703" s="6" t="s">
        <v>3073</v>
      </c>
      <c r="J703" s="6" t="s">
        <v>3776</v>
      </c>
      <c r="K703" s="9">
        <v>5</v>
      </c>
      <c r="L703" s="6" t="s">
        <v>4276</v>
      </c>
      <c r="M703" s="6" t="s">
        <v>4280</v>
      </c>
      <c r="N703" s="4">
        <v>276.66000000000003</v>
      </c>
      <c r="O703" s="6">
        <f t="shared" si="10"/>
        <v>499</v>
      </c>
    </row>
    <row r="704" spans="1:15" x14ac:dyDescent="0.3">
      <c r="A704" s="6" t="s">
        <v>716</v>
      </c>
      <c r="B704" s="2">
        <v>45452</v>
      </c>
      <c r="C704" s="6" t="s">
        <v>1914</v>
      </c>
      <c r="D704" s="6" t="s">
        <v>2407</v>
      </c>
      <c r="E704" s="9">
        <v>3</v>
      </c>
      <c r="F704" s="4">
        <v>562.54999999999995</v>
      </c>
      <c r="G704" t="s">
        <v>2842</v>
      </c>
      <c r="H704" s="6" t="s">
        <v>3065</v>
      </c>
      <c r="I704" s="6" t="s">
        <v>3072</v>
      </c>
      <c r="J704" s="6" t="s">
        <v>3777</v>
      </c>
      <c r="K704" s="9">
        <v>6</v>
      </c>
      <c r="L704" s="6" t="s">
        <v>4283</v>
      </c>
      <c r="M704" s="6" t="s">
        <v>4280</v>
      </c>
      <c r="N704" s="4">
        <v>1687.65</v>
      </c>
      <c r="O704" s="6">
        <f t="shared" si="10"/>
        <v>498</v>
      </c>
    </row>
    <row r="705" spans="1:15" x14ac:dyDescent="0.3">
      <c r="A705" s="6" t="s">
        <v>717</v>
      </c>
      <c r="B705" s="2">
        <v>45007</v>
      </c>
      <c r="C705" s="6" t="s">
        <v>1915</v>
      </c>
      <c r="D705" s="6" t="s">
        <v>2409</v>
      </c>
      <c r="E705" s="9">
        <v>1</v>
      </c>
      <c r="F705" s="4">
        <v>92.79</v>
      </c>
      <c r="G705" t="s">
        <v>2882</v>
      </c>
      <c r="H705" s="6" t="s">
        <v>3069</v>
      </c>
      <c r="I705" s="6" t="s">
        <v>3074</v>
      </c>
      <c r="J705" s="6" t="s">
        <v>3778</v>
      </c>
      <c r="K705" s="9">
        <v>3</v>
      </c>
      <c r="L705" s="6" t="s">
        <v>4277</v>
      </c>
      <c r="M705" s="6" t="s">
        <v>4280</v>
      </c>
      <c r="N705" s="4">
        <v>92.79</v>
      </c>
      <c r="O705" s="6">
        <f t="shared" si="10"/>
        <v>497</v>
      </c>
    </row>
    <row r="706" spans="1:15" x14ac:dyDescent="0.3">
      <c r="A706" s="6" t="s">
        <v>718</v>
      </c>
      <c r="B706" s="2">
        <v>45080</v>
      </c>
      <c r="C706" s="6" t="s">
        <v>1916</v>
      </c>
      <c r="D706" s="6" t="s">
        <v>2409</v>
      </c>
      <c r="E706" s="9">
        <v>4</v>
      </c>
      <c r="F706" s="4">
        <v>30.27</v>
      </c>
      <c r="G706" t="s">
        <v>2555</v>
      </c>
      <c r="H706" s="6" t="s">
        <v>3066</v>
      </c>
      <c r="I706" s="6" t="s">
        <v>3073</v>
      </c>
      <c r="J706" s="6" t="s">
        <v>3779</v>
      </c>
      <c r="K706" s="9">
        <v>9</v>
      </c>
      <c r="L706" s="6" t="s">
        <v>4276</v>
      </c>
      <c r="M706" s="6" t="s">
        <v>4282</v>
      </c>
      <c r="N706" s="4">
        <v>121.08</v>
      </c>
      <c r="O706" s="6">
        <f t="shared" ref="O706:O769" si="11">COUNTA(_xlfn.UNIQUE(C705:C1904))</f>
        <v>496</v>
      </c>
    </row>
    <row r="707" spans="1:15" x14ac:dyDescent="0.3">
      <c r="A707" s="6" t="s">
        <v>719</v>
      </c>
      <c r="B707" s="2">
        <v>45746</v>
      </c>
      <c r="C707" s="6" t="s">
        <v>1917</v>
      </c>
      <c r="D707" s="6" t="s">
        <v>2403</v>
      </c>
      <c r="E707" s="9">
        <v>2</v>
      </c>
      <c r="F707" s="4">
        <v>49.08</v>
      </c>
      <c r="G707" t="s">
        <v>2883</v>
      </c>
      <c r="H707" s="6" t="s">
        <v>3065</v>
      </c>
      <c r="I707" s="6" t="s">
        <v>3072</v>
      </c>
      <c r="J707" s="6" t="s">
        <v>3780</v>
      </c>
      <c r="K707" s="9">
        <v>7</v>
      </c>
      <c r="L707" s="6" t="s">
        <v>4276</v>
      </c>
      <c r="M707" s="6" t="s">
        <v>4278</v>
      </c>
      <c r="N707" s="4">
        <v>98.16</v>
      </c>
      <c r="O707" s="6">
        <f t="shared" si="11"/>
        <v>495</v>
      </c>
    </row>
    <row r="708" spans="1:15" x14ac:dyDescent="0.3">
      <c r="A708" s="6" t="s">
        <v>720</v>
      </c>
      <c r="B708" s="2">
        <v>45718</v>
      </c>
      <c r="C708" s="6" t="s">
        <v>1918</v>
      </c>
      <c r="D708" s="6" t="s">
        <v>2409</v>
      </c>
      <c r="E708" s="9">
        <v>5</v>
      </c>
      <c r="F708" s="4">
        <v>228.09</v>
      </c>
      <c r="G708" t="s">
        <v>2720</v>
      </c>
      <c r="H708" s="6" t="s">
        <v>3068</v>
      </c>
      <c r="I708" s="6" t="s">
        <v>3072</v>
      </c>
      <c r="J708" s="6" t="s">
        <v>3781</v>
      </c>
      <c r="K708" s="9">
        <v>9</v>
      </c>
      <c r="L708" s="6" t="s">
        <v>4276</v>
      </c>
      <c r="M708" s="6" t="s">
        <v>4281</v>
      </c>
      <c r="N708" s="4">
        <v>1140.45</v>
      </c>
      <c r="O708" s="6">
        <f t="shared" si="11"/>
        <v>494</v>
      </c>
    </row>
    <row r="709" spans="1:15" x14ac:dyDescent="0.3">
      <c r="A709" s="6" t="s">
        <v>721</v>
      </c>
      <c r="B709" s="2">
        <v>45597</v>
      </c>
      <c r="C709" s="6" t="s">
        <v>1919</v>
      </c>
      <c r="D709" s="6" t="s">
        <v>2406</v>
      </c>
      <c r="E709" s="9">
        <v>4</v>
      </c>
      <c r="F709" s="4">
        <v>650.04</v>
      </c>
      <c r="G709" t="s">
        <v>2487</v>
      </c>
      <c r="H709" s="6" t="s">
        <v>3068</v>
      </c>
      <c r="I709" s="6" t="s">
        <v>3071</v>
      </c>
      <c r="J709" s="6" t="s">
        <v>3782</v>
      </c>
      <c r="K709" s="9">
        <v>6</v>
      </c>
      <c r="L709" s="6" t="s">
        <v>4275</v>
      </c>
      <c r="M709" s="6" t="s">
        <v>4281</v>
      </c>
      <c r="N709" s="4">
        <v>2600.16</v>
      </c>
      <c r="O709" s="6">
        <f t="shared" si="11"/>
        <v>493</v>
      </c>
    </row>
    <row r="710" spans="1:15" x14ac:dyDescent="0.3">
      <c r="A710" s="6" t="s">
        <v>722</v>
      </c>
      <c r="B710" s="2">
        <v>45720</v>
      </c>
      <c r="C710" s="6" t="s">
        <v>1920</v>
      </c>
      <c r="D710" s="6" t="s">
        <v>2407</v>
      </c>
      <c r="E710" s="9">
        <v>1</v>
      </c>
      <c r="F710" s="4">
        <v>665.11</v>
      </c>
      <c r="G710" t="s">
        <v>2840</v>
      </c>
      <c r="H710" s="6" t="s">
        <v>3069</v>
      </c>
      <c r="I710" s="6" t="s">
        <v>3074</v>
      </c>
      <c r="J710" s="6" t="s">
        <v>3783</v>
      </c>
      <c r="K710" s="9">
        <v>3</v>
      </c>
      <c r="L710" s="6" t="s">
        <v>4276</v>
      </c>
      <c r="M710" s="6" t="s">
        <v>4278</v>
      </c>
      <c r="N710" s="4">
        <v>665.11</v>
      </c>
      <c r="O710" s="6">
        <f t="shared" si="11"/>
        <v>492</v>
      </c>
    </row>
    <row r="711" spans="1:15" x14ac:dyDescent="0.3">
      <c r="A711" s="6" t="s">
        <v>723</v>
      </c>
      <c r="B711" s="2">
        <v>45633</v>
      </c>
      <c r="C711" s="6" t="s">
        <v>1921</v>
      </c>
      <c r="D711" s="6" t="s">
        <v>2409</v>
      </c>
      <c r="E711" s="9">
        <v>1</v>
      </c>
      <c r="F711" s="4">
        <v>386.03</v>
      </c>
      <c r="G711" t="s">
        <v>2884</v>
      </c>
      <c r="H711" s="6" t="s">
        <v>3066</v>
      </c>
      <c r="I711" s="6" t="s">
        <v>3074</v>
      </c>
      <c r="J711" s="6" t="s">
        <v>3784</v>
      </c>
      <c r="K711" s="9">
        <v>4</v>
      </c>
      <c r="L711" s="6" t="s">
        <v>4276</v>
      </c>
      <c r="M711" s="6" t="s">
        <v>4282</v>
      </c>
      <c r="N711" s="4">
        <v>386.03</v>
      </c>
      <c r="O711" s="6">
        <f t="shared" si="11"/>
        <v>491</v>
      </c>
    </row>
    <row r="712" spans="1:15" x14ac:dyDescent="0.3">
      <c r="A712" s="6" t="s">
        <v>724</v>
      </c>
      <c r="B712" s="2">
        <v>45495</v>
      </c>
      <c r="C712" s="6" t="s">
        <v>1922</v>
      </c>
      <c r="D712" s="6" t="s">
        <v>2408</v>
      </c>
      <c r="E712" s="9">
        <v>5</v>
      </c>
      <c r="F712" s="4">
        <v>21.54</v>
      </c>
      <c r="G712" t="s">
        <v>2885</v>
      </c>
      <c r="H712" s="6" t="s">
        <v>3068</v>
      </c>
      <c r="I712" s="6" t="s">
        <v>3072</v>
      </c>
      <c r="J712" s="6" t="s">
        <v>3785</v>
      </c>
      <c r="K712" s="9">
        <v>10</v>
      </c>
      <c r="L712" s="6" t="s">
        <v>4283</v>
      </c>
      <c r="M712" s="6" t="s">
        <v>4282</v>
      </c>
      <c r="N712" s="4">
        <v>107.7</v>
      </c>
      <c r="O712" s="6">
        <f t="shared" si="11"/>
        <v>490</v>
      </c>
    </row>
    <row r="713" spans="1:15" x14ac:dyDescent="0.3">
      <c r="A713" s="6" t="s">
        <v>725</v>
      </c>
      <c r="B713" s="2">
        <v>45477</v>
      </c>
      <c r="C713" s="6" t="s">
        <v>1923</v>
      </c>
      <c r="D713" s="6" t="s">
        <v>2405</v>
      </c>
      <c r="E713" s="9">
        <v>2</v>
      </c>
      <c r="F713" s="4">
        <v>475.78</v>
      </c>
      <c r="G713" t="s">
        <v>2886</v>
      </c>
      <c r="H713" s="6" t="s">
        <v>3066</v>
      </c>
      <c r="I713" s="6" t="s">
        <v>3070</v>
      </c>
      <c r="J713" s="6" t="s">
        <v>3786</v>
      </c>
      <c r="K713" s="9">
        <v>2</v>
      </c>
      <c r="L713" s="6" t="s">
        <v>4277</v>
      </c>
      <c r="M713" s="6" t="s">
        <v>4282</v>
      </c>
      <c r="N713" s="4">
        <v>951.56</v>
      </c>
      <c r="O713" s="6">
        <f t="shared" si="11"/>
        <v>489</v>
      </c>
    </row>
    <row r="714" spans="1:15" x14ac:dyDescent="0.3">
      <c r="A714" s="6" t="s">
        <v>726</v>
      </c>
      <c r="B714" s="2">
        <v>45300</v>
      </c>
      <c r="C714" s="6" t="s">
        <v>1771</v>
      </c>
      <c r="D714" s="6" t="s">
        <v>2405</v>
      </c>
      <c r="E714" s="9">
        <v>2</v>
      </c>
      <c r="F714" s="4">
        <v>68.400000000000006</v>
      </c>
      <c r="G714" t="s">
        <v>2887</v>
      </c>
      <c r="H714" s="6" t="s">
        <v>3068</v>
      </c>
      <c r="I714" s="6" t="s">
        <v>3074</v>
      </c>
      <c r="J714" s="6" t="s">
        <v>3787</v>
      </c>
      <c r="K714" s="9">
        <v>7</v>
      </c>
      <c r="L714" s="6" t="s">
        <v>4276</v>
      </c>
      <c r="M714" s="6" t="s">
        <v>4280</v>
      </c>
      <c r="N714" s="4">
        <v>136.80000000000001</v>
      </c>
      <c r="O714" s="6">
        <f t="shared" si="11"/>
        <v>488</v>
      </c>
    </row>
    <row r="715" spans="1:15" x14ac:dyDescent="0.3">
      <c r="A715" s="6" t="s">
        <v>727</v>
      </c>
      <c r="B715" s="2">
        <v>45829</v>
      </c>
      <c r="C715" s="6" t="s">
        <v>1924</v>
      </c>
      <c r="D715" s="6" t="s">
        <v>2405</v>
      </c>
      <c r="E715" s="9">
        <v>4</v>
      </c>
      <c r="F715" s="4">
        <v>532.49</v>
      </c>
      <c r="G715" t="s">
        <v>2873</v>
      </c>
      <c r="H715" s="6" t="s">
        <v>3066</v>
      </c>
      <c r="I715" s="6" t="s">
        <v>3071</v>
      </c>
      <c r="J715" s="6" t="s">
        <v>3788</v>
      </c>
      <c r="K715" s="9">
        <v>6</v>
      </c>
      <c r="L715" s="6" t="s">
        <v>4275</v>
      </c>
      <c r="M715" s="6" t="s">
        <v>4281</v>
      </c>
      <c r="N715" s="4">
        <v>2129.96</v>
      </c>
      <c r="O715" s="6">
        <f t="shared" si="11"/>
        <v>487</v>
      </c>
    </row>
    <row r="716" spans="1:15" x14ac:dyDescent="0.3">
      <c r="A716" s="6" t="s">
        <v>728</v>
      </c>
      <c r="B716" s="2">
        <v>45037</v>
      </c>
      <c r="C716" s="6" t="s">
        <v>1925</v>
      </c>
      <c r="D716" s="6" t="s">
        <v>2408</v>
      </c>
      <c r="E716" s="9">
        <v>1</v>
      </c>
      <c r="F716" s="4">
        <v>51.73</v>
      </c>
      <c r="G716" t="s">
        <v>2660</v>
      </c>
      <c r="H716" s="6" t="s">
        <v>3065</v>
      </c>
      <c r="I716" s="6" t="s">
        <v>3074</v>
      </c>
      <c r="J716" s="6" t="s">
        <v>3789</v>
      </c>
      <c r="K716" s="9">
        <v>1</v>
      </c>
      <c r="L716" s="6" t="s">
        <v>4276</v>
      </c>
      <c r="M716" s="6" t="s">
        <v>4281</v>
      </c>
      <c r="N716" s="4">
        <v>51.73</v>
      </c>
      <c r="O716" s="6">
        <f t="shared" si="11"/>
        <v>486</v>
      </c>
    </row>
    <row r="717" spans="1:15" x14ac:dyDescent="0.3">
      <c r="A717" s="6" t="s">
        <v>729</v>
      </c>
      <c r="B717" s="2">
        <v>45499</v>
      </c>
      <c r="C717" s="6" t="s">
        <v>1926</v>
      </c>
      <c r="D717" s="6" t="s">
        <v>2407</v>
      </c>
      <c r="E717" s="9">
        <v>3</v>
      </c>
      <c r="F717" s="4">
        <v>653.63</v>
      </c>
      <c r="G717" t="s">
        <v>2888</v>
      </c>
      <c r="H717" s="6" t="s">
        <v>3066</v>
      </c>
      <c r="I717" s="6" t="s">
        <v>3073</v>
      </c>
      <c r="J717" s="6" t="s">
        <v>3790</v>
      </c>
      <c r="K717" s="9">
        <v>7</v>
      </c>
      <c r="L717" s="6" t="s">
        <v>4276</v>
      </c>
      <c r="M717" s="6" t="s">
        <v>4280</v>
      </c>
      <c r="N717" s="4">
        <v>1960.89</v>
      </c>
      <c r="O717" s="6">
        <f t="shared" si="11"/>
        <v>485</v>
      </c>
    </row>
    <row r="718" spans="1:15" x14ac:dyDescent="0.3">
      <c r="A718" s="6" t="s">
        <v>730</v>
      </c>
      <c r="B718" s="2">
        <v>45456</v>
      </c>
      <c r="C718" s="6" t="s">
        <v>1927</v>
      </c>
      <c r="D718" s="6" t="s">
        <v>2406</v>
      </c>
      <c r="E718" s="9">
        <v>3</v>
      </c>
      <c r="F718" s="4">
        <v>454.29</v>
      </c>
      <c r="G718" t="s">
        <v>2428</v>
      </c>
      <c r="H718" s="6" t="s">
        <v>3067</v>
      </c>
      <c r="I718" s="6" t="s">
        <v>3074</v>
      </c>
      <c r="J718" s="6" t="s">
        <v>3791</v>
      </c>
      <c r="K718" s="9">
        <v>4</v>
      </c>
      <c r="L718" s="6" t="s">
        <v>4277</v>
      </c>
      <c r="M718" s="6" t="s">
        <v>4282</v>
      </c>
      <c r="N718" s="4">
        <v>1362.87</v>
      </c>
      <c r="O718" s="6">
        <f t="shared" si="11"/>
        <v>484</v>
      </c>
    </row>
    <row r="719" spans="1:15" x14ac:dyDescent="0.3">
      <c r="A719" s="6" t="s">
        <v>731</v>
      </c>
      <c r="B719" s="2">
        <v>45215</v>
      </c>
      <c r="C719" s="6" t="s">
        <v>1928</v>
      </c>
      <c r="D719" s="6" t="s">
        <v>2406</v>
      </c>
      <c r="E719" s="9">
        <v>3</v>
      </c>
      <c r="F719" s="4">
        <v>122.11</v>
      </c>
      <c r="G719" t="s">
        <v>2889</v>
      </c>
      <c r="H719" s="6" t="s">
        <v>3066</v>
      </c>
      <c r="I719" s="6" t="s">
        <v>3073</v>
      </c>
      <c r="J719" s="6" t="s">
        <v>3792</v>
      </c>
      <c r="K719" s="9">
        <v>4</v>
      </c>
      <c r="L719" s="6" t="s">
        <v>4277</v>
      </c>
      <c r="M719" s="6" t="s">
        <v>4280</v>
      </c>
      <c r="N719" s="4">
        <v>366.33</v>
      </c>
      <c r="O719" s="6">
        <f t="shared" si="11"/>
        <v>483</v>
      </c>
    </row>
    <row r="720" spans="1:15" x14ac:dyDescent="0.3">
      <c r="A720" s="6" t="s">
        <v>732</v>
      </c>
      <c r="B720" s="2">
        <v>45024</v>
      </c>
      <c r="C720" s="6" t="s">
        <v>1929</v>
      </c>
      <c r="D720" s="6" t="s">
        <v>2408</v>
      </c>
      <c r="E720" s="9">
        <v>4</v>
      </c>
      <c r="F720" s="4">
        <v>64.739999999999995</v>
      </c>
      <c r="G720" t="s">
        <v>2890</v>
      </c>
      <c r="H720" s="6" t="s">
        <v>3068</v>
      </c>
      <c r="I720" s="6" t="s">
        <v>3071</v>
      </c>
      <c r="J720" s="6" t="s">
        <v>3793</v>
      </c>
      <c r="K720" s="9">
        <v>8</v>
      </c>
      <c r="L720" s="6" t="s">
        <v>4275</v>
      </c>
      <c r="M720" s="6" t="s">
        <v>4282</v>
      </c>
      <c r="N720" s="4">
        <v>258.95999999999998</v>
      </c>
      <c r="O720" s="6">
        <f t="shared" si="11"/>
        <v>482</v>
      </c>
    </row>
    <row r="721" spans="1:15" x14ac:dyDescent="0.3">
      <c r="A721" s="6" t="s">
        <v>733</v>
      </c>
      <c r="B721" s="2">
        <v>45312</v>
      </c>
      <c r="C721" s="6" t="s">
        <v>1930</v>
      </c>
      <c r="D721" s="6" t="s">
        <v>2408</v>
      </c>
      <c r="E721" s="9">
        <v>2</v>
      </c>
      <c r="F721" s="4">
        <v>681.06</v>
      </c>
      <c r="G721" t="s">
        <v>2891</v>
      </c>
      <c r="H721" s="6" t="s">
        <v>3065</v>
      </c>
      <c r="I721" s="6" t="s">
        <v>3070</v>
      </c>
      <c r="J721" s="6" t="s">
        <v>3794</v>
      </c>
      <c r="K721" s="9">
        <v>3</v>
      </c>
      <c r="L721" s="6" t="s">
        <v>4276</v>
      </c>
      <c r="M721" s="6" t="s">
        <v>4281</v>
      </c>
      <c r="N721" s="4">
        <v>1362.12</v>
      </c>
      <c r="O721" s="6">
        <f t="shared" si="11"/>
        <v>481</v>
      </c>
    </row>
    <row r="722" spans="1:15" x14ac:dyDescent="0.3">
      <c r="A722" s="6" t="s">
        <v>734</v>
      </c>
      <c r="B722" s="2">
        <v>45190</v>
      </c>
      <c r="C722" s="6" t="s">
        <v>1931</v>
      </c>
      <c r="D722" s="6" t="s">
        <v>2409</v>
      </c>
      <c r="E722" s="9">
        <v>5</v>
      </c>
      <c r="F722" s="4">
        <v>128.94999999999999</v>
      </c>
      <c r="G722" t="s">
        <v>2892</v>
      </c>
      <c r="H722" s="6" t="s">
        <v>3069</v>
      </c>
      <c r="I722" s="6" t="s">
        <v>3074</v>
      </c>
      <c r="J722" s="6" t="s">
        <v>3795</v>
      </c>
      <c r="K722" s="9">
        <v>10</v>
      </c>
      <c r="L722" s="6" t="s">
        <v>4276</v>
      </c>
      <c r="M722" s="6" t="s">
        <v>4278</v>
      </c>
      <c r="N722" s="4">
        <v>644.75</v>
      </c>
      <c r="O722" s="6">
        <f t="shared" si="11"/>
        <v>480</v>
      </c>
    </row>
    <row r="723" spans="1:15" x14ac:dyDescent="0.3">
      <c r="A723" s="6" t="s">
        <v>735</v>
      </c>
      <c r="B723" s="2">
        <v>45369</v>
      </c>
      <c r="C723" s="6" t="s">
        <v>1932</v>
      </c>
      <c r="D723" s="6" t="s">
        <v>2409</v>
      </c>
      <c r="E723" s="9">
        <v>2</v>
      </c>
      <c r="F723" s="4">
        <v>118.59</v>
      </c>
      <c r="G723" t="s">
        <v>2893</v>
      </c>
      <c r="H723" s="6" t="s">
        <v>3067</v>
      </c>
      <c r="I723" s="6" t="s">
        <v>3073</v>
      </c>
      <c r="J723" s="6" t="s">
        <v>3796</v>
      </c>
      <c r="K723" s="9">
        <v>2</v>
      </c>
      <c r="L723" s="6" t="s">
        <v>4283</v>
      </c>
      <c r="M723" s="6" t="s">
        <v>4280</v>
      </c>
      <c r="N723" s="4">
        <v>237.18</v>
      </c>
      <c r="O723" s="6">
        <f t="shared" si="11"/>
        <v>479</v>
      </c>
    </row>
    <row r="724" spans="1:15" x14ac:dyDescent="0.3">
      <c r="A724" s="6" t="s">
        <v>736</v>
      </c>
      <c r="B724" s="2">
        <v>45611</v>
      </c>
      <c r="C724" s="6" t="s">
        <v>1933</v>
      </c>
      <c r="D724" s="6" t="s">
        <v>2407</v>
      </c>
      <c r="E724" s="9">
        <v>1</v>
      </c>
      <c r="F724" s="4">
        <v>95.1</v>
      </c>
      <c r="G724" t="s">
        <v>2654</v>
      </c>
      <c r="H724" s="6" t="s">
        <v>3068</v>
      </c>
      <c r="I724" s="6" t="s">
        <v>3074</v>
      </c>
      <c r="J724" s="6" t="s">
        <v>3797</v>
      </c>
      <c r="K724" s="9">
        <v>1</v>
      </c>
      <c r="L724" s="6" t="s">
        <v>4277</v>
      </c>
      <c r="M724" s="6" t="s">
        <v>4278</v>
      </c>
      <c r="N724" s="4">
        <v>95.1</v>
      </c>
      <c r="O724" s="6">
        <f t="shared" si="11"/>
        <v>478</v>
      </c>
    </row>
    <row r="725" spans="1:15" x14ac:dyDescent="0.3">
      <c r="A725" s="6" t="s">
        <v>737</v>
      </c>
      <c r="B725" s="2">
        <v>45269</v>
      </c>
      <c r="C725" s="6" t="s">
        <v>1934</v>
      </c>
      <c r="D725" s="6" t="s">
        <v>2409</v>
      </c>
      <c r="E725" s="9">
        <v>3</v>
      </c>
      <c r="F725" s="4">
        <v>54.95</v>
      </c>
      <c r="G725" t="s">
        <v>2471</v>
      </c>
      <c r="H725" s="6" t="s">
        <v>3069</v>
      </c>
      <c r="I725" s="6" t="s">
        <v>3072</v>
      </c>
      <c r="J725" s="6" t="s">
        <v>3798</v>
      </c>
      <c r="K725" s="9">
        <v>8</v>
      </c>
      <c r="L725" s="6" t="s">
        <v>4275</v>
      </c>
      <c r="M725" s="6" t="s">
        <v>4279</v>
      </c>
      <c r="N725" s="4">
        <v>164.85</v>
      </c>
      <c r="O725" s="6">
        <f t="shared" si="11"/>
        <v>477</v>
      </c>
    </row>
    <row r="726" spans="1:15" x14ac:dyDescent="0.3">
      <c r="A726" s="6" t="s">
        <v>738</v>
      </c>
      <c r="B726" s="2">
        <v>45583</v>
      </c>
      <c r="C726" s="6" t="s">
        <v>1935</v>
      </c>
      <c r="D726" s="6" t="s">
        <v>2407</v>
      </c>
      <c r="E726" s="9">
        <v>3</v>
      </c>
      <c r="F726" s="4">
        <v>136.97</v>
      </c>
      <c r="G726" t="s">
        <v>2667</v>
      </c>
      <c r="H726" s="6" t="s">
        <v>3067</v>
      </c>
      <c r="I726" s="6" t="s">
        <v>3072</v>
      </c>
      <c r="J726" s="6" t="s">
        <v>3799</v>
      </c>
      <c r="K726" s="9">
        <v>4</v>
      </c>
      <c r="L726" s="6" t="s">
        <v>4276</v>
      </c>
      <c r="M726" s="6" t="s">
        <v>4279</v>
      </c>
      <c r="N726" s="4">
        <v>410.91</v>
      </c>
      <c r="O726" s="6">
        <f t="shared" si="11"/>
        <v>476</v>
      </c>
    </row>
    <row r="727" spans="1:15" x14ac:dyDescent="0.3">
      <c r="A727" s="6" t="s">
        <v>739</v>
      </c>
      <c r="B727" s="2">
        <v>44997</v>
      </c>
      <c r="C727" s="6" t="s">
        <v>1936</v>
      </c>
      <c r="D727" s="6" t="s">
        <v>2406</v>
      </c>
      <c r="E727" s="9">
        <v>2</v>
      </c>
      <c r="F727" s="4">
        <v>194.85</v>
      </c>
      <c r="G727" t="s">
        <v>2787</v>
      </c>
      <c r="H727" s="6" t="s">
        <v>3068</v>
      </c>
      <c r="I727" s="6" t="s">
        <v>3072</v>
      </c>
      <c r="J727" s="6" t="s">
        <v>3800</v>
      </c>
      <c r="K727" s="9">
        <v>5</v>
      </c>
      <c r="L727" s="6" t="s">
        <v>4283</v>
      </c>
      <c r="M727" s="6" t="s">
        <v>4279</v>
      </c>
      <c r="N727" s="4">
        <v>389.7</v>
      </c>
      <c r="O727" s="6">
        <f t="shared" si="11"/>
        <v>475</v>
      </c>
    </row>
    <row r="728" spans="1:15" x14ac:dyDescent="0.3">
      <c r="A728" s="6" t="s">
        <v>740</v>
      </c>
      <c r="B728" s="2">
        <v>45590</v>
      </c>
      <c r="C728" s="6" t="s">
        <v>1937</v>
      </c>
      <c r="D728" s="6" t="s">
        <v>2408</v>
      </c>
      <c r="E728" s="9">
        <v>4</v>
      </c>
      <c r="F728" s="4">
        <v>583.02</v>
      </c>
      <c r="G728" t="s">
        <v>2894</v>
      </c>
      <c r="H728" s="6" t="s">
        <v>3066</v>
      </c>
      <c r="I728" s="6" t="s">
        <v>3073</v>
      </c>
      <c r="J728" s="6" t="s">
        <v>3801</v>
      </c>
      <c r="K728" s="9">
        <v>4</v>
      </c>
      <c r="L728" s="6" t="s">
        <v>4276</v>
      </c>
      <c r="M728" s="6" t="s">
        <v>4281</v>
      </c>
      <c r="N728" s="4">
        <v>2332.08</v>
      </c>
      <c r="O728" s="6">
        <f t="shared" si="11"/>
        <v>474</v>
      </c>
    </row>
    <row r="729" spans="1:15" x14ac:dyDescent="0.3">
      <c r="A729" s="6" t="s">
        <v>741</v>
      </c>
      <c r="B729" s="2">
        <v>45564</v>
      </c>
      <c r="C729" s="6" t="s">
        <v>1938</v>
      </c>
      <c r="D729" s="6" t="s">
        <v>2406</v>
      </c>
      <c r="E729" s="9">
        <v>5</v>
      </c>
      <c r="F729" s="4">
        <v>95.75</v>
      </c>
      <c r="G729" t="s">
        <v>2748</v>
      </c>
      <c r="H729" s="6" t="s">
        <v>3066</v>
      </c>
      <c r="I729" s="6" t="s">
        <v>3070</v>
      </c>
      <c r="J729" s="6" t="s">
        <v>3802</v>
      </c>
      <c r="K729" s="9">
        <v>8</v>
      </c>
      <c r="L729" s="6" t="s">
        <v>4275</v>
      </c>
      <c r="M729" s="6" t="s">
        <v>4278</v>
      </c>
      <c r="N729" s="4">
        <v>478.75</v>
      </c>
      <c r="O729" s="6">
        <f t="shared" si="11"/>
        <v>473</v>
      </c>
    </row>
    <row r="730" spans="1:15" x14ac:dyDescent="0.3">
      <c r="A730" s="6" t="s">
        <v>742</v>
      </c>
      <c r="B730" s="2">
        <v>45502</v>
      </c>
      <c r="C730" s="6" t="s">
        <v>1939</v>
      </c>
      <c r="D730" s="6" t="s">
        <v>2409</v>
      </c>
      <c r="E730" s="9">
        <v>4</v>
      </c>
      <c r="F730" s="4">
        <v>325.76</v>
      </c>
      <c r="G730" t="s">
        <v>2895</v>
      </c>
      <c r="H730" s="6" t="s">
        <v>3068</v>
      </c>
      <c r="I730" s="6" t="s">
        <v>3070</v>
      </c>
      <c r="J730" s="6" t="s">
        <v>3803</v>
      </c>
      <c r="K730" s="9">
        <v>8</v>
      </c>
      <c r="L730" s="6" t="s">
        <v>4277</v>
      </c>
      <c r="M730" s="6" t="s">
        <v>4280</v>
      </c>
      <c r="N730" s="4">
        <v>1303.04</v>
      </c>
      <c r="O730" s="6">
        <f t="shared" si="11"/>
        <v>472</v>
      </c>
    </row>
    <row r="731" spans="1:15" x14ac:dyDescent="0.3">
      <c r="A731" s="6" t="s">
        <v>743</v>
      </c>
      <c r="B731" s="2">
        <v>45177</v>
      </c>
      <c r="C731" s="6" t="s">
        <v>1940</v>
      </c>
      <c r="D731" s="6" t="s">
        <v>2404</v>
      </c>
      <c r="E731" s="9">
        <v>4</v>
      </c>
      <c r="F731" s="4">
        <v>186.41</v>
      </c>
      <c r="G731" t="s">
        <v>2555</v>
      </c>
      <c r="H731" s="6" t="s">
        <v>3068</v>
      </c>
      <c r="I731" s="6" t="s">
        <v>3074</v>
      </c>
      <c r="J731" s="6" t="s">
        <v>3804</v>
      </c>
      <c r="K731" s="9">
        <v>6</v>
      </c>
      <c r="L731" s="6" t="s">
        <v>4275</v>
      </c>
      <c r="M731" s="6" t="s">
        <v>4282</v>
      </c>
      <c r="N731" s="4">
        <v>745.64</v>
      </c>
      <c r="O731" s="6">
        <f t="shared" si="11"/>
        <v>471</v>
      </c>
    </row>
    <row r="732" spans="1:15" x14ac:dyDescent="0.3">
      <c r="A732" s="6" t="s">
        <v>744</v>
      </c>
      <c r="B732" s="2">
        <v>45710</v>
      </c>
      <c r="C732" s="6" t="s">
        <v>1941</v>
      </c>
      <c r="D732" s="6" t="s">
        <v>2404</v>
      </c>
      <c r="E732" s="9">
        <v>1</v>
      </c>
      <c r="F732" s="4">
        <v>474.6</v>
      </c>
      <c r="G732" t="s">
        <v>2618</v>
      </c>
      <c r="H732" s="6" t="s">
        <v>3065</v>
      </c>
      <c r="I732" s="6" t="s">
        <v>3073</v>
      </c>
      <c r="J732" s="6" t="s">
        <v>3805</v>
      </c>
      <c r="K732" s="9">
        <v>4</v>
      </c>
      <c r="L732" s="6" t="s">
        <v>4275</v>
      </c>
      <c r="M732" s="6" t="s">
        <v>4280</v>
      </c>
      <c r="N732" s="4">
        <v>474.6</v>
      </c>
      <c r="O732" s="6">
        <f t="shared" si="11"/>
        <v>470</v>
      </c>
    </row>
    <row r="733" spans="1:15" x14ac:dyDescent="0.3">
      <c r="A733" s="6" t="s">
        <v>745</v>
      </c>
      <c r="B733" s="2">
        <v>45450</v>
      </c>
      <c r="C733" s="6" t="s">
        <v>1942</v>
      </c>
      <c r="D733" s="6" t="s">
        <v>2407</v>
      </c>
      <c r="E733" s="9">
        <v>5</v>
      </c>
      <c r="F733" s="4">
        <v>584.46</v>
      </c>
      <c r="G733" t="s">
        <v>2896</v>
      </c>
      <c r="H733" s="6" t="s">
        <v>3067</v>
      </c>
      <c r="I733" s="6" t="s">
        <v>3072</v>
      </c>
      <c r="J733" s="6" t="s">
        <v>3806</v>
      </c>
      <c r="K733" s="9">
        <v>8</v>
      </c>
      <c r="L733" s="6" t="s">
        <v>4283</v>
      </c>
      <c r="M733" s="6" t="s">
        <v>4280</v>
      </c>
      <c r="N733" s="4">
        <v>2922.3</v>
      </c>
      <c r="O733" s="6">
        <f t="shared" si="11"/>
        <v>469</v>
      </c>
    </row>
    <row r="734" spans="1:15" x14ac:dyDescent="0.3">
      <c r="A734" s="6" t="s">
        <v>746</v>
      </c>
      <c r="B734" s="2">
        <v>45723</v>
      </c>
      <c r="C734" s="6" t="s">
        <v>1943</v>
      </c>
      <c r="D734" s="6" t="s">
        <v>2408</v>
      </c>
      <c r="E734" s="9">
        <v>1</v>
      </c>
      <c r="F734" s="4">
        <v>132.05000000000001</v>
      </c>
      <c r="G734" t="s">
        <v>2876</v>
      </c>
      <c r="H734" s="6" t="s">
        <v>3066</v>
      </c>
      <c r="I734" s="6" t="s">
        <v>3073</v>
      </c>
      <c r="J734" s="6" t="s">
        <v>3807</v>
      </c>
      <c r="K734" s="9">
        <v>2</v>
      </c>
      <c r="L734" s="6" t="s">
        <v>4283</v>
      </c>
      <c r="M734" s="6" t="s">
        <v>4282</v>
      </c>
      <c r="N734" s="4">
        <v>132.05000000000001</v>
      </c>
      <c r="O734" s="6">
        <f t="shared" si="11"/>
        <v>468</v>
      </c>
    </row>
    <row r="735" spans="1:15" x14ac:dyDescent="0.3">
      <c r="A735" s="6" t="s">
        <v>747</v>
      </c>
      <c r="B735" s="2">
        <v>45264</v>
      </c>
      <c r="C735" s="6" t="s">
        <v>1944</v>
      </c>
      <c r="D735" s="6" t="s">
        <v>2405</v>
      </c>
      <c r="E735" s="9">
        <v>4</v>
      </c>
      <c r="F735" s="4">
        <v>494.84</v>
      </c>
      <c r="G735" t="s">
        <v>2869</v>
      </c>
      <c r="H735" s="6" t="s">
        <v>3069</v>
      </c>
      <c r="I735" s="6" t="s">
        <v>3072</v>
      </c>
      <c r="J735" s="6" t="s">
        <v>3808</v>
      </c>
      <c r="K735" s="9">
        <v>8</v>
      </c>
      <c r="L735" s="6" t="s">
        <v>4275</v>
      </c>
      <c r="M735" s="6" t="s">
        <v>4280</v>
      </c>
      <c r="N735" s="4">
        <v>1979.36</v>
      </c>
      <c r="O735" s="6">
        <f t="shared" si="11"/>
        <v>467</v>
      </c>
    </row>
    <row r="736" spans="1:15" x14ac:dyDescent="0.3">
      <c r="A736" s="6" t="s">
        <v>748</v>
      </c>
      <c r="B736" s="2">
        <v>45314</v>
      </c>
      <c r="C736" s="6" t="s">
        <v>1945</v>
      </c>
      <c r="D736" s="6" t="s">
        <v>2407</v>
      </c>
      <c r="E736" s="9">
        <v>4</v>
      </c>
      <c r="F736" s="4">
        <v>224.61</v>
      </c>
      <c r="G736" t="s">
        <v>2655</v>
      </c>
      <c r="H736" s="6" t="s">
        <v>3067</v>
      </c>
      <c r="I736" s="6" t="s">
        <v>3072</v>
      </c>
      <c r="J736" s="6" t="s">
        <v>3809</v>
      </c>
      <c r="K736" s="9">
        <v>6</v>
      </c>
      <c r="L736" s="6" t="s">
        <v>4277</v>
      </c>
      <c r="M736" s="6" t="s">
        <v>4281</v>
      </c>
      <c r="N736" s="4">
        <v>898.44</v>
      </c>
      <c r="O736" s="6">
        <f t="shared" si="11"/>
        <v>466</v>
      </c>
    </row>
    <row r="737" spans="1:15" x14ac:dyDescent="0.3">
      <c r="A737" s="6" t="s">
        <v>749</v>
      </c>
      <c r="B737" s="2">
        <v>45471</v>
      </c>
      <c r="C737" s="6" t="s">
        <v>1946</v>
      </c>
      <c r="D737" s="6" t="s">
        <v>2403</v>
      </c>
      <c r="E737" s="9">
        <v>4</v>
      </c>
      <c r="F737" s="4">
        <v>44.07</v>
      </c>
      <c r="G737" t="s">
        <v>2729</v>
      </c>
      <c r="H737" s="6" t="s">
        <v>3065</v>
      </c>
      <c r="I737" s="6" t="s">
        <v>3074</v>
      </c>
      <c r="J737" s="6" t="s">
        <v>3810</v>
      </c>
      <c r="K737" s="9">
        <v>6</v>
      </c>
      <c r="L737" s="6" t="s">
        <v>4283</v>
      </c>
      <c r="M737" s="6" t="s">
        <v>4280</v>
      </c>
      <c r="N737" s="4">
        <v>176.28</v>
      </c>
      <c r="O737" s="6">
        <f t="shared" si="11"/>
        <v>465</v>
      </c>
    </row>
    <row r="738" spans="1:15" x14ac:dyDescent="0.3">
      <c r="A738" s="6" t="s">
        <v>750</v>
      </c>
      <c r="B738" s="2">
        <v>45331</v>
      </c>
      <c r="C738" s="6" t="s">
        <v>1947</v>
      </c>
      <c r="D738" s="6" t="s">
        <v>2403</v>
      </c>
      <c r="E738" s="9">
        <v>5</v>
      </c>
      <c r="F738" s="4">
        <v>418.53</v>
      </c>
      <c r="G738" t="s">
        <v>2796</v>
      </c>
      <c r="H738" s="6" t="s">
        <v>3067</v>
      </c>
      <c r="I738" s="6" t="s">
        <v>3074</v>
      </c>
      <c r="J738" s="6" t="s">
        <v>3811</v>
      </c>
      <c r="K738" s="9">
        <v>6</v>
      </c>
      <c r="L738" s="6" t="s">
        <v>4276</v>
      </c>
      <c r="M738" s="6" t="s">
        <v>4282</v>
      </c>
      <c r="N738" s="4">
        <v>2092.65</v>
      </c>
      <c r="O738" s="6">
        <f t="shared" si="11"/>
        <v>464</v>
      </c>
    </row>
    <row r="739" spans="1:15" x14ac:dyDescent="0.3">
      <c r="A739" s="6" t="s">
        <v>751</v>
      </c>
      <c r="B739" s="2">
        <v>45294</v>
      </c>
      <c r="C739" s="6" t="s">
        <v>1948</v>
      </c>
      <c r="D739" s="6" t="s">
        <v>2404</v>
      </c>
      <c r="E739" s="9">
        <v>4</v>
      </c>
      <c r="F739" s="4">
        <v>532.87</v>
      </c>
      <c r="G739" t="s">
        <v>2897</v>
      </c>
      <c r="H739" s="6" t="s">
        <v>3069</v>
      </c>
      <c r="I739" s="6" t="s">
        <v>3074</v>
      </c>
      <c r="J739" s="6" t="s">
        <v>3812</v>
      </c>
      <c r="K739" s="9">
        <v>9</v>
      </c>
      <c r="L739" s="6" t="s">
        <v>4276</v>
      </c>
      <c r="M739" s="6" t="s">
        <v>4278</v>
      </c>
      <c r="N739" s="4">
        <v>2131.48</v>
      </c>
      <c r="O739" s="6">
        <f t="shared" si="11"/>
        <v>463</v>
      </c>
    </row>
    <row r="740" spans="1:15" x14ac:dyDescent="0.3">
      <c r="A740" s="6" t="s">
        <v>752</v>
      </c>
      <c r="B740" s="2">
        <v>45812</v>
      </c>
      <c r="C740" s="6" t="s">
        <v>1949</v>
      </c>
      <c r="D740" s="6" t="s">
        <v>2404</v>
      </c>
      <c r="E740" s="9">
        <v>2</v>
      </c>
      <c r="F740" s="4">
        <v>485.37</v>
      </c>
      <c r="G740" t="s">
        <v>2898</v>
      </c>
      <c r="H740" s="6" t="s">
        <v>3067</v>
      </c>
      <c r="I740" s="6" t="s">
        <v>3070</v>
      </c>
      <c r="J740" s="6" t="s">
        <v>3813</v>
      </c>
      <c r="K740" s="9">
        <v>5</v>
      </c>
      <c r="L740" s="6" t="s">
        <v>4275</v>
      </c>
      <c r="M740" s="6" t="s">
        <v>4280</v>
      </c>
      <c r="N740" s="4">
        <v>970.74</v>
      </c>
      <c r="O740" s="6">
        <f t="shared" si="11"/>
        <v>462</v>
      </c>
    </row>
    <row r="741" spans="1:15" x14ac:dyDescent="0.3">
      <c r="A741" s="6" t="s">
        <v>753</v>
      </c>
      <c r="B741" s="2">
        <v>45456</v>
      </c>
      <c r="C741" s="6" t="s">
        <v>1950</v>
      </c>
      <c r="D741" s="6" t="s">
        <v>2404</v>
      </c>
      <c r="E741" s="9">
        <v>4</v>
      </c>
      <c r="F741" s="4">
        <v>386.73</v>
      </c>
      <c r="G741" t="s">
        <v>2532</v>
      </c>
      <c r="H741" s="6" t="s">
        <v>3069</v>
      </c>
      <c r="I741" s="6" t="s">
        <v>3073</v>
      </c>
      <c r="J741" s="6" t="s">
        <v>3814</v>
      </c>
      <c r="K741" s="9">
        <v>4</v>
      </c>
      <c r="L741" s="6" t="s">
        <v>4275</v>
      </c>
      <c r="M741" s="6" t="s">
        <v>4281</v>
      </c>
      <c r="N741" s="4">
        <v>1546.92</v>
      </c>
      <c r="O741" s="6">
        <f t="shared" si="11"/>
        <v>461</v>
      </c>
    </row>
    <row r="742" spans="1:15" x14ac:dyDescent="0.3">
      <c r="A742" s="6" t="s">
        <v>754</v>
      </c>
      <c r="B742" s="2">
        <v>45493</v>
      </c>
      <c r="C742" s="6" t="s">
        <v>1951</v>
      </c>
      <c r="D742" s="6" t="s">
        <v>2409</v>
      </c>
      <c r="E742" s="9">
        <v>2</v>
      </c>
      <c r="F742" s="4">
        <v>377.47</v>
      </c>
      <c r="G742" t="s">
        <v>2749</v>
      </c>
      <c r="H742" s="6" t="s">
        <v>3069</v>
      </c>
      <c r="I742" s="6" t="s">
        <v>3074</v>
      </c>
      <c r="J742" s="6" t="s">
        <v>3815</v>
      </c>
      <c r="K742" s="9">
        <v>7</v>
      </c>
      <c r="L742" s="6" t="s">
        <v>4283</v>
      </c>
      <c r="M742" s="6" t="s">
        <v>4282</v>
      </c>
      <c r="N742" s="4">
        <v>754.94</v>
      </c>
      <c r="O742" s="6">
        <f t="shared" si="11"/>
        <v>460</v>
      </c>
    </row>
    <row r="743" spans="1:15" x14ac:dyDescent="0.3">
      <c r="A743" s="6" t="s">
        <v>755</v>
      </c>
      <c r="B743" s="2">
        <v>45680</v>
      </c>
      <c r="C743" s="6" t="s">
        <v>1952</v>
      </c>
      <c r="D743" s="6" t="s">
        <v>2403</v>
      </c>
      <c r="E743" s="9">
        <v>5</v>
      </c>
      <c r="F743" s="4">
        <v>332.64</v>
      </c>
      <c r="G743" t="s">
        <v>2899</v>
      </c>
      <c r="H743" s="6" t="s">
        <v>3068</v>
      </c>
      <c r="I743" s="6" t="s">
        <v>3073</v>
      </c>
      <c r="J743" s="6" t="s">
        <v>3816</v>
      </c>
      <c r="K743" s="9">
        <v>10</v>
      </c>
      <c r="L743" s="6" t="s">
        <v>4283</v>
      </c>
      <c r="M743" s="6" t="s">
        <v>4279</v>
      </c>
      <c r="N743" s="4">
        <v>1663.2</v>
      </c>
      <c r="O743" s="6">
        <f t="shared" si="11"/>
        <v>459</v>
      </c>
    </row>
    <row r="744" spans="1:15" x14ac:dyDescent="0.3">
      <c r="A744" s="6" t="s">
        <v>756</v>
      </c>
      <c r="B744" s="2">
        <v>45626</v>
      </c>
      <c r="C744" s="6" t="s">
        <v>1953</v>
      </c>
      <c r="D744" s="6" t="s">
        <v>2408</v>
      </c>
      <c r="E744" s="9">
        <v>3</v>
      </c>
      <c r="F744" s="4">
        <v>699.93</v>
      </c>
      <c r="G744" t="s">
        <v>2664</v>
      </c>
      <c r="H744" s="6" t="s">
        <v>3069</v>
      </c>
      <c r="I744" s="6" t="s">
        <v>3072</v>
      </c>
      <c r="J744" s="6" t="s">
        <v>3817</v>
      </c>
      <c r="K744" s="9">
        <v>7</v>
      </c>
      <c r="L744" s="6" t="s">
        <v>4275</v>
      </c>
      <c r="M744" s="6" t="s">
        <v>4282</v>
      </c>
      <c r="N744" s="4">
        <v>2099.79</v>
      </c>
      <c r="O744" s="6">
        <f t="shared" si="11"/>
        <v>458</v>
      </c>
    </row>
    <row r="745" spans="1:15" x14ac:dyDescent="0.3">
      <c r="A745" s="6" t="s">
        <v>757</v>
      </c>
      <c r="B745" s="2">
        <v>45565</v>
      </c>
      <c r="C745" s="6" t="s">
        <v>1954</v>
      </c>
      <c r="D745" s="6" t="s">
        <v>2403</v>
      </c>
      <c r="E745" s="9">
        <v>1</v>
      </c>
      <c r="F745" s="4">
        <v>576.35</v>
      </c>
      <c r="G745" t="s">
        <v>2448</v>
      </c>
      <c r="H745" s="6" t="s">
        <v>3068</v>
      </c>
      <c r="I745" s="6" t="s">
        <v>3072</v>
      </c>
      <c r="J745" s="6" t="s">
        <v>3818</v>
      </c>
      <c r="K745" s="9">
        <v>1</v>
      </c>
      <c r="L745" s="6" t="s">
        <v>4277</v>
      </c>
      <c r="M745" s="6" t="s">
        <v>4278</v>
      </c>
      <c r="N745" s="4">
        <v>576.35</v>
      </c>
      <c r="O745" s="6">
        <f t="shared" si="11"/>
        <v>457</v>
      </c>
    </row>
    <row r="746" spans="1:15" x14ac:dyDescent="0.3">
      <c r="A746" s="6" t="s">
        <v>758</v>
      </c>
      <c r="B746" s="2">
        <v>45455</v>
      </c>
      <c r="C746" s="6" t="s">
        <v>1955</v>
      </c>
      <c r="D746" s="6" t="s">
        <v>2405</v>
      </c>
      <c r="E746" s="9">
        <v>2</v>
      </c>
      <c r="F746" s="4">
        <v>461.37</v>
      </c>
      <c r="G746" t="s">
        <v>2900</v>
      </c>
      <c r="H746" s="6" t="s">
        <v>3069</v>
      </c>
      <c r="I746" s="6" t="s">
        <v>3073</v>
      </c>
      <c r="J746" s="6" t="s">
        <v>3819</v>
      </c>
      <c r="K746" s="9">
        <v>5</v>
      </c>
      <c r="L746" s="6" t="s">
        <v>4275</v>
      </c>
      <c r="M746" s="6" t="s">
        <v>4282</v>
      </c>
      <c r="N746" s="4">
        <v>922.74</v>
      </c>
      <c r="O746" s="6">
        <f t="shared" si="11"/>
        <v>456</v>
      </c>
    </row>
    <row r="747" spans="1:15" x14ac:dyDescent="0.3">
      <c r="A747" s="6" t="s">
        <v>759</v>
      </c>
      <c r="B747" s="2">
        <v>44987</v>
      </c>
      <c r="C747" s="6" t="s">
        <v>1956</v>
      </c>
      <c r="D747" s="6" t="s">
        <v>2407</v>
      </c>
      <c r="E747" s="9">
        <v>4</v>
      </c>
      <c r="F747" s="4">
        <v>111.3</v>
      </c>
      <c r="G747" t="s">
        <v>2901</v>
      </c>
      <c r="H747" s="6" t="s">
        <v>3065</v>
      </c>
      <c r="I747" s="6" t="s">
        <v>3074</v>
      </c>
      <c r="J747" s="6" t="s">
        <v>3820</v>
      </c>
      <c r="K747" s="9">
        <v>7</v>
      </c>
      <c r="L747" s="6" t="s">
        <v>4276</v>
      </c>
      <c r="M747" s="6" t="s">
        <v>4280</v>
      </c>
      <c r="N747" s="4">
        <v>445.2</v>
      </c>
      <c r="O747" s="6">
        <f t="shared" si="11"/>
        <v>455</v>
      </c>
    </row>
    <row r="748" spans="1:15" x14ac:dyDescent="0.3">
      <c r="A748" s="6" t="s">
        <v>760</v>
      </c>
      <c r="B748" s="2">
        <v>45712</v>
      </c>
      <c r="C748" s="6" t="s">
        <v>1957</v>
      </c>
      <c r="D748" s="6" t="s">
        <v>2409</v>
      </c>
      <c r="E748" s="9">
        <v>3</v>
      </c>
      <c r="F748" s="4">
        <v>661.89</v>
      </c>
      <c r="G748" t="s">
        <v>2902</v>
      </c>
      <c r="H748" s="6" t="s">
        <v>3066</v>
      </c>
      <c r="I748" s="6" t="s">
        <v>3071</v>
      </c>
      <c r="J748" s="6" t="s">
        <v>3821</v>
      </c>
      <c r="K748" s="9">
        <v>6</v>
      </c>
      <c r="L748" s="6" t="s">
        <v>4277</v>
      </c>
      <c r="M748" s="6" t="s">
        <v>4279</v>
      </c>
      <c r="N748" s="4">
        <v>1985.67</v>
      </c>
      <c r="O748" s="6">
        <f t="shared" si="11"/>
        <v>454</v>
      </c>
    </row>
    <row r="749" spans="1:15" x14ac:dyDescent="0.3">
      <c r="A749" s="6" t="s">
        <v>761</v>
      </c>
      <c r="B749" s="2">
        <v>45728</v>
      </c>
      <c r="C749" s="6" t="s">
        <v>1958</v>
      </c>
      <c r="D749" s="6" t="s">
        <v>2405</v>
      </c>
      <c r="E749" s="9">
        <v>2</v>
      </c>
      <c r="F749" s="4">
        <v>259.58</v>
      </c>
      <c r="G749" t="s">
        <v>2903</v>
      </c>
      <c r="H749" s="6" t="s">
        <v>3065</v>
      </c>
      <c r="I749" s="6" t="s">
        <v>3073</v>
      </c>
      <c r="J749" s="6" t="s">
        <v>3822</v>
      </c>
      <c r="K749" s="9">
        <v>7</v>
      </c>
      <c r="L749" s="6" t="s">
        <v>4276</v>
      </c>
      <c r="M749" s="6" t="s">
        <v>4278</v>
      </c>
      <c r="N749" s="4">
        <v>519.16</v>
      </c>
      <c r="O749" s="6">
        <f t="shared" si="11"/>
        <v>453</v>
      </c>
    </row>
    <row r="750" spans="1:15" x14ac:dyDescent="0.3">
      <c r="A750" s="6" t="s">
        <v>762</v>
      </c>
      <c r="B750" s="2">
        <v>45488</v>
      </c>
      <c r="C750" s="6" t="s">
        <v>1959</v>
      </c>
      <c r="D750" s="6" t="s">
        <v>2405</v>
      </c>
      <c r="E750" s="9">
        <v>3</v>
      </c>
      <c r="F750" s="4">
        <v>70.81</v>
      </c>
      <c r="G750" t="s">
        <v>2789</v>
      </c>
      <c r="H750" s="6" t="s">
        <v>3067</v>
      </c>
      <c r="I750" s="6" t="s">
        <v>3070</v>
      </c>
      <c r="J750" s="6" t="s">
        <v>3823</v>
      </c>
      <c r="K750" s="9">
        <v>8</v>
      </c>
      <c r="L750" s="6" t="s">
        <v>4276</v>
      </c>
      <c r="M750" s="6" t="s">
        <v>4279</v>
      </c>
      <c r="N750" s="4">
        <v>212.43</v>
      </c>
      <c r="O750" s="6">
        <f t="shared" si="11"/>
        <v>452</v>
      </c>
    </row>
    <row r="751" spans="1:15" x14ac:dyDescent="0.3">
      <c r="A751" s="6" t="s">
        <v>763</v>
      </c>
      <c r="B751" s="2">
        <v>45760</v>
      </c>
      <c r="C751" s="6" t="s">
        <v>1960</v>
      </c>
      <c r="D751" s="6" t="s">
        <v>2408</v>
      </c>
      <c r="E751" s="9">
        <v>1</v>
      </c>
      <c r="F751" s="4">
        <v>518.39</v>
      </c>
      <c r="G751" t="s">
        <v>2904</v>
      </c>
      <c r="H751" s="6" t="s">
        <v>3065</v>
      </c>
      <c r="I751" s="6" t="s">
        <v>3074</v>
      </c>
      <c r="J751" s="6" t="s">
        <v>3824</v>
      </c>
      <c r="K751" s="9">
        <v>4</v>
      </c>
      <c r="L751" s="6" t="s">
        <v>4276</v>
      </c>
      <c r="M751" s="6" t="s">
        <v>4278</v>
      </c>
      <c r="N751" s="4">
        <v>518.39</v>
      </c>
      <c r="O751" s="6">
        <f t="shared" si="11"/>
        <v>451</v>
      </c>
    </row>
    <row r="752" spans="1:15" x14ac:dyDescent="0.3">
      <c r="A752" s="6" t="s">
        <v>764</v>
      </c>
      <c r="B752" s="2">
        <v>44940</v>
      </c>
      <c r="C752" s="6" t="s">
        <v>1961</v>
      </c>
      <c r="D752" s="6" t="s">
        <v>2405</v>
      </c>
      <c r="E752" s="9">
        <v>4</v>
      </c>
      <c r="F752" s="4">
        <v>145.41</v>
      </c>
      <c r="G752" t="s">
        <v>2905</v>
      </c>
      <c r="H752" s="6" t="s">
        <v>3067</v>
      </c>
      <c r="I752" s="6" t="s">
        <v>3072</v>
      </c>
      <c r="J752" s="6" t="s">
        <v>3825</v>
      </c>
      <c r="K752" s="9">
        <v>7</v>
      </c>
      <c r="L752" s="6" t="s">
        <v>4276</v>
      </c>
      <c r="M752" s="6" t="s">
        <v>4280</v>
      </c>
      <c r="N752" s="4">
        <v>581.64</v>
      </c>
      <c r="O752" s="6">
        <f t="shared" si="11"/>
        <v>450</v>
      </c>
    </row>
    <row r="753" spans="1:15" x14ac:dyDescent="0.3">
      <c r="A753" s="6" t="s">
        <v>765</v>
      </c>
      <c r="B753" s="2">
        <v>44950</v>
      </c>
      <c r="C753" s="6" t="s">
        <v>1962</v>
      </c>
      <c r="D753" s="6" t="s">
        <v>2405</v>
      </c>
      <c r="E753" s="9">
        <v>2</v>
      </c>
      <c r="F753" s="4">
        <v>599.86</v>
      </c>
      <c r="G753" t="s">
        <v>2906</v>
      </c>
      <c r="H753" s="6" t="s">
        <v>3068</v>
      </c>
      <c r="I753" s="6" t="s">
        <v>3074</v>
      </c>
      <c r="J753" s="6" t="s">
        <v>3826</v>
      </c>
      <c r="K753" s="9">
        <v>7</v>
      </c>
      <c r="L753" s="6" t="s">
        <v>4276</v>
      </c>
      <c r="M753" s="6" t="s">
        <v>4281</v>
      </c>
      <c r="N753" s="4">
        <v>1199.72</v>
      </c>
      <c r="O753" s="6">
        <f t="shared" si="11"/>
        <v>449</v>
      </c>
    </row>
    <row r="754" spans="1:15" x14ac:dyDescent="0.3">
      <c r="A754" s="6" t="s">
        <v>766</v>
      </c>
      <c r="B754" s="2">
        <v>45568</v>
      </c>
      <c r="C754" s="6" t="s">
        <v>1963</v>
      </c>
      <c r="D754" s="6" t="s">
        <v>2404</v>
      </c>
      <c r="E754" s="9">
        <v>4</v>
      </c>
      <c r="F754" s="4">
        <v>429.37</v>
      </c>
      <c r="G754" t="s">
        <v>2648</v>
      </c>
      <c r="H754" s="6" t="s">
        <v>3067</v>
      </c>
      <c r="I754" s="6" t="s">
        <v>3073</v>
      </c>
      <c r="J754" s="6" t="s">
        <v>3827</v>
      </c>
      <c r="K754" s="9">
        <v>8</v>
      </c>
      <c r="L754" s="6" t="s">
        <v>4276</v>
      </c>
      <c r="M754" s="6" t="s">
        <v>4282</v>
      </c>
      <c r="N754" s="4">
        <v>1717.48</v>
      </c>
      <c r="O754" s="6">
        <f t="shared" si="11"/>
        <v>448</v>
      </c>
    </row>
    <row r="755" spans="1:15" x14ac:dyDescent="0.3">
      <c r="A755" s="6" t="s">
        <v>767</v>
      </c>
      <c r="B755" s="2">
        <v>45406</v>
      </c>
      <c r="C755" s="6" t="s">
        <v>1964</v>
      </c>
      <c r="D755" s="6" t="s">
        <v>2404</v>
      </c>
      <c r="E755" s="9">
        <v>2</v>
      </c>
      <c r="F755" s="4">
        <v>241.49</v>
      </c>
      <c r="G755" t="s">
        <v>2907</v>
      </c>
      <c r="H755" s="6" t="s">
        <v>3065</v>
      </c>
      <c r="I755" s="6" t="s">
        <v>3072</v>
      </c>
      <c r="J755" s="6" t="s">
        <v>3828</v>
      </c>
      <c r="K755" s="9">
        <v>7</v>
      </c>
      <c r="L755" s="6" t="s">
        <v>4276</v>
      </c>
      <c r="M755" s="6" t="s">
        <v>4278</v>
      </c>
      <c r="N755" s="4">
        <v>482.98</v>
      </c>
      <c r="O755" s="6">
        <f t="shared" si="11"/>
        <v>447</v>
      </c>
    </row>
    <row r="756" spans="1:15" x14ac:dyDescent="0.3">
      <c r="A756" s="6" t="s">
        <v>768</v>
      </c>
      <c r="B756" s="2">
        <v>45808</v>
      </c>
      <c r="C756" s="6" t="s">
        <v>1965</v>
      </c>
      <c r="D756" s="6" t="s">
        <v>2407</v>
      </c>
      <c r="E756" s="9">
        <v>2</v>
      </c>
      <c r="F756" s="4">
        <v>452.05</v>
      </c>
      <c r="G756" t="s">
        <v>2908</v>
      </c>
      <c r="H756" s="6" t="s">
        <v>3067</v>
      </c>
      <c r="I756" s="6" t="s">
        <v>3072</v>
      </c>
      <c r="J756" s="6" t="s">
        <v>3829</v>
      </c>
      <c r="K756" s="9">
        <v>3</v>
      </c>
      <c r="L756" s="6" t="s">
        <v>4277</v>
      </c>
      <c r="M756" s="6" t="s">
        <v>4280</v>
      </c>
      <c r="N756" s="4">
        <v>904.1</v>
      </c>
      <c r="O756" s="6">
        <f t="shared" si="11"/>
        <v>446</v>
      </c>
    </row>
    <row r="757" spans="1:15" x14ac:dyDescent="0.3">
      <c r="A757" s="6" t="s">
        <v>769</v>
      </c>
      <c r="B757" s="2">
        <v>45090</v>
      </c>
      <c r="C757" s="6" t="s">
        <v>1966</v>
      </c>
      <c r="D757" s="6" t="s">
        <v>2409</v>
      </c>
      <c r="E757" s="9">
        <v>3</v>
      </c>
      <c r="F757" s="4">
        <v>336.71</v>
      </c>
      <c r="G757" t="s">
        <v>2909</v>
      </c>
      <c r="H757" s="6" t="s">
        <v>3067</v>
      </c>
      <c r="I757" s="6" t="s">
        <v>3074</v>
      </c>
      <c r="J757" s="6" t="s">
        <v>3830</v>
      </c>
      <c r="K757" s="9">
        <v>4</v>
      </c>
      <c r="L757" s="6" t="s">
        <v>4283</v>
      </c>
      <c r="M757" s="6" t="s">
        <v>4280</v>
      </c>
      <c r="N757" s="4">
        <v>1010.13</v>
      </c>
      <c r="O757" s="6">
        <f t="shared" si="11"/>
        <v>445</v>
      </c>
    </row>
    <row r="758" spans="1:15" x14ac:dyDescent="0.3">
      <c r="A758" s="6" t="s">
        <v>770</v>
      </c>
      <c r="B758" s="2">
        <v>45470</v>
      </c>
      <c r="C758" s="6" t="s">
        <v>1967</v>
      </c>
      <c r="D758" s="6" t="s">
        <v>2404</v>
      </c>
      <c r="E758" s="9">
        <v>1</v>
      </c>
      <c r="F758" s="4">
        <v>283.69</v>
      </c>
      <c r="G758" t="s">
        <v>2464</v>
      </c>
      <c r="H758" s="6" t="s">
        <v>3068</v>
      </c>
      <c r="I758" s="6" t="s">
        <v>3070</v>
      </c>
      <c r="J758" s="6" t="s">
        <v>3831</v>
      </c>
      <c r="K758" s="9">
        <v>6</v>
      </c>
      <c r="L758" s="6" t="s">
        <v>4283</v>
      </c>
      <c r="M758" s="6" t="s">
        <v>4282</v>
      </c>
      <c r="N758" s="4">
        <v>283.69</v>
      </c>
      <c r="O758" s="6">
        <f t="shared" si="11"/>
        <v>444</v>
      </c>
    </row>
    <row r="759" spans="1:15" x14ac:dyDescent="0.3">
      <c r="A759" s="6" t="s">
        <v>771</v>
      </c>
      <c r="B759" s="2">
        <v>45344</v>
      </c>
      <c r="C759" s="6" t="s">
        <v>1968</v>
      </c>
      <c r="D759" s="6" t="s">
        <v>2409</v>
      </c>
      <c r="E759" s="9">
        <v>1</v>
      </c>
      <c r="F759" s="4">
        <v>157.72</v>
      </c>
      <c r="G759" t="s">
        <v>2581</v>
      </c>
      <c r="H759" s="6" t="s">
        <v>3065</v>
      </c>
      <c r="I759" s="6" t="s">
        <v>3073</v>
      </c>
      <c r="J759" s="6" t="s">
        <v>3832</v>
      </c>
      <c r="K759" s="9">
        <v>2</v>
      </c>
      <c r="L759" s="6" t="s">
        <v>4276</v>
      </c>
      <c r="M759" s="6" t="s">
        <v>4282</v>
      </c>
      <c r="N759" s="4">
        <v>157.72</v>
      </c>
      <c r="O759" s="6">
        <f t="shared" si="11"/>
        <v>443</v>
      </c>
    </row>
    <row r="760" spans="1:15" x14ac:dyDescent="0.3">
      <c r="A760" s="6" t="s">
        <v>772</v>
      </c>
      <c r="B760" s="2">
        <v>45011</v>
      </c>
      <c r="C760" s="6" t="s">
        <v>1969</v>
      </c>
      <c r="D760" s="6" t="s">
        <v>2405</v>
      </c>
      <c r="E760" s="9">
        <v>3</v>
      </c>
      <c r="F760" s="4">
        <v>624.84</v>
      </c>
      <c r="G760" t="s">
        <v>2479</v>
      </c>
      <c r="H760" s="6" t="s">
        <v>3067</v>
      </c>
      <c r="I760" s="6" t="s">
        <v>3071</v>
      </c>
      <c r="J760" s="6" t="s">
        <v>3833</v>
      </c>
      <c r="K760" s="9">
        <v>8</v>
      </c>
      <c r="L760" s="6" t="s">
        <v>4277</v>
      </c>
      <c r="M760" s="6" t="s">
        <v>4281</v>
      </c>
      <c r="N760" s="4">
        <v>1874.52</v>
      </c>
      <c r="O760" s="6">
        <f t="shared" si="11"/>
        <v>442</v>
      </c>
    </row>
    <row r="761" spans="1:15" x14ac:dyDescent="0.3">
      <c r="A761" s="6" t="s">
        <v>773</v>
      </c>
      <c r="B761" s="2">
        <v>45131</v>
      </c>
      <c r="C761" s="6" t="s">
        <v>1970</v>
      </c>
      <c r="D761" s="6" t="s">
        <v>2409</v>
      </c>
      <c r="E761" s="9">
        <v>3</v>
      </c>
      <c r="F761" s="4">
        <v>308.01</v>
      </c>
      <c r="G761" t="s">
        <v>2910</v>
      </c>
      <c r="H761" s="6" t="s">
        <v>3069</v>
      </c>
      <c r="I761" s="6" t="s">
        <v>3074</v>
      </c>
      <c r="J761" s="6" t="s">
        <v>3834</v>
      </c>
      <c r="K761" s="9">
        <v>3</v>
      </c>
      <c r="L761" s="6" t="s">
        <v>4276</v>
      </c>
      <c r="M761" s="6" t="s">
        <v>4281</v>
      </c>
      <c r="N761" s="4">
        <v>924.03</v>
      </c>
      <c r="O761" s="6">
        <f t="shared" si="11"/>
        <v>441</v>
      </c>
    </row>
    <row r="762" spans="1:15" x14ac:dyDescent="0.3">
      <c r="A762" s="6" t="s">
        <v>774</v>
      </c>
      <c r="B762" s="2">
        <v>45706</v>
      </c>
      <c r="C762" s="6" t="s">
        <v>1971</v>
      </c>
      <c r="D762" s="6" t="s">
        <v>2409</v>
      </c>
      <c r="E762" s="9">
        <v>1</v>
      </c>
      <c r="F762" s="4">
        <v>39.56</v>
      </c>
      <c r="G762" t="s">
        <v>2570</v>
      </c>
      <c r="H762" s="6" t="s">
        <v>3065</v>
      </c>
      <c r="I762" s="6" t="s">
        <v>3071</v>
      </c>
      <c r="J762" s="6" t="s">
        <v>3835</v>
      </c>
      <c r="K762" s="9">
        <v>5</v>
      </c>
      <c r="L762" s="6" t="s">
        <v>4283</v>
      </c>
      <c r="M762" s="6" t="s">
        <v>4282</v>
      </c>
      <c r="N762" s="4">
        <v>39.56</v>
      </c>
      <c r="O762" s="6">
        <f t="shared" si="11"/>
        <v>440</v>
      </c>
    </row>
    <row r="763" spans="1:15" x14ac:dyDescent="0.3">
      <c r="A763" s="6" t="s">
        <v>775</v>
      </c>
      <c r="B763" s="2">
        <v>45079</v>
      </c>
      <c r="C763" s="6" t="s">
        <v>1972</v>
      </c>
      <c r="D763" s="6" t="s">
        <v>2409</v>
      </c>
      <c r="E763" s="9">
        <v>4</v>
      </c>
      <c r="F763" s="4">
        <v>37.76</v>
      </c>
      <c r="G763" t="s">
        <v>2911</v>
      </c>
      <c r="H763" s="6" t="s">
        <v>3065</v>
      </c>
      <c r="I763" s="6" t="s">
        <v>3073</v>
      </c>
      <c r="J763" s="6" t="s">
        <v>3836</v>
      </c>
      <c r="K763" s="9">
        <v>7</v>
      </c>
      <c r="L763" s="6" t="s">
        <v>4283</v>
      </c>
      <c r="M763" s="6" t="s">
        <v>4282</v>
      </c>
      <c r="N763" s="4">
        <v>151.04</v>
      </c>
      <c r="O763" s="6">
        <f t="shared" si="11"/>
        <v>439</v>
      </c>
    </row>
    <row r="764" spans="1:15" x14ac:dyDescent="0.3">
      <c r="A764" s="6" t="s">
        <v>776</v>
      </c>
      <c r="B764" s="2">
        <v>45552</v>
      </c>
      <c r="C764" s="6" t="s">
        <v>1973</v>
      </c>
      <c r="D764" s="6" t="s">
        <v>2404</v>
      </c>
      <c r="E764" s="9">
        <v>3</v>
      </c>
      <c r="F764" s="4">
        <v>76.959999999999994</v>
      </c>
      <c r="G764" t="s">
        <v>2494</v>
      </c>
      <c r="H764" s="6" t="s">
        <v>3069</v>
      </c>
      <c r="I764" s="6" t="s">
        <v>3072</v>
      </c>
      <c r="J764" s="6" t="s">
        <v>3837</v>
      </c>
      <c r="K764" s="9">
        <v>8</v>
      </c>
      <c r="L764" s="6" t="s">
        <v>4276</v>
      </c>
      <c r="M764" s="6" t="s">
        <v>4280</v>
      </c>
      <c r="N764" s="4">
        <v>230.88</v>
      </c>
      <c r="O764" s="6">
        <f t="shared" si="11"/>
        <v>438</v>
      </c>
    </row>
    <row r="765" spans="1:15" x14ac:dyDescent="0.3">
      <c r="A765" s="6" t="s">
        <v>777</v>
      </c>
      <c r="B765" s="2">
        <v>45022</v>
      </c>
      <c r="C765" s="6" t="s">
        <v>1974</v>
      </c>
      <c r="D765" s="6" t="s">
        <v>2408</v>
      </c>
      <c r="E765" s="9">
        <v>1</v>
      </c>
      <c r="F765" s="4">
        <v>569.96</v>
      </c>
      <c r="G765" t="s">
        <v>2501</v>
      </c>
      <c r="H765" s="6" t="s">
        <v>3066</v>
      </c>
      <c r="I765" s="6" t="s">
        <v>3073</v>
      </c>
      <c r="J765" s="6" t="s">
        <v>3838</v>
      </c>
      <c r="K765" s="9">
        <v>4</v>
      </c>
      <c r="L765" s="6" t="s">
        <v>4276</v>
      </c>
      <c r="M765" s="6" t="s">
        <v>4280</v>
      </c>
      <c r="N765" s="4">
        <v>569.96</v>
      </c>
      <c r="O765" s="6">
        <f t="shared" si="11"/>
        <v>437</v>
      </c>
    </row>
    <row r="766" spans="1:15" x14ac:dyDescent="0.3">
      <c r="A766" s="6" t="s">
        <v>778</v>
      </c>
      <c r="B766" s="2">
        <v>45361</v>
      </c>
      <c r="C766" s="6" t="s">
        <v>1975</v>
      </c>
      <c r="D766" s="6" t="s">
        <v>2408</v>
      </c>
      <c r="E766" s="9">
        <v>5</v>
      </c>
      <c r="F766" s="4">
        <v>627.42999999999995</v>
      </c>
      <c r="G766" t="s">
        <v>2565</v>
      </c>
      <c r="H766" s="6" t="s">
        <v>3067</v>
      </c>
      <c r="I766" s="6" t="s">
        <v>3071</v>
      </c>
      <c r="J766" s="6" t="s">
        <v>3839</v>
      </c>
      <c r="K766" s="9">
        <v>10</v>
      </c>
      <c r="L766" s="6" t="s">
        <v>4276</v>
      </c>
      <c r="M766" s="6" t="s">
        <v>4280</v>
      </c>
      <c r="N766" s="4">
        <v>3137.15</v>
      </c>
      <c r="O766" s="6">
        <f t="shared" si="11"/>
        <v>436</v>
      </c>
    </row>
    <row r="767" spans="1:15" x14ac:dyDescent="0.3">
      <c r="A767" s="6" t="s">
        <v>779</v>
      </c>
      <c r="B767" s="2">
        <v>45205</v>
      </c>
      <c r="C767" s="6" t="s">
        <v>1976</v>
      </c>
      <c r="D767" s="6" t="s">
        <v>2408</v>
      </c>
      <c r="E767" s="9">
        <v>2</v>
      </c>
      <c r="F767" s="4">
        <v>534.91</v>
      </c>
      <c r="G767" t="s">
        <v>2888</v>
      </c>
      <c r="H767" s="6" t="s">
        <v>3065</v>
      </c>
      <c r="I767" s="6" t="s">
        <v>3072</v>
      </c>
      <c r="J767" s="6" t="s">
        <v>3840</v>
      </c>
      <c r="K767" s="9">
        <v>5</v>
      </c>
      <c r="L767" s="6" t="s">
        <v>4275</v>
      </c>
      <c r="M767" s="6" t="s">
        <v>4282</v>
      </c>
      <c r="N767" s="4">
        <v>1069.82</v>
      </c>
      <c r="O767" s="6">
        <f t="shared" si="11"/>
        <v>435</v>
      </c>
    </row>
    <row r="768" spans="1:15" x14ac:dyDescent="0.3">
      <c r="A768" s="6" t="s">
        <v>780</v>
      </c>
      <c r="B768" s="2">
        <v>44948</v>
      </c>
      <c r="C768" s="6" t="s">
        <v>1977</v>
      </c>
      <c r="D768" s="6" t="s">
        <v>2407</v>
      </c>
      <c r="E768" s="9">
        <v>2</v>
      </c>
      <c r="F768" s="4">
        <v>278.88</v>
      </c>
      <c r="G768" t="s">
        <v>2704</v>
      </c>
      <c r="H768" s="6" t="s">
        <v>3065</v>
      </c>
      <c r="I768" s="6" t="s">
        <v>3074</v>
      </c>
      <c r="J768" s="6" t="s">
        <v>3841</v>
      </c>
      <c r="K768" s="9">
        <v>3</v>
      </c>
      <c r="L768" s="6" t="s">
        <v>4276</v>
      </c>
      <c r="M768" s="6" t="s">
        <v>4279</v>
      </c>
      <c r="N768" s="4">
        <v>557.76</v>
      </c>
      <c r="O768" s="6">
        <f t="shared" si="11"/>
        <v>434</v>
      </c>
    </row>
    <row r="769" spans="1:15" x14ac:dyDescent="0.3">
      <c r="A769" s="6" t="s">
        <v>781</v>
      </c>
      <c r="B769" s="2">
        <v>45765</v>
      </c>
      <c r="C769" s="6" t="s">
        <v>1978</v>
      </c>
      <c r="D769" s="6" t="s">
        <v>2405</v>
      </c>
      <c r="E769" s="9">
        <v>2</v>
      </c>
      <c r="F769" s="4">
        <v>323.22000000000003</v>
      </c>
      <c r="G769" t="s">
        <v>2912</v>
      </c>
      <c r="H769" s="6" t="s">
        <v>3067</v>
      </c>
      <c r="I769" s="6" t="s">
        <v>3073</v>
      </c>
      <c r="J769" s="6" t="s">
        <v>3842</v>
      </c>
      <c r="K769" s="9">
        <v>7</v>
      </c>
      <c r="L769" s="6" t="s">
        <v>4283</v>
      </c>
      <c r="M769" s="6" t="s">
        <v>4278</v>
      </c>
      <c r="N769" s="4">
        <v>646.44000000000005</v>
      </c>
      <c r="O769" s="6">
        <f t="shared" si="11"/>
        <v>433</v>
      </c>
    </row>
    <row r="770" spans="1:15" x14ac:dyDescent="0.3">
      <c r="A770" s="6" t="s">
        <v>782</v>
      </c>
      <c r="B770" s="2">
        <v>45173</v>
      </c>
      <c r="C770" s="6" t="s">
        <v>1979</v>
      </c>
      <c r="D770" s="6" t="s">
        <v>2405</v>
      </c>
      <c r="E770" s="9">
        <v>5</v>
      </c>
      <c r="F770" s="4">
        <v>653.46</v>
      </c>
      <c r="G770" t="s">
        <v>2913</v>
      </c>
      <c r="H770" s="6" t="s">
        <v>3069</v>
      </c>
      <c r="I770" s="6" t="s">
        <v>3071</v>
      </c>
      <c r="J770" s="6" t="s">
        <v>3843</v>
      </c>
      <c r="K770" s="9">
        <v>9</v>
      </c>
      <c r="L770" s="6" t="s">
        <v>4277</v>
      </c>
      <c r="M770" s="6" t="s">
        <v>4280</v>
      </c>
      <c r="N770" s="4">
        <v>3267.3</v>
      </c>
      <c r="O770" s="6">
        <f t="shared" ref="O770:O833" si="12">COUNTA(_xlfn.UNIQUE(C769:C1968))</f>
        <v>432</v>
      </c>
    </row>
    <row r="771" spans="1:15" x14ac:dyDescent="0.3">
      <c r="A771" s="6" t="s">
        <v>783</v>
      </c>
      <c r="B771" s="2">
        <v>45113</v>
      </c>
      <c r="C771" s="6" t="s">
        <v>1980</v>
      </c>
      <c r="D771" s="6" t="s">
        <v>2407</v>
      </c>
      <c r="E771" s="9">
        <v>4</v>
      </c>
      <c r="F771" s="4">
        <v>678.55</v>
      </c>
      <c r="G771" t="s">
        <v>2438</v>
      </c>
      <c r="H771" s="6" t="s">
        <v>3069</v>
      </c>
      <c r="I771" s="6" t="s">
        <v>3073</v>
      </c>
      <c r="J771" s="6" t="s">
        <v>3844</v>
      </c>
      <c r="K771" s="9">
        <v>5</v>
      </c>
      <c r="L771" s="6" t="s">
        <v>4283</v>
      </c>
      <c r="M771" s="6" t="s">
        <v>4280</v>
      </c>
      <c r="N771" s="4">
        <v>2714.2</v>
      </c>
      <c r="O771" s="6">
        <f t="shared" si="12"/>
        <v>431</v>
      </c>
    </row>
    <row r="772" spans="1:15" x14ac:dyDescent="0.3">
      <c r="A772" s="6" t="s">
        <v>784</v>
      </c>
      <c r="B772" s="2">
        <v>45333</v>
      </c>
      <c r="C772" s="6" t="s">
        <v>1981</v>
      </c>
      <c r="D772" s="6" t="s">
        <v>2409</v>
      </c>
      <c r="E772" s="9">
        <v>1</v>
      </c>
      <c r="F772" s="4">
        <v>314.38</v>
      </c>
      <c r="G772" t="s">
        <v>2757</v>
      </c>
      <c r="H772" s="6" t="s">
        <v>3066</v>
      </c>
      <c r="I772" s="6" t="s">
        <v>3072</v>
      </c>
      <c r="J772" s="6" t="s">
        <v>3845</v>
      </c>
      <c r="K772" s="9">
        <v>6</v>
      </c>
      <c r="L772" s="6" t="s">
        <v>4283</v>
      </c>
      <c r="M772" s="6" t="s">
        <v>4282</v>
      </c>
      <c r="N772" s="4">
        <v>314.38</v>
      </c>
      <c r="O772" s="6">
        <f t="shared" si="12"/>
        <v>430</v>
      </c>
    </row>
    <row r="773" spans="1:15" x14ac:dyDescent="0.3">
      <c r="A773" s="6" t="s">
        <v>785</v>
      </c>
      <c r="B773" s="2">
        <v>45455</v>
      </c>
      <c r="C773" s="6" t="s">
        <v>1982</v>
      </c>
      <c r="D773" s="6" t="s">
        <v>2404</v>
      </c>
      <c r="E773" s="9">
        <v>3</v>
      </c>
      <c r="F773" s="4">
        <v>692.44</v>
      </c>
      <c r="G773" t="s">
        <v>2724</v>
      </c>
      <c r="H773" s="6" t="s">
        <v>3065</v>
      </c>
      <c r="I773" s="6" t="s">
        <v>3071</v>
      </c>
      <c r="J773" s="6" t="s">
        <v>3846</v>
      </c>
      <c r="K773" s="9">
        <v>8</v>
      </c>
      <c r="L773" s="6" t="s">
        <v>4276</v>
      </c>
      <c r="M773" s="6" t="s">
        <v>4282</v>
      </c>
      <c r="N773" s="4">
        <v>2077.3200000000002</v>
      </c>
      <c r="O773" s="6">
        <f t="shared" si="12"/>
        <v>429</v>
      </c>
    </row>
    <row r="774" spans="1:15" x14ac:dyDescent="0.3">
      <c r="A774" s="6" t="s">
        <v>786</v>
      </c>
      <c r="B774" s="2">
        <v>45501</v>
      </c>
      <c r="C774" s="6" t="s">
        <v>1983</v>
      </c>
      <c r="D774" s="6" t="s">
        <v>2403</v>
      </c>
      <c r="E774" s="9">
        <v>1</v>
      </c>
      <c r="F774" s="4">
        <v>604.87</v>
      </c>
      <c r="G774" t="s">
        <v>2914</v>
      </c>
      <c r="H774" s="6" t="s">
        <v>3066</v>
      </c>
      <c r="I774" s="6" t="s">
        <v>3073</v>
      </c>
      <c r="J774" s="6" t="s">
        <v>3847</v>
      </c>
      <c r="K774" s="9">
        <v>4</v>
      </c>
      <c r="L774" s="6" t="s">
        <v>4283</v>
      </c>
      <c r="M774" s="6" t="s">
        <v>4278</v>
      </c>
      <c r="N774" s="4">
        <v>604.87</v>
      </c>
      <c r="O774" s="6">
        <f t="shared" si="12"/>
        <v>428</v>
      </c>
    </row>
    <row r="775" spans="1:15" x14ac:dyDescent="0.3">
      <c r="A775" s="6" t="s">
        <v>787</v>
      </c>
      <c r="B775" s="2">
        <v>45836</v>
      </c>
      <c r="C775" s="6" t="s">
        <v>1984</v>
      </c>
      <c r="D775" s="6" t="s">
        <v>2404</v>
      </c>
      <c r="E775" s="9">
        <v>2</v>
      </c>
      <c r="F775" s="4">
        <v>512.33000000000004</v>
      </c>
      <c r="G775" t="s">
        <v>2915</v>
      </c>
      <c r="H775" s="6" t="s">
        <v>3069</v>
      </c>
      <c r="I775" s="6" t="s">
        <v>3071</v>
      </c>
      <c r="J775" s="6" t="s">
        <v>3848</v>
      </c>
      <c r="K775" s="9">
        <v>7</v>
      </c>
      <c r="L775" s="6" t="s">
        <v>4283</v>
      </c>
      <c r="M775" s="6" t="s">
        <v>4281</v>
      </c>
      <c r="N775" s="4">
        <v>1024.6600000000001</v>
      </c>
      <c r="O775" s="6">
        <f t="shared" si="12"/>
        <v>427</v>
      </c>
    </row>
    <row r="776" spans="1:15" x14ac:dyDescent="0.3">
      <c r="A776" s="6" t="s">
        <v>788</v>
      </c>
      <c r="B776" s="2">
        <v>45762</v>
      </c>
      <c r="C776" s="6" t="s">
        <v>1985</v>
      </c>
      <c r="D776" s="6" t="s">
        <v>2406</v>
      </c>
      <c r="E776" s="9">
        <v>3</v>
      </c>
      <c r="F776" s="4">
        <v>20.54</v>
      </c>
      <c r="G776" t="s">
        <v>2916</v>
      </c>
      <c r="H776" s="6" t="s">
        <v>3067</v>
      </c>
      <c r="I776" s="6" t="s">
        <v>3071</v>
      </c>
      <c r="J776" s="6" t="s">
        <v>3849</v>
      </c>
      <c r="K776" s="9">
        <v>3</v>
      </c>
      <c r="L776" s="6" t="s">
        <v>4276</v>
      </c>
      <c r="M776" s="6" t="s">
        <v>4278</v>
      </c>
      <c r="N776" s="4">
        <v>61.62</v>
      </c>
      <c r="O776" s="6">
        <f t="shared" si="12"/>
        <v>426</v>
      </c>
    </row>
    <row r="777" spans="1:15" x14ac:dyDescent="0.3">
      <c r="A777" s="6" t="s">
        <v>789</v>
      </c>
      <c r="B777" s="2">
        <v>44989</v>
      </c>
      <c r="C777" s="6" t="s">
        <v>1986</v>
      </c>
      <c r="D777" s="6" t="s">
        <v>2404</v>
      </c>
      <c r="E777" s="9">
        <v>2</v>
      </c>
      <c r="F777" s="4">
        <v>625.22</v>
      </c>
      <c r="G777" t="s">
        <v>2431</v>
      </c>
      <c r="H777" s="6" t="s">
        <v>3066</v>
      </c>
      <c r="I777" s="6" t="s">
        <v>3071</v>
      </c>
      <c r="J777" s="6" t="s">
        <v>3850</v>
      </c>
      <c r="K777" s="9">
        <v>5</v>
      </c>
      <c r="L777" s="6" t="s">
        <v>4283</v>
      </c>
      <c r="M777" s="6" t="s">
        <v>4282</v>
      </c>
      <c r="N777" s="4">
        <v>1250.44</v>
      </c>
      <c r="O777" s="6">
        <f t="shared" si="12"/>
        <v>425</v>
      </c>
    </row>
    <row r="778" spans="1:15" x14ac:dyDescent="0.3">
      <c r="A778" s="6" t="s">
        <v>790</v>
      </c>
      <c r="B778" s="2">
        <v>45159</v>
      </c>
      <c r="C778" s="6" t="s">
        <v>1987</v>
      </c>
      <c r="D778" s="6" t="s">
        <v>2405</v>
      </c>
      <c r="E778" s="9">
        <v>1</v>
      </c>
      <c r="F778" s="4">
        <v>21.19</v>
      </c>
      <c r="G778" t="s">
        <v>2917</v>
      </c>
      <c r="H778" s="6" t="s">
        <v>3069</v>
      </c>
      <c r="I778" s="6" t="s">
        <v>3072</v>
      </c>
      <c r="J778" s="6" t="s">
        <v>3851</v>
      </c>
      <c r="K778" s="9">
        <v>5</v>
      </c>
      <c r="L778" s="6" t="s">
        <v>4277</v>
      </c>
      <c r="M778" s="6" t="s">
        <v>4282</v>
      </c>
      <c r="N778" s="4">
        <v>21.19</v>
      </c>
      <c r="O778" s="6">
        <f t="shared" si="12"/>
        <v>424</v>
      </c>
    </row>
    <row r="779" spans="1:15" x14ac:dyDescent="0.3">
      <c r="A779" s="6" t="s">
        <v>791</v>
      </c>
      <c r="B779" s="2">
        <v>45737</v>
      </c>
      <c r="C779" s="6" t="s">
        <v>1988</v>
      </c>
      <c r="D779" s="6" t="s">
        <v>2406</v>
      </c>
      <c r="E779" s="9">
        <v>5</v>
      </c>
      <c r="F779" s="4">
        <v>64.489999999999995</v>
      </c>
      <c r="G779" t="s">
        <v>2432</v>
      </c>
      <c r="H779" s="6" t="s">
        <v>3066</v>
      </c>
      <c r="I779" s="6" t="s">
        <v>3071</v>
      </c>
      <c r="J779" s="6" t="s">
        <v>3852</v>
      </c>
      <c r="K779" s="9">
        <v>7</v>
      </c>
      <c r="L779" s="6" t="s">
        <v>4283</v>
      </c>
      <c r="M779" s="6" t="s">
        <v>4281</v>
      </c>
      <c r="N779" s="4">
        <v>322.45</v>
      </c>
      <c r="O779" s="6">
        <f t="shared" si="12"/>
        <v>423</v>
      </c>
    </row>
    <row r="780" spans="1:15" x14ac:dyDescent="0.3">
      <c r="A780" s="6" t="s">
        <v>792</v>
      </c>
      <c r="B780" s="2">
        <v>45044</v>
      </c>
      <c r="C780" s="6" t="s">
        <v>1989</v>
      </c>
      <c r="D780" s="6" t="s">
        <v>2408</v>
      </c>
      <c r="E780" s="9">
        <v>4</v>
      </c>
      <c r="F780" s="4">
        <v>246.85</v>
      </c>
      <c r="G780" t="s">
        <v>2918</v>
      </c>
      <c r="H780" s="6" t="s">
        <v>3067</v>
      </c>
      <c r="I780" s="6" t="s">
        <v>3070</v>
      </c>
      <c r="J780" s="6" t="s">
        <v>3853</v>
      </c>
      <c r="K780" s="9">
        <v>8</v>
      </c>
      <c r="L780" s="6" t="s">
        <v>4277</v>
      </c>
      <c r="M780" s="6" t="s">
        <v>4282</v>
      </c>
      <c r="N780" s="4">
        <v>987.4</v>
      </c>
      <c r="O780" s="6">
        <f t="shared" si="12"/>
        <v>422</v>
      </c>
    </row>
    <row r="781" spans="1:15" x14ac:dyDescent="0.3">
      <c r="A781" s="6" t="s">
        <v>793</v>
      </c>
      <c r="B781" s="2">
        <v>45261</v>
      </c>
      <c r="C781" s="6" t="s">
        <v>1990</v>
      </c>
      <c r="D781" s="6" t="s">
        <v>2404</v>
      </c>
      <c r="E781" s="9">
        <v>3</v>
      </c>
      <c r="F781" s="4">
        <v>588.74</v>
      </c>
      <c r="G781" t="s">
        <v>2919</v>
      </c>
      <c r="H781" s="6" t="s">
        <v>3065</v>
      </c>
      <c r="I781" s="6" t="s">
        <v>3074</v>
      </c>
      <c r="J781" s="6" t="s">
        <v>3854</v>
      </c>
      <c r="K781" s="9">
        <v>8</v>
      </c>
      <c r="L781" s="6" t="s">
        <v>4276</v>
      </c>
      <c r="M781" s="6" t="s">
        <v>4280</v>
      </c>
      <c r="N781" s="4">
        <v>1766.22</v>
      </c>
      <c r="O781" s="6">
        <f t="shared" si="12"/>
        <v>421</v>
      </c>
    </row>
    <row r="782" spans="1:15" x14ac:dyDescent="0.3">
      <c r="A782" s="6" t="s">
        <v>794</v>
      </c>
      <c r="B782" s="2">
        <v>45382</v>
      </c>
      <c r="C782" s="6" t="s">
        <v>1991</v>
      </c>
      <c r="D782" s="6" t="s">
        <v>2408</v>
      </c>
      <c r="E782" s="9">
        <v>4</v>
      </c>
      <c r="F782" s="4">
        <v>184.48</v>
      </c>
      <c r="G782" t="s">
        <v>2755</v>
      </c>
      <c r="H782" s="6" t="s">
        <v>3066</v>
      </c>
      <c r="I782" s="6" t="s">
        <v>3071</v>
      </c>
      <c r="J782" s="6" t="s">
        <v>3855</v>
      </c>
      <c r="K782" s="9">
        <v>4</v>
      </c>
      <c r="L782" s="6" t="s">
        <v>4277</v>
      </c>
      <c r="M782" s="6" t="s">
        <v>4282</v>
      </c>
      <c r="N782" s="4">
        <v>737.92</v>
      </c>
      <c r="O782" s="6">
        <f t="shared" si="12"/>
        <v>420</v>
      </c>
    </row>
    <row r="783" spans="1:15" x14ac:dyDescent="0.3">
      <c r="A783" s="6" t="s">
        <v>795</v>
      </c>
      <c r="B783" s="2">
        <v>45301</v>
      </c>
      <c r="C783" s="6" t="s">
        <v>1992</v>
      </c>
      <c r="D783" s="6" t="s">
        <v>2404</v>
      </c>
      <c r="E783" s="9">
        <v>5</v>
      </c>
      <c r="F783" s="4">
        <v>524.26</v>
      </c>
      <c r="G783" t="s">
        <v>2415</v>
      </c>
      <c r="H783" s="6" t="s">
        <v>3068</v>
      </c>
      <c r="I783" s="6" t="s">
        <v>3073</v>
      </c>
      <c r="J783" s="6" t="s">
        <v>3856</v>
      </c>
      <c r="K783" s="9">
        <v>5</v>
      </c>
      <c r="L783" s="6" t="s">
        <v>4276</v>
      </c>
      <c r="M783" s="6" t="s">
        <v>4279</v>
      </c>
      <c r="N783" s="4">
        <v>2621.3000000000002</v>
      </c>
      <c r="O783" s="6">
        <f t="shared" si="12"/>
        <v>419</v>
      </c>
    </row>
    <row r="784" spans="1:15" x14ac:dyDescent="0.3">
      <c r="A784" s="6" t="s">
        <v>796</v>
      </c>
      <c r="B784" s="2">
        <v>45515</v>
      </c>
      <c r="C784" s="6" t="s">
        <v>1993</v>
      </c>
      <c r="D784" s="6" t="s">
        <v>2403</v>
      </c>
      <c r="E784" s="9">
        <v>2</v>
      </c>
      <c r="F784" s="4">
        <v>493.63</v>
      </c>
      <c r="G784" t="s">
        <v>2824</v>
      </c>
      <c r="H784" s="6" t="s">
        <v>3066</v>
      </c>
      <c r="I784" s="6" t="s">
        <v>3072</v>
      </c>
      <c r="J784" s="6" t="s">
        <v>3857</v>
      </c>
      <c r="K784" s="9">
        <v>6</v>
      </c>
      <c r="L784" s="6" t="s">
        <v>4275</v>
      </c>
      <c r="M784" s="6" t="s">
        <v>4279</v>
      </c>
      <c r="N784" s="4">
        <v>987.26</v>
      </c>
      <c r="O784" s="6">
        <f t="shared" si="12"/>
        <v>418</v>
      </c>
    </row>
    <row r="785" spans="1:15" x14ac:dyDescent="0.3">
      <c r="A785" s="6" t="s">
        <v>797</v>
      </c>
      <c r="B785" s="2">
        <v>45803</v>
      </c>
      <c r="C785" s="6" t="s">
        <v>1994</v>
      </c>
      <c r="D785" s="6" t="s">
        <v>2407</v>
      </c>
      <c r="E785" s="9">
        <v>1</v>
      </c>
      <c r="F785" s="4">
        <v>438.34</v>
      </c>
      <c r="G785" t="s">
        <v>2888</v>
      </c>
      <c r="H785" s="6" t="s">
        <v>3068</v>
      </c>
      <c r="I785" s="6" t="s">
        <v>3072</v>
      </c>
      <c r="J785" s="6" t="s">
        <v>3858</v>
      </c>
      <c r="K785" s="9">
        <v>5</v>
      </c>
      <c r="L785" s="6" t="s">
        <v>4276</v>
      </c>
      <c r="M785" s="6" t="s">
        <v>4281</v>
      </c>
      <c r="N785" s="4">
        <v>438.34</v>
      </c>
      <c r="O785" s="6">
        <f t="shared" si="12"/>
        <v>417</v>
      </c>
    </row>
    <row r="786" spans="1:15" x14ac:dyDescent="0.3">
      <c r="A786" s="6" t="s">
        <v>798</v>
      </c>
      <c r="B786" s="2">
        <v>45793</v>
      </c>
      <c r="C786" s="6" t="s">
        <v>1995</v>
      </c>
      <c r="D786" s="6" t="s">
        <v>2408</v>
      </c>
      <c r="E786" s="9">
        <v>1</v>
      </c>
      <c r="F786" s="4">
        <v>325.81</v>
      </c>
      <c r="G786" t="s">
        <v>2459</v>
      </c>
      <c r="H786" s="6" t="s">
        <v>3067</v>
      </c>
      <c r="I786" s="6" t="s">
        <v>3074</v>
      </c>
      <c r="J786" s="6" t="s">
        <v>3859</v>
      </c>
      <c r="K786" s="9">
        <v>1</v>
      </c>
      <c r="L786" s="6" t="s">
        <v>4277</v>
      </c>
      <c r="M786" s="6" t="s">
        <v>4279</v>
      </c>
      <c r="N786" s="4">
        <v>325.81</v>
      </c>
      <c r="O786" s="6">
        <f t="shared" si="12"/>
        <v>416</v>
      </c>
    </row>
    <row r="787" spans="1:15" x14ac:dyDescent="0.3">
      <c r="A787" s="6" t="s">
        <v>799</v>
      </c>
      <c r="B787" s="2">
        <v>45136</v>
      </c>
      <c r="C787" s="6" t="s">
        <v>1996</v>
      </c>
      <c r="D787" s="6" t="s">
        <v>2406</v>
      </c>
      <c r="E787" s="9">
        <v>1</v>
      </c>
      <c r="F787" s="4">
        <v>176.1</v>
      </c>
      <c r="G787" t="s">
        <v>2920</v>
      </c>
      <c r="H787" s="6" t="s">
        <v>3067</v>
      </c>
      <c r="I787" s="6" t="s">
        <v>3074</v>
      </c>
      <c r="J787" s="6" t="s">
        <v>3860</v>
      </c>
      <c r="K787" s="9">
        <v>1</v>
      </c>
      <c r="L787" s="6" t="s">
        <v>4275</v>
      </c>
      <c r="M787" s="6" t="s">
        <v>4278</v>
      </c>
      <c r="N787" s="4">
        <v>176.1</v>
      </c>
      <c r="O787" s="6">
        <f t="shared" si="12"/>
        <v>415</v>
      </c>
    </row>
    <row r="788" spans="1:15" x14ac:dyDescent="0.3">
      <c r="A788" s="6" t="s">
        <v>800</v>
      </c>
      <c r="B788" s="2">
        <v>45161</v>
      </c>
      <c r="C788" s="6" t="s">
        <v>1997</v>
      </c>
      <c r="D788" s="6" t="s">
        <v>2406</v>
      </c>
      <c r="E788" s="9">
        <v>5</v>
      </c>
      <c r="F788" s="4">
        <v>45.31</v>
      </c>
      <c r="G788" t="s">
        <v>2921</v>
      </c>
      <c r="H788" s="6" t="s">
        <v>3066</v>
      </c>
      <c r="I788" s="6" t="s">
        <v>3071</v>
      </c>
      <c r="J788" s="6" t="s">
        <v>3861</v>
      </c>
      <c r="K788" s="9">
        <v>8</v>
      </c>
      <c r="L788" s="6" t="s">
        <v>4283</v>
      </c>
      <c r="M788" s="6" t="s">
        <v>4279</v>
      </c>
      <c r="N788" s="4">
        <v>226.55</v>
      </c>
      <c r="O788" s="6">
        <f t="shared" si="12"/>
        <v>415</v>
      </c>
    </row>
    <row r="789" spans="1:15" x14ac:dyDescent="0.3">
      <c r="A789" s="6" t="s">
        <v>801</v>
      </c>
      <c r="B789" s="2">
        <v>45368</v>
      </c>
      <c r="C789" s="6" t="s">
        <v>1998</v>
      </c>
      <c r="D789" s="6" t="s">
        <v>2409</v>
      </c>
      <c r="E789" s="9">
        <v>4</v>
      </c>
      <c r="F789" s="4">
        <v>221.96</v>
      </c>
      <c r="G789" t="s">
        <v>2922</v>
      </c>
      <c r="H789" s="6" t="s">
        <v>3069</v>
      </c>
      <c r="I789" s="6" t="s">
        <v>3073</v>
      </c>
      <c r="J789" s="6" t="s">
        <v>3862</v>
      </c>
      <c r="K789" s="9">
        <v>7</v>
      </c>
      <c r="L789" s="6" t="s">
        <v>4283</v>
      </c>
      <c r="M789" s="6" t="s">
        <v>4282</v>
      </c>
      <c r="N789" s="4">
        <v>887.84</v>
      </c>
      <c r="O789" s="6">
        <f t="shared" si="12"/>
        <v>414</v>
      </c>
    </row>
    <row r="790" spans="1:15" x14ac:dyDescent="0.3">
      <c r="A790" s="6" t="s">
        <v>802</v>
      </c>
      <c r="B790" s="2">
        <v>45232</v>
      </c>
      <c r="C790" s="6" t="s">
        <v>1999</v>
      </c>
      <c r="D790" s="6" t="s">
        <v>2406</v>
      </c>
      <c r="E790" s="9">
        <v>2</v>
      </c>
      <c r="F790" s="4">
        <v>601.42999999999995</v>
      </c>
      <c r="G790" t="s">
        <v>2923</v>
      </c>
      <c r="H790" s="6" t="s">
        <v>3066</v>
      </c>
      <c r="I790" s="6" t="s">
        <v>3074</v>
      </c>
      <c r="J790" s="6" t="s">
        <v>3863</v>
      </c>
      <c r="K790" s="9">
        <v>5</v>
      </c>
      <c r="L790" s="6" t="s">
        <v>4276</v>
      </c>
      <c r="M790" s="6" t="s">
        <v>4278</v>
      </c>
      <c r="N790" s="4">
        <v>1202.8599999999999</v>
      </c>
      <c r="O790" s="6">
        <f t="shared" si="12"/>
        <v>413</v>
      </c>
    </row>
    <row r="791" spans="1:15" x14ac:dyDescent="0.3">
      <c r="A791" s="6" t="s">
        <v>803</v>
      </c>
      <c r="B791" s="2">
        <v>45155</v>
      </c>
      <c r="C791" s="6" t="s">
        <v>2000</v>
      </c>
      <c r="D791" s="6" t="s">
        <v>2405</v>
      </c>
      <c r="E791" s="9">
        <v>5</v>
      </c>
      <c r="F791" s="4">
        <v>691.28</v>
      </c>
      <c r="G791" t="s">
        <v>2924</v>
      </c>
      <c r="H791" s="6" t="s">
        <v>3066</v>
      </c>
      <c r="I791" s="6" t="s">
        <v>3073</v>
      </c>
      <c r="J791" s="6" t="s">
        <v>3864</v>
      </c>
      <c r="K791" s="9">
        <v>10</v>
      </c>
      <c r="L791" s="6" t="s">
        <v>4275</v>
      </c>
      <c r="M791" s="6" t="s">
        <v>4280</v>
      </c>
      <c r="N791" s="4">
        <v>3456.4</v>
      </c>
      <c r="O791" s="6">
        <f t="shared" si="12"/>
        <v>412</v>
      </c>
    </row>
    <row r="792" spans="1:15" x14ac:dyDescent="0.3">
      <c r="A792" s="6" t="s">
        <v>804</v>
      </c>
      <c r="B792" s="2">
        <v>45549</v>
      </c>
      <c r="C792" s="6" t="s">
        <v>2001</v>
      </c>
      <c r="D792" s="6" t="s">
        <v>2408</v>
      </c>
      <c r="E792" s="9">
        <v>4</v>
      </c>
      <c r="F792" s="4">
        <v>417.89</v>
      </c>
      <c r="G792" t="s">
        <v>2925</v>
      </c>
      <c r="H792" s="6" t="s">
        <v>3068</v>
      </c>
      <c r="I792" s="6" t="s">
        <v>3074</v>
      </c>
      <c r="J792" s="6" t="s">
        <v>3865</v>
      </c>
      <c r="K792" s="9">
        <v>4</v>
      </c>
      <c r="L792" s="6" t="s">
        <v>4283</v>
      </c>
      <c r="M792" s="6" t="s">
        <v>4282</v>
      </c>
      <c r="N792" s="4">
        <v>1671.56</v>
      </c>
      <c r="O792" s="6">
        <f t="shared" si="12"/>
        <v>411</v>
      </c>
    </row>
    <row r="793" spans="1:15" x14ac:dyDescent="0.3">
      <c r="A793" s="6" t="s">
        <v>805</v>
      </c>
      <c r="B793" s="2">
        <v>45304</v>
      </c>
      <c r="C793" s="6" t="s">
        <v>2002</v>
      </c>
      <c r="D793" s="6" t="s">
        <v>2406</v>
      </c>
      <c r="E793" s="9">
        <v>4</v>
      </c>
      <c r="F793" s="4">
        <v>409.28</v>
      </c>
      <c r="G793" t="s">
        <v>2434</v>
      </c>
      <c r="H793" s="6" t="s">
        <v>3069</v>
      </c>
      <c r="I793" s="6" t="s">
        <v>3074</v>
      </c>
      <c r="J793" s="6" t="s">
        <v>3866</v>
      </c>
      <c r="K793" s="9">
        <v>8</v>
      </c>
      <c r="L793" s="6" t="s">
        <v>4283</v>
      </c>
      <c r="M793" s="6" t="s">
        <v>4280</v>
      </c>
      <c r="N793" s="4">
        <v>1637.12</v>
      </c>
      <c r="O793" s="6">
        <f t="shared" si="12"/>
        <v>410</v>
      </c>
    </row>
    <row r="794" spans="1:15" x14ac:dyDescent="0.3">
      <c r="A794" s="6" t="s">
        <v>806</v>
      </c>
      <c r="B794" s="2">
        <v>45093</v>
      </c>
      <c r="C794" s="6" t="s">
        <v>2003</v>
      </c>
      <c r="D794" s="6" t="s">
        <v>2409</v>
      </c>
      <c r="E794" s="9">
        <v>2</v>
      </c>
      <c r="F794" s="4">
        <v>356.35</v>
      </c>
      <c r="G794" t="s">
        <v>2926</v>
      </c>
      <c r="H794" s="6" t="s">
        <v>3065</v>
      </c>
      <c r="I794" s="6" t="s">
        <v>3072</v>
      </c>
      <c r="J794" s="6" t="s">
        <v>3867</v>
      </c>
      <c r="K794" s="9">
        <v>6</v>
      </c>
      <c r="L794" s="6" t="s">
        <v>4277</v>
      </c>
      <c r="M794" s="6" t="s">
        <v>4281</v>
      </c>
      <c r="N794" s="4">
        <v>712.7</v>
      </c>
      <c r="O794" s="6">
        <f t="shared" si="12"/>
        <v>409</v>
      </c>
    </row>
    <row r="795" spans="1:15" x14ac:dyDescent="0.3">
      <c r="A795" s="6" t="s">
        <v>807</v>
      </c>
      <c r="B795" s="2">
        <v>45397</v>
      </c>
      <c r="C795" s="6" t="s">
        <v>2004</v>
      </c>
      <c r="D795" s="6" t="s">
        <v>2406</v>
      </c>
      <c r="E795" s="9">
        <v>5</v>
      </c>
      <c r="F795" s="4">
        <v>170.22</v>
      </c>
      <c r="G795" t="s">
        <v>2745</v>
      </c>
      <c r="H795" s="6" t="s">
        <v>3065</v>
      </c>
      <c r="I795" s="6" t="s">
        <v>3073</v>
      </c>
      <c r="J795" s="6" t="s">
        <v>3868</v>
      </c>
      <c r="K795" s="9">
        <v>8</v>
      </c>
      <c r="L795" s="6" t="s">
        <v>4283</v>
      </c>
      <c r="M795" s="6" t="s">
        <v>4279</v>
      </c>
      <c r="N795" s="4">
        <v>851.1</v>
      </c>
      <c r="O795" s="6">
        <f t="shared" si="12"/>
        <v>408</v>
      </c>
    </row>
    <row r="796" spans="1:15" x14ac:dyDescent="0.3">
      <c r="A796" s="6" t="s">
        <v>808</v>
      </c>
      <c r="B796" s="2">
        <v>44994</v>
      </c>
      <c r="C796" s="6" t="s">
        <v>2005</v>
      </c>
      <c r="D796" s="6" t="s">
        <v>2407</v>
      </c>
      <c r="E796" s="9">
        <v>4</v>
      </c>
      <c r="F796" s="4">
        <v>384.85</v>
      </c>
      <c r="G796" t="s">
        <v>2927</v>
      </c>
      <c r="H796" s="6" t="s">
        <v>3066</v>
      </c>
      <c r="I796" s="6" t="s">
        <v>3073</v>
      </c>
      <c r="J796" s="6" t="s">
        <v>3869</v>
      </c>
      <c r="K796" s="9">
        <v>9</v>
      </c>
      <c r="L796" s="6" t="s">
        <v>4276</v>
      </c>
      <c r="M796" s="6" t="s">
        <v>4278</v>
      </c>
      <c r="N796" s="4">
        <v>1539.4</v>
      </c>
      <c r="O796" s="6">
        <f t="shared" si="12"/>
        <v>407</v>
      </c>
    </row>
    <row r="797" spans="1:15" x14ac:dyDescent="0.3">
      <c r="A797" s="6" t="s">
        <v>809</v>
      </c>
      <c r="B797" s="2">
        <v>45616</v>
      </c>
      <c r="C797" s="6" t="s">
        <v>2006</v>
      </c>
      <c r="D797" s="6" t="s">
        <v>2408</v>
      </c>
      <c r="E797" s="9">
        <v>4</v>
      </c>
      <c r="F797" s="4">
        <v>115.77</v>
      </c>
      <c r="G797" t="s">
        <v>2928</v>
      </c>
      <c r="H797" s="6" t="s">
        <v>3066</v>
      </c>
      <c r="I797" s="6" t="s">
        <v>3074</v>
      </c>
      <c r="J797" s="6" t="s">
        <v>3870</v>
      </c>
      <c r="K797" s="9">
        <v>7</v>
      </c>
      <c r="L797" s="6" t="s">
        <v>4275</v>
      </c>
      <c r="M797" s="6" t="s">
        <v>4278</v>
      </c>
      <c r="N797" s="4">
        <v>463.08</v>
      </c>
      <c r="O797" s="6">
        <f t="shared" si="12"/>
        <v>406</v>
      </c>
    </row>
    <row r="798" spans="1:15" x14ac:dyDescent="0.3">
      <c r="A798" s="6" t="s">
        <v>810</v>
      </c>
      <c r="B798" s="2">
        <v>45776</v>
      </c>
      <c r="C798" s="6" t="s">
        <v>2007</v>
      </c>
      <c r="D798" s="6" t="s">
        <v>2404</v>
      </c>
      <c r="E798" s="9">
        <v>3</v>
      </c>
      <c r="F798" s="4">
        <v>579.54999999999995</v>
      </c>
      <c r="G798" t="s">
        <v>2599</v>
      </c>
      <c r="H798" s="6" t="s">
        <v>3068</v>
      </c>
      <c r="I798" s="6" t="s">
        <v>3072</v>
      </c>
      <c r="J798" s="6" t="s">
        <v>3871</v>
      </c>
      <c r="K798" s="9">
        <v>8</v>
      </c>
      <c r="L798" s="6" t="s">
        <v>4277</v>
      </c>
      <c r="M798" s="6" t="s">
        <v>4281</v>
      </c>
      <c r="N798" s="4">
        <v>1738.65</v>
      </c>
      <c r="O798" s="6">
        <f t="shared" si="12"/>
        <v>405</v>
      </c>
    </row>
    <row r="799" spans="1:15" x14ac:dyDescent="0.3">
      <c r="A799" s="6" t="s">
        <v>811</v>
      </c>
      <c r="B799" s="2">
        <v>44984</v>
      </c>
      <c r="C799" s="6" t="s">
        <v>2008</v>
      </c>
      <c r="D799" s="6" t="s">
        <v>2408</v>
      </c>
      <c r="E799" s="9">
        <v>2</v>
      </c>
      <c r="F799" s="4">
        <v>438.76</v>
      </c>
      <c r="G799" t="s">
        <v>2929</v>
      </c>
      <c r="H799" s="6" t="s">
        <v>3065</v>
      </c>
      <c r="I799" s="6" t="s">
        <v>3072</v>
      </c>
      <c r="J799" s="6" t="s">
        <v>3872</v>
      </c>
      <c r="K799" s="9">
        <v>2</v>
      </c>
      <c r="L799" s="6" t="s">
        <v>4283</v>
      </c>
      <c r="M799" s="6" t="s">
        <v>4281</v>
      </c>
      <c r="N799" s="4">
        <v>877.52</v>
      </c>
      <c r="O799" s="6">
        <f t="shared" si="12"/>
        <v>404</v>
      </c>
    </row>
    <row r="800" spans="1:15" x14ac:dyDescent="0.3">
      <c r="A800" s="6" t="s">
        <v>812</v>
      </c>
      <c r="B800" s="2">
        <v>45796</v>
      </c>
      <c r="C800" s="6" t="s">
        <v>2009</v>
      </c>
      <c r="D800" s="6" t="s">
        <v>2404</v>
      </c>
      <c r="E800" s="9">
        <v>5</v>
      </c>
      <c r="F800" s="4">
        <v>488.35</v>
      </c>
      <c r="G800" t="s">
        <v>2672</v>
      </c>
      <c r="H800" s="6" t="s">
        <v>3065</v>
      </c>
      <c r="I800" s="6" t="s">
        <v>3072</v>
      </c>
      <c r="J800" s="6" t="s">
        <v>3873</v>
      </c>
      <c r="K800" s="9">
        <v>9</v>
      </c>
      <c r="L800" s="6" t="s">
        <v>4276</v>
      </c>
      <c r="M800" s="6" t="s">
        <v>4280</v>
      </c>
      <c r="N800" s="4">
        <v>2441.75</v>
      </c>
      <c r="O800" s="6">
        <f t="shared" si="12"/>
        <v>403</v>
      </c>
    </row>
    <row r="801" spans="1:15" x14ac:dyDescent="0.3">
      <c r="A801" s="6" t="s">
        <v>813</v>
      </c>
      <c r="B801" s="2">
        <v>45032</v>
      </c>
      <c r="C801" s="6" t="s">
        <v>2010</v>
      </c>
      <c r="D801" s="6" t="s">
        <v>2408</v>
      </c>
      <c r="E801" s="9">
        <v>4</v>
      </c>
      <c r="F801" s="4">
        <v>328.56</v>
      </c>
      <c r="G801" t="s">
        <v>2638</v>
      </c>
      <c r="H801" s="6" t="s">
        <v>3065</v>
      </c>
      <c r="I801" s="6" t="s">
        <v>3072</v>
      </c>
      <c r="J801" s="6" t="s">
        <v>3874</v>
      </c>
      <c r="K801" s="9">
        <v>4</v>
      </c>
      <c r="L801" s="6" t="s">
        <v>4276</v>
      </c>
      <c r="M801" s="6" t="s">
        <v>4280</v>
      </c>
      <c r="N801" s="4">
        <v>1314.24</v>
      </c>
      <c r="O801" s="6">
        <f t="shared" si="12"/>
        <v>402</v>
      </c>
    </row>
    <row r="802" spans="1:15" x14ac:dyDescent="0.3">
      <c r="A802" s="6" t="s">
        <v>814</v>
      </c>
      <c r="B802" s="2">
        <v>45744</v>
      </c>
      <c r="C802" s="6" t="s">
        <v>2011</v>
      </c>
      <c r="D802" s="6" t="s">
        <v>2405</v>
      </c>
      <c r="E802" s="9">
        <v>1</v>
      </c>
      <c r="F802" s="4">
        <v>68.39</v>
      </c>
      <c r="G802" t="s">
        <v>2930</v>
      </c>
      <c r="H802" s="6" t="s">
        <v>3066</v>
      </c>
      <c r="I802" s="6" t="s">
        <v>3072</v>
      </c>
      <c r="J802" s="6" t="s">
        <v>3875</v>
      </c>
      <c r="K802" s="9">
        <v>3</v>
      </c>
      <c r="L802" s="6" t="s">
        <v>4277</v>
      </c>
      <c r="M802" s="6" t="s">
        <v>4281</v>
      </c>
      <c r="N802" s="4">
        <v>68.39</v>
      </c>
      <c r="O802" s="6">
        <f t="shared" si="12"/>
        <v>401</v>
      </c>
    </row>
    <row r="803" spans="1:15" x14ac:dyDescent="0.3">
      <c r="A803" s="6" t="s">
        <v>815</v>
      </c>
      <c r="B803" s="2">
        <v>45049</v>
      </c>
      <c r="C803" s="6" t="s">
        <v>1241</v>
      </c>
      <c r="D803" s="6" t="s">
        <v>2407</v>
      </c>
      <c r="E803" s="9">
        <v>4</v>
      </c>
      <c r="F803" s="4">
        <v>595.62</v>
      </c>
      <c r="G803" t="s">
        <v>2931</v>
      </c>
      <c r="H803" s="6" t="s">
        <v>3065</v>
      </c>
      <c r="I803" s="6" t="s">
        <v>3074</v>
      </c>
      <c r="J803" s="6" t="s">
        <v>3876</v>
      </c>
      <c r="K803" s="9">
        <v>8</v>
      </c>
      <c r="L803" s="6" t="s">
        <v>4276</v>
      </c>
      <c r="M803" s="6" t="s">
        <v>4281</v>
      </c>
      <c r="N803" s="4">
        <v>2382.48</v>
      </c>
      <c r="O803" s="6">
        <f t="shared" si="12"/>
        <v>400</v>
      </c>
    </row>
    <row r="804" spans="1:15" x14ac:dyDescent="0.3">
      <c r="A804" s="6" t="s">
        <v>816</v>
      </c>
      <c r="B804" s="2">
        <v>45339</v>
      </c>
      <c r="C804" s="6" t="s">
        <v>2012</v>
      </c>
      <c r="D804" s="6" t="s">
        <v>2406</v>
      </c>
      <c r="E804" s="9">
        <v>5</v>
      </c>
      <c r="F804" s="4">
        <v>644.64</v>
      </c>
      <c r="G804" t="s">
        <v>2932</v>
      </c>
      <c r="H804" s="6" t="s">
        <v>3068</v>
      </c>
      <c r="I804" s="6" t="s">
        <v>3071</v>
      </c>
      <c r="J804" s="6" t="s">
        <v>3877</v>
      </c>
      <c r="K804" s="9">
        <v>6</v>
      </c>
      <c r="L804" s="6" t="s">
        <v>4276</v>
      </c>
      <c r="M804" s="6" t="s">
        <v>4280</v>
      </c>
      <c r="N804" s="4">
        <v>3223.2</v>
      </c>
      <c r="O804" s="6">
        <f t="shared" si="12"/>
        <v>399</v>
      </c>
    </row>
    <row r="805" spans="1:15" x14ac:dyDescent="0.3">
      <c r="A805" s="6" t="s">
        <v>817</v>
      </c>
      <c r="B805" s="2">
        <v>45158</v>
      </c>
      <c r="C805" s="6" t="s">
        <v>2013</v>
      </c>
      <c r="D805" s="6" t="s">
        <v>2403</v>
      </c>
      <c r="E805" s="9">
        <v>5</v>
      </c>
      <c r="F805" s="4">
        <v>397.81</v>
      </c>
      <c r="G805" t="s">
        <v>2454</v>
      </c>
      <c r="H805" s="6" t="s">
        <v>3065</v>
      </c>
      <c r="I805" s="6" t="s">
        <v>3072</v>
      </c>
      <c r="J805" s="6" t="s">
        <v>3878</v>
      </c>
      <c r="K805" s="9">
        <v>5</v>
      </c>
      <c r="L805" s="6" t="s">
        <v>4275</v>
      </c>
      <c r="M805" s="6" t="s">
        <v>4279</v>
      </c>
      <c r="N805" s="4">
        <v>1989.05</v>
      </c>
      <c r="O805" s="6">
        <f t="shared" si="12"/>
        <v>398</v>
      </c>
    </row>
    <row r="806" spans="1:15" x14ac:dyDescent="0.3">
      <c r="A806" s="6" t="s">
        <v>818</v>
      </c>
      <c r="B806" s="2">
        <v>45292</v>
      </c>
      <c r="C806" s="6" t="s">
        <v>2014</v>
      </c>
      <c r="D806" s="6" t="s">
        <v>2406</v>
      </c>
      <c r="E806" s="9">
        <v>3</v>
      </c>
      <c r="F806" s="4">
        <v>236.5</v>
      </c>
      <c r="G806" t="s">
        <v>2933</v>
      </c>
      <c r="H806" s="6" t="s">
        <v>3066</v>
      </c>
      <c r="I806" s="6" t="s">
        <v>3073</v>
      </c>
      <c r="J806" s="6" t="s">
        <v>3879</v>
      </c>
      <c r="K806" s="9">
        <v>8</v>
      </c>
      <c r="L806" s="6" t="s">
        <v>4276</v>
      </c>
      <c r="M806" s="6" t="s">
        <v>4280</v>
      </c>
      <c r="N806" s="4">
        <v>709.5</v>
      </c>
      <c r="O806" s="6">
        <f t="shared" si="12"/>
        <v>397</v>
      </c>
    </row>
    <row r="807" spans="1:15" x14ac:dyDescent="0.3">
      <c r="A807" s="6" t="s">
        <v>819</v>
      </c>
      <c r="B807" s="2">
        <v>45580</v>
      </c>
      <c r="C807" s="6" t="s">
        <v>2015</v>
      </c>
      <c r="D807" s="6" t="s">
        <v>2408</v>
      </c>
      <c r="E807" s="9">
        <v>5</v>
      </c>
      <c r="F807" s="4">
        <v>472.01</v>
      </c>
      <c r="G807" t="s">
        <v>2934</v>
      </c>
      <c r="H807" s="6" t="s">
        <v>3068</v>
      </c>
      <c r="I807" s="6" t="s">
        <v>3071</v>
      </c>
      <c r="J807" s="6" t="s">
        <v>3880</v>
      </c>
      <c r="K807" s="9">
        <v>10</v>
      </c>
      <c r="L807" s="6" t="s">
        <v>4275</v>
      </c>
      <c r="M807" s="6" t="s">
        <v>4280</v>
      </c>
      <c r="N807" s="4">
        <v>2360.0500000000002</v>
      </c>
      <c r="O807" s="6">
        <f t="shared" si="12"/>
        <v>396</v>
      </c>
    </row>
    <row r="808" spans="1:15" x14ac:dyDescent="0.3">
      <c r="A808" s="6" t="s">
        <v>820</v>
      </c>
      <c r="B808" s="2">
        <v>45170</v>
      </c>
      <c r="C808" s="6" t="s">
        <v>2016</v>
      </c>
      <c r="D808" s="6" t="s">
        <v>2406</v>
      </c>
      <c r="E808" s="9">
        <v>5</v>
      </c>
      <c r="F808" s="4">
        <v>253.75</v>
      </c>
      <c r="G808" t="s">
        <v>2650</v>
      </c>
      <c r="H808" s="6" t="s">
        <v>3066</v>
      </c>
      <c r="I808" s="6" t="s">
        <v>3074</v>
      </c>
      <c r="J808" s="6" t="s">
        <v>3881</v>
      </c>
      <c r="K808" s="9">
        <v>9</v>
      </c>
      <c r="L808" s="6" t="s">
        <v>4277</v>
      </c>
      <c r="M808" s="6" t="s">
        <v>4278</v>
      </c>
      <c r="N808" s="4">
        <v>1268.75</v>
      </c>
      <c r="O808" s="6">
        <f t="shared" si="12"/>
        <v>395</v>
      </c>
    </row>
    <row r="809" spans="1:15" x14ac:dyDescent="0.3">
      <c r="A809" s="6" t="s">
        <v>821</v>
      </c>
      <c r="B809" s="2">
        <v>45606</v>
      </c>
      <c r="C809" s="6" t="s">
        <v>2017</v>
      </c>
      <c r="D809" s="6" t="s">
        <v>2403</v>
      </c>
      <c r="E809" s="9">
        <v>3</v>
      </c>
      <c r="F809" s="4">
        <v>676.21</v>
      </c>
      <c r="G809" t="s">
        <v>2935</v>
      </c>
      <c r="H809" s="6" t="s">
        <v>3066</v>
      </c>
      <c r="I809" s="6" t="s">
        <v>3073</v>
      </c>
      <c r="J809" s="6" t="s">
        <v>3882</v>
      </c>
      <c r="K809" s="9">
        <v>5</v>
      </c>
      <c r="L809" s="6" t="s">
        <v>4275</v>
      </c>
      <c r="M809" s="6" t="s">
        <v>4282</v>
      </c>
      <c r="N809" s="4">
        <v>2028.63</v>
      </c>
      <c r="O809" s="6">
        <f t="shared" si="12"/>
        <v>394</v>
      </c>
    </row>
    <row r="810" spans="1:15" x14ac:dyDescent="0.3">
      <c r="A810" s="6" t="s">
        <v>822</v>
      </c>
      <c r="B810" s="2">
        <v>45335</v>
      </c>
      <c r="C810" s="6" t="s">
        <v>2018</v>
      </c>
      <c r="D810" s="6" t="s">
        <v>2409</v>
      </c>
      <c r="E810" s="9">
        <v>3</v>
      </c>
      <c r="F810" s="4">
        <v>134.05000000000001</v>
      </c>
      <c r="G810" t="s">
        <v>2936</v>
      </c>
      <c r="H810" s="6" t="s">
        <v>3067</v>
      </c>
      <c r="I810" s="6" t="s">
        <v>3070</v>
      </c>
      <c r="J810" s="6" t="s">
        <v>3883</v>
      </c>
      <c r="K810" s="9">
        <v>3</v>
      </c>
      <c r="L810" s="6" t="s">
        <v>4283</v>
      </c>
      <c r="M810" s="6" t="s">
        <v>4282</v>
      </c>
      <c r="N810" s="4">
        <v>402.15</v>
      </c>
      <c r="O810" s="6">
        <f t="shared" si="12"/>
        <v>393</v>
      </c>
    </row>
    <row r="811" spans="1:15" x14ac:dyDescent="0.3">
      <c r="A811" s="6" t="s">
        <v>823</v>
      </c>
      <c r="B811" s="2">
        <v>45391</v>
      </c>
      <c r="C811" s="6" t="s">
        <v>2019</v>
      </c>
      <c r="D811" s="6" t="s">
        <v>2409</v>
      </c>
      <c r="E811" s="9">
        <v>5</v>
      </c>
      <c r="F811" s="4">
        <v>217.43</v>
      </c>
      <c r="G811" t="s">
        <v>2470</v>
      </c>
      <c r="H811" s="6" t="s">
        <v>3065</v>
      </c>
      <c r="I811" s="6" t="s">
        <v>3070</v>
      </c>
      <c r="J811" s="6" t="s">
        <v>3884</v>
      </c>
      <c r="K811" s="9">
        <v>10</v>
      </c>
      <c r="L811" s="6" t="s">
        <v>4275</v>
      </c>
      <c r="M811" s="6" t="s">
        <v>4278</v>
      </c>
      <c r="N811" s="4">
        <v>1087.1500000000001</v>
      </c>
      <c r="O811" s="6">
        <f t="shared" si="12"/>
        <v>392</v>
      </c>
    </row>
    <row r="812" spans="1:15" x14ac:dyDescent="0.3">
      <c r="A812" s="6" t="s">
        <v>824</v>
      </c>
      <c r="B812" s="2">
        <v>45077</v>
      </c>
      <c r="C812" s="6" t="s">
        <v>2020</v>
      </c>
      <c r="D812" s="6" t="s">
        <v>2405</v>
      </c>
      <c r="E812" s="9">
        <v>1</v>
      </c>
      <c r="F812" s="4">
        <v>553.55999999999995</v>
      </c>
      <c r="G812" t="s">
        <v>2937</v>
      </c>
      <c r="H812" s="6" t="s">
        <v>3067</v>
      </c>
      <c r="I812" s="6" t="s">
        <v>3071</v>
      </c>
      <c r="J812" s="6" t="s">
        <v>3885</v>
      </c>
      <c r="K812" s="9">
        <v>5</v>
      </c>
      <c r="L812" s="6" t="s">
        <v>4283</v>
      </c>
      <c r="M812" s="6" t="s">
        <v>4279</v>
      </c>
      <c r="N812" s="4">
        <v>553.55999999999995</v>
      </c>
      <c r="O812" s="6">
        <f t="shared" si="12"/>
        <v>391</v>
      </c>
    </row>
    <row r="813" spans="1:15" x14ac:dyDescent="0.3">
      <c r="A813" s="6" t="s">
        <v>825</v>
      </c>
      <c r="B813" s="2">
        <v>45235</v>
      </c>
      <c r="C813" s="6" t="s">
        <v>2021</v>
      </c>
      <c r="D813" s="6" t="s">
        <v>2408</v>
      </c>
      <c r="E813" s="9">
        <v>2</v>
      </c>
      <c r="F813" s="4">
        <v>28.55</v>
      </c>
      <c r="G813" t="s">
        <v>2907</v>
      </c>
      <c r="H813" s="6" t="s">
        <v>3068</v>
      </c>
      <c r="I813" s="6" t="s">
        <v>3070</v>
      </c>
      <c r="J813" s="6" t="s">
        <v>3886</v>
      </c>
      <c r="K813" s="9">
        <v>7</v>
      </c>
      <c r="L813" s="6" t="s">
        <v>4275</v>
      </c>
      <c r="M813" s="6" t="s">
        <v>4280</v>
      </c>
      <c r="N813" s="4">
        <v>57.1</v>
      </c>
      <c r="O813" s="6">
        <f t="shared" si="12"/>
        <v>390</v>
      </c>
    </row>
    <row r="814" spans="1:15" x14ac:dyDescent="0.3">
      <c r="A814" s="6" t="s">
        <v>826</v>
      </c>
      <c r="B814" s="2">
        <v>45317</v>
      </c>
      <c r="C814" s="6" t="s">
        <v>2022</v>
      </c>
      <c r="D814" s="6" t="s">
        <v>2404</v>
      </c>
      <c r="E814" s="9">
        <v>2</v>
      </c>
      <c r="F814" s="4">
        <v>255.26</v>
      </c>
      <c r="G814" t="s">
        <v>2638</v>
      </c>
      <c r="H814" s="6" t="s">
        <v>3067</v>
      </c>
      <c r="I814" s="6" t="s">
        <v>3071</v>
      </c>
      <c r="J814" s="6" t="s">
        <v>3887</v>
      </c>
      <c r="K814" s="9">
        <v>6</v>
      </c>
      <c r="L814" s="6" t="s">
        <v>4276</v>
      </c>
      <c r="M814" s="6" t="s">
        <v>4282</v>
      </c>
      <c r="N814" s="4">
        <v>510.52</v>
      </c>
      <c r="O814" s="6">
        <f t="shared" si="12"/>
        <v>389</v>
      </c>
    </row>
    <row r="815" spans="1:15" x14ac:dyDescent="0.3">
      <c r="A815" s="6" t="s">
        <v>827</v>
      </c>
      <c r="B815" s="2">
        <v>45731</v>
      </c>
      <c r="C815" s="6" t="s">
        <v>2023</v>
      </c>
      <c r="D815" s="6" t="s">
        <v>2408</v>
      </c>
      <c r="E815" s="9">
        <v>5</v>
      </c>
      <c r="F815" s="4">
        <v>292.54000000000002</v>
      </c>
      <c r="G815" t="s">
        <v>2649</v>
      </c>
      <c r="H815" s="6" t="s">
        <v>3065</v>
      </c>
      <c r="I815" s="6" t="s">
        <v>3071</v>
      </c>
      <c r="J815" s="6" t="s">
        <v>3888</v>
      </c>
      <c r="K815" s="9">
        <v>8</v>
      </c>
      <c r="L815" s="6" t="s">
        <v>4276</v>
      </c>
      <c r="M815" s="6" t="s">
        <v>4280</v>
      </c>
      <c r="N815" s="4">
        <v>1462.7</v>
      </c>
      <c r="O815" s="6">
        <f t="shared" si="12"/>
        <v>388</v>
      </c>
    </row>
    <row r="816" spans="1:15" x14ac:dyDescent="0.3">
      <c r="A816" s="6" t="s">
        <v>828</v>
      </c>
      <c r="B816" s="2">
        <v>45637</v>
      </c>
      <c r="C816" s="6" t="s">
        <v>2024</v>
      </c>
      <c r="D816" s="6" t="s">
        <v>2406</v>
      </c>
      <c r="E816" s="9">
        <v>4</v>
      </c>
      <c r="F816" s="4">
        <v>147.51</v>
      </c>
      <c r="G816" t="s">
        <v>2938</v>
      </c>
      <c r="H816" s="6" t="s">
        <v>3065</v>
      </c>
      <c r="I816" s="6" t="s">
        <v>3074</v>
      </c>
      <c r="J816" s="6" t="s">
        <v>3889</v>
      </c>
      <c r="K816" s="9">
        <v>4</v>
      </c>
      <c r="L816" s="6" t="s">
        <v>4277</v>
      </c>
      <c r="M816" s="6" t="s">
        <v>4278</v>
      </c>
      <c r="N816" s="4">
        <v>590.04</v>
      </c>
      <c r="O816" s="6">
        <f t="shared" si="12"/>
        <v>387</v>
      </c>
    </row>
    <row r="817" spans="1:15" x14ac:dyDescent="0.3">
      <c r="A817" s="6" t="s">
        <v>829</v>
      </c>
      <c r="B817" s="2">
        <v>45508</v>
      </c>
      <c r="C817" s="6" t="s">
        <v>2025</v>
      </c>
      <c r="D817" s="6" t="s">
        <v>2407</v>
      </c>
      <c r="E817" s="9">
        <v>3</v>
      </c>
      <c r="F817" s="4">
        <v>569.84</v>
      </c>
      <c r="G817" t="s">
        <v>2939</v>
      </c>
      <c r="H817" s="6" t="s">
        <v>3068</v>
      </c>
      <c r="I817" s="6" t="s">
        <v>3071</v>
      </c>
      <c r="J817" s="6" t="s">
        <v>3890</v>
      </c>
      <c r="K817" s="9">
        <v>8</v>
      </c>
      <c r="L817" s="6" t="s">
        <v>4277</v>
      </c>
      <c r="M817" s="6" t="s">
        <v>4278</v>
      </c>
      <c r="N817" s="4">
        <v>1709.52</v>
      </c>
      <c r="O817" s="6">
        <f t="shared" si="12"/>
        <v>386</v>
      </c>
    </row>
    <row r="818" spans="1:15" x14ac:dyDescent="0.3">
      <c r="A818" s="6" t="s">
        <v>830</v>
      </c>
      <c r="B818" s="2">
        <v>45343</v>
      </c>
      <c r="C818" s="6" t="s">
        <v>2026</v>
      </c>
      <c r="D818" s="6" t="s">
        <v>2405</v>
      </c>
      <c r="E818" s="9">
        <v>5</v>
      </c>
      <c r="F818" s="4">
        <v>574.79</v>
      </c>
      <c r="G818" t="s">
        <v>2601</v>
      </c>
      <c r="H818" s="6" t="s">
        <v>3067</v>
      </c>
      <c r="I818" s="6" t="s">
        <v>3074</v>
      </c>
      <c r="J818" s="6" t="s">
        <v>3891</v>
      </c>
      <c r="K818" s="9">
        <v>8</v>
      </c>
      <c r="L818" s="6" t="s">
        <v>4277</v>
      </c>
      <c r="M818" s="6" t="s">
        <v>4279</v>
      </c>
      <c r="N818" s="4">
        <v>2873.95</v>
      </c>
      <c r="O818" s="6">
        <f t="shared" si="12"/>
        <v>385</v>
      </c>
    </row>
    <row r="819" spans="1:15" x14ac:dyDescent="0.3">
      <c r="A819" s="6" t="s">
        <v>831</v>
      </c>
      <c r="B819" s="2">
        <v>45204</v>
      </c>
      <c r="C819" s="6" t="s">
        <v>2027</v>
      </c>
      <c r="D819" s="6" t="s">
        <v>2406</v>
      </c>
      <c r="E819" s="9">
        <v>4</v>
      </c>
      <c r="F819" s="4">
        <v>598.19000000000005</v>
      </c>
      <c r="G819" t="s">
        <v>2940</v>
      </c>
      <c r="H819" s="6" t="s">
        <v>3067</v>
      </c>
      <c r="I819" s="6" t="s">
        <v>3073</v>
      </c>
      <c r="J819" s="6" t="s">
        <v>3892</v>
      </c>
      <c r="K819" s="9">
        <v>7</v>
      </c>
      <c r="L819" s="6" t="s">
        <v>4277</v>
      </c>
      <c r="M819" s="6" t="s">
        <v>4280</v>
      </c>
      <c r="N819" s="4">
        <v>2392.7600000000002</v>
      </c>
      <c r="O819" s="6">
        <f t="shared" si="12"/>
        <v>384</v>
      </c>
    </row>
    <row r="820" spans="1:15" x14ac:dyDescent="0.3">
      <c r="A820" s="6" t="s">
        <v>832</v>
      </c>
      <c r="B820" s="2">
        <v>44987</v>
      </c>
      <c r="C820" s="6" t="s">
        <v>2028</v>
      </c>
      <c r="D820" s="6" t="s">
        <v>2404</v>
      </c>
      <c r="E820" s="9">
        <v>4</v>
      </c>
      <c r="F820" s="4">
        <v>390.84</v>
      </c>
      <c r="G820" t="s">
        <v>2868</v>
      </c>
      <c r="H820" s="6" t="s">
        <v>3067</v>
      </c>
      <c r="I820" s="6" t="s">
        <v>3071</v>
      </c>
      <c r="J820" s="6" t="s">
        <v>3893</v>
      </c>
      <c r="K820" s="9">
        <v>9</v>
      </c>
      <c r="L820" s="6" t="s">
        <v>4277</v>
      </c>
      <c r="M820" s="6" t="s">
        <v>4279</v>
      </c>
      <c r="N820" s="4">
        <v>1563.36</v>
      </c>
      <c r="O820" s="6">
        <f t="shared" si="12"/>
        <v>383</v>
      </c>
    </row>
    <row r="821" spans="1:15" x14ac:dyDescent="0.3">
      <c r="A821" s="6" t="s">
        <v>833</v>
      </c>
      <c r="B821" s="2">
        <v>45563</v>
      </c>
      <c r="C821" s="6" t="s">
        <v>2029</v>
      </c>
      <c r="D821" s="6" t="s">
        <v>2404</v>
      </c>
      <c r="E821" s="9">
        <v>2</v>
      </c>
      <c r="F821" s="4">
        <v>398.45</v>
      </c>
      <c r="G821" t="s">
        <v>2941</v>
      </c>
      <c r="H821" s="6" t="s">
        <v>3065</v>
      </c>
      <c r="I821" s="6" t="s">
        <v>3071</v>
      </c>
      <c r="J821" s="6" t="s">
        <v>3894</v>
      </c>
      <c r="K821" s="9">
        <v>7</v>
      </c>
      <c r="L821" s="6" t="s">
        <v>4275</v>
      </c>
      <c r="M821" s="6" t="s">
        <v>4282</v>
      </c>
      <c r="N821" s="4">
        <v>796.9</v>
      </c>
      <c r="O821" s="6">
        <f t="shared" si="12"/>
        <v>382</v>
      </c>
    </row>
    <row r="822" spans="1:15" x14ac:dyDescent="0.3">
      <c r="A822" s="6" t="s">
        <v>834</v>
      </c>
      <c r="B822" s="2">
        <v>45073</v>
      </c>
      <c r="C822" s="6" t="s">
        <v>2030</v>
      </c>
      <c r="D822" s="6" t="s">
        <v>2404</v>
      </c>
      <c r="E822" s="9">
        <v>5</v>
      </c>
      <c r="F822" s="4">
        <v>623.80999999999995</v>
      </c>
      <c r="G822" t="s">
        <v>2706</v>
      </c>
      <c r="H822" s="6" t="s">
        <v>3069</v>
      </c>
      <c r="I822" s="6" t="s">
        <v>3072</v>
      </c>
      <c r="J822" s="6" t="s">
        <v>3895</v>
      </c>
      <c r="K822" s="9">
        <v>6</v>
      </c>
      <c r="L822" s="6" t="s">
        <v>4276</v>
      </c>
      <c r="M822" s="6" t="s">
        <v>4280</v>
      </c>
      <c r="N822" s="4">
        <v>3119.05</v>
      </c>
      <c r="O822" s="6">
        <f t="shared" si="12"/>
        <v>381</v>
      </c>
    </row>
    <row r="823" spans="1:15" x14ac:dyDescent="0.3">
      <c r="A823" s="6" t="s">
        <v>835</v>
      </c>
      <c r="B823" s="2">
        <v>45640</v>
      </c>
      <c r="C823" s="6" t="s">
        <v>2031</v>
      </c>
      <c r="D823" s="6" t="s">
        <v>2408</v>
      </c>
      <c r="E823" s="9">
        <v>4</v>
      </c>
      <c r="F823" s="4">
        <v>174.49</v>
      </c>
      <c r="G823" t="s">
        <v>2698</v>
      </c>
      <c r="H823" s="6" t="s">
        <v>3067</v>
      </c>
      <c r="I823" s="6" t="s">
        <v>3073</v>
      </c>
      <c r="J823" s="6" t="s">
        <v>3896</v>
      </c>
      <c r="K823" s="9">
        <v>5</v>
      </c>
      <c r="L823" s="6" t="s">
        <v>4275</v>
      </c>
      <c r="M823" s="6" t="s">
        <v>4281</v>
      </c>
      <c r="N823" s="4">
        <v>697.96</v>
      </c>
      <c r="O823" s="6">
        <f t="shared" si="12"/>
        <v>380</v>
      </c>
    </row>
    <row r="824" spans="1:15" x14ac:dyDescent="0.3">
      <c r="A824" s="6" t="s">
        <v>836</v>
      </c>
      <c r="B824" s="2">
        <v>45731</v>
      </c>
      <c r="C824" s="6" t="s">
        <v>2032</v>
      </c>
      <c r="D824" s="6" t="s">
        <v>2404</v>
      </c>
      <c r="E824" s="9">
        <v>1</v>
      </c>
      <c r="F824" s="4">
        <v>479.56</v>
      </c>
      <c r="G824" t="s">
        <v>2476</v>
      </c>
      <c r="H824" s="6" t="s">
        <v>3068</v>
      </c>
      <c r="I824" s="6" t="s">
        <v>3072</v>
      </c>
      <c r="J824" s="6" t="s">
        <v>3897</v>
      </c>
      <c r="K824" s="9">
        <v>1</v>
      </c>
      <c r="L824" s="6" t="s">
        <v>4275</v>
      </c>
      <c r="M824" s="6" t="s">
        <v>4282</v>
      </c>
      <c r="N824" s="4">
        <v>479.56</v>
      </c>
      <c r="O824" s="6">
        <f t="shared" si="12"/>
        <v>379</v>
      </c>
    </row>
    <row r="825" spans="1:15" x14ac:dyDescent="0.3">
      <c r="A825" s="6" t="s">
        <v>837</v>
      </c>
      <c r="B825" s="2">
        <v>45572</v>
      </c>
      <c r="C825" s="6" t="s">
        <v>2033</v>
      </c>
      <c r="D825" s="6" t="s">
        <v>2408</v>
      </c>
      <c r="E825" s="9">
        <v>4</v>
      </c>
      <c r="F825" s="4">
        <v>653.13</v>
      </c>
      <c r="G825" t="s">
        <v>2942</v>
      </c>
      <c r="H825" s="6" t="s">
        <v>3067</v>
      </c>
      <c r="I825" s="6" t="s">
        <v>3070</v>
      </c>
      <c r="J825" s="6" t="s">
        <v>3898</v>
      </c>
      <c r="K825" s="9">
        <v>8</v>
      </c>
      <c r="L825" s="6" t="s">
        <v>4277</v>
      </c>
      <c r="M825" s="6" t="s">
        <v>4278</v>
      </c>
      <c r="N825" s="4">
        <v>2612.52</v>
      </c>
      <c r="O825" s="6">
        <f t="shared" si="12"/>
        <v>378</v>
      </c>
    </row>
    <row r="826" spans="1:15" x14ac:dyDescent="0.3">
      <c r="A826" s="6" t="s">
        <v>838</v>
      </c>
      <c r="B826" s="2">
        <v>45167</v>
      </c>
      <c r="C826" s="6" t="s">
        <v>2034</v>
      </c>
      <c r="D826" s="6" t="s">
        <v>2403</v>
      </c>
      <c r="E826" s="9">
        <v>3</v>
      </c>
      <c r="F826" s="4">
        <v>481.1</v>
      </c>
      <c r="G826" t="s">
        <v>2943</v>
      </c>
      <c r="H826" s="6" t="s">
        <v>3067</v>
      </c>
      <c r="I826" s="6" t="s">
        <v>3072</v>
      </c>
      <c r="J826" s="6" t="s">
        <v>3899</v>
      </c>
      <c r="K826" s="9">
        <v>3</v>
      </c>
      <c r="L826" s="6" t="s">
        <v>4276</v>
      </c>
      <c r="M826" s="6" t="s">
        <v>4281</v>
      </c>
      <c r="N826" s="4">
        <v>1443.3</v>
      </c>
      <c r="O826" s="6">
        <f t="shared" si="12"/>
        <v>377</v>
      </c>
    </row>
    <row r="827" spans="1:15" x14ac:dyDescent="0.3">
      <c r="A827" s="6" t="s">
        <v>839</v>
      </c>
      <c r="B827" s="2">
        <v>45742</v>
      </c>
      <c r="C827" s="6" t="s">
        <v>2035</v>
      </c>
      <c r="D827" s="6" t="s">
        <v>2409</v>
      </c>
      <c r="E827" s="9">
        <v>5</v>
      </c>
      <c r="F827" s="4">
        <v>271.69</v>
      </c>
      <c r="G827" t="s">
        <v>2944</v>
      </c>
      <c r="H827" s="6" t="s">
        <v>3066</v>
      </c>
      <c r="I827" s="6" t="s">
        <v>3072</v>
      </c>
      <c r="J827" s="6" t="s">
        <v>3900</v>
      </c>
      <c r="K827" s="9">
        <v>7</v>
      </c>
      <c r="L827" s="6" t="s">
        <v>4276</v>
      </c>
      <c r="M827" s="6" t="s">
        <v>4278</v>
      </c>
      <c r="N827" s="4">
        <v>1358.45</v>
      </c>
      <c r="O827" s="6">
        <f t="shared" si="12"/>
        <v>376</v>
      </c>
    </row>
    <row r="828" spans="1:15" x14ac:dyDescent="0.3">
      <c r="A828" s="6" t="s">
        <v>840</v>
      </c>
      <c r="B828" s="2">
        <v>45724</v>
      </c>
      <c r="C828" s="6" t="s">
        <v>2036</v>
      </c>
      <c r="D828" s="6" t="s">
        <v>2407</v>
      </c>
      <c r="E828" s="9">
        <v>3</v>
      </c>
      <c r="F828" s="4">
        <v>463.81</v>
      </c>
      <c r="G828" t="s">
        <v>2570</v>
      </c>
      <c r="H828" s="6" t="s">
        <v>3066</v>
      </c>
      <c r="I828" s="6" t="s">
        <v>3072</v>
      </c>
      <c r="J828" s="6" t="s">
        <v>3901</v>
      </c>
      <c r="K828" s="9">
        <v>8</v>
      </c>
      <c r="L828" s="6" t="s">
        <v>4277</v>
      </c>
      <c r="M828" s="6" t="s">
        <v>4280</v>
      </c>
      <c r="N828" s="4">
        <v>1391.43</v>
      </c>
      <c r="O828" s="6">
        <f t="shared" si="12"/>
        <v>375</v>
      </c>
    </row>
    <row r="829" spans="1:15" x14ac:dyDescent="0.3">
      <c r="A829" s="6" t="s">
        <v>841</v>
      </c>
      <c r="B829" s="2">
        <v>45071</v>
      </c>
      <c r="C829" s="6" t="s">
        <v>2037</v>
      </c>
      <c r="D829" s="6" t="s">
        <v>2405</v>
      </c>
      <c r="E829" s="9">
        <v>2</v>
      </c>
      <c r="F829" s="4">
        <v>639.88</v>
      </c>
      <c r="G829" t="s">
        <v>2597</v>
      </c>
      <c r="H829" s="6" t="s">
        <v>3069</v>
      </c>
      <c r="I829" s="6" t="s">
        <v>3073</v>
      </c>
      <c r="J829" s="6" t="s">
        <v>3902</v>
      </c>
      <c r="K829" s="9">
        <v>5</v>
      </c>
      <c r="L829" s="6" t="s">
        <v>4277</v>
      </c>
      <c r="M829" s="6" t="s">
        <v>4278</v>
      </c>
      <c r="N829" s="4">
        <v>1279.76</v>
      </c>
      <c r="O829" s="6">
        <f t="shared" si="12"/>
        <v>374</v>
      </c>
    </row>
    <row r="830" spans="1:15" x14ac:dyDescent="0.3">
      <c r="A830" s="6" t="s">
        <v>842</v>
      </c>
      <c r="B830" s="2">
        <v>45497</v>
      </c>
      <c r="C830" s="6" t="s">
        <v>2038</v>
      </c>
      <c r="D830" s="6" t="s">
        <v>2406</v>
      </c>
      <c r="E830" s="9">
        <v>4</v>
      </c>
      <c r="F830" s="4">
        <v>404.58</v>
      </c>
      <c r="G830" t="s">
        <v>2945</v>
      </c>
      <c r="H830" s="6" t="s">
        <v>3069</v>
      </c>
      <c r="I830" s="6" t="s">
        <v>3070</v>
      </c>
      <c r="J830" s="6" t="s">
        <v>3903</v>
      </c>
      <c r="K830" s="9">
        <v>5</v>
      </c>
      <c r="L830" s="6" t="s">
        <v>4276</v>
      </c>
      <c r="M830" s="6" t="s">
        <v>4278</v>
      </c>
      <c r="N830" s="4">
        <v>1618.32</v>
      </c>
      <c r="O830" s="6">
        <f t="shared" si="12"/>
        <v>373</v>
      </c>
    </row>
    <row r="831" spans="1:15" x14ac:dyDescent="0.3">
      <c r="A831" s="6" t="s">
        <v>843</v>
      </c>
      <c r="B831" s="2">
        <v>44962</v>
      </c>
      <c r="C831" s="6" t="s">
        <v>2039</v>
      </c>
      <c r="D831" s="6" t="s">
        <v>2403</v>
      </c>
      <c r="E831" s="9">
        <v>1</v>
      </c>
      <c r="F831" s="4">
        <v>76.930000000000007</v>
      </c>
      <c r="G831" t="s">
        <v>2946</v>
      </c>
      <c r="H831" s="6" t="s">
        <v>3065</v>
      </c>
      <c r="I831" s="6" t="s">
        <v>3073</v>
      </c>
      <c r="J831" s="6" t="s">
        <v>3904</v>
      </c>
      <c r="K831" s="9">
        <v>6</v>
      </c>
      <c r="L831" s="6" t="s">
        <v>4277</v>
      </c>
      <c r="M831" s="6" t="s">
        <v>4278</v>
      </c>
      <c r="N831" s="4">
        <v>76.930000000000007</v>
      </c>
      <c r="O831" s="6">
        <f t="shared" si="12"/>
        <v>372</v>
      </c>
    </row>
    <row r="832" spans="1:15" x14ac:dyDescent="0.3">
      <c r="A832" s="6" t="s">
        <v>844</v>
      </c>
      <c r="B832" s="2">
        <v>45637</v>
      </c>
      <c r="C832" s="6" t="s">
        <v>2040</v>
      </c>
      <c r="D832" s="6" t="s">
        <v>2405</v>
      </c>
      <c r="E832" s="9">
        <v>4</v>
      </c>
      <c r="F832" s="4">
        <v>190.64</v>
      </c>
      <c r="G832" t="s">
        <v>2947</v>
      </c>
      <c r="H832" s="6" t="s">
        <v>3069</v>
      </c>
      <c r="I832" s="6" t="s">
        <v>3073</v>
      </c>
      <c r="J832" s="6" t="s">
        <v>3905</v>
      </c>
      <c r="K832" s="9">
        <v>5</v>
      </c>
      <c r="L832" s="6" t="s">
        <v>4275</v>
      </c>
      <c r="M832" s="6" t="s">
        <v>4280</v>
      </c>
      <c r="N832" s="4">
        <v>762.56</v>
      </c>
      <c r="O832" s="6">
        <f t="shared" si="12"/>
        <v>371</v>
      </c>
    </row>
    <row r="833" spans="1:15" x14ac:dyDescent="0.3">
      <c r="A833" s="6" t="s">
        <v>845</v>
      </c>
      <c r="B833" s="2">
        <v>45278</v>
      </c>
      <c r="C833" s="6" t="s">
        <v>2041</v>
      </c>
      <c r="D833" s="6" t="s">
        <v>2407</v>
      </c>
      <c r="E833" s="9">
        <v>2</v>
      </c>
      <c r="F833" s="4">
        <v>88.73</v>
      </c>
      <c r="G833" t="s">
        <v>2851</v>
      </c>
      <c r="H833" s="6" t="s">
        <v>3066</v>
      </c>
      <c r="I833" s="6" t="s">
        <v>3074</v>
      </c>
      <c r="J833" s="6" t="s">
        <v>3906</v>
      </c>
      <c r="K833" s="9">
        <v>5</v>
      </c>
      <c r="L833" s="6" t="s">
        <v>4283</v>
      </c>
      <c r="M833" s="6" t="s">
        <v>4282</v>
      </c>
      <c r="N833" s="4">
        <v>177.46</v>
      </c>
      <c r="O833" s="6">
        <f t="shared" si="12"/>
        <v>370</v>
      </c>
    </row>
    <row r="834" spans="1:15" x14ac:dyDescent="0.3">
      <c r="A834" s="6" t="s">
        <v>846</v>
      </c>
      <c r="B834" s="2">
        <v>45363</v>
      </c>
      <c r="C834" s="6" t="s">
        <v>2042</v>
      </c>
      <c r="D834" s="6" t="s">
        <v>2406</v>
      </c>
      <c r="E834" s="9">
        <v>5</v>
      </c>
      <c r="F834" s="4">
        <v>485.71</v>
      </c>
      <c r="G834" t="s">
        <v>2423</v>
      </c>
      <c r="H834" s="6" t="s">
        <v>3066</v>
      </c>
      <c r="I834" s="6" t="s">
        <v>3074</v>
      </c>
      <c r="J834" s="6" t="s">
        <v>3907</v>
      </c>
      <c r="K834" s="9">
        <v>10</v>
      </c>
      <c r="L834" s="6" t="s">
        <v>4275</v>
      </c>
      <c r="M834" s="6" t="s">
        <v>4279</v>
      </c>
      <c r="N834" s="4">
        <v>2428.5500000000002</v>
      </c>
      <c r="O834" s="6">
        <f t="shared" ref="O834:O897" si="13">COUNTA(_xlfn.UNIQUE(C833:C2032))</f>
        <v>369</v>
      </c>
    </row>
    <row r="835" spans="1:15" x14ac:dyDescent="0.3">
      <c r="A835" s="6" t="s">
        <v>847</v>
      </c>
      <c r="B835" s="2">
        <v>45730</v>
      </c>
      <c r="C835" s="6" t="s">
        <v>2043</v>
      </c>
      <c r="D835" s="6" t="s">
        <v>2404</v>
      </c>
      <c r="E835" s="9">
        <v>5</v>
      </c>
      <c r="F835" s="4">
        <v>78.290000000000006</v>
      </c>
      <c r="G835" t="s">
        <v>2948</v>
      </c>
      <c r="H835" s="6" t="s">
        <v>3067</v>
      </c>
      <c r="I835" s="6" t="s">
        <v>3070</v>
      </c>
      <c r="J835" s="6" t="s">
        <v>3908</v>
      </c>
      <c r="K835" s="9">
        <v>5</v>
      </c>
      <c r="L835" s="6" t="s">
        <v>4277</v>
      </c>
      <c r="M835" s="6" t="s">
        <v>4279</v>
      </c>
      <c r="N835" s="4">
        <v>391.45</v>
      </c>
      <c r="O835" s="6">
        <f t="shared" si="13"/>
        <v>368</v>
      </c>
    </row>
    <row r="836" spans="1:15" x14ac:dyDescent="0.3">
      <c r="A836" s="6" t="s">
        <v>848</v>
      </c>
      <c r="B836" s="2">
        <v>45393</v>
      </c>
      <c r="C836" s="6" t="s">
        <v>2044</v>
      </c>
      <c r="D836" s="6" t="s">
        <v>2407</v>
      </c>
      <c r="E836" s="9">
        <v>5</v>
      </c>
      <c r="F836" s="4">
        <v>22.14</v>
      </c>
      <c r="G836" t="s">
        <v>2616</v>
      </c>
      <c r="H836" s="6" t="s">
        <v>3069</v>
      </c>
      <c r="I836" s="6" t="s">
        <v>3072</v>
      </c>
      <c r="J836" s="6" t="s">
        <v>3909</v>
      </c>
      <c r="K836" s="9">
        <v>10</v>
      </c>
      <c r="L836" s="6" t="s">
        <v>4283</v>
      </c>
      <c r="M836" s="6" t="s">
        <v>4278</v>
      </c>
      <c r="N836" s="4">
        <v>110.7</v>
      </c>
      <c r="O836" s="6">
        <f t="shared" si="13"/>
        <v>367</v>
      </c>
    </row>
    <row r="837" spans="1:15" x14ac:dyDescent="0.3">
      <c r="A837" s="6" t="s">
        <v>849</v>
      </c>
      <c r="B837" s="2">
        <v>45377</v>
      </c>
      <c r="C837" s="6" t="s">
        <v>2045</v>
      </c>
      <c r="D837" s="6" t="s">
        <v>2409</v>
      </c>
      <c r="E837" s="9">
        <v>1</v>
      </c>
      <c r="F837" s="4">
        <v>679.65</v>
      </c>
      <c r="G837" t="s">
        <v>2949</v>
      </c>
      <c r="H837" s="6" t="s">
        <v>3065</v>
      </c>
      <c r="I837" s="6" t="s">
        <v>3070</v>
      </c>
      <c r="J837" s="6" t="s">
        <v>3910</v>
      </c>
      <c r="K837" s="9">
        <v>6</v>
      </c>
      <c r="L837" s="6" t="s">
        <v>4276</v>
      </c>
      <c r="M837" s="6" t="s">
        <v>4282</v>
      </c>
      <c r="N837" s="4">
        <v>679.65</v>
      </c>
      <c r="O837" s="6">
        <f t="shared" si="13"/>
        <v>366</v>
      </c>
    </row>
    <row r="838" spans="1:15" x14ac:dyDescent="0.3">
      <c r="A838" s="6" t="s">
        <v>850</v>
      </c>
      <c r="B838" s="2">
        <v>44959</v>
      </c>
      <c r="C838" s="6" t="s">
        <v>2046</v>
      </c>
      <c r="D838" s="6" t="s">
        <v>2404</v>
      </c>
      <c r="E838" s="9">
        <v>1</v>
      </c>
      <c r="F838" s="4">
        <v>178.44</v>
      </c>
      <c r="G838" t="s">
        <v>2860</v>
      </c>
      <c r="H838" s="6" t="s">
        <v>3067</v>
      </c>
      <c r="I838" s="6" t="s">
        <v>3071</v>
      </c>
      <c r="J838" s="6" t="s">
        <v>3911</v>
      </c>
      <c r="K838" s="9">
        <v>2</v>
      </c>
      <c r="L838" s="6" t="s">
        <v>4276</v>
      </c>
      <c r="M838" s="6" t="s">
        <v>4282</v>
      </c>
      <c r="N838" s="4">
        <v>178.44</v>
      </c>
      <c r="O838" s="6">
        <f t="shared" si="13"/>
        <v>365</v>
      </c>
    </row>
    <row r="839" spans="1:15" x14ac:dyDescent="0.3">
      <c r="A839" s="6" t="s">
        <v>851</v>
      </c>
      <c r="B839" s="2">
        <v>45822</v>
      </c>
      <c r="C839" s="6" t="s">
        <v>2047</v>
      </c>
      <c r="D839" s="6" t="s">
        <v>2406</v>
      </c>
      <c r="E839" s="9">
        <v>5</v>
      </c>
      <c r="F839" s="4">
        <v>655.55</v>
      </c>
      <c r="G839" t="s">
        <v>2839</v>
      </c>
      <c r="H839" s="6" t="s">
        <v>3066</v>
      </c>
      <c r="I839" s="6" t="s">
        <v>3073</v>
      </c>
      <c r="J839" s="6" t="s">
        <v>3912</v>
      </c>
      <c r="K839" s="9">
        <v>5</v>
      </c>
      <c r="L839" s="6" t="s">
        <v>4283</v>
      </c>
      <c r="M839" s="6" t="s">
        <v>4280</v>
      </c>
      <c r="N839" s="4">
        <v>3277.75</v>
      </c>
      <c r="O839" s="6">
        <f t="shared" si="13"/>
        <v>364</v>
      </c>
    </row>
    <row r="840" spans="1:15" x14ac:dyDescent="0.3">
      <c r="A840" s="6" t="s">
        <v>852</v>
      </c>
      <c r="B840" s="2">
        <v>45393</v>
      </c>
      <c r="C840" s="6" t="s">
        <v>2048</v>
      </c>
      <c r="D840" s="6" t="s">
        <v>2409</v>
      </c>
      <c r="E840" s="9">
        <v>4</v>
      </c>
      <c r="F840" s="4">
        <v>577.08000000000004</v>
      </c>
      <c r="G840" t="s">
        <v>2475</v>
      </c>
      <c r="H840" s="6" t="s">
        <v>3066</v>
      </c>
      <c r="I840" s="6" t="s">
        <v>3074</v>
      </c>
      <c r="J840" s="6" t="s">
        <v>3913</v>
      </c>
      <c r="K840" s="9">
        <v>8</v>
      </c>
      <c r="L840" s="6" t="s">
        <v>4283</v>
      </c>
      <c r="M840" s="6" t="s">
        <v>4281</v>
      </c>
      <c r="N840" s="4">
        <v>2308.3200000000002</v>
      </c>
      <c r="O840" s="6">
        <f t="shared" si="13"/>
        <v>363</v>
      </c>
    </row>
    <row r="841" spans="1:15" x14ac:dyDescent="0.3">
      <c r="A841" s="6" t="s">
        <v>853</v>
      </c>
      <c r="B841" s="2">
        <v>45162</v>
      </c>
      <c r="C841" s="6" t="s">
        <v>2049</v>
      </c>
      <c r="D841" s="6" t="s">
        <v>2406</v>
      </c>
      <c r="E841" s="9">
        <v>3</v>
      </c>
      <c r="F841" s="4">
        <v>197.97</v>
      </c>
      <c r="G841" t="s">
        <v>2902</v>
      </c>
      <c r="H841" s="6" t="s">
        <v>3066</v>
      </c>
      <c r="I841" s="6" t="s">
        <v>3071</v>
      </c>
      <c r="J841" s="6" t="s">
        <v>3914</v>
      </c>
      <c r="K841" s="9">
        <v>5</v>
      </c>
      <c r="L841" s="6" t="s">
        <v>4283</v>
      </c>
      <c r="M841" s="6" t="s">
        <v>4282</v>
      </c>
      <c r="N841" s="4">
        <v>593.91</v>
      </c>
      <c r="O841" s="6">
        <f t="shared" si="13"/>
        <v>362</v>
      </c>
    </row>
    <row r="842" spans="1:15" x14ac:dyDescent="0.3">
      <c r="A842" s="6" t="s">
        <v>854</v>
      </c>
      <c r="B842" s="2">
        <v>45305</v>
      </c>
      <c r="C842" s="6" t="s">
        <v>2050</v>
      </c>
      <c r="D842" s="6" t="s">
        <v>2406</v>
      </c>
      <c r="E842" s="9">
        <v>3</v>
      </c>
      <c r="F842" s="4">
        <v>411.95</v>
      </c>
      <c r="G842" t="s">
        <v>2774</v>
      </c>
      <c r="H842" s="6" t="s">
        <v>3067</v>
      </c>
      <c r="I842" s="6" t="s">
        <v>3073</v>
      </c>
      <c r="J842" s="6" t="s">
        <v>3915</v>
      </c>
      <c r="K842" s="9">
        <v>7</v>
      </c>
      <c r="L842" s="6" t="s">
        <v>4276</v>
      </c>
      <c r="M842" s="6" t="s">
        <v>4279</v>
      </c>
      <c r="N842" s="4">
        <v>1235.8499999999999</v>
      </c>
      <c r="O842" s="6">
        <f t="shared" si="13"/>
        <v>361</v>
      </c>
    </row>
    <row r="843" spans="1:15" x14ac:dyDescent="0.3">
      <c r="A843" s="6" t="s">
        <v>855</v>
      </c>
      <c r="B843" s="2">
        <v>45554</v>
      </c>
      <c r="C843" s="6" t="s">
        <v>2051</v>
      </c>
      <c r="D843" s="6" t="s">
        <v>2407</v>
      </c>
      <c r="E843" s="9">
        <v>2</v>
      </c>
      <c r="F843" s="4">
        <v>443.22</v>
      </c>
      <c r="G843" t="s">
        <v>2950</v>
      </c>
      <c r="H843" s="6" t="s">
        <v>3067</v>
      </c>
      <c r="I843" s="6" t="s">
        <v>3073</v>
      </c>
      <c r="J843" s="6" t="s">
        <v>3916</v>
      </c>
      <c r="K843" s="9">
        <v>5</v>
      </c>
      <c r="L843" s="6" t="s">
        <v>4283</v>
      </c>
      <c r="M843" s="6" t="s">
        <v>4281</v>
      </c>
      <c r="N843" s="4">
        <v>886.44</v>
      </c>
      <c r="O843" s="6">
        <f t="shared" si="13"/>
        <v>360</v>
      </c>
    </row>
    <row r="844" spans="1:15" x14ac:dyDescent="0.3">
      <c r="A844" s="6" t="s">
        <v>856</v>
      </c>
      <c r="B844" s="2">
        <v>45784</v>
      </c>
      <c r="C844" s="6" t="s">
        <v>2052</v>
      </c>
      <c r="D844" s="6" t="s">
        <v>2408</v>
      </c>
      <c r="E844" s="9">
        <v>3</v>
      </c>
      <c r="F844" s="4">
        <v>364.14</v>
      </c>
      <c r="G844" t="s">
        <v>2877</v>
      </c>
      <c r="H844" s="6" t="s">
        <v>3066</v>
      </c>
      <c r="I844" s="6" t="s">
        <v>3074</v>
      </c>
      <c r="J844" s="6" t="s">
        <v>3917</v>
      </c>
      <c r="K844" s="9">
        <v>7</v>
      </c>
      <c r="L844" s="6" t="s">
        <v>4277</v>
      </c>
      <c r="M844" s="6" t="s">
        <v>4279</v>
      </c>
      <c r="N844" s="4">
        <v>1092.42</v>
      </c>
      <c r="O844" s="6">
        <f t="shared" si="13"/>
        <v>359</v>
      </c>
    </row>
    <row r="845" spans="1:15" x14ac:dyDescent="0.3">
      <c r="A845" s="6" t="s">
        <v>857</v>
      </c>
      <c r="B845" s="2">
        <v>45790</v>
      </c>
      <c r="C845" s="6" t="s">
        <v>2053</v>
      </c>
      <c r="D845" s="6" t="s">
        <v>2409</v>
      </c>
      <c r="E845" s="9">
        <v>3</v>
      </c>
      <c r="F845" s="4">
        <v>430.06</v>
      </c>
      <c r="G845" t="s">
        <v>2951</v>
      </c>
      <c r="H845" s="6" t="s">
        <v>3068</v>
      </c>
      <c r="I845" s="6" t="s">
        <v>3071</v>
      </c>
      <c r="J845" s="6" t="s">
        <v>3918</v>
      </c>
      <c r="K845" s="9">
        <v>8</v>
      </c>
      <c r="L845" s="6" t="s">
        <v>4276</v>
      </c>
      <c r="M845" s="6" t="s">
        <v>4278</v>
      </c>
      <c r="N845" s="4">
        <v>1290.18</v>
      </c>
      <c r="O845" s="6">
        <f t="shared" si="13"/>
        <v>358</v>
      </c>
    </row>
    <row r="846" spans="1:15" x14ac:dyDescent="0.3">
      <c r="A846" s="6" t="s">
        <v>858</v>
      </c>
      <c r="B846" s="2">
        <v>45630</v>
      </c>
      <c r="C846" s="6" t="s">
        <v>2054</v>
      </c>
      <c r="D846" s="6" t="s">
        <v>2406</v>
      </c>
      <c r="E846" s="9">
        <v>1</v>
      </c>
      <c r="F846" s="4">
        <v>320.92</v>
      </c>
      <c r="G846" t="s">
        <v>2952</v>
      </c>
      <c r="H846" s="6" t="s">
        <v>3066</v>
      </c>
      <c r="I846" s="6" t="s">
        <v>3072</v>
      </c>
      <c r="J846" s="6" t="s">
        <v>3919</v>
      </c>
      <c r="K846" s="9">
        <v>5</v>
      </c>
      <c r="L846" s="6" t="s">
        <v>4276</v>
      </c>
      <c r="M846" s="6" t="s">
        <v>4281</v>
      </c>
      <c r="N846" s="4">
        <v>320.92</v>
      </c>
      <c r="O846" s="6">
        <f t="shared" si="13"/>
        <v>357</v>
      </c>
    </row>
    <row r="847" spans="1:15" x14ac:dyDescent="0.3">
      <c r="A847" s="6" t="s">
        <v>859</v>
      </c>
      <c r="B847" s="2">
        <v>45207</v>
      </c>
      <c r="C847" s="6" t="s">
        <v>2055</v>
      </c>
      <c r="D847" s="6" t="s">
        <v>2404</v>
      </c>
      <c r="E847" s="9">
        <v>3</v>
      </c>
      <c r="F847" s="4">
        <v>107.36</v>
      </c>
      <c r="G847" t="s">
        <v>2953</v>
      </c>
      <c r="H847" s="6" t="s">
        <v>3068</v>
      </c>
      <c r="I847" s="6" t="s">
        <v>3073</v>
      </c>
      <c r="J847" s="6" t="s">
        <v>3920</v>
      </c>
      <c r="K847" s="9">
        <v>5</v>
      </c>
      <c r="L847" s="6" t="s">
        <v>4276</v>
      </c>
      <c r="M847" s="6" t="s">
        <v>4282</v>
      </c>
      <c r="N847" s="4">
        <v>322.08</v>
      </c>
      <c r="O847" s="6">
        <f t="shared" si="13"/>
        <v>356</v>
      </c>
    </row>
    <row r="848" spans="1:15" x14ac:dyDescent="0.3">
      <c r="A848" s="6" t="s">
        <v>860</v>
      </c>
      <c r="B848" s="2">
        <v>45477</v>
      </c>
      <c r="C848" s="6" t="s">
        <v>2056</v>
      </c>
      <c r="D848" s="6" t="s">
        <v>2409</v>
      </c>
      <c r="E848" s="9">
        <v>2</v>
      </c>
      <c r="F848" s="4">
        <v>359.86</v>
      </c>
      <c r="G848" t="s">
        <v>2954</v>
      </c>
      <c r="H848" s="6" t="s">
        <v>3065</v>
      </c>
      <c r="I848" s="6" t="s">
        <v>3071</v>
      </c>
      <c r="J848" s="6" t="s">
        <v>3921</v>
      </c>
      <c r="K848" s="9">
        <v>4</v>
      </c>
      <c r="L848" s="6" t="s">
        <v>4283</v>
      </c>
      <c r="M848" s="6" t="s">
        <v>4279</v>
      </c>
      <c r="N848" s="4">
        <v>719.72</v>
      </c>
      <c r="O848" s="6">
        <f t="shared" si="13"/>
        <v>355</v>
      </c>
    </row>
    <row r="849" spans="1:15" x14ac:dyDescent="0.3">
      <c r="A849" s="6" t="s">
        <v>861</v>
      </c>
      <c r="B849" s="2">
        <v>45614</v>
      </c>
      <c r="C849" s="6" t="s">
        <v>2057</v>
      </c>
      <c r="D849" s="6" t="s">
        <v>2407</v>
      </c>
      <c r="E849" s="9">
        <v>4</v>
      </c>
      <c r="F849" s="4">
        <v>434.23</v>
      </c>
      <c r="G849" t="s">
        <v>2657</v>
      </c>
      <c r="H849" s="6" t="s">
        <v>3066</v>
      </c>
      <c r="I849" s="6" t="s">
        <v>3070</v>
      </c>
      <c r="J849" s="6" t="s">
        <v>3922</v>
      </c>
      <c r="K849" s="9">
        <v>8</v>
      </c>
      <c r="L849" s="6" t="s">
        <v>4276</v>
      </c>
      <c r="M849" s="6" t="s">
        <v>4280</v>
      </c>
      <c r="N849" s="4">
        <v>1736.92</v>
      </c>
      <c r="O849" s="6">
        <f t="shared" si="13"/>
        <v>354</v>
      </c>
    </row>
    <row r="850" spans="1:15" x14ac:dyDescent="0.3">
      <c r="A850" s="6" t="s">
        <v>862</v>
      </c>
      <c r="B850" s="2">
        <v>44927</v>
      </c>
      <c r="C850" s="6" t="s">
        <v>2058</v>
      </c>
      <c r="D850" s="6" t="s">
        <v>2406</v>
      </c>
      <c r="E850" s="9">
        <v>2</v>
      </c>
      <c r="F850" s="4">
        <v>645.85</v>
      </c>
      <c r="G850" t="s">
        <v>2466</v>
      </c>
      <c r="H850" s="6" t="s">
        <v>3066</v>
      </c>
      <c r="I850" s="6" t="s">
        <v>3070</v>
      </c>
      <c r="J850" s="6" t="s">
        <v>3923</v>
      </c>
      <c r="K850" s="9">
        <v>5</v>
      </c>
      <c r="L850" s="6" t="s">
        <v>4283</v>
      </c>
      <c r="M850" s="6" t="s">
        <v>4279</v>
      </c>
      <c r="N850" s="4">
        <v>1291.7</v>
      </c>
      <c r="O850" s="6">
        <f t="shared" si="13"/>
        <v>353</v>
      </c>
    </row>
    <row r="851" spans="1:15" x14ac:dyDescent="0.3">
      <c r="A851" s="6" t="s">
        <v>863</v>
      </c>
      <c r="B851" s="2">
        <v>45817</v>
      </c>
      <c r="C851" s="6" t="s">
        <v>2059</v>
      </c>
      <c r="D851" s="6" t="s">
        <v>2407</v>
      </c>
      <c r="E851" s="9">
        <v>4</v>
      </c>
      <c r="F851" s="4">
        <v>214.35</v>
      </c>
      <c r="G851" t="s">
        <v>2943</v>
      </c>
      <c r="H851" s="6" t="s">
        <v>3065</v>
      </c>
      <c r="I851" s="6" t="s">
        <v>3071</v>
      </c>
      <c r="J851" s="6" t="s">
        <v>3924</v>
      </c>
      <c r="K851" s="9">
        <v>7</v>
      </c>
      <c r="L851" s="6" t="s">
        <v>4277</v>
      </c>
      <c r="M851" s="6" t="s">
        <v>4279</v>
      </c>
      <c r="N851" s="4">
        <v>857.4</v>
      </c>
      <c r="O851" s="6">
        <f t="shared" si="13"/>
        <v>352</v>
      </c>
    </row>
    <row r="852" spans="1:15" x14ac:dyDescent="0.3">
      <c r="A852" s="6" t="s">
        <v>864</v>
      </c>
      <c r="B852" s="2">
        <v>45774</v>
      </c>
      <c r="C852" s="6" t="s">
        <v>2060</v>
      </c>
      <c r="D852" s="6" t="s">
        <v>2403</v>
      </c>
      <c r="E852" s="9">
        <v>3</v>
      </c>
      <c r="F852" s="4">
        <v>638.5</v>
      </c>
      <c r="G852" t="s">
        <v>2893</v>
      </c>
      <c r="H852" s="6" t="s">
        <v>3065</v>
      </c>
      <c r="I852" s="6" t="s">
        <v>3071</v>
      </c>
      <c r="J852" s="6" t="s">
        <v>3925</v>
      </c>
      <c r="K852" s="9">
        <v>4</v>
      </c>
      <c r="L852" s="6" t="s">
        <v>4276</v>
      </c>
      <c r="M852" s="6" t="s">
        <v>4278</v>
      </c>
      <c r="N852" s="4">
        <v>1915.5</v>
      </c>
      <c r="O852" s="6">
        <f t="shared" si="13"/>
        <v>351</v>
      </c>
    </row>
    <row r="853" spans="1:15" x14ac:dyDescent="0.3">
      <c r="A853" s="6" t="s">
        <v>865</v>
      </c>
      <c r="B853" s="2">
        <v>45272</v>
      </c>
      <c r="C853" s="6" t="s">
        <v>2061</v>
      </c>
      <c r="D853" s="6" t="s">
        <v>2408</v>
      </c>
      <c r="E853" s="9">
        <v>1</v>
      </c>
      <c r="F853" s="4">
        <v>365.57</v>
      </c>
      <c r="G853" t="s">
        <v>2482</v>
      </c>
      <c r="H853" s="6" t="s">
        <v>3066</v>
      </c>
      <c r="I853" s="6" t="s">
        <v>3071</v>
      </c>
      <c r="J853" s="6" t="s">
        <v>3926</v>
      </c>
      <c r="K853" s="9">
        <v>5</v>
      </c>
      <c r="L853" s="6" t="s">
        <v>4275</v>
      </c>
      <c r="M853" s="6" t="s">
        <v>4280</v>
      </c>
      <c r="N853" s="4">
        <v>365.57</v>
      </c>
      <c r="O853" s="6">
        <f t="shared" si="13"/>
        <v>350</v>
      </c>
    </row>
    <row r="854" spans="1:15" x14ac:dyDescent="0.3">
      <c r="A854" s="6" t="s">
        <v>866</v>
      </c>
      <c r="B854" s="2">
        <v>45589</v>
      </c>
      <c r="C854" s="6" t="s">
        <v>2062</v>
      </c>
      <c r="D854" s="6" t="s">
        <v>2409</v>
      </c>
      <c r="E854" s="9">
        <v>3</v>
      </c>
      <c r="F854" s="4">
        <v>568.04999999999995</v>
      </c>
      <c r="G854" t="s">
        <v>2955</v>
      </c>
      <c r="H854" s="6" t="s">
        <v>3068</v>
      </c>
      <c r="I854" s="6" t="s">
        <v>3074</v>
      </c>
      <c r="J854" s="6" t="s">
        <v>3927</v>
      </c>
      <c r="K854" s="9">
        <v>6</v>
      </c>
      <c r="L854" s="6" t="s">
        <v>4275</v>
      </c>
      <c r="M854" s="6" t="s">
        <v>4282</v>
      </c>
      <c r="N854" s="4">
        <v>1704.15</v>
      </c>
      <c r="O854" s="6">
        <f t="shared" si="13"/>
        <v>349</v>
      </c>
    </row>
    <row r="855" spans="1:15" x14ac:dyDescent="0.3">
      <c r="A855" s="6" t="s">
        <v>867</v>
      </c>
      <c r="B855" s="2">
        <v>45215</v>
      </c>
      <c r="C855" s="6" t="s">
        <v>2063</v>
      </c>
      <c r="D855" s="6" t="s">
        <v>2407</v>
      </c>
      <c r="E855" s="9">
        <v>3</v>
      </c>
      <c r="F855" s="4">
        <v>490.01</v>
      </c>
      <c r="G855" t="s">
        <v>2663</v>
      </c>
      <c r="H855" s="6" t="s">
        <v>3069</v>
      </c>
      <c r="I855" s="6" t="s">
        <v>3072</v>
      </c>
      <c r="J855" s="6" t="s">
        <v>3928</v>
      </c>
      <c r="K855" s="9">
        <v>4</v>
      </c>
      <c r="L855" s="6" t="s">
        <v>4275</v>
      </c>
      <c r="M855" s="6" t="s">
        <v>4281</v>
      </c>
      <c r="N855" s="4">
        <v>1470.03</v>
      </c>
      <c r="O855" s="6">
        <f t="shared" si="13"/>
        <v>348</v>
      </c>
    </row>
    <row r="856" spans="1:15" x14ac:dyDescent="0.3">
      <c r="A856" s="6" t="s">
        <v>868</v>
      </c>
      <c r="B856" s="2">
        <v>45821</v>
      </c>
      <c r="C856" s="6" t="s">
        <v>2064</v>
      </c>
      <c r="D856" s="6" t="s">
        <v>2408</v>
      </c>
      <c r="E856" s="9">
        <v>3</v>
      </c>
      <c r="F856" s="4">
        <v>372.6</v>
      </c>
      <c r="G856" t="s">
        <v>2759</v>
      </c>
      <c r="H856" s="6" t="s">
        <v>3067</v>
      </c>
      <c r="I856" s="6" t="s">
        <v>3073</v>
      </c>
      <c r="J856" s="6" t="s">
        <v>3929</v>
      </c>
      <c r="K856" s="9">
        <v>7</v>
      </c>
      <c r="L856" s="6" t="s">
        <v>4277</v>
      </c>
      <c r="M856" s="6" t="s">
        <v>4279</v>
      </c>
      <c r="N856" s="4">
        <v>1117.8</v>
      </c>
      <c r="O856" s="6">
        <f t="shared" si="13"/>
        <v>347</v>
      </c>
    </row>
    <row r="857" spans="1:15" x14ac:dyDescent="0.3">
      <c r="A857" s="6" t="s">
        <v>869</v>
      </c>
      <c r="B857" s="2">
        <v>45071</v>
      </c>
      <c r="C857" s="6" t="s">
        <v>2065</v>
      </c>
      <c r="D857" s="6" t="s">
        <v>2403</v>
      </c>
      <c r="E857" s="9">
        <v>5</v>
      </c>
      <c r="F857" s="4">
        <v>240.61</v>
      </c>
      <c r="G857" t="s">
        <v>2624</v>
      </c>
      <c r="H857" s="6" t="s">
        <v>3067</v>
      </c>
      <c r="I857" s="6" t="s">
        <v>3070</v>
      </c>
      <c r="J857" s="6" t="s">
        <v>3930</v>
      </c>
      <c r="K857" s="9">
        <v>10</v>
      </c>
      <c r="L857" s="6" t="s">
        <v>4276</v>
      </c>
      <c r="M857" s="6" t="s">
        <v>4280</v>
      </c>
      <c r="N857" s="4">
        <v>1203.05</v>
      </c>
      <c r="O857" s="6">
        <f t="shared" si="13"/>
        <v>346</v>
      </c>
    </row>
    <row r="858" spans="1:15" x14ac:dyDescent="0.3">
      <c r="A858" s="6" t="s">
        <v>870</v>
      </c>
      <c r="B858" s="2">
        <v>45446</v>
      </c>
      <c r="C858" s="6" t="s">
        <v>2066</v>
      </c>
      <c r="D858" s="6" t="s">
        <v>2404</v>
      </c>
      <c r="E858" s="9">
        <v>1</v>
      </c>
      <c r="F858" s="4">
        <v>586.62</v>
      </c>
      <c r="G858" t="s">
        <v>2452</v>
      </c>
      <c r="H858" s="6" t="s">
        <v>3065</v>
      </c>
      <c r="I858" s="6" t="s">
        <v>3070</v>
      </c>
      <c r="J858" s="6" t="s">
        <v>3931</v>
      </c>
      <c r="K858" s="9">
        <v>5</v>
      </c>
      <c r="L858" s="6" t="s">
        <v>4283</v>
      </c>
      <c r="M858" s="6" t="s">
        <v>4281</v>
      </c>
      <c r="N858" s="4">
        <v>586.62</v>
      </c>
      <c r="O858" s="6">
        <f t="shared" si="13"/>
        <v>345</v>
      </c>
    </row>
    <row r="859" spans="1:15" x14ac:dyDescent="0.3">
      <c r="A859" s="6" t="s">
        <v>871</v>
      </c>
      <c r="B859" s="2">
        <v>45361</v>
      </c>
      <c r="C859" s="6" t="s">
        <v>2067</v>
      </c>
      <c r="D859" s="6" t="s">
        <v>2404</v>
      </c>
      <c r="E859" s="9">
        <v>3</v>
      </c>
      <c r="F859" s="4">
        <v>257.83999999999997</v>
      </c>
      <c r="G859" t="s">
        <v>2594</v>
      </c>
      <c r="H859" s="6" t="s">
        <v>3066</v>
      </c>
      <c r="I859" s="6" t="s">
        <v>3073</v>
      </c>
      <c r="J859" s="6" t="s">
        <v>3932</v>
      </c>
      <c r="K859" s="9">
        <v>4</v>
      </c>
      <c r="L859" s="6" t="s">
        <v>4283</v>
      </c>
      <c r="M859" s="6" t="s">
        <v>4278</v>
      </c>
      <c r="N859" s="4">
        <v>773.52</v>
      </c>
      <c r="O859" s="6">
        <f t="shared" si="13"/>
        <v>344</v>
      </c>
    </row>
    <row r="860" spans="1:15" x14ac:dyDescent="0.3">
      <c r="A860" s="6" t="s">
        <v>872</v>
      </c>
      <c r="B860" s="2">
        <v>45158</v>
      </c>
      <c r="C860" s="6" t="s">
        <v>2068</v>
      </c>
      <c r="D860" s="6" t="s">
        <v>2405</v>
      </c>
      <c r="E860" s="9">
        <v>5</v>
      </c>
      <c r="F860" s="4">
        <v>435.66</v>
      </c>
      <c r="G860" t="s">
        <v>2428</v>
      </c>
      <c r="H860" s="6" t="s">
        <v>3066</v>
      </c>
      <c r="I860" s="6" t="s">
        <v>3074</v>
      </c>
      <c r="J860" s="6" t="s">
        <v>3933</v>
      </c>
      <c r="K860" s="9">
        <v>9</v>
      </c>
      <c r="L860" s="6" t="s">
        <v>4283</v>
      </c>
      <c r="M860" s="6" t="s">
        <v>4281</v>
      </c>
      <c r="N860" s="4">
        <v>2178.3000000000002</v>
      </c>
      <c r="O860" s="6">
        <f t="shared" si="13"/>
        <v>343</v>
      </c>
    </row>
    <row r="861" spans="1:15" x14ac:dyDescent="0.3">
      <c r="A861" s="6" t="s">
        <v>873</v>
      </c>
      <c r="B861" s="2">
        <v>45532</v>
      </c>
      <c r="C861" s="6" t="s">
        <v>2069</v>
      </c>
      <c r="D861" s="6" t="s">
        <v>2406</v>
      </c>
      <c r="E861" s="9">
        <v>5</v>
      </c>
      <c r="F861" s="4">
        <v>261.33</v>
      </c>
      <c r="G861" t="s">
        <v>2842</v>
      </c>
      <c r="H861" s="6" t="s">
        <v>3067</v>
      </c>
      <c r="I861" s="6" t="s">
        <v>3072</v>
      </c>
      <c r="J861" s="6" t="s">
        <v>3934</v>
      </c>
      <c r="K861" s="9">
        <v>5</v>
      </c>
      <c r="L861" s="6" t="s">
        <v>4275</v>
      </c>
      <c r="M861" s="6" t="s">
        <v>4279</v>
      </c>
      <c r="N861" s="4">
        <v>1306.6500000000001</v>
      </c>
      <c r="O861" s="6">
        <f t="shared" si="13"/>
        <v>342</v>
      </c>
    </row>
    <row r="862" spans="1:15" x14ac:dyDescent="0.3">
      <c r="A862" s="6" t="s">
        <v>874</v>
      </c>
      <c r="B862" s="2">
        <v>45314</v>
      </c>
      <c r="C862" s="6" t="s">
        <v>2070</v>
      </c>
      <c r="D862" s="6" t="s">
        <v>2407</v>
      </c>
      <c r="E862" s="9">
        <v>1</v>
      </c>
      <c r="F862" s="4">
        <v>422.54</v>
      </c>
      <c r="G862" t="s">
        <v>2699</v>
      </c>
      <c r="H862" s="6" t="s">
        <v>3069</v>
      </c>
      <c r="I862" s="6" t="s">
        <v>3073</v>
      </c>
      <c r="J862" s="6" t="s">
        <v>3935</v>
      </c>
      <c r="K862" s="9">
        <v>1</v>
      </c>
      <c r="L862" s="6" t="s">
        <v>4275</v>
      </c>
      <c r="M862" s="6" t="s">
        <v>4282</v>
      </c>
      <c r="N862" s="4">
        <v>422.54</v>
      </c>
      <c r="O862" s="6">
        <f t="shared" si="13"/>
        <v>341</v>
      </c>
    </row>
    <row r="863" spans="1:15" x14ac:dyDescent="0.3">
      <c r="A863" s="6" t="s">
        <v>875</v>
      </c>
      <c r="B863" s="2">
        <v>45004</v>
      </c>
      <c r="C863" s="6" t="s">
        <v>2071</v>
      </c>
      <c r="D863" s="6" t="s">
        <v>2409</v>
      </c>
      <c r="E863" s="9">
        <v>5</v>
      </c>
      <c r="F863" s="4">
        <v>330.45</v>
      </c>
      <c r="G863" t="s">
        <v>2956</v>
      </c>
      <c r="H863" s="6" t="s">
        <v>3068</v>
      </c>
      <c r="I863" s="6" t="s">
        <v>3070</v>
      </c>
      <c r="J863" s="6" t="s">
        <v>3936</v>
      </c>
      <c r="K863" s="9">
        <v>10</v>
      </c>
      <c r="L863" s="6" t="s">
        <v>4276</v>
      </c>
      <c r="M863" s="6" t="s">
        <v>4282</v>
      </c>
      <c r="N863" s="4">
        <v>1652.25</v>
      </c>
      <c r="O863" s="6">
        <f t="shared" si="13"/>
        <v>340</v>
      </c>
    </row>
    <row r="864" spans="1:15" x14ac:dyDescent="0.3">
      <c r="A864" s="6" t="s">
        <v>876</v>
      </c>
      <c r="B864" s="2">
        <v>45262</v>
      </c>
      <c r="C864" s="6" t="s">
        <v>2072</v>
      </c>
      <c r="D864" s="6" t="s">
        <v>2409</v>
      </c>
      <c r="E864" s="9">
        <v>3</v>
      </c>
      <c r="F864" s="4">
        <v>120.82</v>
      </c>
      <c r="G864" t="s">
        <v>2882</v>
      </c>
      <c r="H864" s="6" t="s">
        <v>3067</v>
      </c>
      <c r="I864" s="6" t="s">
        <v>3070</v>
      </c>
      <c r="J864" s="6" t="s">
        <v>3937</v>
      </c>
      <c r="K864" s="9">
        <v>5</v>
      </c>
      <c r="L864" s="6" t="s">
        <v>4275</v>
      </c>
      <c r="M864" s="6" t="s">
        <v>4279</v>
      </c>
      <c r="N864" s="4">
        <v>362.46</v>
      </c>
      <c r="O864" s="6">
        <f t="shared" si="13"/>
        <v>339</v>
      </c>
    </row>
    <row r="865" spans="1:15" x14ac:dyDescent="0.3">
      <c r="A865" s="6" t="s">
        <v>877</v>
      </c>
      <c r="B865" s="2">
        <v>45432</v>
      </c>
      <c r="C865" s="6" t="s">
        <v>2073</v>
      </c>
      <c r="D865" s="6" t="s">
        <v>2404</v>
      </c>
      <c r="E865" s="9">
        <v>1</v>
      </c>
      <c r="F865" s="4">
        <v>14.06</v>
      </c>
      <c r="G865" t="s">
        <v>2625</v>
      </c>
      <c r="H865" s="6" t="s">
        <v>3067</v>
      </c>
      <c r="I865" s="6" t="s">
        <v>3074</v>
      </c>
      <c r="J865" s="6" t="s">
        <v>3938</v>
      </c>
      <c r="K865" s="9">
        <v>5</v>
      </c>
      <c r="L865" s="6" t="s">
        <v>4275</v>
      </c>
      <c r="M865" s="6" t="s">
        <v>4279</v>
      </c>
      <c r="N865" s="4">
        <v>14.06</v>
      </c>
      <c r="O865" s="6">
        <f t="shared" si="13"/>
        <v>338</v>
      </c>
    </row>
    <row r="866" spans="1:15" x14ac:dyDescent="0.3">
      <c r="A866" s="6" t="s">
        <v>878</v>
      </c>
      <c r="B866" s="2">
        <v>45049</v>
      </c>
      <c r="C866" s="6" t="s">
        <v>2074</v>
      </c>
      <c r="D866" s="6" t="s">
        <v>2409</v>
      </c>
      <c r="E866" s="9">
        <v>1</v>
      </c>
      <c r="F866" s="4">
        <v>491.11</v>
      </c>
      <c r="G866" t="s">
        <v>2957</v>
      </c>
      <c r="H866" s="6" t="s">
        <v>3067</v>
      </c>
      <c r="I866" s="6" t="s">
        <v>3073</v>
      </c>
      <c r="J866" s="6" t="s">
        <v>3939</v>
      </c>
      <c r="K866" s="9">
        <v>4</v>
      </c>
      <c r="L866" s="6" t="s">
        <v>4275</v>
      </c>
      <c r="M866" s="6" t="s">
        <v>4281</v>
      </c>
      <c r="N866" s="4">
        <v>491.11</v>
      </c>
      <c r="O866" s="6">
        <f t="shared" si="13"/>
        <v>337</v>
      </c>
    </row>
    <row r="867" spans="1:15" x14ac:dyDescent="0.3">
      <c r="A867" s="6" t="s">
        <v>879</v>
      </c>
      <c r="B867" s="2">
        <v>45046</v>
      </c>
      <c r="C867" s="6" t="s">
        <v>2075</v>
      </c>
      <c r="D867" s="6" t="s">
        <v>2403</v>
      </c>
      <c r="E867" s="9">
        <v>4</v>
      </c>
      <c r="F867" s="4">
        <v>677.37</v>
      </c>
      <c r="G867" t="s">
        <v>2958</v>
      </c>
      <c r="H867" s="6" t="s">
        <v>3069</v>
      </c>
      <c r="I867" s="6" t="s">
        <v>3074</v>
      </c>
      <c r="J867" s="6" t="s">
        <v>3940</v>
      </c>
      <c r="K867" s="9">
        <v>8</v>
      </c>
      <c r="L867" s="6" t="s">
        <v>4275</v>
      </c>
      <c r="M867" s="6" t="s">
        <v>4282</v>
      </c>
      <c r="N867" s="4">
        <v>2709.48</v>
      </c>
      <c r="O867" s="6">
        <f t="shared" si="13"/>
        <v>336</v>
      </c>
    </row>
    <row r="868" spans="1:15" x14ac:dyDescent="0.3">
      <c r="A868" s="6" t="s">
        <v>880</v>
      </c>
      <c r="B868" s="2">
        <v>45499</v>
      </c>
      <c r="C868" s="6" t="s">
        <v>2076</v>
      </c>
      <c r="D868" s="6" t="s">
        <v>2409</v>
      </c>
      <c r="E868" s="9">
        <v>5</v>
      </c>
      <c r="F868" s="4">
        <v>189.25</v>
      </c>
      <c r="G868" t="s">
        <v>2959</v>
      </c>
      <c r="H868" s="6" t="s">
        <v>3065</v>
      </c>
      <c r="I868" s="6" t="s">
        <v>3071</v>
      </c>
      <c r="J868" s="6" t="s">
        <v>3941</v>
      </c>
      <c r="K868" s="9">
        <v>10</v>
      </c>
      <c r="L868" s="6" t="s">
        <v>4277</v>
      </c>
      <c r="M868" s="6" t="s">
        <v>4280</v>
      </c>
      <c r="N868" s="4">
        <v>946.25</v>
      </c>
      <c r="O868" s="6">
        <f t="shared" si="13"/>
        <v>335</v>
      </c>
    </row>
    <row r="869" spans="1:15" x14ac:dyDescent="0.3">
      <c r="A869" s="6" t="s">
        <v>881</v>
      </c>
      <c r="B869" s="2">
        <v>45438</v>
      </c>
      <c r="C869" s="6" t="s">
        <v>2077</v>
      </c>
      <c r="D869" s="6" t="s">
        <v>2407</v>
      </c>
      <c r="E869" s="9">
        <v>4</v>
      </c>
      <c r="F869" s="4">
        <v>142.58000000000001</v>
      </c>
      <c r="G869" t="s">
        <v>2960</v>
      </c>
      <c r="H869" s="6" t="s">
        <v>3069</v>
      </c>
      <c r="I869" s="6" t="s">
        <v>3073</v>
      </c>
      <c r="J869" s="6" t="s">
        <v>3942</v>
      </c>
      <c r="K869" s="9">
        <v>4</v>
      </c>
      <c r="L869" s="6" t="s">
        <v>4276</v>
      </c>
      <c r="M869" s="6" t="s">
        <v>4281</v>
      </c>
      <c r="N869" s="4">
        <v>570.32000000000005</v>
      </c>
      <c r="O869" s="6">
        <f t="shared" si="13"/>
        <v>334</v>
      </c>
    </row>
    <row r="870" spans="1:15" x14ac:dyDescent="0.3">
      <c r="A870" s="6" t="s">
        <v>882</v>
      </c>
      <c r="B870" s="2">
        <v>45472</v>
      </c>
      <c r="C870" s="6" t="s">
        <v>2078</v>
      </c>
      <c r="D870" s="6" t="s">
        <v>2403</v>
      </c>
      <c r="E870" s="9">
        <v>4</v>
      </c>
      <c r="F870" s="4">
        <v>316.32</v>
      </c>
      <c r="G870" t="s">
        <v>2961</v>
      </c>
      <c r="H870" s="6" t="s">
        <v>3065</v>
      </c>
      <c r="I870" s="6" t="s">
        <v>3073</v>
      </c>
      <c r="J870" s="6" t="s">
        <v>3943</v>
      </c>
      <c r="K870" s="9">
        <v>7</v>
      </c>
      <c r="L870" s="6" t="s">
        <v>4283</v>
      </c>
      <c r="M870" s="6" t="s">
        <v>4281</v>
      </c>
      <c r="N870" s="4">
        <v>1265.28</v>
      </c>
      <c r="O870" s="6">
        <f t="shared" si="13"/>
        <v>333</v>
      </c>
    </row>
    <row r="871" spans="1:15" x14ac:dyDescent="0.3">
      <c r="A871" s="6" t="s">
        <v>883</v>
      </c>
      <c r="B871" s="2">
        <v>45368</v>
      </c>
      <c r="C871" s="6" t="s">
        <v>2079</v>
      </c>
      <c r="D871" s="6" t="s">
        <v>2409</v>
      </c>
      <c r="E871" s="9">
        <v>2</v>
      </c>
      <c r="F871" s="4">
        <v>533.95000000000005</v>
      </c>
      <c r="G871" t="s">
        <v>2566</v>
      </c>
      <c r="H871" s="6" t="s">
        <v>3066</v>
      </c>
      <c r="I871" s="6" t="s">
        <v>3073</v>
      </c>
      <c r="J871" s="6" t="s">
        <v>3944</v>
      </c>
      <c r="K871" s="9">
        <v>5</v>
      </c>
      <c r="L871" s="6" t="s">
        <v>4277</v>
      </c>
      <c r="M871" s="6" t="s">
        <v>4282</v>
      </c>
      <c r="N871" s="4">
        <v>1067.9000000000001</v>
      </c>
      <c r="O871" s="6">
        <f t="shared" si="13"/>
        <v>332</v>
      </c>
    </row>
    <row r="872" spans="1:15" x14ac:dyDescent="0.3">
      <c r="A872" s="6" t="s">
        <v>884</v>
      </c>
      <c r="B872" s="2">
        <v>45809</v>
      </c>
      <c r="C872" s="6" t="s">
        <v>2080</v>
      </c>
      <c r="D872" s="6" t="s">
        <v>2404</v>
      </c>
      <c r="E872" s="9">
        <v>4</v>
      </c>
      <c r="F872" s="4">
        <v>470.09</v>
      </c>
      <c r="G872" t="s">
        <v>2962</v>
      </c>
      <c r="H872" s="6" t="s">
        <v>3065</v>
      </c>
      <c r="I872" s="6" t="s">
        <v>3073</v>
      </c>
      <c r="J872" s="6" t="s">
        <v>3945</v>
      </c>
      <c r="K872" s="9">
        <v>4</v>
      </c>
      <c r="L872" s="6" t="s">
        <v>4276</v>
      </c>
      <c r="M872" s="6" t="s">
        <v>4282</v>
      </c>
      <c r="N872" s="4">
        <v>1880.36</v>
      </c>
      <c r="O872" s="6">
        <f t="shared" si="13"/>
        <v>331</v>
      </c>
    </row>
    <row r="873" spans="1:15" x14ac:dyDescent="0.3">
      <c r="A873" s="6" t="s">
        <v>885</v>
      </c>
      <c r="B873" s="2">
        <v>45428</v>
      </c>
      <c r="C873" s="6" t="s">
        <v>2081</v>
      </c>
      <c r="D873" s="6" t="s">
        <v>2405</v>
      </c>
      <c r="E873" s="9">
        <v>3</v>
      </c>
      <c r="F873" s="4">
        <v>324.3</v>
      </c>
      <c r="G873" t="s">
        <v>2963</v>
      </c>
      <c r="H873" s="6" t="s">
        <v>3065</v>
      </c>
      <c r="I873" s="6" t="s">
        <v>3074</v>
      </c>
      <c r="J873" s="6" t="s">
        <v>3946</v>
      </c>
      <c r="K873" s="9">
        <v>8</v>
      </c>
      <c r="L873" s="6" t="s">
        <v>4276</v>
      </c>
      <c r="M873" s="6" t="s">
        <v>4280</v>
      </c>
      <c r="N873" s="4">
        <v>972.90000000000009</v>
      </c>
      <c r="O873" s="6">
        <f t="shared" si="13"/>
        <v>330</v>
      </c>
    </row>
    <row r="874" spans="1:15" x14ac:dyDescent="0.3">
      <c r="A874" s="6" t="s">
        <v>886</v>
      </c>
      <c r="B874" s="2">
        <v>45117</v>
      </c>
      <c r="C874" s="6" t="s">
        <v>2082</v>
      </c>
      <c r="D874" s="6" t="s">
        <v>2406</v>
      </c>
      <c r="E874" s="9">
        <v>4</v>
      </c>
      <c r="F874" s="4">
        <v>629.34</v>
      </c>
      <c r="G874" t="s">
        <v>2590</v>
      </c>
      <c r="H874" s="6" t="s">
        <v>3069</v>
      </c>
      <c r="I874" s="6" t="s">
        <v>3070</v>
      </c>
      <c r="J874" s="6" t="s">
        <v>3947</v>
      </c>
      <c r="K874" s="9">
        <v>7</v>
      </c>
      <c r="L874" s="6" t="s">
        <v>4283</v>
      </c>
      <c r="M874" s="6" t="s">
        <v>4280</v>
      </c>
      <c r="N874" s="4">
        <v>2517.36</v>
      </c>
      <c r="O874" s="6">
        <f t="shared" si="13"/>
        <v>329</v>
      </c>
    </row>
    <row r="875" spans="1:15" x14ac:dyDescent="0.3">
      <c r="A875" s="6" t="s">
        <v>887</v>
      </c>
      <c r="B875" s="2">
        <v>45424</v>
      </c>
      <c r="C875" s="6" t="s">
        <v>2083</v>
      </c>
      <c r="D875" s="6" t="s">
        <v>2409</v>
      </c>
      <c r="E875" s="9">
        <v>3</v>
      </c>
      <c r="F875" s="4">
        <v>136.84</v>
      </c>
      <c r="G875" t="s">
        <v>2964</v>
      </c>
      <c r="H875" s="6" t="s">
        <v>3069</v>
      </c>
      <c r="I875" s="6" t="s">
        <v>3073</v>
      </c>
      <c r="J875" s="6" t="s">
        <v>3948</v>
      </c>
      <c r="K875" s="9">
        <v>3</v>
      </c>
      <c r="L875" s="6" t="s">
        <v>4275</v>
      </c>
      <c r="M875" s="6" t="s">
        <v>4281</v>
      </c>
      <c r="N875" s="4">
        <v>410.52</v>
      </c>
      <c r="O875" s="6">
        <f t="shared" si="13"/>
        <v>328</v>
      </c>
    </row>
    <row r="876" spans="1:15" x14ac:dyDescent="0.3">
      <c r="A876" s="6" t="s">
        <v>888</v>
      </c>
      <c r="B876" s="2">
        <v>45230</v>
      </c>
      <c r="C876" s="6" t="s">
        <v>2084</v>
      </c>
      <c r="D876" s="6" t="s">
        <v>2406</v>
      </c>
      <c r="E876" s="9">
        <v>2</v>
      </c>
      <c r="F876" s="4">
        <v>488.9</v>
      </c>
      <c r="G876" t="s">
        <v>2886</v>
      </c>
      <c r="H876" s="6" t="s">
        <v>3069</v>
      </c>
      <c r="I876" s="6" t="s">
        <v>3073</v>
      </c>
      <c r="J876" s="6" t="s">
        <v>3949</v>
      </c>
      <c r="K876" s="9">
        <v>7</v>
      </c>
      <c r="L876" s="6" t="s">
        <v>4276</v>
      </c>
      <c r="M876" s="6" t="s">
        <v>4281</v>
      </c>
      <c r="N876" s="4">
        <v>977.8</v>
      </c>
      <c r="O876" s="6">
        <f t="shared" si="13"/>
        <v>327</v>
      </c>
    </row>
    <row r="877" spans="1:15" x14ac:dyDescent="0.3">
      <c r="A877" s="6" t="s">
        <v>889</v>
      </c>
      <c r="B877" s="2">
        <v>45141</v>
      </c>
      <c r="C877" s="6" t="s">
        <v>2085</v>
      </c>
      <c r="D877" s="6" t="s">
        <v>2408</v>
      </c>
      <c r="E877" s="9">
        <v>5</v>
      </c>
      <c r="F877" s="4">
        <v>133.38999999999999</v>
      </c>
      <c r="G877" t="s">
        <v>2496</v>
      </c>
      <c r="H877" s="6" t="s">
        <v>3067</v>
      </c>
      <c r="I877" s="6" t="s">
        <v>3073</v>
      </c>
      <c r="J877" s="6" t="s">
        <v>3950</v>
      </c>
      <c r="K877" s="9">
        <v>6</v>
      </c>
      <c r="L877" s="6" t="s">
        <v>4276</v>
      </c>
      <c r="M877" s="6" t="s">
        <v>4279</v>
      </c>
      <c r="N877" s="4">
        <v>666.94999999999993</v>
      </c>
      <c r="O877" s="6">
        <f t="shared" si="13"/>
        <v>326</v>
      </c>
    </row>
    <row r="878" spans="1:15" x14ac:dyDescent="0.3">
      <c r="A878" s="6" t="s">
        <v>890</v>
      </c>
      <c r="B878" s="2">
        <v>45452</v>
      </c>
      <c r="C878" s="6" t="s">
        <v>2086</v>
      </c>
      <c r="D878" s="6" t="s">
        <v>2406</v>
      </c>
      <c r="E878" s="9">
        <v>5</v>
      </c>
      <c r="F878" s="4">
        <v>608.91</v>
      </c>
      <c r="G878" t="s">
        <v>2900</v>
      </c>
      <c r="H878" s="6" t="s">
        <v>3068</v>
      </c>
      <c r="I878" s="6" t="s">
        <v>3074</v>
      </c>
      <c r="J878" s="6" t="s">
        <v>3951</v>
      </c>
      <c r="K878" s="9">
        <v>6</v>
      </c>
      <c r="L878" s="6" t="s">
        <v>4275</v>
      </c>
      <c r="M878" s="6" t="s">
        <v>4282</v>
      </c>
      <c r="N878" s="4">
        <v>3044.55</v>
      </c>
      <c r="O878" s="6">
        <f t="shared" si="13"/>
        <v>325</v>
      </c>
    </row>
    <row r="879" spans="1:15" x14ac:dyDescent="0.3">
      <c r="A879" s="6" t="s">
        <v>891</v>
      </c>
      <c r="B879" s="2">
        <v>45498</v>
      </c>
      <c r="C879" s="6" t="s">
        <v>2087</v>
      </c>
      <c r="D879" s="6" t="s">
        <v>2405</v>
      </c>
      <c r="E879" s="9">
        <v>1</v>
      </c>
      <c r="F879" s="4">
        <v>524.05999999999995</v>
      </c>
      <c r="G879" t="s">
        <v>2847</v>
      </c>
      <c r="H879" s="6" t="s">
        <v>3065</v>
      </c>
      <c r="I879" s="6" t="s">
        <v>3074</v>
      </c>
      <c r="J879" s="6" t="s">
        <v>3952</v>
      </c>
      <c r="K879" s="9">
        <v>3</v>
      </c>
      <c r="L879" s="6" t="s">
        <v>4276</v>
      </c>
      <c r="M879" s="6" t="s">
        <v>4280</v>
      </c>
      <c r="N879" s="4">
        <v>524.05999999999995</v>
      </c>
      <c r="O879" s="6">
        <f t="shared" si="13"/>
        <v>324</v>
      </c>
    </row>
    <row r="880" spans="1:15" x14ac:dyDescent="0.3">
      <c r="A880" s="6" t="s">
        <v>892</v>
      </c>
      <c r="B880" s="2">
        <v>45078</v>
      </c>
      <c r="C880" s="6" t="s">
        <v>2088</v>
      </c>
      <c r="D880" s="6" t="s">
        <v>2409</v>
      </c>
      <c r="E880" s="9">
        <v>2</v>
      </c>
      <c r="F880" s="4">
        <v>330.69</v>
      </c>
      <c r="G880" t="s">
        <v>2965</v>
      </c>
      <c r="H880" s="6" t="s">
        <v>3066</v>
      </c>
      <c r="I880" s="6" t="s">
        <v>3071</v>
      </c>
      <c r="J880" s="6" t="s">
        <v>3953</v>
      </c>
      <c r="K880" s="9">
        <v>5</v>
      </c>
      <c r="L880" s="6" t="s">
        <v>4275</v>
      </c>
      <c r="M880" s="6" t="s">
        <v>4282</v>
      </c>
      <c r="N880" s="4">
        <v>661.38</v>
      </c>
      <c r="O880" s="6">
        <f t="shared" si="13"/>
        <v>323</v>
      </c>
    </row>
    <row r="881" spans="1:15" x14ac:dyDescent="0.3">
      <c r="A881" s="6" t="s">
        <v>893</v>
      </c>
      <c r="B881" s="2">
        <v>45755</v>
      </c>
      <c r="C881" s="6" t="s">
        <v>2089</v>
      </c>
      <c r="D881" s="6" t="s">
        <v>2404</v>
      </c>
      <c r="E881" s="9">
        <v>2</v>
      </c>
      <c r="F881" s="4">
        <v>547.66999999999996</v>
      </c>
      <c r="G881" t="s">
        <v>2817</v>
      </c>
      <c r="H881" s="6" t="s">
        <v>3068</v>
      </c>
      <c r="I881" s="6" t="s">
        <v>3070</v>
      </c>
      <c r="J881" s="6" t="s">
        <v>3954</v>
      </c>
      <c r="K881" s="9">
        <v>3</v>
      </c>
      <c r="L881" s="6" t="s">
        <v>4283</v>
      </c>
      <c r="M881" s="6" t="s">
        <v>4278</v>
      </c>
      <c r="N881" s="4">
        <v>1095.3399999999999</v>
      </c>
      <c r="O881" s="6">
        <f t="shared" si="13"/>
        <v>322</v>
      </c>
    </row>
    <row r="882" spans="1:15" x14ac:dyDescent="0.3">
      <c r="A882" s="6" t="s">
        <v>894</v>
      </c>
      <c r="B882" s="2">
        <v>45728</v>
      </c>
      <c r="C882" s="6" t="s">
        <v>2090</v>
      </c>
      <c r="D882" s="6" t="s">
        <v>2408</v>
      </c>
      <c r="E882" s="9">
        <v>4</v>
      </c>
      <c r="F882" s="4">
        <v>233.7</v>
      </c>
      <c r="G882" t="s">
        <v>2620</v>
      </c>
      <c r="H882" s="6" t="s">
        <v>3066</v>
      </c>
      <c r="I882" s="6" t="s">
        <v>3070</v>
      </c>
      <c r="J882" s="6" t="s">
        <v>3955</v>
      </c>
      <c r="K882" s="9">
        <v>8</v>
      </c>
      <c r="L882" s="6" t="s">
        <v>4275</v>
      </c>
      <c r="M882" s="6" t="s">
        <v>4281</v>
      </c>
      <c r="N882" s="4">
        <v>934.8</v>
      </c>
      <c r="O882" s="6">
        <f t="shared" si="13"/>
        <v>321</v>
      </c>
    </row>
    <row r="883" spans="1:15" x14ac:dyDescent="0.3">
      <c r="A883" s="6" t="s">
        <v>895</v>
      </c>
      <c r="B883" s="2">
        <v>44929</v>
      </c>
      <c r="C883" s="6" t="s">
        <v>2091</v>
      </c>
      <c r="D883" s="6" t="s">
        <v>2405</v>
      </c>
      <c r="E883" s="9">
        <v>2</v>
      </c>
      <c r="F883" s="4">
        <v>448.85</v>
      </c>
      <c r="G883" t="s">
        <v>2966</v>
      </c>
      <c r="H883" s="6" t="s">
        <v>3067</v>
      </c>
      <c r="I883" s="6" t="s">
        <v>3074</v>
      </c>
      <c r="J883" s="6" t="s">
        <v>3956</v>
      </c>
      <c r="K883" s="9">
        <v>6</v>
      </c>
      <c r="L883" s="6" t="s">
        <v>4283</v>
      </c>
      <c r="M883" s="6" t="s">
        <v>4278</v>
      </c>
      <c r="N883" s="4">
        <v>897.7</v>
      </c>
      <c r="O883" s="6">
        <f t="shared" si="13"/>
        <v>320</v>
      </c>
    </row>
    <row r="884" spans="1:15" x14ac:dyDescent="0.3">
      <c r="A884" s="6" t="s">
        <v>896</v>
      </c>
      <c r="B884" s="2">
        <v>45836</v>
      </c>
      <c r="C884" s="6" t="s">
        <v>2092</v>
      </c>
      <c r="D884" s="6" t="s">
        <v>2404</v>
      </c>
      <c r="E884" s="9">
        <v>2</v>
      </c>
      <c r="F884" s="4">
        <v>274.12</v>
      </c>
      <c r="G884" t="s">
        <v>2501</v>
      </c>
      <c r="H884" s="6" t="s">
        <v>3069</v>
      </c>
      <c r="I884" s="6" t="s">
        <v>3073</v>
      </c>
      <c r="J884" s="6" t="s">
        <v>3957</v>
      </c>
      <c r="K884" s="9">
        <v>6</v>
      </c>
      <c r="L884" s="6" t="s">
        <v>4276</v>
      </c>
      <c r="M884" s="6" t="s">
        <v>4279</v>
      </c>
      <c r="N884" s="4">
        <v>548.24</v>
      </c>
      <c r="O884" s="6">
        <f t="shared" si="13"/>
        <v>319</v>
      </c>
    </row>
    <row r="885" spans="1:15" x14ac:dyDescent="0.3">
      <c r="A885" s="6" t="s">
        <v>897</v>
      </c>
      <c r="B885" s="2">
        <v>45790</v>
      </c>
      <c r="C885" s="6" t="s">
        <v>2093</v>
      </c>
      <c r="D885" s="6" t="s">
        <v>2407</v>
      </c>
      <c r="E885" s="9">
        <v>5</v>
      </c>
      <c r="F885" s="4">
        <v>561.48</v>
      </c>
      <c r="G885" t="s">
        <v>2967</v>
      </c>
      <c r="H885" s="6" t="s">
        <v>3066</v>
      </c>
      <c r="I885" s="6" t="s">
        <v>3073</v>
      </c>
      <c r="J885" s="6" t="s">
        <v>3958</v>
      </c>
      <c r="K885" s="9">
        <v>9</v>
      </c>
      <c r="L885" s="6" t="s">
        <v>4276</v>
      </c>
      <c r="M885" s="6" t="s">
        <v>4281</v>
      </c>
      <c r="N885" s="4">
        <v>2807.4</v>
      </c>
      <c r="O885" s="6">
        <f t="shared" si="13"/>
        <v>318</v>
      </c>
    </row>
    <row r="886" spans="1:15" x14ac:dyDescent="0.3">
      <c r="A886" s="6" t="s">
        <v>898</v>
      </c>
      <c r="B886" s="2">
        <v>45427</v>
      </c>
      <c r="C886" s="6" t="s">
        <v>2094</v>
      </c>
      <c r="D886" s="6" t="s">
        <v>2406</v>
      </c>
      <c r="E886" s="9">
        <v>1</v>
      </c>
      <c r="F886" s="4">
        <v>595.54</v>
      </c>
      <c r="G886" t="s">
        <v>2968</v>
      </c>
      <c r="H886" s="6" t="s">
        <v>3068</v>
      </c>
      <c r="I886" s="6" t="s">
        <v>3070</v>
      </c>
      <c r="J886" s="6" t="s">
        <v>3959</v>
      </c>
      <c r="K886" s="9">
        <v>4</v>
      </c>
      <c r="L886" s="6" t="s">
        <v>4283</v>
      </c>
      <c r="M886" s="6" t="s">
        <v>4278</v>
      </c>
      <c r="N886" s="4">
        <v>595.54</v>
      </c>
      <c r="O886" s="6">
        <f t="shared" si="13"/>
        <v>317</v>
      </c>
    </row>
    <row r="887" spans="1:15" x14ac:dyDescent="0.3">
      <c r="A887" s="6" t="s">
        <v>899</v>
      </c>
      <c r="B887" s="2">
        <v>45389</v>
      </c>
      <c r="C887" s="6" t="s">
        <v>2095</v>
      </c>
      <c r="D887" s="6" t="s">
        <v>2408</v>
      </c>
      <c r="E887" s="9">
        <v>4</v>
      </c>
      <c r="F887" s="4">
        <v>515.59</v>
      </c>
      <c r="G887" t="s">
        <v>2969</v>
      </c>
      <c r="H887" s="6" t="s">
        <v>3067</v>
      </c>
      <c r="I887" s="6" t="s">
        <v>3070</v>
      </c>
      <c r="J887" s="6" t="s">
        <v>3960</v>
      </c>
      <c r="K887" s="9">
        <v>7</v>
      </c>
      <c r="L887" s="6" t="s">
        <v>4276</v>
      </c>
      <c r="M887" s="6" t="s">
        <v>4282</v>
      </c>
      <c r="N887" s="4">
        <v>2062.36</v>
      </c>
      <c r="O887" s="6">
        <f t="shared" si="13"/>
        <v>316</v>
      </c>
    </row>
    <row r="888" spans="1:15" x14ac:dyDescent="0.3">
      <c r="A888" s="6" t="s">
        <v>900</v>
      </c>
      <c r="B888" s="2">
        <v>45224</v>
      </c>
      <c r="C888" s="6" t="s">
        <v>2096</v>
      </c>
      <c r="D888" s="6" t="s">
        <v>2404</v>
      </c>
      <c r="E888" s="9">
        <v>1</v>
      </c>
      <c r="F888" s="4">
        <v>460.13</v>
      </c>
      <c r="G888" t="s">
        <v>2970</v>
      </c>
      <c r="H888" s="6" t="s">
        <v>3067</v>
      </c>
      <c r="I888" s="6" t="s">
        <v>3072</v>
      </c>
      <c r="J888" s="6" t="s">
        <v>3961</v>
      </c>
      <c r="K888" s="9">
        <v>1</v>
      </c>
      <c r="L888" s="6" t="s">
        <v>4283</v>
      </c>
      <c r="M888" s="6" t="s">
        <v>4282</v>
      </c>
      <c r="N888" s="4">
        <v>460.13</v>
      </c>
      <c r="O888" s="6">
        <f t="shared" si="13"/>
        <v>315</v>
      </c>
    </row>
    <row r="889" spans="1:15" x14ac:dyDescent="0.3">
      <c r="A889" s="6" t="s">
        <v>901</v>
      </c>
      <c r="B889" s="2">
        <v>45645</v>
      </c>
      <c r="C889" s="6" t="s">
        <v>2097</v>
      </c>
      <c r="D889" s="6" t="s">
        <v>2406</v>
      </c>
      <c r="E889" s="9">
        <v>3</v>
      </c>
      <c r="F889" s="4">
        <v>171.66</v>
      </c>
      <c r="G889" t="s">
        <v>2971</v>
      </c>
      <c r="H889" s="6" t="s">
        <v>3065</v>
      </c>
      <c r="I889" s="6" t="s">
        <v>3073</v>
      </c>
      <c r="J889" s="6" t="s">
        <v>3962</v>
      </c>
      <c r="K889" s="9">
        <v>7</v>
      </c>
      <c r="L889" s="6" t="s">
        <v>4283</v>
      </c>
      <c r="M889" s="6" t="s">
        <v>4282</v>
      </c>
      <c r="N889" s="4">
        <v>514.98</v>
      </c>
      <c r="O889" s="6">
        <f t="shared" si="13"/>
        <v>314</v>
      </c>
    </row>
    <row r="890" spans="1:15" x14ac:dyDescent="0.3">
      <c r="A890" s="6" t="s">
        <v>902</v>
      </c>
      <c r="B890" s="2">
        <v>45496</v>
      </c>
      <c r="C890" s="6" t="s">
        <v>2098</v>
      </c>
      <c r="D890" s="6" t="s">
        <v>2408</v>
      </c>
      <c r="E890" s="9">
        <v>2</v>
      </c>
      <c r="F890" s="4">
        <v>266.95</v>
      </c>
      <c r="G890" t="s">
        <v>2972</v>
      </c>
      <c r="H890" s="6" t="s">
        <v>3067</v>
      </c>
      <c r="I890" s="6" t="s">
        <v>3074</v>
      </c>
      <c r="J890" s="6" t="s">
        <v>3963</v>
      </c>
      <c r="K890" s="9">
        <v>3</v>
      </c>
      <c r="L890" s="6" t="s">
        <v>4283</v>
      </c>
      <c r="M890" s="6" t="s">
        <v>4278</v>
      </c>
      <c r="N890" s="4">
        <v>533.9</v>
      </c>
      <c r="O890" s="6">
        <f t="shared" si="13"/>
        <v>313</v>
      </c>
    </row>
    <row r="891" spans="1:15" x14ac:dyDescent="0.3">
      <c r="A891" s="6" t="s">
        <v>903</v>
      </c>
      <c r="B891" s="2">
        <v>45592</v>
      </c>
      <c r="C891" s="6" t="s">
        <v>2099</v>
      </c>
      <c r="D891" s="6" t="s">
        <v>2403</v>
      </c>
      <c r="E891" s="9">
        <v>5</v>
      </c>
      <c r="F891" s="4">
        <v>650.72</v>
      </c>
      <c r="G891" t="s">
        <v>2973</v>
      </c>
      <c r="H891" s="6" t="s">
        <v>3067</v>
      </c>
      <c r="I891" s="6" t="s">
        <v>3071</v>
      </c>
      <c r="J891" s="6" t="s">
        <v>3964</v>
      </c>
      <c r="K891" s="9">
        <v>8</v>
      </c>
      <c r="L891" s="6" t="s">
        <v>4277</v>
      </c>
      <c r="M891" s="6" t="s">
        <v>4280</v>
      </c>
      <c r="N891" s="4">
        <v>3253.6</v>
      </c>
      <c r="O891" s="6">
        <f t="shared" si="13"/>
        <v>312</v>
      </c>
    </row>
    <row r="892" spans="1:15" x14ac:dyDescent="0.3">
      <c r="A892" s="6" t="s">
        <v>904</v>
      </c>
      <c r="B892" s="2">
        <v>45149</v>
      </c>
      <c r="C892" s="6" t="s">
        <v>2100</v>
      </c>
      <c r="D892" s="6" t="s">
        <v>2408</v>
      </c>
      <c r="E892" s="9">
        <v>3</v>
      </c>
      <c r="F892" s="4">
        <v>439.53</v>
      </c>
      <c r="G892" t="s">
        <v>2781</v>
      </c>
      <c r="H892" s="6" t="s">
        <v>3065</v>
      </c>
      <c r="I892" s="6" t="s">
        <v>3074</v>
      </c>
      <c r="J892" s="6" t="s">
        <v>3965</v>
      </c>
      <c r="K892" s="9">
        <v>5</v>
      </c>
      <c r="L892" s="6" t="s">
        <v>4283</v>
      </c>
      <c r="M892" s="6" t="s">
        <v>4282</v>
      </c>
      <c r="N892" s="4">
        <v>1318.59</v>
      </c>
      <c r="O892" s="6">
        <f t="shared" si="13"/>
        <v>311</v>
      </c>
    </row>
    <row r="893" spans="1:15" x14ac:dyDescent="0.3">
      <c r="A893" s="6" t="s">
        <v>905</v>
      </c>
      <c r="B893" s="2">
        <v>45241</v>
      </c>
      <c r="C893" s="6" t="s">
        <v>2101</v>
      </c>
      <c r="D893" s="6" t="s">
        <v>2403</v>
      </c>
      <c r="E893" s="9">
        <v>3</v>
      </c>
      <c r="F893" s="4">
        <v>654.54</v>
      </c>
      <c r="G893" t="s">
        <v>2974</v>
      </c>
      <c r="H893" s="6" t="s">
        <v>3069</v>
      </c>
      <c r="I893" s="6" t="s">
        <v>3072</v>
      </c>
      <c r="J893" s="6" t="s">
        <v>3966</v>
      </c>
      <c r="K893" s="9">
        <v>7</v>
      </c>
      <c r="L893" s="6" t="s">
        <v>4275</v>
      </c>
      <c r="M893" s="6" t="s">
        <v>4279</v>
      </c>
      <c r="N893" s="4">
        <v>1963.62</v>
      </c>
      <c r="O893" s="6">
        <f t="shared" si="13"/>
        <v>310</v>
      </c>
    </row>
    <row r="894" spans="1:15" x14ac:dyDescent="0.3">
      <c r="A894" s="6" t="s">
        <v>906</v>
      </c>
      <c r="B894" s="2">
        <v>45447</v>
      </c>
      <c r="C894" s="6" t="s">
        <v>2102</v>
      </c>
      <c r="D894" s="6" t="s">
        <v>2409</v>
      </c>
      <c r="E894" s="9">
        <v>1</v>
      </c>
      <c r="F894" s="4">
        <v>394.53</v>
      </c>
      <c r="G894" t="s">
        <v>2975</v>
      </c>
      <c r="H894" s="6" t="s">
        <v>3069</v>
      </c>
      <c r="I894" s="6" t="s">
        <v>3070</v>
      </c>
      <c r="J894" s="6" t="s">
        <v>3967</v>
      </c>
      <c r="K894" s="9">
        <v>2</v>
      </c>
      <c r="L894" s="6" t="s">
        <v>4276</v>
      </c>
      <c r="M894" s="6" t="s">
        <v>4279</v>
      </c>
      <c r="N894" s="4">
        <v>394.53</v>
      </c>
      <c r="O894" s="6">
        <f t="shared" si="13"/>
        <v>309</v>
      </c>
    </row>
    <row r="895" spans="1:15" x14ac:dyDescent="0.3">
      <c r="A895" s="6" t="s">
        <v>907</v>
      </c>
      <c r="B895" s="2">
        <v>45006</v>
      </c>
      <c r="C895" s="6" t="s">
        <v>2103</v>
      </c>
      <c r="D895" s="6" t="s">
        <v>2403</v>
      </c>
      <c r="E895" s="9">
        <v>1</v>
      </c>
      <c r="F895" s="4">
        <v>678.01</v>
      </c>
      <c r="G895" t="s">
        <v>2796</v>
      </c>
      <c r="H895" s="6" t="s">
        <v>3069</v>
      </c>
      <c r="I895" s="6" t="s">
        <v>3074</v>
      </c>
      <c r="J895" s="6" t="s">
        <v>3968</v>
      </c>
      <c r="K895" s="9">
        <v>4</v>
      </c>
      <c r="L895" s="6" t="s">
        <v>4276</v>
      </c>
      <c r="M895" s="6" t="s">
        <v>4279</v>
      </c>
      <c r="N895" s="4">
        <v>678.01</v>
      </c>
      <c r="O895" s="6">
        <f t="shared" si="13"/>
        <v>308</v>
      </c>
    </row>
    <row r="896" spans="1:15" x14ac:dyDescent="0.3">
      <c r="A896" s="6" t="s">
        <v>908</v>
      </c>
      <c r="B896" s="2">
        <v>45069</v>
      </c>
      <c r="C896" s="6" t="s">
        <v>2104</v>
      </c>
      <c r="D896" s="6" t="s">
        <v>2405</v>
      </c>
      <c r="E896" s="9">
        <v>3</v>
      </c>
      <c r="F896" s="4">
        <v>575.01</v>
      </c>
      <c r="G896" t="s">
        <v>2811</v>
      </c>
      <c r="H896" s="6" t="s">
        <v>3066</v>
      </c>
      <c r="I896" s="6" t="s">
        <v>3071</v>
      </c>
      <c r="J896" s="6" t="s">
        <v>3969</v>
      </c>
      <c r="K896" s="9">
        <v>8</v>
      </c>
      <c r="L896" s="6" t="s">
        <v>4277</v>
      </c>
      <c r="M896" s="6" t="s">
        <v>4278</v>
      </c>
      <c r="N896" s="4">
        <v>1725.03</v>
      </c>
      <c r="O896" s="6">
        <f t="shared" si="13"/>
        <v>307</v>
      </c>
    </row>
    <row r="897" spans="1:15" x14ac:dyDescent="0.3">
      <c r="A897" s="6" t="s">
        <v>909</v>
      </c>
      <c r="B897" s="2">
        <v>45239</v>
      </c>
      <c r="C897" s="6" t="s">
        <v>2105</v>
      </c>
      <c r="D897" s="6" t="s">
        <v>2406</v>
      </c>
      <c r="E897" s="9">
        <v>3</v>
      </c>
      <c r="F897" s="4">
        <v>154.63999999999999</v>
      </c>
      <c r="G897" t="s">
        <v>2976</v>
      </c>
      <c r="H897" s="6" t="s">
        <v>3065</v>
      </c>
      <c r="I897" s="6" t="s">
        <v>3074</v>
      </c>
      <c r="J897" s="6" t="s">
        <v>3970</v>
      </c>
      <c r="K897" s="9">
        <v>6</v>
      </c>
      <c r="L897" s="6" t="s">
        <v>4277</v>
      </c>
      <c r="M897" s="6" t="s">
        <v>4281</v>
      </c>
      <c r="N897" s="4">
        <v>463.92</v>
      </c>
      <c r="O897" s="6">
        <f t="shared" si="13"/>
        <v>306</v>
      </c>
    </row>
    <row r="898" spans="1:15" x14ac:dyDescent="0.3">
      <c r="A898" s="6" t="s">
        <v>910</v>
      </c>
      <c r="B898" s="2">
        <v>45583</v>
      </c>
      <c r="C898" s="6" t="s">
        <v>2106</v>
      </c>
      <c r="D898" s="6" t="s">
        <v>2409</v>
      </c>
      <c r="E898" s="9">
        <v>3</v>
      </c>
      <c r="F898" s="4">
        <v>147.29</v>
      </c>
      <c r="G898" t="s">
        <v>2419</v>
      </c>
      <c r="H898" s="6" t="s">
        <v>3068</v>
      </c>
      <c r="I898" s="6" t="s">
        <v>3070</v>
      </c>
      <c r="J898" s="6" t="s">
        <v>3971</v>
      </c>
      <c r="K898" s="9">
        <v>3</v>
      </c>
      <c r="L898" s="6" t="s">
        <v>4276</v>
      </c>
      <c r="M898" s="6" t="s">
        <v>4282</v>
      </c>
      <c r="N898" s="4">
        <v>441.87</v>
      </c>
      <c r="O898" s="6">
        <f t="shared" ref="O898:O961" si="14">COUNTA(_xlfn.UNIQUE(C897:C2096))</f>
        <v>305</v>
      </c>
    </row>
    <row r="899" spans="1:15" x14ac:dyDescent="0.3">
      <c r="A899" s="6" t="s">
        <v>911</v>
      </c>
      <c r="B899" s="2">
        <v>45538</v>
      </c>
      <c r="C899" s="6" t="s">
        <v>2107</v>
      </c>
      <c r="D899" s="6" t="s">
        <v>2408</v>
      </c>
      <c r="E899" s="9">
        <v>4</v>
      </c>
      <c r="F899" s="4">
        <v>481.48</v>
      </c>
      <c r="G899" t="s">
        <v>2589</v>
      </c>
      <c r="H899" s="6" t="s">
        <v>3068</v>
      </c>
      <c r="I899" s="6" t="s">
        <v>3073</v>
      </c>
      <c r="J899" s="6" t="s">
        <v>3972</v>
      </c>
      <c r="K899" s="9">
        <v>5</v>
      </c>
      <c r="L899" s="6" t="s">
        <v>4275</v>
      </c>
      <c r="M899" s="6" t="s">
        <v>4278</v>
      </c>
      <c r="N899" s="4">
        <v>1925.92</v>
      </c>
      <c r="O899" s="6">
        <f t="shared" si="14"/>
        <v>304</v>
      </c>
    </row>
    <row r="900" spans="1:15" x14ac:dyDescent="0.3">
      <c r="A900" s="6" t="s">
        <v>912</v>
      </c>
      <c r="B900" s="2">
        <v>45721</v>
      </c>
      <c r="C900" s="6" t="s">
        <v>2108</v>
      </c>
      <c r="D900" s="6" t="s">
        <v>2403</v>
      </c>
      <c r="E900" s="9">
        <v>3</v>
      </c>
      <c r="F900" s="4">
        <v>158.37</v>
      </c>
      <c r="G900" t="s">
        <v>2950</v>
      </c>
      <c r="H900" s="6" t="s">
        <v>3069</v>
      </c>
      <c r="I900" s="6" t="s">
        <v>3070</v>
      </c>
      <c r="J900" s="6" t="s">
        <v>3973</v>
      </c>
      <c r="K900" s="9">
        <v>6</v>
      </c>
      <c r="L900" s="6" t="s">
        <v>4283</v>
      </c>
      <c r="M900" s="6" t="s">
        <v>4279</v>
      </c>
      <c r="N900" s="4">
        <v>475.11</v>
      </c>
      <c r="O900" s="6">
        <f t="shared" si="14"/>
        <v>303</v>
      </c>
    </row>
    <row r="901" spans="1:15" x14ac:dyDescent="0.3">
      <c r="A901" s="6" t="s">
        <v>913</v>
      </c>
      <c r="B901" s="2">
        <v>45770</v>
      </c>
      <c r="C901" s="6" t="s">
        <v>2109</v>
      </c>
      <c r="D901" s="6" t="s">
        <v>2407</v>
      </c>
      <c r="E901" s="9">
        <v>2</v>
      </c>
      <c r="F901" s="4">
        <v>323.37</v>
      </c>
      <c r="G901" t="s">
        <v>2474</v>
      </c>
      <c r="H901" s="6" t="s">
        <v>3066</v>
      </c>
      <c r="I901" s="6" t="s">
        <v>3074</v>
      </c>
      <c r="J901" s="6" t="s">
        <v>3974</v>
      </c>
      <c r="K901" s="9">
        <v>3</v>
      </c>
      <c r="L901" s="6" t="s">
        <v>4275</v>
      </c>
      <c r="M901" s="6" t="s">
        <v>4278</v>
      </c>
      <c r="N901" s="4">
        <v>646.74</v>
      </c>
      <c r="O901" s="6">
        <f t="shared" si="14"/>
        <v>302</v>
      </c>
    </row>
    <row r="902" spans="1:15" x14ac:dyDescent="0.3">
      <c r="A902" s="6" t="s">
        <v>914</v>
      </c>
      <c r="B902" s="2">
        <v>45695</v>
      </c>
      <c r="C902" s="6" t="s">
        <v>2110</v>
      </c>
      <c r="D902" s="6" t="s">
        <v>2408</v>
      </c>
      <c r="E902" s="9">
        <v>5</v>
      </c>
      <c r="F902" s="4">
        <v>73.83</v>
      </c>
      <c r="G902" t="s">
        <v>2802</v>
      </c>
      <c r="H902" s="6" t="s">
        <v>3065</v>
      </c>
      <c r="I902" s="6" t="s">
        <v>3074</v>
      </c>
      <c r="J902" s="6" t="s">
        <v>3975</v>
      </c>
      <c r="K902" s="9">
        <v>9</v>
      </c>
      <c r="L902" s="6" t="s">
        <v>4283</v>
      </c>
      <c r="M902" s="6" t="s">
        <v>4278</v>
      </c>
      <c r="N902" s="4">
        <v>369.15</v>
      </c>
      <c r="O902" s="6">
        <f t="shared" si="14"/>
        <v>301</v>
      </c>
    </row>
    <row r="903" spans="1:15" x14ac:dyDescent="0.3">
      <c r="A903" s="6" t="s">
        <v>915</v>
      </c>
      <c r="B903" s="2">
        <v>45410</v>
      </c>
      <c r="C903" s="6" t="s">
        <v>2111</v>
      </c>
      <c r="D903" s="6" t="s">
        <v>2405</v>
      </c>
      <c r="E903" s="9">
        <v>1</v>
      </c>
      <c r="F903" s="4">
        <v>458.63</v>
      </c>
      <c r="G903" t="s">
        <v>2499</v>
      </c>
      <c r="H903" s="6" t="s">
        <v>3065</v>
      </c>
      <c r="I903" s="6" t="s">
        <v>3072</v>
      </c>
      <c r="J903" s="6" t="s">
        <v>3976</v>
      </c>
      <c r="K903" s="9">
        <v>4</v>
      </c>
      <c r="L903" s="6" t="s">
        <v>4277</v>
      </c>
      <c r="M903" s="6" t="s">
        <v>4279</v>
      </c>
      <c r="N903" s="4">
        <v>458.63</v>
      </c>
      <c r="O903" s="6">
        <f t="shared" si="14"/>
        <v>300</v>
      </c>
    </row>
    <row r="904" spans="1:15" x14ac:dyDescent="0.3">
      <c r="A904" s="6" t="s">
        <v>916</v>
      </c>
      <c r="B904" s="2">
        <v>45486</v>
      </c>
      <c r="C904" s="6" t="s">
        <v>2112</v>
      </c>
      <c r="D904" s="6" t="s">
        <v>2403</v>
      </c>
      <c r="E904" s="9">
        <v>4</v>
      </c>
      <c r="F904" s="4">
        <v>180.25</v>
      </c>
      <c r="G904" t="s">
        <v>2469</v>
      </c>
      <c r="H904" s="6" t="s">
        <v>3065</v>
      </c>
      <c r="I904" s="6" t="s">
        <v>3071</v>
      </c>
      <c r="J904" s="6" t="s">
        <v>3977</v>
      </c>
      <c r="K904" s="9">
        <v>7</v>
      </c>
      <c r="L904" s="6" t="s">
        <v>4283</v>
      </c>
      <c r="M904" s="6" t="s">
        <v>4281</v>
      </c>
      <c r="N904" s="4">
        <v>721</v>
      </c>
      <c r="O904" s="6">
        <f t="shared" si="14"/>
        <v>299</v>
      </c>
    </row>
    <row r="905" spans="1:15" x14ac:dyDescent="0.3">
      <c r="A905" s="6" t="s">
        <v>917</v>
      </c>
      <c r="B905" s="2">
        <v>45063</v>
      </c>
      <c r="C905" s="6" t="s">
        <v>2113</v>
      </c>
      <c r="D905" s="6" t="s">
        <v>2403</v>
      </c>
      <c r="E905" s="9">
        <v>3</v>
      </c>
      <c r="F905" s="4">
        <v>473.49</v>
      </c>
      <c r="G905" t="s">
        <v>2932</v>
      </c>
      <c r="H905" s="6" t="s">
        <v>3067</v>
      </c>
      <c r="I905" s="6" t="s">
        <v>3074</v>
      </c>
      <c r="J905" s="6" t="s">
        <v>3978</v>
      </c>
      <c r="K905" s="9">
        <v>7</v>
      </c>
      <c r="L905" s="6" t="s">
        <v>4283</v>
      </c>
      <c r="M905" s="6" t="s">
        <v>4280</v>
      </c>
      <c r="N905" s="4">
        <v>1420.47</v>
      </c>
      <c r="O905" s="6">
        <f t="shared" si="14"/>
        <v>298</v>
      </c>
    </row>
    <row r="906" spans="1:15" x14ac:dyDescent="0.3">
      <c r="A906" s="6" t="s">
        <v>918</v>
      </c>
      <c r="B906" s="2">
        <v>45693</v>
      </c>
      <c r="C906" s="6" t="s">
        <v>2114</v>
      </c>
      <c r="D906" s="6" t="s">
        <v>2403</v>
      </c>
      <c r="E906" s="9">
        <v>4</v>
      </c>
      <c r="F906" s="4">
        <v>237.43</v>
      </c>
      <c r="G906" t="s">
        <v>2758</v>
      </c>
      <c r="H906" s="6" t="s">
        <v>3069</v>
      </c>
      <c r="I906" s="6" t="s">
        <v>3071</v>
      </c>
      <c r="J906" s="6" t="s">
        <v>3979</v>
      </c>
      <c r="K906" s="9">
        <v>8</v>
      </c>
      <c r="L906" s="6" t="s">
        <v>4277</v>
      </c>
      <c r="M906" s="6" t="s">
        <v>4279</v>
      </c>
      <c r="N906" s="4">
        <v>949.72</v>
      </c>
      <c r="O906" s="6">
        <f t="shared" si="14"/>
        <v>297</v>
      </c>
    </row>
    <row r="907" spans="1:15" x14ac:dyDescent="0.3">
      <c r="A907" s="6" t="s">
        <v>919</v>
      </c>
      <c r="B907" s="2">
        <v>45253</v>
      </c>
      <c r="C907" s="6" t="s">
        <v>2115</v>
      </c>
      <c r="D907" s="6" t="s">
        <v>2408</v>
      </c>
      <c r="E907" s="9">
        <v>1</v>
      </c>
      <c r="F907" s="4">
        <v>442.39</v>
      </c>
      <c r="G907" t="s">
        <v>2677</v>
      </c>
      <c r="H907" s="6" t="s">
        <v>3068</v>
      </c>
      <c r="I907" s="6" t="s">
        <v>3074</v>
      </c>
      <c r="J907" s="6" t="s">
        <v>3980</v>
      </c>
      <c r="K907" s="9">
        <v>6</v>
      </c>
      <c r="L907" s="6" t="s">
        <v>4276</v>
      </c>
      <c r="M907" s="6" t="s">
        <v>4281</v>
      </c>
      <c r="N907" s="4">
        <v>442.39</v>
      </c>
      <c r="O907" s="6">
        <f t="shared" si="14"/>
        <v>296</v>
      </c>
    </row>
    <row r="908" spans="1:15" x14ac:dyDescent="0.3">
      <c r="A908" s="6" t="s">
        <v>920</v>
      </c>
      <c r="B908" s="2">
        <v>45538</v>
      </c>
      <c r="C908" s="6" t="s">
        <v>2116</v>
      </c>
      <c r="D908" s="6" t="s">
        <v>2403</v>
      </c>
      <c r="E908" s="9">
        <v>1</v>
      </c>
      <c r="F908" s="4">
        <v>62.12</v>
      </c>
      <c r="G908" t="s">
        <v>2977</v>
      </c>
      <c r="H908" s="6" t="s">
        <v>3069</v>
      </c>
      <c r="I908" s="6" t="s">
        <v>3072</v>
      </c>
      <c r="J908" s="6" t="s">
        <v>3981</v>
      </c>
      <c r="K908" s="9">
        <v>2</v>
      </c>
      <c r="L908" s="6" t="s">
        <v>4283</v>
      </c>
      <c r="M908" s="6" t="s">
        <v>4280</v>
      </c>
      <c r="N908" s="4">
        <v>62.12</v>
      </c>
      <c r="O908" s="6">
        <f t="shared" si="14"/>
        <v>295</v>
      </c>
    </row>
    <row r="909" spans="1:15" x14ac:dyDescent="0.3">
      <c r="A909" s="6" t="s">
        <v>921</v>
      </c>
      <c r="B909" s="2">
        <v>45508</v>
      </c>
      <c r="C909" s="6" t="s">
        <v>2117</v>
      </c>
      <c r="D909" s="6" t="s">
        <v>2409</v>
      </c>
      <c r="E909" s="9">
        <v>5</v>
      </c>
      <c r="F909" s="4">
        <v>298.39</v>
      </c>
      <c r="G909" t="s">
        <v>2534</v>
      </c>
      <c r="H909" s="6" t="s">
        <v>3068</v>
      </c>
      <c r="I909" s="6" t="s">
        <v>3071</v>
      </c>
      <c r="J909" s="6" t="s">
        <v>3982</v>
      </c>
      <c r="K909" s="9">
        <v>7</v>
      </c>
      <c r="L909" s="6" t="s">
        <v>4277</v>
      </c>
      <c r="M909" s="6" t="s">
        <v>4279</v>
      </c>
      <c r="N909" s="4">
        <v>1491.95</v>
      </c>
      <c r="O909" s="6">
        <f t="shared" si="14"/>
        <v>294</v>
      </c>
    </row>
    <row r="910" spans="1:15" x14ac:dyDescent="0.3">
      <c r="A910" s="6" t="s">
        <v>922</v>
      </c>
      <c r="B910" s="2">
        <v>45783</v>
      </c>
      <c r="C910" s="6" t="s">
        <v>2118</v>
      </c>
      <c r="D910" s="6" t="s">
        <v>2409</v>
      </c>
      <c r="E910" s="9">
        <v>2</v>
      </c>
      <c r="F910" s="4">
        <v>697.93</v>
      </c>
      <c r="G910" t="s">
        <v>2567</v>
      </c>
      <c r="H910" s="6" t="s">
        <v>3067</v>
      </c>
      <c r="I910" s="6" t="s">
        <v>3071</v>
      </c>
      <c r="J910" s="6" t="s">
        <v>3983</v>
      </c>
      <c r="K910" s="9">
        <v>2</v>
      </c>
      <c r="L910" s="6" t="s">
        <v>4275</v>
      </c>
      <c r="M910" s="6" t="s">
        <v>4282</v>
      </c>
      <c r="N910" s="4">
        <v>1395.86</v>
      </c>
      <c r="O910" s="6">
        <f t="shared" si="14"/>
        <v>293</v>
      </c>
    </row>
    <row r="911" spans="1:15" x14ac:dyDescent="0.3">
      <c r="A911" s="6" t="s">
        <v>923</v>
      </c>
      <c r="B911" s="2">
        <v>45439</v>
      </c>
      <c r="C911" s="6" t="s">
        <v>2119</v>
      </c>
      <c r="D911" s="6" t="s">
        <v>2405</v>
      </c>
      <c r="E911" s="9">
        <v>2</v>
      </c>
      <c r="F911" s="4">
        <v>291.85000000000002</v>
      </c>
      <c r="G911" t="s">
        <v>2431</v>
      </c>
      <c r="H911" s="6" t="s">
        <v>3069</v>
      </c>
      <c r="I911" s="6" t="s">
        <v>3070</v>
      </c>
      <c r="J911" s="6" t="s">
        <v>3984</v>
      </c>
      <c r="K911" s="9">
        <v>5</v>
      </c>
      <c r="L911" s="6" t="s">
        <v>4276</v>
      </c>
      <c r="M911" s="6" t="s">
        <v>4278</v>
      </c>
      <c r="N911" s="4">
        <v>583.70000000000005</v>
      </c>
      <c r="O911" s="6">
        <f t="shared" si="14"/>
        <v>292</v>
      </c>
    </row>
    <row r="912" spans="1:15" x14ac:dyDescent="0.3">
      <c r="A912" s="6" t="s">
        <v>924</v>
      </c>
      <c r="B912" s="2">
        <v>45443</v>
      </c>
      <c r="C912" s="6" t="s">
        <v>2120</v>
      </c>
      <c r="D912" s="6" t="s">
        <v>2407</v>
      </c>
      <c r="E912" s="9">
        <v>3</v>
      </c>
      <c r="F912" s="4">
        <v>308.98</v>
      </c>
      <c r="G912" t="s">
        <v>2481</v>
      </c>
      <c r="H912" s="6" t="s">
        <v>3069</v>
      </c>
      <c r="I912" s="6" t="s">
        <v>3073</v>
      </c>
      <c r="J912" s="6" t="s">
        <v>3985</v>
      </c>
      <c r="K912" s="9">
        <v>3</v>
      </c>
      <c r="L912" s="6" t="s">
        <v>4275</v>
      </c>
      <c r="M912" s="6" t="s">
        <v>4278</v>
      </c>
      <c r="N912" s="4">
        <v>926.94</v>
      </c>
      <c r="O912" s="6">
        <f t="shared" si="14"/>
        <v>291</v>
      </c>
    </row>
    <row r="913" spans="1:15" x14ac:dyDescent="0.3">
      <c r="A913" s="6" t="s">
        <v>925</v>
      </c>
      <c r="B913" s="2">
        <v>45517</v>
      </c>
      <c r="C913" s="6" t="s">
        <v>2121</v>
      </c>
      <c r="D913" s="6" t="s">
        <v>2409</v>
      </c>
      <c r="E913" s="9">
        <v>5</v>
      </c>
      <c r="F913" s="4">
        <v>396.86</v>
      </c>
      <c r="G913" t="s">
        <v>2520</v>
      </c>
      <c r="H913" s="6" t="s">
        <v>3069</v>
      </c>
      <c r="I913" s="6" t="s">
        <v>3071</v>
      </c>
      <c r="J913" s="6" t="s">
        <v>3986</v>
      </c>
      <c r="K913" s="9">
        <v>9</v>
      </c>
      <c r="L913" s="6" t="s">
        <v>4275</v>
      </c>
      <c r="M913" s="6" t="s">
        <v>4278</v>
      </c>
      <c r="N913" s="4">
        <v>1984.3</v>
      </c>
      <c r="O913" s="6">
        <f t="shared" si="14"/>
        <v>290</v>
      </c>
    </row>
    <row r="914" spans="1:15" x14ac:dyDescent="0.3">
      <c r="A914" s="6" t="s">
        <v>926</v>
      </c>
      <c r="B914" s="2">
        <v>45313</v>
      </c>
      <c r="C914" s="6" t="s">
        <v>2122</v>
      </c>
      <c r="D914" s="6" t="s">
        <v>2409</v>
      </c>
      <c r="E914" s="9">
        <v>2</v>
      </c>
      <c r="F914" s="4">
        <v>139.69</v>
      </c>
      <c r="G914" t="s">
        <v>2492</v>
      </c>
      <c r="H914" s="6" t="s">
        <v>3066</v>
      </c>
      <c r="I914" s="6" t="s">
        <v>3072</v>
      </c>
      <c r="J914" s="6" t="s">
        <v>3987</v>
      </c>
      <c r="K914" s="9">
        <v>7</v>
      </c>
      <c r="L914" s="6" t="s">
        <v>4276</v>
      </c>
      <c r="M914" s="6" t="s">
        <v>4280</v>
      </c>
      <c r="N914" s="4">
        <v>279.38</v>
      </c>
      <c r="O914" s="6">
        <f t="shared" si="14"/>
        <v>289</v>
      </c>
    </row>
    <row r="915" spans="1:15" x14ac:dyDescent="0.3">
      <c r="A915" s="6" t="s">
        <v>927</v>
      </c>
      <c r="B915" s="2">
        <v>44973</v>
      </c>
      <c r="C915" s="6" t="s">
        <v>2123</v>
      </c>
      <c r="D915" s="6" t="s">
        <v>2407</v>
      </c>
      <c r="E915" s="9">
        <v>5</v>
      </c>
      <c r="F915" s="4">
        <v>475.95</v>
      </c>
      <c r="G915" t="s">
        <v>2583</v>
      </c>
      <c r="H915" s="6" t="s">
        <v>3067</v>
      </c>
      <c r="I915" s="6" t="s">
        <v>3072</v>
      </c>
      <c r="J915" s="6" t="s">
        <v>3988</v>
      </c>
      <c r="K915" s="9">
        <v>8</v>
      </c>
      <c r="L915" s="6" t="s">
        <v>4277</v>
      </c>
      <c r="M915" s="6" t="s">
        <v>4281</v>
      </c>
      <c r="N915" s="4">
        <v>2379.75</v>
      </c>
      <c r="O915" s="6">
        <f t="shared" si="14"/>
        <v>288</v>
      </c>
    </row>
    <row r="916" spans="1:15" x14ac:dyDescent="0.3">
      <c r="A916" s="6" t="s">
        <v>928</v>
      </c>
      <c r="B916" s="2">
        <v>45698</v>
      </c>
      <c r="C916" s="6" t="s">
        <v>2124</v>
      </c>
      <c r="D916" s="6" t="s">
        <v>2409</v>
      </c>
      <c r="E916" s="9">
        <v>1</v>
      </c>
      <c r="F916" s="4">
        <v>626.6</v>
      </c>
      <c r="G916" t="s">
        <v>2751</v>
      </c>
      <c r="H916" s="6" t="s">
        <v>3068</v>
      </c>
      <c r="I916" s="6" t="s">
        <v>3072</v>
      </c>
      <c r="J916" s="6" t="s">
        <v>3989</v>
      </c>
      <c r="K916" s="9">
        <v>4</v>
      </c>
      <c r="L916" s="6" t="s">
        <v>4277</v>
      </c>
      <c r="M916" s="6" t="s">
        <v>4281</v>
      </c>
      <c r="N916" s="4">
        <v>626.6</v>
      </c>
      <c r="O916" s="6">
        <f t="shared" si="14"/>
        <v>287</v>
      </c>
    </row>
    <row r="917" spans="1:15" x14ac:dyDescent="0.3">
      <c r="A917" s="6" t="s">
        <v>929</v>
      </c>
      <c r="B917" s="2">
        <v>45338</v>
      </c>
      <c r="C917" s="6" t="s">
        <v>2125</v>
      </c>
      <c r="D917" s="6" t="s">
        <v>2408</v>
      </c>
      <c r="E917" s="9">
        <v>4</v>
      </c>
      <c r="F917" s="4">
        <v>502.99</v>
      </c>
      <c r="G917" t="s">
        <v>2978</v>
      </c>
      <c r="H917" s="6" t="s">
        <v>3065</v>
      </c>
      <c r="I917" s="6" t="s">
        <v>3070</v>
      </c>
      <c r="J917" s="6" t="s">
        <v>3990</v>
      </c>
      <c r="K917" s="9">
        <v>4</v>
      </c>
      <c r="L917" s="6" t="s">
        <v>4277</v>
      </c>
      <c r="M917" s="6" t="s">
        <v>4279</v>
      </c>
      <c r="N917" s="4">
        <v>2011.96</v>
      </c>
      <c r="O917" s="6">
        <f t="shared" si="14"/>
        <v>286</v>
      </c>
    </row>
    <row r="918" spans="1:15" x14ac:dyDescent="0.3">
      <c r="A918" s="6" t="s">
        <v>930</v>
      </c>
      <c r="B918" s="2">
        <v>45464</v>
      </c>
      <c r="C918" s="6" t="s">
        <v>2126</v>
      </c>
      <c r="D918" s="6" t="s">
        <v>2407</v>
      </c>
      <c r="E918" s="9">
        <v>5</v>
      </c>
      <c r="F918" s="4">
        <v>578.83000000000004</v>
      </c>
      <c r="G918" t="s">
        <v>2913</v>
      </c>
      <c r="H918" s="6" t="s">
        <v>3069</v>
      </c>
      <c r="I918" s="6" t="s">
        <v>3072</v>
      </c>
      <c r="J918" s="6" t="s">
        <v>3991</v>
      </c>
      <c r="K918" s="9">
        <v>6</v>
      </c>
      <c r="L918" s="6" t="s">
        <v>4283</v>
      </c>
      <c r="M918" s="6" t="s">
        <v>4279</v>
      </c>
      <c r="N918" s="4">
        <v>2894.15</v>
      </c>
      <c r="O918" s="6">
        <f t="shared" si="14"/>
        <v>285</v>
      </c>
    </row>
    <row r="919" spans="1:15" x14ac:dyDescent="0.3">
      <c r="A919" s="6" t="s">
        <v>931</v>
      </c>
      <c r="B919" s="2">
        <v>45677</v>
      </c>
      <c r="C919" s="6" t="s">
        <v>2127</v>
      </c>
      <c r="D919" s="6" t="s">
        <v>2408</v>
      </c>
      <c r="E919" s="9">
        <v>5</v>
      </c>
      <c r="F919" s="4">
        <v>383.82</v>
      </c>
      <c r="G919" t="s">
        <v>2979</v>
      </c>
      <c r="H919" s="6" t="s">
        <v>3067</v>
      </c>
      <c r="I919" s="6" t="s">
        <v>3072</v>
      </c>
      <c r="J919" s="6" t="s">
        <v>3992</v>
      </c>
      <c r="K919" s="9">
        <v>7</v>
      </c>
      <c r="L919" s="6" t="s">
        <v>4276</v>
      </c>
      <c r="M919" s="6" t="s">
        <v>4282</v>
      </c>
      <c r="N919" s="4">
        <v>1919.1</v>
      </c>
      <c r="O919" s="6">
        <f t="shared" si="14"/>
        <v>284</v>
      </c>
    </row>
    <row r="920" spans="1:15" x14ac:dyDescent="0.3">
      <c r="A920" s="6" t="s">
        <v>932</v>
      </c>
      <c r="B920" s="2">
        <v>45832</v>
      </c>
      <c r="C920" s="6" t="s">
        <v>2128</v>
      </c>
      <c r="D920" s="6" t="s">
        <v>2408</v>
      </c>
      <c r="E920" s="9">
        <v>5</v>
      </c>
      <c r="F920" s="4">
        <v>368.25</v>
      </c>
      <c r="G920" t="s">
        <v>2417</v>
      </c>
      <c r="H920" s="6" t="s">
        <v>3066</v>
      </c>
      <c r="I920" s="6" t="s">
        <v>3073</v>
      </c>
      <c r="J920" s="6" t="s">
        <v>3993</v>
      </c>
      <c r="K920" s="9">
        <v>5</v>
      </c>
      <c r="L920" s="6" t="s">
        <v>4283</v>
      </c>
      <c r="M920" s="6" t="s">
        <v>4278</v>
      </c>
      <c r="N920" s="4">
        <v>1841.25</v>
      </c>
      <c r="O920" s="6">
        <f t="shared" si="14"/>
        <v>283</v>
      </c>
    </row>
    <row r="921" spans="1:15" x14ac:dyDescent="0.3">
      <c r="A921" s="6" t="s">
        <v>933</v>
      </c>
      <c r="B921" s="2">
        <v>45695</v>
      </c>
      <c r="C921" s="6" t="s">
        <v>2129</v>
      </c>
      <c r="D921" s="6" t="s">
        <v>2407</v>
      </c>
      <c r="E921" s="9">
        <v>2</v>
      </c>
      <c r="F921" s="4">
        <v>374.6</v>
      </c>
      <c r="G921" t="s">
        <v>2522</v>
      </c>
      <c r="H921" s="6" t="s">
        <v>3066</v>
      </c>
      <c r="I921" s="6" t="s">
        <v>3070</v>
      </c>
      <c r="J921" s="6" t="s">
        <v>3994</v>
      </c>
      <c r="K921" s="9">
        <v>3</v>
      </c>
      <c r="L921" s="6" t="s">
        <v>4276</v>
      </c>
      <c r="M921" s="6" t="s">
        <v>4279</v>
      </c>
      <c r="N921" s="4">
        <v>749.2</v>
      </c>
      <c r="O921" s="6">
        <f t="shared" si="14"/>
        <v>282</v>
      </c>
    </row>
    <row r="922" spans="1:15" x14ac:dyDescent="0.3">
      <c r="A922" s="6" t="s">
        <v>934</v>
      </c>
      <c r="B922" s="2">
        <v>45728</v>
      </c>
      <c r="C922" s="6" t="s">
        <v>2130</v>
      </c>
      <c r="D922" s="6" t="s">
        <v>2405</v>
      </c>
      <c r="E922" s="9">
        <v>2</v>
      </c>
      <c r="F922" s="4">
        <v>428.09</v>
      </c>
      <c r="G922" t="s">
        <v>2674</v>
      </c>
      <c r="H922" s="6" t="s">
        <v>3067</v>
      </c>
      <c r="I922" s="6" t="s">
        <v>3072</v>
      </c>
      <c r="J922" s="6" t="s">
        <v>3995</v>
      </c>
      <c r="K922" s="9">
        <v>6</v>
      </c>
      <c r="L922" s="6" t="s">
        <v>4283</v>
      </c>
      <c r="M922" s="6" t="s">
        <v>4278</v>
      </c>
      <c r="N922" s="4">
        <v>856.18</v>
      </c>
      <c r="O922" s="6">
        <f t="shared" si="14"/>
        <v>281</v>
      </c>
    </row>
    <row r="923" spans="1:15" x14ac:dyDescent="0.3">
      <c r="A923" s="6" t="s">
        <v>935</v>
      </c>
      <c r="B923" s="2">
        <v>45131</v>
      </c>
      <c r="C923" s="6" t="s">
        <v>2131</v>
      </c>
      <c r="D923" s="6" t="s">
        <v>2405</v>
      </c>
      <c r="E923" s="9">
        <v>1</v>
      </c>
      <c r="F923" s="4">
        <v>438.93</v>
      </c>
      <c r="G923" t="s">
        <v>2980</v>
      </c>
      <c r="H923" s="6" t="s">
        <v>3068</v>
      </c>
      <c r="I923" s="6" t="s">
        <v>3071</v>
      </c>
      <c r="J923" s="6" t="s">
        <v>3996</v>
      </c>
      <c r="K923" s="9">
        <v>3</v>
      </c>
      <c r="L923" s="6" t="s">
        <v>4275</v>
      </c>
      <c r="M923" s="6" t="s">
        <v>4279</v>
      </c>
      <c r="N923" s="4">
        <v>438.93</v>
      </c>
      <c r="O923" s="6">
        <f t="shared" si="14"/>
        <v>280</v>
      </c>
    </row>
    <row r="924" spans="1:15" x14ac:dyDescent="0.3">
      <c r="A924" s="6" t="s">
        <v>936</v>
      </c>
      <c r="B924" s="2">
        <v>45460</v>
      </c>
      <c r="C924" s="6" t="s">
        <v>2132</v>
      </c>
      <c r="D924" s="6" t="s">
        <v>2409</v>
      </c>
      <c r="E924" s="9">
        <v>2</v>
      </c>
      <c r="F924" s="4">
        <v>563.82000000000005</v>
      </c>
      <c r="G924" t="s">
        <v>2981</v>
      </c>
      <c r="H924" s="6" t="s">
        <v>3067</v>
      </c>
      <c r="I924" s="6" t="s">
        <v>3074</v>
      </c>
      <c r="J924" s="6" t="s">
        <v>3997</v>
      </c>
      <c r="K924" s="9">
        <v>3</v>
      </c>
      <c r="L924" s="6" t="s">
        <v>4283</v>
      </c>
      <c r="M924" s="6" t="s">
        <v>4278</v>
      </c>
      <c r="N924" s="4">
        <v>1127.6400000000001</v>
      </c>
      <c r="O924" s="6">
        <f t="shared" si="14"/>
        <v>279</v>
      </c>
    </row>
    <row r="925" spans="1:15" x14ac:dyDescent="0.3">
      <c r="A925" s="6" t="s">
        <v>937</v>
      </c>
      <c r="B925" s="2">
        <v>44968</v>
      </c>
      <c r="C925" s="6" t="s">
        <v>2133</v>
      </c>
      <c r="D925" s="6" t="s">
        <v>2407</v>
      </c>
      <c r="E925" s="9">
        <v>3</v>
      </c>
      <c r="F925" s="4">
        <v>649.92999999999995</v>
      </c>
      <c r="G925" t="s">
        <v>2979</v>
      </c>
      <c r="H925" s="6" t="s">
        <v>3067</v>
      </c>
      <c r="I925" s="6" t="s">
        <v>3074</v>
      </c>
      <c r="J925" s="6" t="s">
        <v>3998</v>
      </c>
      <c r="K925" s="9">
        <v>7</v>
      </c>
      <c r="L925" s="6" t="s">
        <v>4277</v>
      </c>
      <c r="M925" s="6" t="s">
        <v>4281</v>
      </c>
      <c r="N925" s="4">
        <v>1949.79</v>
      </c>
      <c r="O925" s="6">
        <f t="shared" si="14"/>
        <v>278</v>
      </c>
    </row>
    <row r="926" spans="1:15" x14ac:dyDescent="0.3">
      <c r="A926" s="6" t="s">
        <v>938</v>
      </c>
      <c r="B926" s="2">
        <v>45738</v>
      </c>
      <c r="C926" s="6" t="s">
        <v>2134</v>
      </c>
      <c r="D926" s="6" t="s">
        <v>2407</v>
      </c>
      <c r="E926" s="9">
        <v>5</v>
      </c>
      <c r="F926" s="4">
        <v>268.43</v>
      </c>
      <c r="G926" t="s">
        <v>2802</v>
      </c>
      <c r="H926" s="6" t="s">
        <v>3069</v>
      </c>
      <c r="I926" s="6" t="s">
        <v>3072</v>
      </c>
      <c r="J926" s="6" t="s">
        <v>3999</v>
      </c>
      <c r="K926" s="9">
        <v>5</v>
      </c>
      <c r="L926" s="6" t="s">
        <v>4275</v>
      </c>
      <c r="M926" s="6" t="s">
        <v>4280</v>
      </c>
      <c r="N926" s="4">
        <v>1342.15</v>
      </c>
      <c r="O926" s="6">
        <f t="shared" si="14"/>
        <v>277</v>
      </c>
    </row>
    <row r="927" spans="1:15" x14ac:dyDescent="0.3">
      <c r="A927" s="6" t="s">
        <v>939</v>
      </c>
      <c r="B927" s="2">
        <v>45646</v>
      </c>
      <c r="C927" s="6" t="s">
        <v>2135</v>
      </c>
      <c r="D927" s="6" t="s">
        <v>2403</v>
      </c>
      <c r="E927" s="9">
        <v>5</v>
      </c>
      <c r="F927" s="4">
        <v>502.47</v>
      </c>
      <c r="G927" t="s">
        <v>2733</v>
      </c>
      <c r="H927" s="6" t="s">
        <v>3066</v>
      </c>
      <c r="I927" s="6" t="s">
        <v>3070</v>
      </c>
      <c r="J927" s="6" t="s">
        <v>4000</v>
      </c>
      <c r="K927" s="9">
        <v>10</v>
      </c>
      <c r="L927" s="6" t="s">
        <v>4277</v>
      </c>
      <c r="M927" s="6" t="s">
        <v>4280</v>
      </c>
      <c r="N927" s="4">
        <v>2512.35</v>
      </c>
      <c r="O927" s="6">
        <f t="shared" si="14"/>
        <v>276</v>
      </c>
    </row>
    <row r="928" spans="1:15" x14ac:dyDescent="0.3">
      <c r="A928" s="6" t="s">
        <v>940</v>
      </c>
      <c r="B928" s="2">
        <v>45371</v>
      </c>
      <c r="C928" s="6" t="s">
        <v>2136</v>
      </c>
      <c r="D928" s="6" t="s">
        <v>2409</v>
      </c>
      <c r="E928" s="9">
        <v>1</v>
      </c>
      <c r="F928" s="4">
        <v>26.95</v>
      </c>
      <c r="G928" t="s">
        <v>2774</v>
      </c>
      <c r="H928" s="6" t="s">
        <v>3069</v>
      </c>
      <c r="I928" s="6" t="s">
        <v>3073</v>
      </c>
      <c r="J928" s="6" t="s">
        <v>4001</v>
      </c>
      <c r="K928" s="9">
        <v>1</v>
      </c>
      <c r="L928" s="6" t="s">
        <v>4277</v>
      </c>
      <c r="M928" s="6" t="s">
        <v>4280</v>
      </c>
      <c r="N928" s="4">
        <v>26.95</v>
      </c>
      <c r="O928" s="6">
        <f t="shared" si="14"/>
        <v>275</v>
      </c>
    </row>
    <row r="929" spans="1:15" x14ac:dyDescent="0.3">
      <c r="A929" s="6" t="s">
        <v>941</v>
      </c>
      <c r="B929" s="2">
        <v>44971</v>
      </c>
      <c r="C929" s="6" t="s">
        <v>2137</v>
      </c>
      <c r="D929" s="6" t="s">
        <v>2408</v>
      </c>
      <c r="E929" s="9">
        <v>4</v>
      </c>
      <c r="F929" s="4">
        <v>64.69</v>
      </c>
      <c r="G929" t="s">
        <v>2873</v>
      </c>
      <c r="H929" s="6" t="s">
        <v>3065</v>
      </c>
      <c r="I929" s="6" t="s">
        <v>3070</v>
      </c>
      <c r="J929" s="6" t="s">
        <v>4002</v>
      </c>
      <c r="K929" s="9">
        <v>7</v>
      </c>
      <c r="L929" s="6" t="s">
        <v>4277</v>
      </c>
      <c r="M929" s="6" t="s">
        <v>4282</v>
      </c>
      <c r="N929" s="4">
        <v>258.76</v>
      </c>
      <c r="O929" s="6">
        <f t="shared" si="14"/>
        <v>274</v>
      </c>
    </row>
    <row r="930" spans="1:15" x14ac:dyDescent="0.3">
      <c r="A930" s="6" t="s">
        <v>942</v>
      </c>
      <c r="B930" s="2">
        <v>45421</v>
      </c>
      <c r="C930" s="6" t="s">
        <v>2138</v>
      </c>
      <c r="D930" s="6" t="s">
        <v>2408</v>
      </c>
      <c r="E930" s="9">
        <v>3</v>
      </c>
      <c r="F930" s="4">
        <v>247.11</v>
      </c>
      <c r="G930" t="s">
        <v>2628</v>
      </c>
      <c r="H930" s="6" t="s">
        <v>3065</v>
      </c>
      <c r="I930" s="6" t="s">
        <v>3072</v>
      </c>
      <c r="J930" s="6" t="s">
        <v>4003</v>
      </c>
      <c r="K930" s="9">
        <v>3</v>
      </c>
      <c r="L930" s="6" t="s">
        <v>4277</v>
      </c>
      <c r="M930" s="6" t="s">
        <v>4279</v>
      </c>
      <c r="N930" s="4">
        <v>741.33</v>
      </c>
      <c r="O930" s="6">
        <f t="shared" si="14"/>
        <v>273</v>
      </c>
    </row>
    <row r="931" spans="1:15" x14ac:dyDescent="0.3">
      <c r="A931" s="6" t="s">
        <v>943</v>
      </c>
      <c r="B931" s="2">
        <v>45581</v>
      </c>
      <c r="C931" s="6" t="s">
        <v>2139</v>
      </c>
      <c r="D931" s="6" t="s">
        <v>2405</v>
      </c>
      <c r="E931" s="9">
        <v>2</v>
      </c>
      <c r="F931" s="4">
        <v>536.25</v>
      </c>
      <c r="G931" t="s">
        <v>2568</v>
      </c>
      <c r="H931" s="6" t="s">
        <v>3065</v>
      </c>
      <c r="I931" s="6" t="s">
        <v>3074</v>
      </c>
      <c r="J931" s="6" t="s">
        <v>4004</v>
      </c>
      <c r="K931" s="9">
        <v>3</v>
      </c>
      <c r="L931" s="6" t="s">
        <v>4283</v>
      </c>
      <c r="M931" s="6" t="s">
        <v>4280</v>
      </c>
      <c r="N931" s="4">
        <v>1072.5</v>
      </c>
      <c r="O931" s="6">
        <f t="shared" si="14"/>
        <v>272</v>
      </c>
    </row>
    <row r="932" spans="1:15" x14ac:dyDescent="0.3">
      <c r="A932" s="6" t="s">
        <v>944</v>
      </c>
      <c r="B932" s="2">
        <v>45642</v>
      </c>
      <c r="C932" s="6" t="s">
        <v>2140</v>
      </c>
      <c r="D932" s="6" t="s">
        <v>2404</v>
      </c>
      <c r="E932" s="9">
        <v>2</v>
      </c>
      <c r="F932" s="4">
        <v>456.04</v>
      </c>
      <c r="G932" t="s">
        <v>2427</v>
      </c>
      <c r="H932" s="6" t="s">
        <v>3065</v>
      </c>
      <c r="I932" s="6" t="s">
        <v>3072</v>
      </c>
      <c r="J932" s="6" t="s">
        <v>4005</v>
      </c>
      <c r="K932" s="9">
        <v>4</v>
      </c>
      <c r="L932" s="6" t="s">
        <v>4276</v>
      </c>
      <c r="M932" s="6" t="s">
        <v>4280</v>
      </c>
      <c r="N932" s="4">
        <v>912.08</v>
      </c>
      <c r="O932" s="6">
        <f t="shared" si="14"/>
        <v>271</v>
      </c>
    </row>
    <row r="933" spans="1:15" x14ac:dyDescent="0.3">
      <c r="A933" s="6" t="s">
        <v>945</v>
      </c>
      <c r="B933" s="2">
        <v>45292</v>
      </c>
      <c r="C933" s="6" t="s">
        <v>2141</v>
      </c>
      <c r="D933" s="6" t="s">
        <v>2407</v>
      </c>
      <c r="E933" s="9">
        <v>2</v>
      </c>
      <c r="F933" s="4">
        <v>40.229999999999997</v>
      </c>
      <c r="G933" t="s">
        <v>2460</v>
      </c>
      <c r="H933" s="6" t="s">
        <v>3067</v>
      </c>
      <c r="I933" s="6" t="s">
        <v>3071</v>
      </c>
      <c r="J933" s="6" t="s">
        <v>4006</v>
      </c>
      <c r="K933" s="9">
        <v>4</v>
      </c>
      <c r="L933" s="6" t="s">
        <v>4275</v>
      </c>
      <c r="M933" s="6" t="s">
        <v>4282</v>
      </c>
      <c r="N933" s="4">
        <v>80.459999999999994</v>
      </c>
      <c r="O933" s="6">
        <f t="shared" si="14"/>
        <v>270</v>
      </c>
    </row>
    <row r="934" spans="1:15" x14ac:dyDescent="0.3">
      <c r="A934" s="6" t="s">
        <v>946</v>
      </c>
      <c r="B934" s="2">
        <v>45011</v>
      </c>
      <c r="C934" s="6" t="s">
        <v>2142</v>
      </c>
      <c r="D934" s="6" t="s">
        <v>2408</v>
      </c>
      <c r="E934" s="9">
        <v>2</v>
      </c>
      <c r="F934" s="4">
        <v>72.39</v>
      </c>
      <c r="G934" t="s">
        <v>2982</v>
      </c>
      <c r="H934" s="6" t="s">
        <v>3066</v>
      </c>
      <c r="I934" s="6" t="s">
        <v>3073</v>
      </c>
      <c r="J934" s="6" t="s">
        <v>4007</v>
      </c>
      <c r="K934" s="9">
        <v>7</v>
      </c>
      <c r="L934" s="6" t="s">
        <v>4277</v>
      </c>
      <c r="M934" s="6" t="s">
        <v>4278</v>
      </c>
      <c r="N934" s="4">
        <v>144.78</v>
      </c>
      <c r="O934" s="6">
        <f t="shared" si="14"/>
        <v>269</v>
      </c>
    </row>
    <row r="935" spans="1:15" x14ac:dyDescent="0.3">
      <c r="A935" s="6" t="s">
        <v>947</v>
      </c>
      <c r="B935" s="2">
        <v>44952</v>
      </c>
      <c r="C935" s="6" t="s">
        <v>2143</v>
      </c>
      <c r="D935" s="6" t="s">
        <v>2403</v>
      </c>
      <c r="E935" s="9">
        <v>2</v>
      </c>
      <c r="F935" s="4">
        <v>394.16</v>
      </c>
      <c r="G935" t="s">
        <v>2617</v>
      </c>
      <c r="H935" s="6" t="s">
        <v>3066</v>
      </c>
      <c r="I935" s="6" t="s">
        <v>3070</v>
      </c>
      <c r="J935" s="6" t="s">
        <v>4008</v>
      </c>
      <c r="K935" s="9">
        <v>2</v>
      </c>
      <c r="L935" s="6" t="s">
        <v>4283</v>
      </c>
      <c r="M935" s="6" t="s">
        <v>4279</v>
      </c>
      <c r="N935" s="4">
        <v>788.32</v>
      </c>
      <c r="O935" s="6">
        <f t="shared" si="14"/>
        <v>268</v>
      </c>
    </row>
    <row r="936" spans="1:15" x14ac:dyDescent="0.3">
      <c r="A936" s="6" t="s">
        <v>948</v>
      </c>
      <c r="B936" s="2">
        <v>45809</v>
      </c>
      <c r="C936" s="6" t="s">
        <v>2144</v>
      </c>
      <c r="D936" s="6" t="s">
        <v>2408</v>
      </c>
      <c r="E936" s="9">
        <v>4</v>
      </c>
      <c r="F936" s="4">
        <v>119.84</v>
      </c>
      <c r="G936" t="s">
        <v>2604</v>
      </c>
      <c r="H936" s="6" t="s">
        <v>3068</v>
      </c>
      <c r="I936" s="6" t="s">
        <v>3070</v>
      </c>
      <c r="J936" s="6" t="s">
        <v>4009</v>
      </c>
      <c r="K936" s="9">
        <v>8</v>
      </c>
      <c r="L936" s="6" t="s">
        <v>4276</v>
      </c>
      <c r="M936" s="6" t="s">
        <v>4279</v>
      </c>
      <c r="N936" s="4">
        <v>479.36</v>
      </c>
      <c r="O936" s="6">
        <f t="shared" si="14"/>
        <v>267</v>
      </c>
    </row>
    <row r="937" spans="1:15" x14ac:dyDescent="0.3">
      <c r="A937" s="6" t="s">
        <v>949</v>
      </c>
      <c r="B937" s="2">
        <v>45254</v>
      </c>
      <c r="C937" s="6" t="s">
        <v>2145</v>
      </c>
      <c r="D937" s="6" t="s">
        <v>2404</v>
      </c>
      <c r="E937" s="9">
        <v>3</v>
      </c>
      <c r="F937" s="4">
        <v>692.71</v>
      </c>
      <c r="G937" t="s">
        <v>2692</v>
      </c>
      <c r="H937" s="6" t="s">
        <v>3067</v>
      </c>
      <c r="I937" s="6" t="s">
        <v>3073</v>
      </c>
      <c r="J937" s="6" t="s">
        <v>4010</v>
      </c>
      <c r="K937" s="9">
        <v>3</v>
      </c>
      <c r="L937" s="6" t="s">
        <v>4276</v>
      </c>
      <c r="M937" s="6" t="s">
        <v>4278</v>
      </c>
      <c r="N937" s="4">
        <v>2078.13</v>
      </c>
      <c r="O937" s="6">
        <f t="shared" si="14"/>
        <v>266</v>
      </c>
    </row>
    <row r="938" spans="1:15" x14ac:dyDescent="0.3">
      <c r="A938" s="6" t="s">
        <v>950</v>
      </c>
      <c r="B938" s="2">
        <v>45303</v>
      </c>
      <c r="C938" s="6" t="s">
        <v>2146</v>
      </c>
      <c r="D938" s="6" t="s">
        <v>2406</v>
      </c>
      <c r="E938" s="9">
        <v>4</v>
      </c>
      <c r="F938" s="4">
        <v>56.66</v>
      </c>
      <c r="G938" t="s">
        <v>2554</v>
      </c>
      <c r="H938" s="6" t="s">
        <v>3066</v>
      </c>
      <c r="I938" s="6" t="s">
        <v>3073</v>
      </c>
      <c r="J938" s="6" t="s">
        <v>4011</v>
      </c>
      <c r="K938" s="9">
        <v>4</v>
      </c>
      <c r="L938" s="6" t="s">
        <v>4275</v>
      </c>
      <c r="M938" s="6" t="s">
        <v>4278</v>
      </c>
      <c r="N938" s="4">
        <v>226.64</v>
      </c>
      <c r="O938" s="6">
        <f t="shared" si="14"/>
        <v>265</v>
      </c>
    </row>
    <row r="939" spans="1:15" x14ac:dyDescent="0.3">
      <c r="A939" s="6" t="s">
        <v>951</v>
      </c>
      <c r="B939" s="2">
        <v>45307</v>
      </c>
      <c r="C939" s="6" t="s">
        <v>2147</v>
      </c>
      <c r="D939" s="6" t="s">
        <v>2406</v>
      </c>
      <c r="E939" s="9">
        <v>2</v>
      </c>
      <c r="F939" s="4">
        <v>298.52999999999997</v>
      </c>
      <c r="G939" t="s">
        <v>2735</v>
      </c>
      <c r="H939" s="6" t="s">
        <v>3065</v>
      </c>
      <c r="I939" s="6" t="s">
        <v>3071</v>
      </c>
      <c r="J939" s="6" t="s">
        <v>4012</v>
      </c>
      <c r="K939" s="9">
        <v>5</v>
      </c>
      <c r="L939" s="6" t="s">
        <v>4277</v>
      </c>
      <c r="M939" s="6" t="s">
        <v>4280</v>
      </c>
      <c r="N939" s="4">
        <v>597.05999999999995</v>
      </c>
      <c r="O939" s="6">
        <f t="shared" si="14"/>
        <v>264</v>
      </c>
    </row>
    <row r="940" spans="1:15" x14ac:dyDescent="0.3">
      <c r="A940" s="6" t="s">
        <v>952</v>
      </c>
      <c r="B940" s="2">
        <v>45119</v>
      </c>
      <c r="C940" s="6" t="s">
        <v>2148</v>
      </c>
      <c r="D940" s="6" t="s">
        <v>2406</v>
      </c>
      <c r="E940" s="9">
        <v>3</v>
      </c>
      <c r="F940" s="4">
        <v>331.46</v>
      </c>
      <c r="G940" t="s">
        <v>2796</v>
      </c>
      <c r="H940" s="6" t="s">
        <v>3067</v>
      </c>
      <c r="I940" s="6" t="s">
        <v>3071</v>
      </c>
      <c r="J940" s="6" t="s">
        <v>4013</v>
      </c>
      <c r="K940" s="9">
        <v>6</v>
      </c>
      <c r="L940" s="6" t="s">
        <v>4277</v>
      </c>
      <c r="M940" s="6" t="s">
        <v>4279</v>
      </c>
      <c r="N940" s="4">
        <v>994.37999999999988</v>
      </c>
      <c r="O940" s="6">
        <f t="shared" si="14"/>
        <v>263</v>
      </c>
    </row>
    <row r="941" spans="1:15" x14ac:dyDescent="0.3">
      <c r="A941" s="6" t="s">
        <v>953</v>
      </c>
      <c r="B941" s="2">
        <v>45763</v>
      </c>
      <c r="C941" s="6" t="s">
        <v>2149</v>
      </c>
      <c r="D941" s="6" t="s">
        <v>2408</v>
      </c>
      <c r="E941" s="9">
        <v>2</v>
      </c>
      <c r="F941" s="4">
        <v>521.4</v>
      </c>
      <c r="G941" t="s">
        <v>2983</v>
      </c>
      <c r="H941" s="6" t="s">
        <v>3069</v>
      </c>
      <c r="I941" s="6" t="s">
        <v>3073</v>
      </c>
      <c r="J941" s="6" t="s">
        <v>4014</v>
      </c>
      <c r="K941" s="9">
        <v>7</v>
      </c>
      <c r="L941" s="6" t="s">
        <v>4275</v>
      </c>
      <c r="M941" s="6" t="s">
        <v>4278</v>
      </c>
      <c r="N941" s="4">
        <v>1042.8</v>
      </c>
      <c r="O941" s="6">
        <f t="shared" si="14"/>
        <v>262</v>
      </c>
    </row>
    <row r="942" spans="1:15" x14ac:dyDescent="0.3">
      <c r="A942" s="6" t="s">
        <v>954</v>
      </c>
      <c r="B942" s="2">
        <v>45012</v>
      </c>
      <c r="C942" s="6" t="s">
        <v>2150</v>
      </c>
      <c r="D942" s="6" t="s">
        <v>2407</v>
      </c>
      <c r="E942" s="9">
        <v>4</v>
      </c>
      <c r="F942" s="4">
        <v>305.32</v>
      </c>
      <c r="G942" t="s">
        <v>2984</v>
      </c>
      <c r="H942" s="6" t="s">
        <v>3066</v>
      </c>
      <c r="I942" s="6" t="s">
        <v>3071</v>
      </c>
      <c r="J942" s="6" t="s">
        <v>4015</v>
      </c>
      <c r="K942" s="9">
        <v>4</v>
      </c>
      <c r="L942" s="6" t="s">
        <v>4275</v>
      </c>
      <c r="M942" s="6" t="s">
        <v>4282</v>
      </c>
      <c r="N942" s="4">
        <v>1221.28</v>
      </c>
      <c r="O942" s="6">
        <f t="shared" si="14"/>
        <v>261</v>
      </c>
    </row>
    <row r="943" spans="1:15" x14ac:dyDescent="0.3">
      <c r="A943" s="6" t="s">
        <v>955</v>
      </c>
      <c r="B943" s="2">
        <v>45124</v>
      </c>
      <c r="C943" s="6" t="s">
        <v>1653</v>
      </c>
      <c r="D943" s="6" t="s">
        <v>2407</v>
      </c>
      <c r="E943" s="9">
        <v>5</v>
      </c>
      <c r="F943" s="4">
        <v>111.7</v>
      </c>
      <c r="G943" t="s">
        <v>2690</v>
      </c>
      <c r="H943" s="6" t="s">
        <v>3067</v>
      </c>
      <c r="I943" s="6" t="s">
        <v>3071</v>
      </c>
      <c r="J943" s="6" t="s">
        <v>4016</v>
      </c>
      <c r="K943" s="9">
        <v>9</v>
      </c>
      <c r="L943" s="6" t="s">
        <v>4276</v>
      </c>
      <c r="M943" s="6" t="s">
        <v>4280</v>
      </c>
      <c r="N943" s="4">
        <v>558.5</v>
      </c>
      <c r="O943" s="6">
        <f t="shared" si="14"/>
        <v>260</v>
      </c>
    </row>
    <row r="944" spans="1:15" x14ac:dyDescent="0.3">
      <c r="A944" s="6" t="s">
        <v>956</v>
      </c>
      <c r="B944" s="2">
        <v>45198</v>
      </c>
      <c r="C944" s="6" t="s">
        <v>2151</v>
      </c>
      <c r="D944" s="6" t="s">
        <v>2405</v>
      </c>
      <c r="E944" s="9">
        <v>1</v>
      </c>
      <c r="F944" s="4">
        <v>479.76</v>
      </c>
      <c r="G944" t="s">
        <v>2599</v>
      </c>
      <c r="H944" s="6" t="s">
        <v>3067</v>
      </c>
      <c r="I944" s="6" t="s">
        <v>3074</v>
      </c>
      <c r="J944" s="6" t="s">
        <v>4017</v>
      </c>
      <c r="K944" s="9">
        <v>1</v>
      </c>
      <c r="L944" s="6" t="s">
        <v>4283</v>
      </c>
      <c r="M944" s="6" t="s">
        <v>4280</v>
      </c>
      <c r="N944" s="4">
        <v>479.76</v>
      </c>
      <c r="O944" s="6">
        <f t="shared" si="14"/>
        <v>259</v>
      </c>
    </row>
    <row r="945" spans="1:15" x14ac:dyDescent="0.3">
      <c r="A945" s="6" t="s">
        <v>957</v>
      </c>
      <c r="B945" s="2">
        <v>45287</v>
      </c>
      <c r="C945" s="6" t="s">
        <v>2152</v>
      </c>
      <c r="D945" s="6" t="s">
        <v>2403</v>
      </c>
      <c r="E945" s="9">
        <v>3</v>
      </c>
      <c r="F945" s="4">
        <v>193.49</v>
      </c>
      <c r="G945" t="s">
        <v>2985</v>
      </c>
      <c r="H945" s="6" t="s">
        <v>3068</v>
      </c>
      <c r="I945" s="6" t="s">
        <v>3072</v>
      </c>
      <c r="J945" s="6" t="s">
        <v>4018</v>
      </c>
      <c r="K945" s="9">
        <v>6</v>
      </c>
      <c r="L945" s="6" t="s">
        <v>4276</v>
      </c>
      <c r="M945" s="6" t="s">
        <v>4281</v>
      </c>
      <c r="N945" s="4">
        <v>580.47</v>
      </c>
      <c r="O945" s="6">
        <f t="shared" si="14"/>
        <v>258</v>
      </c>
    </row>
    <row r="946" spans="1:15" x14ac:dyDescent="0.3">
      <c r="A946" s="6" t="s">
        <v>958</v>
      </c>
      <c r="B946" s="2">
        <v>45642</v>
      </c>
      <c r="C946" s="6" t="s">
        <v>2153</v>
      </c>
      <c r="D946" s="6" t="s">
        <v>2408</v>
      </c>
      <c r="E946" s="9">
        <v>2</v>
      </c>
      <c r="F946" s="4">
        <v>426.22</v>
      </c>
      <c r="G946" t="s">
        <v>2964</v>
      </c>
      <c r="H946" s="6" t="s">
        <v>3066</v>
      </c>
      <c r="I946" s="6" t="s">
        <v>3073</v>
      </c>
      <c r="J946" s="6" t="s">
        <v>4019</v>
      </c>
      <c r="K946" s="9">
        <v>7</v>
      </c>
      <c r="L946" s="6" t="s">
        <v>4277</v>
      </c>
      <c r="M946" s="6" t="s">
        <v>4282</v>
      </c>
      <c r="N946" s="4">
        <v>852.44</v>
      </c>
      <c r="O946" s="6">
        <f t="shared" si="14"/>
        <v>257</v>
      </c>
    </row>
    <row r="947" spans="1:15" x14ac:dyDescent="0.3">
      <c r="A947" s="6" t="s">
        <v>959</v>
      </c>
      <c r="B947" s="2">
        <v>45158</v>
      </c>
      <c r="C947" s="6" t="s">
        <v>2154</v>
      </c>
      <c r="D947" s="6" t="s">
        <v>2405</v>
      </c>
      <c r="E947" s="9">
        <v>5</v>
      </c>
      <c r="F947" s="4">
        <v>276.44</v>
      </c>
      <c r="G947" t="s">
        <v>2695</v>
      </c>
      <c r="H947" s="6" t="s">
        <v>3068</v>
      </c>
      <c r="I947" s="6" t="s">
        <v>3070</v>
      </c>
      <c r="J947" s="6" t="s">
        <v>4020</v>
      </c>
      <c r="K947" s="9">
        <v>10</v>
      </c>
      <c r="L947" s="6" t="s">
        <v>4276</v>
      </c>
      <c r="M947" s="6" t="s">
        <v>4279</v>
      </c>
      <c r="N947" s="4">
        <v>1382.2</v>
      </c>
      <c r="O947" s="6">
        <f t="shared" si="14"/>
        <v>256</v>
      </c>
    </row>
    <row r="948" spans="1:15" x14ac:dyDescent="0.3">
      <c r="A948" s="6" t="s">
        <v>960</v>
      </c>
      <c r="B948" s="2">
        <v>45416</v>
      </c>
      <c r="C948" s="6" t="s">
        <v>2155</v>
      </c>
      <c r="D948" s="6" t="s">
        <v>2404</v>
      </c>
      <c r="E948" s="9">
        <v>2</v>
      </c>
      <c r="F948" s="4">
        <v>404.96</v>
      </c>
      <c r="G948" t="s">
        <v>2684</v>
      </c>
      <c r="H948" s="6" t="s">
        <v>3069</v>
      </c>
      <c r="I948" s="6" t="s">
        <v>3070</v>
      </c>
      <c r="J948" s="6" t="s">
        <v>4021</v>
      </c>
      <c r="K948" s="9">
        <v>4</v>
      </c>
      <c r="L948" s="6" t="s">
        <v>4275</v>
      </c>
      <c r="M948" s="6" t="s">
        <v>4280</v>
      </c>
      <c r="N948" s="4">
        <v>809.92</v>
      </c>
      <c r="O948" s="6">
        <f t="shared" si="14"/>
        <v>255</v>
      </c>
    </row>
    <row r="949" spans="1:15" x14ac:dyDescent="0.3">
      <c r="A949" s="6" t="s">
        <v>961</v>
      </c>
      <c r="B949" s="2">
        <v>45176</v>
      </c>
      <c r="C949" s="6" t="s">
        <v>2156</v>
      </c>
      <c r="D949" s="6" t="s">
        <v>2404</v>
      </c>
      <c r="E949" s="9">
        <v>4</v>
      </c>
      <c r="F949" s="4">
        <v>465.66</v>
      </c>
      <c r="G949" t="s">
        <v>2642</v>
      </c>
      <c r="H949" s="6" t="s">
        <v>3066</v>
      </c>
      <c r="I949" s="6" t="s">
        <v>3072</v>
      </c>
      <c r="J949" s="6" t="s">
        <v>4022</v>
      </c>
      <c r="K949" s="9">
        <v>9</v>
      </c>
      <c r="L949" s="6" t="s">
        <v>4276</v>
      </c>
      <c r="M949" s="6" t="s">
        <v>4280</v>
      </c>
      <c r="N949" s="4">
        <v>1862.64</v>
      </c>
      <c r="O949" s="6">
        <f t="shared" si="14"/>
        <v>254</v>
      </c>
    </row>
    <row r="950" spans="1:15" x14ac:dyDescent="0.3">
      <c r="A950" s="6" t="s">
        <v>962</v>
      </c>
      <c r="B950" s="2">
        <v>45464</v>
      </c>
      <c r="C950" s="6" t="s">
        <v>1659</v>
      </c>
      <c r="D950" s="6" t="s">
        <v>2404</v>
      </c>
      <c r="E950" s="9">
        <v>2</v>
      </c>
      <c r="F950" s="4">
        <v>594.07000000000005</v>
      </c>
      <c r="G950" t="s">
        <v>2771</v>
      </c>
      <c r="H950" s="6" t="s">
        <v>3068</v>
      </c>
      <c r="I950" s="6" t="s">
        <v>3071</v>
      </c>
      <c r="J950" s="6" t="s">
        <v>4023</v>
      </c>
      <c r="K950" s="9">
        <v>2</v>
      </c>
      <c r="L950" s="6" t="s">
        <v>4283</v>
      </c>
      <c r="M950" s="6" t="s">
        <v>4282</v>
      </c>
      <c r="N950" s="4">
        <v>1188.1400000000001</v>
      </c>
      <c r="O950" s="6">
        <f t="shared" si="14"/>
        <v>253</v>
      </c>
    </row>
    <row r="951" spans="1:15" x14ac:dyDescent="0.3">
      <c r="A951" s="6" t="s">
        <v>963</v>
      </c>
      <c r="B951" s="2">
        <v>45239</v>
      </c>
      <c r="C951" s="6" t="s">
        <v>2157</v>
      </c>
      <c r="D951" s="6" t="s">
        <v>2409</v>
      </c>
      <c r="E951" s="9">
        <v>5</v>
      </c>
      <c r="F951" s="4">
        <v>110.38</v>
      </c>
      <c r="G951" t="s">
        <v>2732</v>
      </c>
      <c r="H951" s="6" t="s">
        <v>3069</v>
      </c>
      <c r="I951" s="6" t="s">
        <v>3074</v>
      </c>
      <c r="J951" s="6" t="s">
        <v>4024</v>
      </c>
      <c r="K951" s="9">
        <v>10</v>
      </c>
      <c r="L951" s="6" t="s">
        <v>4283</v>
      </c>
      <c r="M951" s="6" t="s">
        <v>4279</v>
      </c>
      <c r="N951" s="4">
        <v>551.9</v>
      </c>
      <c r="O951" s="6">
        <f t="shared" si="14"/>
        <v>252</v>
      </c>
    </row>
    <row r="952" spans="1:15" x14ac:dyDescent="0.3">
      <c r="A952" s="6" t="s">
        <v>964</v>
      </c>
      <c r="B952" s="2">
        <v>45443</v>
      </c>
      <c r="C952" s="6" t="s">
        <v>2158</v>
      </c>
      <c r="D952" s="6" t="s">
        <v>2408</v>
      </c>
      <c r="E952" s="9">
        <v>1</v>
      </c>
      <c r="F952" s="4">
        <v>596.24</v>
      </c>
      <c r="G952" t="s">
        <v>2428</v>
      </c>
      <c r="H952" s="6" t="s">
        <v>3067</v>
      </c>
      <c r="I952" s="6" t="s">
        <v>3072</v>
      </c>
      <c r="J952" s="6" t="s">
        <v>4025</v>
      </c>
      <c r="K952" s="9">
        <v>4</v>
      </c>
      <c r="L952" s="6" t="s">
        <v>4276</v>
      </c>
      <c r="M952" s="6" t="s">
        <v>4278</v>
      </c>
      <c r="N952" s="4">
        <v>596.24</v>
      </c>
      <c r="O952" s="6">
        <f t="shared" si="14"/>
        <v>251</v>
      </c>
    </row>
    <row r="953" spans="1:15" x14ac:dyDescent="0.3">
      <c r="A953" s="6" t="s">
        <v>965</v>
      </c>
      <c r="B953" s="2">
        <v>45495</v>
      </c>
      <c r="C953" s="6" t="s">
        <v>2159</v>
      </c>
      <c r="D953" s="6" t="s">
        <v>2407</v>
      </c>
      <c r="E953" s="9">
        <v>2</v>
      </c>
      <c r="F953" s="4">
        <v>306.24</v>
      </c>
      <c r="G953" t="s">
        <v>2637</v>
      </c>
      <c r="H953" s="6" t="s">
        <v>3066</v>
      </c>
      <c r="I953" s="6" t="s">
        <v>3072</v>
      </c>
      <c r="J953" s="6" t="s">
        <v>4026</v>
      </c>
      <c r="K953" s="9">
        <v>4</v>
      </c>
      <c r="L953" s="6" t="s">
        <v>4276</v>
      </c>
      <c r="M953" s="6" t="s">
        <v>4280</v>
      </c>
      <c r="N953" s="4">
        <v>612.48</v>
      </c>
      <c r="O953" s="6">
        <f t="shared" si="14"/>
        <v>250</v>
      </c>
    </row>
    <row r="954" spans="1:15" x14ac:dyDescent="0.3">
      <c r="A954" s="6" t="s">
        <v>966</v>
      </c>
      <c r="B954" s="2">
        <v>45715</v>
      </c>
      <c r="C954" s="6" t="s">
        <v>2160</v>
      </c>
      <c r="D954" s="6" t="s">
        <v>2403</v>
      </c>
      <c r="E954" s="9">
        <v>3</v>
      </c>
      <c r="F954" s="4">
        <v>503.39</v>
      </c>
      <c r="G954" t="s">
        <v>2986</v>
      </c>
      <c r="H954" s="6" t="s">
        <v>3066</v>
      </c>
      <c r="I954" s="6" t="s">
        <v>3074</v>
      </c>
      <c r="J954" s="6" t="s">
        <v>4027</v>
      </c>
      <c r="K954" s="9">
        <v>5</v>
      </c>
      <c r="L954" s="6" t="s">
        <v>4283</v>
      </c>
      <c r="M954" s="6" t="s">
        <v>4281</v>
      </c>
      <c r="N954" s="4">
        <v>1510.17</v>
      </c>
      <c r="O954" s="6">
        <f t="shared" si="14"/>
        <v>249</v>
      </c>
    </row>
    <row r="955" spans="1:15" x14ac:dyDescent="0.3">
      <c r="A955" s="6" t="s">
        <v>967</v>
      </c>
      <c r="B955" s="2">
        <v>44963</v>
      </c>
      <c r="C955" s="6" t="s">
        <v>2161</v>
      </c>
      <c r="D955" s="6" t="s">
        <v>2404</v>
      </c>
      <c r="E955" s="9">
        <v>1</v>
      </c>
      <c r="F955" s="4">
        <v>131.61000000000001</v>
      </c>
      <c r="G955" t="s">
        <v>2486</v>
      </c>
      <c r="H955" s="6" t="s">
        <v>3069</v>
      </c>
      <c r="I955" s="6" t="s">
        <v>3070</v>
      </c>
      <c r="J955" s="6" t="s">
        <v>4028</v>
      </c>
      <c r="K955" s="9">
        <v>2</v>
      </c>
      <c r="L955" s="6" t="s">
        <v>4276</v>
      </c>
      <c r="M955" s="6" t="s">
        <v>4281</v>
      </c>
      <c r="N955" s="4">
        <v>131.61000000000001</v>
      </c>
      <c r="O955" s="6">
        <f t="shared" si="14"/>
        <v>248</v>
      </c>
    </row>
    <row r="956" spans="1:15" x14ac:dyDescent="0.3">
      <c r="A956" s="6" t="s">
        <v>968</v>
      </c>
      <c r="B956" s="2">
        <v>45587</v>
      </c>
      <c r="C956" s="6" t="s">
        <v>2162</v>
      </c>
      <c r="D956" s="6" t="s">
        <v>2406</v>
      </c>
      <c r="E956" s="9">
        <v>3</v>
      </c>
      <c r="F956" s="4">
        <v>443.44</v>
      </c>
      <c r="G956" t="s">
        <v>2556</v>
      </c>
      <c r="H956" s="6" t="s">
        <v>3068</v>
      </c>
      <c r="I956" s="6" t="s">
        <v>3070</v>
      </c>
      <c r="J956" s="6" t="s">
        <v>4029</v>
      </c>
      <c r="K956" s="9">
        <v>3</v>
      </c>
      <c r="L956" s="6" t="s">
        <v>4276</v>
      </c>
      <c r="M956" s="6" t="s">
        <v>4282</v>
      </c>
      <c r="N956" s="4">
        <v>1330.32</v>
      </c>
      <c r="O956" s="6">
        <f t="shared" si="14"/>
        <v>247</v>
      </c>
    </row>
    <row r="957" spans="1:15" x14ac:dyDescent="0.3">
      <c r="A957" s="6" t="s">
        <v>969</v>
      </c>
      <c r="B957" s="2">
        <v>44949</v>
      </c>
      <c r="C957" s="6" t="s">
        <v>2163</v>
      </c>
      <c r="D957" s="6" t="s">
        <v>2406</v>
      </c>
      <c r="E957" s="9">
        <v>1</v>
      </c>
      <c r="F957" s="4">
        <v>408.13</v>
      </c>
      <c r="G957" t="s">
        <v>2623</v>
      </c>
      <c r="H957" s="6" t="s">
        <v>3068</v>
      </c>
      <c r="I957" s="6" t="s">
        <v>3070</v>
      </c>
      <c r="J957" s="6" t="s">
        <v>4030</v>
      </c>
      <c r="K957" s="9">
        <v>3</v>
      </c>
      <c r="L957" s="6" t="s">
        <v>4277</v>
      </c>
      <c r="M957" s="6" t="s">
        <v>4278</v>
      </c>
      <c r="N957" s="4">
        <v>408.13</v>
      </c>
      <c r="O957" s="6">
        <f t="shared" si="14"/>
        <v>246</v>
      </c>
    </row>
    <row r="958" spans="1:15" x14ac:dyDescent="0.3">
      <c r="A958" s="6" t="s">
        <v>970</v>
      </c>
      <c r="B958" s="2">
        <v>45393</v>
      </c>
      <c r="C958" s="6" t="s">
        <v>1995</v>
      </c>
      <c r="D958" s="6" t="s">
        <v>2404</v>
      </c>
      <c r="E958" s="9">
        <v>2</v>
      </c>
      <c r="F958" s="4">
        <v>160.97999999999999</v>
      </c>
      <c r="G958" t="s">
        <v>2987</v>
      </c>
      <c r="H958" s="6" t="s">
        <v>3065</v>
      </c>
      <c r="I958" s="6" t="s">
        <v>3073</v>
      </c>
      <c r="J958" s="6" t="s">
        <v>4031</v>
      </c>
      <c r="K958" s="9">
        <v>3</v>
      </c>
      <c r="L958" s="6" t="s">
        <v>4275</v>
      </c>
      <c r="M958" s="6" t="s">
        <v>4279</v>
      </c>
      <c r="N958" s="4">
        <v>321.95999999999998</v>
      </c>
      <c r="O958" s="6">
        <f t="shared" si="14"/>
        <v>245</v>
      </c>
    </row>
    <row r="959" spans="1:15" x14ac:dyDescent="0.3">
      <c r="A959" s="6" t="s">
        <v>971</v>
      </c>
      <c r="B959" s="2">
        <v>44938</v>
      </c>
      <c r="C959" s="6" t="s">
        <v>2164</v>
      </c>
      <c r="D959" s="6" t="s">
        <v>2403</v>
      </c>
      <c r="E959" s="9">
        <v>5</v>
      </c>
      <c r="F959" s="4">
        <v>643.89</v>
      </c>
      <c r="G959" t="s">
        <v>2988</v>
      </c>
      <c r="H959" s="6" t="s">
        <v>3069</v>
      </c>
      <c r="I959" s="6" t="s">
        <v>3072</v>
      </c>
      <c r="J959" s="6" t="s">
        <v>4032</v>
      </c>
      <c r="K959" s="9">
        <v>8</v>
      </c>
      <c r="L959" s="6" t="s">
        <v>4277</v>
      </c>
      <c r="M959" s="6" t="s">
        <v>4281</v>
      </c>
      <c r="N959" s="4">
        <v>3219.45</v>
      </c>
      <c r="O959" s="6">
        <f t="shared" si="14"/>
        <v>244</v>
      </c>
    </row>
    <row r="960" spans="1:15" x14ac:dyDescent="0.3">
      <c r="A960" s="6" t="s">
        <v>972</v>
      </c>
      <c r="B960" s="2">
        <v>45059</v>
      </c>
      <c r="C960" s="6" t="s">
        <v>2165</v>
      </c>
      <c r="D960" s="6" t="s">
        <v>2409</v>
      </c>
      <c r="E960" s="9">
        <v>3</v>
      </c>
      <c r="F960" s="4">
        <v>158.66</v>
      </c>
      <c r="G960" t="s">
        <v>2656</v>
      </c>
      <c r="H960" s="6" t="s">
        <v>3068</v>
      </c>
      <c r="I960" s="6" t="s">
        <v>3073</v>
      </c>
      <c r="J960" s="6" t="s">
        <v>4033</v>
      </c>
      <c r="K960" s="9">
        <v>7</v>
      </c>
      <c r="L960" s="6" t="s">
        <v>4277</v>
      </c>
      <c r="M960" s="6" t="s">
        <v>4280</v>
      </c>
      <c r="N960" s="4">
        <v>475.98</v>
      </c>
      <c r="O960" s="6">
        <f t="shared" si="14"/>
        <v>243</v>
      </c>
    </row>
    <row r="961" spans="1:15" x14ac:dyDescent="0.3">
      <c r="A961" s="6" t="s">
        <v>973</v>
      </c>
      <c r="B961" s="2">
        <v>45395</v>
      </c>
      <c r="C961" s="6" t="s">
        <v>2166</v>
      </c>
      <c r="D961" s="6" t="s">
        <v>2405</v>
      </c>
      <c r="E961" s="9">
        <v>2</v>
      </c>
      <c r="F961" s="4">
        <v>143.82</v>
      </c>
      <c r="G961" t="s">
        <v>2662</v>
      </c>
      <c r="H961" s="6" t="s">
        <v>3067</v>
      </c>
      <c r="I961" s="6" t="s">
        <v>3072</v>
      </c>
      <c r="J961" s="6" t="s">
        <v>4034</v>
      </c>
      <c r="K961" s="9">
        <v>6</v>
      </c>
      <c r="L961" s="6" t="s">
        <v>4275</v>
      </c>
      <c r="M961" s="6" t="s">
        <v>4278</v>
      </c>
      <c r="N961" s="4">
        <v>287.64</v>
      </c>
      <c r="O961" s="6">
        <f t="shared" si="14"/>
        <v>242</v>
      </c>
    </row>
    <row r="962" spans="1:15" x14ac:dyDescent="0.3">
      <c r="A962" s="6" t="s">
        <v>974</v>
      </c>
      <c r="B962" s="2">
        <v>45271</v>
      </c>
      <c r="C962" s="6" t="s">
        <v>2167</v>
      </c>
      <c r="D962" s="6" t="s">
        <v>2408</v>
      </c>
      <c r="E962" s="9">
        <v>3</v>
      </c>
      <c r="F962" s="4">
        <v>379.07</v>
      </c>
      <c r="G962" t="s">
        <v>2714</v>
      </c>
      <c r="H962" s="6" t="s">
        <v>3068</v>
      </c>
      <c r="I962" s="6" t="s">
        <v>3074</v>
      </c>
      <c r="J962" s="6" t="s">
        <v>4035</v>
      </c>
      <c r="K962" s="9">
        <v>3</v>
      </c>
      <c r="L962" s="6" t="s">
        <v>4277</v>
      </c>
      <c r="M962" s="6" t="s">
        <v>4282</v>
      </c>
      <c r="N962" s="4">
        <v>1137.21</v>
      </c>
      <c r="O962" s="6">
        <f t="shared" ref="O962:O1025" si="15">COUNTA(_xlfn.UNIQUE(C961:C2160))</f>
        <v>241</v>
      </c>
    </row>
    <row r="963" spans="1:15" x14ac:dyDescent="0.3">
      <c r="A963" s="6" t="s">
        <v>975</v>
      </c>
      <c r="B963" s="2">
        <v>45607</v>
      </c>
      <c r="C963" s="6" t="s">
        <v>2168</v>
      </c>
      <c r="D963" s="6" t="s">
        <v>2404</v>
      </c>
      <c r="E963" s="9">
        <v>1</v>
      </c>
      <c r="F963" s="4">
        <v>601.36</v>
      </c>
      <c r="G963" t="s">
        <v>2685</v>
      </c>
      <c r="H963" s="6" t="s">
        <v>3066</v>
      </c>
      <c r="I963" s="6" t="s">
        <v>3070</v>
      </c>
      <c r="J963" s="6" t="s">
        <v>4036</v>
      </c>
      <c r="K963" s="9">
        <v>1</v>
      </c>
      <c r="L963" s="6" t="s">
        <v>4283</v>
      </c>
      <c r="M963" s="6" t="s">
        <v>4281</v>
      </c>
      <c r="N963" s="4">
        <v>601.36</v>
      </c>
      <c r="O963" s="6">
        <f t="shared" si="15"/>
        <v>240</v>
      </c>
    </row>
    <row r="964" spans="1:15" x14ac:dyDescent="0.3">
      <c r="A964" s="6" t="s">
        <v>976</v>
      </c>
      <c r="B964" s="2">
        <v>45541</v>
      </c>
      <c r="C964" s="6" t="s">
        <v>2169</v>
      </c>
      <c r="D964" s="6" t="s">
        <v>2404</v>
      </c>
      <c r="E964" s="9">
        <v>2</v>
      </c>
      <c r="F964" s="4">
        <v>142.08000000000001</v>
      </c>
      <c r="G964" t="s">
        <v>2621</v>
      </c>
      <c r="H964" s="6" t="s">
        <v>3068</v>
      </c>
      <c r="I964" s="6" t="s">
        <v>3073</v>
      </c>
      <c r="J964" s="6" t="s">
        <v>4037</v>
      </c>
      <c r="K964" s="9">
        <v>4</v>
      </c>
      <c r="L964" s="6" t="s">
        <v>4275</v>
      </c>
      <c r="M964" s="6" t="s">
        <v>4279</v>
      </c>
      <c r="N964" s="4">
        <v>284.16000000000003</v>
      </c>
      <c r="O964" s="6">
        <f t="shared" si="15"/>
        <v>239</v>
      </c>
    </row>
    <row r="965" spans="1:15" x14ac:dyDescent="0.3">
      <c r="A965" s="6" t="s">
        <v>977</v>
      </c>
      <c r="B965" s="2">
        <v>45362</v>
      </c>
      <c r="C965" s="6" t="s">
        <v>2170</v>
      </c>
      <c r="D965" s="6" t="s">
        <v>2406</v>
      </c>
      <c r="E965" s="9">
        <v>5</v>
      </c>
      <c r="F965" s="4">
        <v>530.34</v>
      </c>
      <c r="G965" t="s">
        <v>2572</v>
      </c>
      <c r="H965" s="6" t="s">
        <v>3066</v>
      </c>
      <c r="I965" s="6" t="s">
        <v>3070</v>
      </c>
      <c r="J965" s="6" t="s">
        <v>4038</v>
      </c>
      <c r="K965" s="9">
        <v>9</v>
      </c>
      <c r="L965" s="6" t="s">
        <v>4276</v>
      </c>
      <c r="M965" s="6" t="s">
        <v>4282</v>
      </c>
      <c r="N965" s="4">
        <v>2651.7</v>
      </c>
      <c r="O965" s="6">
        <f t="shared" si="15"/>
        <v>238</v>
      </c>
    </row>
    <row r="966" spans="1:15" x14ac:dyDescent="0.3">
      <c r="A966" s="6" t="s">
        <v>978</v>
      </c>
      <c r="B966" s="2">
        <v>45158</v>
      </c>
      <c r="C966" s="6" t="s">
        <v>2171</v>
      </c>
      <c r="D966" s="6" t="s">
        <v>2404</v>
      </c>
      <c r="E966" s="9">
        <v>5</v>
      </c>
      <c r="F966" s="4">
        <v>364.42</v>
      </c>
      <c r="G966" t="s">
        <v>2730</v>
      </c>
      <c r="H966" s="6" t="s">
        <v>3067</v>
      </c>
      <c r="I966" s="6" t="s">
        <v>3071</v>
      </c>
      <c r="J966" s="6" t="s">
        <v>4039</v>
      </c>
      <c r="K966" s="9">
        <v>10</v>
      </c>
      <c r="L966" s="6" t="s">
        <v>4275</v>
      </c>
      <c r="M966" s="6" t="s">
        <v>4279</v>
      </c>
      <c r="N966" s="4">
        <v>1822.1</v>
      </c>
      <c r="O966" s="6">
        <f t="shared" si="15"/>
        <v>237</v>
      </c>
    </row>
    <row r="967" spans="1:15" x14ac:dyDescent="0.3">
      <c r="A967" s="6" t="s">
        <v>979</v>
      </c>
      <c r="B967" s="2">
        <v>45826</v>
      </c>
      <c r="C967" s="6" t="s">
        <v>2172</v>
      </c>
      <c r="D967" s="6" t="s">
        <v>2408</v>
      </c>
      <c r="E967" s="9">
        <v>4</v>
      </c>
      <c r="F967" s="4">
        <v>578.28</v>
      </c>
      <c r="G967" t="s">
        <v>2641</v>
      </c>
      <c r="H967" s="6" t="s">
        <v>3068</v>
      </c>
      <c r="I967" s="6" t="s">
        <v>3071</v>
      </c>
      <c r="J967" s="6" t="s">
        <v>4040</v>
      </c>
      <c r="K967" s="9">
        <v>5</v>
      </c>
      <c r="L967" s="6" t="s">
        <v>4276</v>
      </c>
      <c r="M967" s="6" t="s">
        <v>4280</v>
      </c>
      <c r="N967" s="4">
        <v>2313.12</v>
      </c>
      <c r="O967" s="6">
        <f t="shared" si="15"/>
        <v>236</v>
      </c>
    </row>
    <row r="968" spans="1:15" x14ac:dyDescent="0.3">
      <c r="A968" s="6" t="s">
        <v>980</v>
      </c>
      <c r="B968" s="2">
        <v>45797</v>
      </c>
      <c r="C968" s="6" t="s">
        <v>2173</v>
      </c>
      <c r="D968" s="6" t="s">
        <v>2403</v>
      </c>
      <c r="E968" s="9">
        <v>5</v>
      </c>
      <c r="F968" s="4">
        <v>280.52</v>
      </c>
      <c r="G968" t="s">
        <v>2989</v>
      </c>
      <c r="H968" s="6" t="s">
        <v>3067</v>
      </c>
      <c r="I968" s="6" t="s">
        <v>3071</v>
      </c>
      <c r="J968" s="6" t="s">
        <v>4041</v>
      </c>
      <c r="K968" s="9">
        <v>7</v>
      </c>
      <c r="L968" s="6" t="s">
        <v>4277</v>
      </c>
      <c r="M968" s="6" t="s">
        <v>4281</v>
      </c>
      <c r="N968" s="4">
        <v>1402.6</v>
      </c>
      <c r="O968" s="6">
        <f t="shared" si="15"/>
        <v>235</v>
      </c>
    </row>
    <row r="969" spans="1:15" x14ac:dyDescent="0.3">
      <c r="A969" s="6" t="s">
        <v>981</v>
      </c>
      <c r="B969" s="2">
        <v>45783</v>
      </c>
      <c r="C969" s="6" t="s">
        <v>2174</v>
      </c>
      <c r="D969" s="6" t="s">
        <v>2405</v>
      </c>
      <c r="E969" s="9">
        <v>5</v>
      </c>
      <c r="F969" s="4">
        <v>638.91999999999996</v>
      </c>
      <c r="G969" t="s">
        <v>2990</v>
      </c>
      <c r="H969" s="6" t="s">
        <v>3067</v>
      </c>
      <c r="I969" s="6" t="s">
        <v>3072</v>
      </c>
      <c r="J969" s="6" t="s">
        <v>4042</v>
      </c>
      <c r="K969" s="9">
        <v>5</v>
      </c>
      <c r="L969" s="6" t="s">
        <v>4276</v>
      </c>
      <c r="M969" s="6" t="s">
        <v>4282</v>
      </c>
      <c r="N969" s="4">
        <v>3194.6</v>
      </c>
      <c r="O969" s="6">
        <f t="shared" si="15"/>
        <v>234</v>
      </c>
    </row>
    <row r="970" spans="1:15" x14ac:dyDescent="0.3">
      <c r="A970" s="6" t="s">
        <v>982</v>
      </c>
      <c r="B970" s="2">
        <v>45330</v>
      </c>
      <c r="C970" s="6" t="s">
        <v>2175</v>
      </c>
      <c r="D970" s="6" t="s">
        <v>2403</v>
      </c>
      <c r="E970" s="9">
        <v>4</v>
      </c>
      <c r="F970" s="4">
        <v>412.2</v>
      </c>
      <c r="G970" t="s">
        <v>2943</v>
      </c>
      <c r="H970" s="6" t="s">
        <v>3067</v>
      </c>
      <c r="I970" s="6" t="s">
        <v>3070</v>
      </c>
      <c r="J970" s="6" t="s">
        <v>4043</v>
      </c>
      <c r="K970" s="9">
        <v>6</v>
      </c>
      <c r="L970" s="6" t="s">
        <v>4277</v>
      </c>
      <c r="M970" s="6" t="s">
        <v>4279</v>
      </c>
      <c r="N970" s="4">
        <v>1648.8</v>
      </c>
      <c r="O970" s="6">
        <f t="shared" si="15"/>
        <v>233</v>
      </c>
    </row>
    <row r="971" spans="1:15" x14ac:dyDescent="0.3">
      <c r="A971" s="6" t="s">
        <v>983</v>
      </c>
      <c r="B971" s="2">
        <v>45813</v>
      </c>
      <c r="C971" s="6" t="s">
        <v>2176</v>
      </c>
      <c r="D971" s="6" t="s">
        <v>2409</v>
      </c>
      <c r="E971" s="9">
        <v>1</v>
      </c>
      <c r="F971" s="4">
        <v>440.34</v>
      </c>
      <c r="G971" t="s">
        <v>2991</v>
      </c>
      <c r="H971" s="6" t="s">
        <v>3068</v>
      </c>
      <c r="I971" s="6" t="s">
        <v>3070</v>
      </c>
      <c r="J971" s="6" t="s">
        <v>4044</v>
      </c>
      <c r="K971" s="9">
        <v>2</v>
      </c>
      <c r="L971" s="6" t="s">
        <v>4277</v>
      </c>
      <c r="M971" s="6" t="s">
        <v>4281</v>
      </c>
      <c r="N971" s="4">
        <v>440.34</v>
      </c>
      <c r="O971" s="6">
        <f t="shared" si="15"/>
        <v>232</v>
      </c>
    </row>
    <row r="972" spans="1:15" x14ac:dyDescent="0.3">
      <c r="A972" s="6" t="s">
        <v>984</v>
      </c>
      <c r="B972" s="2">
        <v>45542</v>
      </c>
      <c r="C972" s="6" t="s">
        <v>2177</v>
      </c>
      <c r="D972" s="6" t="s">
        <v>2409</v>
      </c>
      <c r="E972" s="9">
        <v>1</v>
      </c>
      <c r="F972" s="4">
        <v>627.15</v>
      </c>
      <c r="G972" t="s">
        <v>2992</v>
      </c>
      <c r="H972" s="6" t="s">
        <v>3069</v>
      </c>
      <c r="I972" s="6" t="s">
        <v>3073</v>
      </c>
      <c r="J972" s="6" t="s">
        <v>4045</v>
      </c>
      <c r="K972" s="9">
        <v>5</v>
      </c>
      <c r="L972" s="6" t="s">
        <v>4275</v>
      </c>
      <c r="M972" s="6" t="s">
        <v>4278</v>
      </c>
      <c r="N972" s="4">
        <v>627.15</v>
      </c>
      <c r="O972" s="6">
        <f t="shared" si="15"/>
        <v>231</v>
      </c>
    </row>
    <row r="973" spans="1:15" x14ac:dyDescent="0.3">
      <c r="A973" s="6" t="s">
        <v>985</v>
      </c>
      <c r="B973" s="2">
        <v>45439</v>
      </c>
      <c r="C973" s="6" t="s">
        <v>2178</v>
      </c>
      <c r="D973" s="6" t="s">
        <v>2403</v>
      </c>
      <c r="E973" s="9">
        <v>2</v>
      </c>
      <c r="F973" s="4">
        <v>605.26</v>
      </c>
      <c r="G973" t="s">
        <v>2415</v>
      </c>
      <c r="H973" s="6" t="s">
        <v>3069</v>
      </c>
      <c r="I973" s="6" t="s">
        <v>3071</v>
      </c>
      <c r="J973" s="6" t="s">
        <v>4046</v>
      </c>
      <c r="K973" s="9">
        <v>4</v>
      </c>
      <c r="L973" s="6" t="s">
        <v>4277</v>
      </c>
      <c r="M973" s="6" t="s">
        <v>4279</v>
      </c>
      <c r="N973" s="4">
        <v>1210.52</v>
      </c>
      <c r="O973" s="6">
        <f t="shared" si="15"/>
        <v>230</v>
      </c>
    </row>
    <row r="974" spans="1:15" x14ac:dyDescent="0.3">
      <c r="A974" s="6" t="s">
        <v>986</v>
      </c>
      <c r="B974" s="2">
        <v>45452</v>
      </c>
      <c r="C974" s="6" t="s">
        <v>2179</v>
      </c>
      <c r="D974" s="6" t="s">
        <v>2408</v>
      </c>
      <c r="E974" s="9">
        <v>1</v>
      </c>
      <c r="F974" s="4">
        <v>90.27</v>
      </c>
      <c r="G974" t="s">
        <v>2993</v>
      </c>
      <c r="H974" s="6" t="s">
        <v>3069</v>
      </c>
      <c r="I974" s="6" t="s">
        <v>3073</v>
      </c>
      <c r="J974" s="6" t="s">
        <v>4047</v>
      </c>
      <c r="K974" s="9">
        <v>5</v>
      </c>
      <c r="L974" s="6" t="s">
        <v>4275</v>
      </c>
      <c r="M974" s="6" t="s">
        <v>4281</v>
      </c>
      <c r="N974" s="4">
        <v>90.27</v>
      </c>
      <c r="O974" s="6">
        <f t="shared" si="15"/>
        <v>229</v>
      </c>
    </row>
    <row r="975" spans="1:15" x14ac:dyDescent="0.3">
      <c r="A975" s="6" t="s">
        <v>987</v>
      </c>
      <c r="B975" s="2">
        <v>45817</v>
      </c>
      <c r="C975" s="6" t="s">
        <v>2180</v>
      </c>
      <c r="D975" s="6" t="s">
        <v>2409</v>
      </c>
      <c r="E975" s="9">
        <v>5</v>
      </c>
      <c r="F975" s="4">
        <v>230.77</v>
      </c>
      <c r="G975" t="s">
        <v>2977</v>
      </c>
      <c r="H975" s="6" t="s">
        <v>3066</v>
      </c>
      <c r="I975" s="6" t="s">
        <v>3074</v>
      </c>
      <c r="J975" s="6" t="s">
        <v>4048</v>
      </c>
      <c r="K975" s="9">
        <v>10</v>
      </c>
      <c r="L975" s="6" t="s">
        <v>4277</v>
      </c>
      <c r="M975" s="6" t="s">
        <v>4279</v>
      </c>
      <c r="N975" s="4">
        <v>1153.8499999999999</v>
      </c>
      <c r="O975" s="6">
        <f t="shared" si="15"/>
        <v>228</v>
      </c>
    </row>
    <row r="976" spans="1:15" x14ac:dyDescent="0.3">
      <c r="A976" s="6" t="s">
        <v>988</v>
      </c>
      <c r="B976" s="2">
        <v>45196</v>
      </c>
      <c r="C976" s="6" t="s">
        <v>2181</v>
      </c>
      <c r="D976" s="6" t="s">
        <v>2409</v>
      </c>
      <c r="E976" s="9">
        <v>5</v>
      </c>
      <c r="F976" s="4">
        <v>266.77999999999997</v>
      </c>
      <c r="G976" t="s">
        <v>2673</v>
      </c>
      <c r="H976" s="6" t="s">
        <v>3068</v>
      </c>
      <c r="I976" s="6" t="s">
        <v>3071</v>
      </c>
      <c r="J976" s="6" t="s">
        <v>4049</v>
      </c>
      <c r="K976" s="9">
        <v>5</v>
      </c>
      <c r="L976" s="6" t="s">
        <v>4283</v>
      </c>
      <c r="M976" s="6" t="s">
        <v>4280</v>
      </c>
      <c r="N976" s="4">
        <v>1333.9</v>
      </c>
      <c r="O976" s="6">
        <f t="shared" si="15"/>
        <v>227</v>
      </c>
    </row>
    <row r="977" spans="1:15" x14ac:dyDescent="0.3">
      <c r="A977" s="6" t="s">
        <v>989</v>
      </c>
      <c r="B977" s="2">
        <v>45064</v>
      </c>
      <c r="C977" s="6" t="s">
        <v>2182</v>
      </c>
      <c r="D977" s="6" t="s">
        <v>2409</v>
      </c>
      <c r="E977" s="9">
        <v>1</v>
      </c>
      <c r="F977" s="4">
        <v>105.92</v>
      </c>
      <c r="G977" t="s">
        <v>2643</v>
      </c>
      <c r="H977" s="6" t="s">
        <v>3068</v>
      </c>
      <c r="I977" s="6" t="s">
        <v>3072</v>
      </c>
      <c r="J977" s="6" t="s">
        <v>4050</v>
      </c>
      <c r="K977" s="9">
        <v>6</v>
      </c>
      <c r="L977" s="6" t="s">
        <v>4275</v>
      </c>
      <c r="M977" s="6" t="s">
        <v>4280</v>
      </c>
      <c r="N977" s="4">
        <v>105.92</v>
      </c>
      <c r="O977" s="6">
        <f t="shared" si="15"/>
        <v>226</v>
      </c>
    </row>
    <row r="978" spans="1:15" x14ac:dyDescent="0.3">
      <c r="A978" s="6" t="s">
        <v>990</v>
      </c>
      <c r="B978" s="2">
        <v>45386</v>
      </c>
      <c r="C978" s="6" t="s">
        <v>2183</v>
      </c>
      <c r="D978" s="6" t="s">
        <v>2405</v>
      </c>
      <c r="E978" s="9">
        <v>3</v>
      </c>
      <c r="F978" s="4">
        <v>589.29999999999995</v>
      </c>
      <c r="G978" t="s">
        <v>2941</v>
      </c>
      <c r="H978" s="6" t="s">
        <v>3067</v>
      </c>
      <c r="I978" s="6" t="s">
        <v>3072</v>
      </c>
      <c r="J978" s="6" t="s">
        <v>4051</v>
      </c>
      <c r="K978" s="9">
        <v>6</v>
      </c>
      <c r="L978" s="6" t="s">
        <v>4277</v>
      </c>
      <c r="M978" s="6" t="s">
        <v>4279</v>
      </c>
      <c r="N978" s="4">
        <v>1767.9</v>
      </c>
      <c r="O978" s="6">
        <f t="shared" si="15"/>
        <v>225</v>
      </c>
    </row>
    <row r="979" spans="1:15" x14ac:dyDescent="0.3">
      <c r="A979" s="6" t="s">
        <v>991</v>
      </c>
      <c r="B979" s="2">
        <v>44954</v>
      </c>
      <c r="C979" s="6" t="s">
        <v>2184</v>
      </c>
      <c r="D979" s="6" t="s">
        <v>2406</v>
      </c>
      <c r="E979" s="9">
        <v>4</v>
      </c>
      <c r="F979" s="4">
        <v>649.47</v>
      </c>
      <c r="G979" t="s">
        <v>2994</v>
      </c>
      <c r="H979" s="6" t="s">
        <v>3069</v>
      </c>
      <c r="I979" s="6" t="s">
        <v>3074</v>
      </c>
      <c r="J979" s="6" t="s">
        <v>4052</v>
      </c>
      <c r="K979" s="9">
        <v>8</v>
      </c>
      <c r="L979" s="6" t="s">
        <v>4275</v>
      </c>
      <c r="M979" s="6" t="s">
        <v>4282</v>
      </c>
      <c r="N979" s="4">
        <v>2597.88</v>
      </c>
      <c r="O979" s="6">
        <f t="shared" si="15"/>
        <v>224</v>
      </c>
    </row>
    <row r="980" spans="1:15" x14ac:dyDescent="0.3">
      <c r="A980" s="6" t="s">
        <v>992</v>
      </c>
      <c r="B980" s="2">
        <v>45468</v>
      </c>
      <c r="C980" s="6" t="s">
        <v>2185</v>
      </c>
      <c r="D980" s="6" t="s">
        <v>2407</v>
      </c>
      <c r="E980" s="9">
        <v>4</v>
      </c>
      <c r="F980" s="4">
        <v>107.49</v>
      </c>
      <c r="G980" t="s">
        <v>2887</v>
      </c>
      <c r="H980" s="6" t="s">
        <v>3069</v>
      </c>
      <c r="I980" s="6" t="s">
        <v>3073</v>
      </c>
      <c r="J980" s="6" t="s">
        <v>4053</v>
      </c>
      <c r="K980" s="9">
        <v>5</v>
      </c>
      <c r="L980" s="6" t="s">
        <v>4283</v>
      </c>
      <c r="M980" s="6" t="s">
        <v>4282</v>
      </c>
      <c r="N980" s="4">
        <v>429.96</v>
      </c>
      <c r="O980" s="6">
        <f t="shared" si="15"/>
        <v>223</v>
      </c>
    </row>
    <row r="981" spans="1:15" x14ac:dyDescent="0.3">
      <c r="A981" s="6" t="s">
        <v>993</v>
      </c>
      <c r="B981" s="2">
        <v>45077</v>
      </c>
      <c r="C981" s="6" t="s">
        <v>2186</v>
      </c>
      <c r="D981" s="6" t="s">
        <v>2403</v>
      </c>
      <c r="E981" s="9">
        <v>3</v>
      </c>
      <c r="F981" s="4">
        <v>669.06</v>
      </c>
      <c r="G981" t="s">
        <v>2648</v>
      </c>
      <c r="H981" s="6" t="s">
        <v>3069</v>
      </c>
      <c r="I981" s="6" t="s">
        <v>3073</v>
      </c>
      <c r="J981" s="6" t="s">
        <v>4054</v>
      </c>
      <c r="K981" s="9">
        <v>7</v>
      </c>
      <c r="L981" s="6" t="s">
        <v>4275</v>
      </c>
      <c r="M981" s="6" t="s">
        <v>4281</v>
      </c>
      <c r="N981" s="4">
        <v>2007.18</v>
      </c>
      <c r="O981" s="6">
        <f t="shared" si="15"/>
        <v>222</v>
      </c>
    </row>
    <row r="982" spans="1:15" x14ac:dyDescent="0.3">
      <c r="A982" s="6" t="s">
        <v>994</v>
      </c>
      <c r="B982" s="2">
        <v>45213</v>
      </c>
      <c r="C982" s="6" t="s">
        <v>2187</v>
      </c>
      <c r="D982" s="6" t="s">
        <v>2406</v>
      </c>
      <c r="E982" s="9">
        <v>3</v>
      </c>
      <c r="F982" s="4">
        <v>69.650000000000006</v>
      </c>
      <c r="G982" t="s">
        <v>2995</v>
      </c>
      <c r="H982" s="6" t="s">
        <v>3069</v>
      </c>
      <c r="I982" s="6" t="s">
        <v>3073</v>
      </c>
      <c r="J982" s="6" t="s">
        <v>4055</v>
      </c>
      <c r="K982" s="9">
        <v>7</v>
      </c>
      <c r="L982" s="6" t="s">
        <v>4277</v>
      </c>
      <c r="M982" s="6" t="s">
        <v>4278</v>
      </c>
      <c r="N982" s="4">
        <v>208.95</v>
      </c>
      <c r="O982" s="6">
        <f t="shared" si="15"/>
        <v>221</v>
      </c>
    </row>
    <row r="983" spans="1:15" x14ac:dyDescent="0.3">
      <c r="A983" s="6" t="s">
        <v>995</v>
      </c>
      <c r="B983" s="2">
        <v>45256</v>
      </c>
      <c r="C983" s="6" t="s">
        <v>2188</v>
      </c>
      <c r="D983" s="6" t="s">
        <v>2404</v>
      </c>
      <c r="E983" s="9">
        <v>4</v>
      </c>
      <c r="F983" s="4">
        <v>136.83000000000001</v>
      </c>
      <c r="G983" t="s">
        <v>2996</v>
      </c>
      <c r="H983" s="6" t="s">
        <v>3065</v>
      </c>
      <c r="I983" s="6" t="s">
        <v>3074</v>
      </c>
      <c r="J983" s="6" t="s">
        <v>4056</v>
      </c>
      <c r="K983" s="9">
        <v>8</v>
      </c>
      <c r="L983" s="6" t="s">
        <v>4275</v>
      </c>
      <c r="M983" s="6" t="s">
        <v>4280</v>
      </c>
      <c r="N983" s="4">
        <v>547.32000000000005</v>
      </c>
      <c r="O983" s="6">
        <f t="shared" si="15"/>
        <v>220</v>
      </c>
    </row>
    <row r="984" spans="1:15" x14ac:dyDescent="0.3">
      <c r="A984" s="6" t="s">
        <v>996</v>
      </c>
      <c r="B984" s="2">
        <v>45541</v>
      </c>
      <c r="C984" s="6" t="s">
        <v>2189</v>
      </c>
      <c r="D984" s="6" t="s">
        <v>2403</v>
      </c>
      <c r="E984" s="9">
        <v>1</v>
      </c>
      <c r="F984" s="4">
        <v>304.11</v>
      </c>
      <c r="G984" t="s">
        <v>2889</v>
      </c>
      <c r="H984" s="6" t="s">
        <v>3068</v>
      </c>
      <c r="I984" s="6" t="s">
        <v>3070</v>
      </c>
      <c r="J984" s="6" t="s">
        <v>4057</v>
      </c>
      <c r="K984" s="9">
        <v>2</v>
      </c>
      <c r="L984" s="6" t="s">
        <v>4275</v>
      </c>
      <c r="M984" s="6" t="s">
        <v>4279</v>
      </c>
      <c r="N984" s="4">
        <v>304.11</v>
      </c>
      <c r="O984" s="6">
        <f t="shared" si="15"/>
        <v>219</v>
      </c>
    </row>
    <row r="985" spans="1:15" x14ac:dyDescent="0.3">
      <c r="A985" s="6" t="s">
        <v>997</v>
      </c>
      <c r="B985" s="2">
        <v>45620</v>
      </c>
      <c r="C985" s="6" t="s">
        <v>2190</v>
      </c>
      <c r="D985" s="6" t="s">
        <v>2403</v>
      </c>
      <c r="E985" s="9">
        <v>4</v>
      </c>
      <c r="F985" s="4">
        <v>296.27999999999997</v>
      </c>
      <c r="G985" t="s">
        <v>2997</v>
      </c>
      <c r="H985" s="6" t="s">
        <v>3068</v>
      </c>
      <c r="I985" s="6" t="s">
        <v>3070</v>
      </c>
      <c r="J985" s="6" t="s">
        <v>4058</v>
      </c>
      <c r="K985" s="9">
        <v>5</v>
      </c>
      <c r="L985" s="6" t="s">
        <v>4275</v>
      </c>
      <c r="M985" s="6" t="s">
        <v>4280</v>
      </c>
      <c r="N985" s="4">
        <v>1185.1199999999999</v>
      </c>
      <c r="O985" s="6">
        <f t="shared" si="15"/>
        <v>218</v>
      </c>
    </row>
    <row r="986" spans="1:15" x14ac:dyDescent="0.3">
      <c r="A986" s="6" t="s">
        <v>998</v>
      </c>
      <c r="B986" s="2">
        <v>45716</v>
      </c>
      <c r="C986" s="6" t="s">
        <v>2191</v>
      </c>
      <c r="D986" s="6" t="s">
        <v>2409</v>
      </c>
      <c r="E986" s="9">
        <v>1</v>
      </c>
      <c r="F986" s="4">
        <v>77.64</v>
      </c>
      <c r="G986" t="s">
        <v>2417</v>
      </c>
      <c r="H986" s="6" t="s">
        <v>3067</v>
      </c>
      <c r="I986" s="6" t="s">
        <v>3070</v>
      </c>
      <c r="J986" s="6" t="s">
        <v>4059</v>
      </c>
      <c r="K986" s="9">
        <v>1</v>
      </c>
      <c r="L986" s="6" t="s">
        <v>4276</v>
      </c>
      <c r="M986" s="6" t="s">
        <v>4281</v>
      </c>
      <c r="N986" s="4">
        <v>77.64</v>
      </c>
      <c r="O986" s="6">
        <f t="shared" si="15"/>
        <v>217</v>
      </c>
    </row>
    <row r="987" spans="1:15" x14ac:dyDescent="0.3">
      <c r="A987" s="6" t="s">
        <v>999</v>
      </c>
      <c r="B987" s="2">
        <v>45493</v>
      </c>
      <c r="C987" s="6" t="s">
        <v>2192</v>
      </c>
      <c r="D987" s="6" t="s">
        <v>2409</v>
      </c>
      <c r="E987" s="9">
        <v>1</v>
      </c>
      <c r="F987" s="4">
        <v>243.71</v>
      </c>
      <c r="G987" t="s">
        <v>2608</v>
      </c>
      <c r="H987" s="6" t="s">
        <v>3068</v>
      </c>
      <c r="I987" s="6" t="s">
        <v>3073</v>
      </c>
      <c r="J987" s="6" t="s">
        <v>4060</v>
      </c>
      <c r="K987" s="9">
        <v>6</v>
      </c>
      <c r="L987" s="6" t="s">
        <v>4275</v>
      </c>
      <c r="M987" s="6" t="s">
        <v>4282</v>
      </c>
      <c r="N987" s="4">
        <v>243.71</v>
      </c>
      <c r="O987" s="6">
        <f t="shared" si="15"/>
        <v>216</v>
      </c>
    </row>
    <row r="988" spans="1:15" x14ac:dyDescent="0.3">
      <c r="A988" s="6" t="s">
        <v>1000</v>
      </c>
      <c r="B988" s="2">
        <v>45542</v>
      </c>
      <c r="C988" s="6" t="s">
        <v>2193</v>
      </c>
      <c r="D988" s="6" t="s">
        <v>2408</v>
      </c>
      <c r="E988" s="9">
        <v>4</v>
      </c>
      <c r="F988" s="4">
        <v>644.96</v>
      </c>
      <c r="G988" t="s">
        <v>2501</v>
      </c>
      <c r="H988" s="6" t="s">
        <v>3067</v>
      </c>
      <c r="I988" s="6" t="s">
        <v>3074</v>
      </c>
      <c r="J988" s="6" t="s">
        <v>4061</v>
      </c>
      <c r="K988" s="9">
        <v>7</v>
      </c>
      <c r="L988" s="6" t="s">
        <v>4276</v>
      </c>
      <c r="M988" s="6" t="s">
        <v>4280</v>
      </c>
      <c r="N988" s="4">
        <v>2579.84</v>
      </c>
      <c r="O988" s="6">
        <f t="shared" si="15"/>
        <v>215</v>
      </c>
    </row>
    <row r="989" spans="1:15" x14ac:dyDescent="0.3">
      <c r="A989" s="6" t="s">
        <v>1001</v>
      </c>
      <c r="B989" s="2">
        <v>45813</v>
      </c>
      <c r="C989" s="6" t="s">
        <v>2194</v>
      </c>
      <c r="D989" s="6" t="s">
        <v>2404</v>
      </c>
      <c r="E989" s="9">
        <v>5</v>
      </c>
      <c r="F989" s="4">
        <v>283.73</v>
      </c>
      <c r="G989" t="s">
        <v>2752</v>
      </c>
      <c r="H989" s="6" t="s">
        <v>3068</v>
      </c>
      <c r="I989" s="6" t="s">
        <v>3074</v>
      </c>
      <c r="J989" s="6" t="s">
        <v>4062</v>
      </c>
      <c r="K989" s="9">
        <v>8</v>
      </c>
      <c r="L989" s="6" t="s">
        <v>4276</v>
      </c>
      <c r="M989" s="6" t="s">
        <v>4278</v>
      </c>
      <c r="N989" s="4">
        <v>1418.65</v>
      </c>
      <c r="O989" s="6">
        <f t="shared" si="15"/>
        <v>214</v>
      </c>
    </row>
    <row r="990" spans="1:15" x14ac:dyDescent="0.3">
      <c r="A990" s="6" t="s">
        <v>1002</v>
      </c>
      <c r="B990" s="2">
        <v>45692</v>
      </c>
      <c r="C990" s="6" t="s">
        <v>2195</v>
      </c>
      <c r="D990" s="6" t="s">
        <v>2409</v>
      </c>
      <c r="E990" s="9">
        <v>2</v>
      </c>
      <c r="F990" s="4">
        <v>629.55999999999995</v>
      </c>
      <c r="G990" t="s">
        <v>2687</v>
      </c>
      <c r="H990" s="6" t="s">
        <v>3068</v>
      </c>
      <c r="I990" s="6" t="s">
        <v>3071</v>
      </c>
      <c r="J990" s="6" t="s">
        <v>4063</v>
      </c>
      <c r="K990" s="9">
        <v>5</v>
      </c>
      <c r="L990" s="6" t="s">
        <v>4277</v>
      </c>
      <c r="M990" s="6" t="s">
        <v>4278</v>
      </c>
      <c r="N990" s="4">
        <v>1259.1199999999999</v>
      </c>
      <c r="O990" s="6">
        <f t="shared" si="15"/>
        <v>213</v>
      </c>
    </row>
    <row r="991" spans="1:15" x14ac:dyDescent="0.3">
      <c r="A991" s="6" t="s">
        <v>1003</v>
      </c>
      <c r="B991" s="2">
        <v>45008</v>
      </c>
      <c r="C991" s="6" t="s">
        <v>2196</v>
      </c>
      <c r="D991" s="6" t="s">
        <v>2408</v>
      </c>
      <c r="E991" s="9">
        <v>4</v>
      </c>
      <c r="F991" s="4">
        <v>246.11</v>
      </c>
      <c r="G991" t="s">
        <v>2998</v>
      </c>
      <c r="H991" s="6" t="s">
        <v>3067</v>
      </c>
      <c r="I991" s="6" t="s">
        <v>3074</v>
      </c>
      <c r="J991" s="6" t="s">
        <v>4064</v>
      </c>
      <c r="K991" s="9">
        <v>4</v>
      </c>
      <c r="L991" s="6" t="s">
        <v>4275</v>
      </c>
      <c r="M991" s="6" t="s">
        <v>4278</v>
      </c>
      <c r="N991" s="4">
        <v>984.44</v>
      </c>
      <c r="O991" s="6">
        <f t="shared" si="15"/>
        <v>212</v>
      </c>
    </row>
    <row r="992" spans="1:15" x14ac:dyDescent="0.3">
      <c r="A992" s="6" t="s">
        <v>1004</v>
      </c>
      <c r="B992" s="2">
        <v>45249</v>
      </c>
      <c r="C992" s="6" t="s">
        <v>2197</v>
      </c>
      <c r="D992" s="6" t="s">
        <v>2404</v>
      </c>
      <c r="E992" s="9">
        <v>2</v>
      </c>
      <c r="F992" s="4">
        <v>418.26</v>
      </c>
      <c r="G992" t="s">
        <v>2999</v>
      </c>
      <c r="H992" s="6" t="s">
        <v>3065</v>
      </c>
      <c r="I992" s="6" t="s">
        <v>3074</v>
      </c>
      <c r="J992" s="6" t="s">
        <v>4065</v>
      </c>
      <c r="K992" s="9">
        <v>2</v>
      </c>
      <c r="L992" s="6" t="s">
        <v>4275</v>
      </c>
      <c r="M992" s="6" t="s">
        <v>4282</v>
      </c>
      <c r="N992" s="4">
        <v>836.52</v>
      </c>
      <c r="O992" s="6">
        <f t="shared" si="15"/>
        <v>211</v>
      </c>
    </row>
    <row r="993" spans="1:15" x14ac:dyDescent="0.3">
      <c r="A993" s="6" t="s">
        <v>1005</v>
      </c>
      <c r="B993" s="2">
        <v>45421</v>
      </c>
      <c r="C993" s="6" t="s">
        <v>2198</v>
      </c>
      <c r="D993" s="6" t="s">
        <v>2409</v>
      </c>
      <c r="E993" s="9">
        <v>5</v>
      </c>
      <c r="F993" s="4">
        <v>127.18</v>
      </c>
      <c r="G993" t="s">
        <v>2538</v>
      </c>
      <c r="H993" s="6" t="s">
        <v>3065</v>
      </c>
      <c r="I993" s="6" t="s">
        <v>3071</v>
      </c>
      <c r="J993" s="6" t="s">
        <v>4066</v>
      </c>
      <c r="K993" s="9">
        <v>10</v>
      </c>
      <c r="L993" s="6" t="s">
        <v>4276</v>
      </c>
      <c r="M993" s="6" t="s">
        <v>4282</v>
      </c>
      <c r="N993" s="4">
        <v>635.90000000000009</v>
      </c>
      <c r="O993" s="6">
        <f t="shared" si="15"/>
        <v>210</v>
      </c>
    </row>
    <row r="994" spans="1:15" x14ac:dyDescent="0.3">
      <c r="A994" s="6" t="s">
        <v>1006</v>
      </c>
      <c r="B994" s="2">
        <v>45531</v>
      </c>
      <c r="C994" s="6" t="s">
        <v>2199</v>
      </c>
      <c r="D994" s="6" t="s">
        <v>2407</v>
      </c>
      <c r="E994" s="9">
        <v>3</v>
      </c>
      <c r="F994" s="4">
        <v>586.21</v>
      </c>
      <c r="G994" t="s">
        <v>2543</v>
      </c>
      <c r="H994" s="6" t="s">
        <v>3068</v>
      </c>
      <c r="I994" s="6" t="s">
        <v>3074</v>
      </c>
      <c r="J994" s="6" t="s">
        <v>4067</v>
      </c>
      <c r="K994" s="9">
        <v>4</v>
      </c>
      <c r="L994" s="6" t="s">
        <v>4277</v>
      </c>
      <c r="M994" s="6" t="s">
        <v>4279</v>
      </c>
      <c r="N994" s="4">
        <v>1758.63</v>
      </c>
      <c r="O994" s="6">
        <f t="shared" si="15"/>
        <v>209</v>
      </c>
    </row>
    <row r="995" spans="1:15" x14ac:dyDescent="0.3">
      <c r="A995" s="6" t="s">
        <v>1007</v>
      </c>
      <c r="B995" s="2">
        <v>45388</v>
      </c>
      <c r="C995" s="6" t="s">
        <v>2200</v>
      </c>
      <c r="D995" s="6" t="s">
        <v>2403</v>
      </c>
      <c r="E995" s="9">
        <v>3</v>
      </c>
      <c r="F995" s="4">
        <v>267.45</v>
      </c>
      <c r="G995" t="s">
        <v>3000</v>
      </c>
      <c r="H995" s="6" t="s">
        <v>3068</v>
      </c>
      <c r="I995" s="6" t="s">
        <v>3073</v>
      </c>
      <c r="J995" s="6" t="s">
        <v>4068</v>
      </c>
      <c r="K995" s="9">
        <v>5</v>
      </c>
      <c r="L995" s="6" t="s">
        <v>4277</v>
      </c>
      <c r="M995" s="6" t="s">
        <v>4278</v>
      </c>
      <c r="N995" s="4">
        <v>802.34999999999991</v>
      </c>
      <c r="O995" s="6">
        <f t="shared" si="15"/>
        <v>208</v>
      </c>
    </row>
    <row r="996" spans="1:15" x14ac:dyDescent="0.3">
      <c r="A996" s="6" t="s">
        <v>1008</v>
      </c>
      <c r="B996" s="2">
        <v>45470</v>
      </c>
      <c r="C996" s="6" t="s">
        <v>2201</v>
      </c>
      <c r="D996" s="6" t="s">
        <v>2405</v>
      </c>
      <c r="E996" s="9">
        <v>4</v>
      </c>
      <c r="F996" s="4">
        <v>615.65</v>
      </c>
      <c r="G996" t="s">
        <v>2486</v>
      </c>
      <c r="H996" s="6" t="s">
        <v>3065</v>
      </c>
      <c r="I996" s="6" t="s">
        <v>3073</v>
      </c>
      <c r="J996" s="6" t="s">
        <v>4069</v>
      </c>
      <c r="K996" s="9">
        <v>9</v>
      </c>
      <c r="L996" s="6" t="s">
        <v>4277</v>
      </c>
      <c r="M996" s="6" t="s">
        <v>4282</v>
      </c>
      <c r="N996" s="4">
        <v>2462.6</v>
      </c>
      <c r="O996" s="6">
        <f t="shared" si="15"/>
        <v>207</v>
      </c>
    </row>
    <row r="997" spans="1:15" x14ac:dyDescent="0.3">
      <c r="A997" s="6" t="s">
        <v>1009</v>
      </c>
      <c r="B997" s="2">
        <v>45248</v>
      </c>
      <c r="C997" s="6" t="s">
        <v>2202</v>
      </c>
      <c r="D997" s="6" t="s">
        <v>2403</v>
      </c>
      <c r="E997" s="9">
        <v>2</v>
      </c>
      <c r="F997" s="4">
        <v>113.29</v>
      </c>
      <c r="G997" t="s">
        <v>2801</v>
      </c>
      <c r="H997" s="6" t="s">
        <v>3069</v>
      </c>
      <c r="I997" s="6" t="s">
        <v>3074</v>
      </c>
      <c r="J997" s="6" t="s">
        <v>4070</v>
      </c>
      <c r="K997" s="9">
        <v>5</v>
      </c>
      <c r="L997" s="6" t="s">
        <v>4275</v>
      </c>
      <c r="M997" s="6" t="s">
        <v>4281</v>
      </c>
      <c r="N997" s="4">
        <v>226.58</v>
      </c>
      <c r="O997" s="6">
        <f t="shared" si="15"/>
        <v>206</v>
      </c>
    </row>
    <row r="998" spans="1:15" x14ac:dyDescent="0.3">
      <c r="A998" s="6" t="s">
        <v>1010</v>
      </c>
      <c r="B998" s="2">
        <v>45410</v>
      </c>
      <c r="C998" s="6" t="s">
        <v>2203</v>
      </c>
      <c r="D998" s="6" t="s">
        <v>2403</v>
      </c>
      <c r="E998" s="9">
        <v>4</v>
      </c>
      <c r="F998" s="4">
        <v>473.86</v>
      </c>
      <c r="G998" t="s">
        <v>2677</v>
      </c>
      <c r="H998" s="6" t="s">
        <v>3065</v>
      </c>
      <c r="I998" s="6" t="s">
        <v>3073</v>
      </c>
      <c r="J998" s="6" t="s">
        <v>4071</v>
      </c>
      <c r="K998" s="9">
        <v>7</v>
      </c>
      <c r="L998" s="6" t="s">
        <v>4275</v>
      </c>
      <c r="M998" s="6" t="s">
        <v>4281</v>
      </c>
      <c r="N998" s="4">
        <v>1895.44</v>
      </c>
      <c r="O998" s="6">
        <f t="shared" si="15"/>
        <v>205</v>
      </c>
    </row>
    <row r="999" spans="1:15" x14ac:dyDescent="0.3">
      <c r="A999" s="6" t="s">
        <v>1011</v>
      </c>
      <c r="B999" s="2">
        <v>45257</v>
      </c>
      <c r="C999" s="6" t="s">
        <v>2204</v>
      </c>
      <c r="D999" s="6" t="s">
        <v>2408</v>
      </c>
      <c r="E999" s="9">
        <v>3</v>
      </c>
      <c r="F999" s="4">
        <v>444.75</v>
      </c>
      <c r="G999" t="s">
        <v>2795</v>
      </c>
      <c r="H999" s="6" t="s">
        <v>3069</v>
      </c>
      <c r="I999" s="6" t="s">
        <v>3073</v>
      </c>
      <c r="J999" s="6" t="s">
        <v>4072</v>
      </c>
      <c r="K999" s="9">
        <v>6</v>
      </c>
      <c r="L999" s="6" t="s">
        <v>4275</v>
      </c>
      <c r="M999" s="6" t="s">
        <v>4281</v>
      </c>
      <c r="N999" s="4">
        <v>1334.25</v>
      </c>
      <c r="O999" s="6">
        <f t="shared" si="15"/>
        <v>204</v>
      </c>
    </row>
    <row r="1000" spans="1:15" x14ac:dyDescent="0.3">
      <c r="A1000" s="6" t="s">
        <v>1012</v>
      </c>
      <c r="B1000" s="2">
        <v>45065</v>
      </c>
      <c r="C1000" s="6" t="s">
        <v>2205</v>
      </c>
      <c r="D1000" s="6" t="s">
        <v>2404</v>
      </c>
      <c r="E1000" s="9">
        <v>2</v>
      </c>
      <c r="F1000" s="4">
        <v>183.67</v>
      </c>
      <c r="G1000" t="s">
        <v>2614</v>
      </c>
      <c r="H1000" s="6" t="s">
        <v>3065</v>
      </c>
      <c r="I1000" s="6" t="s">
        <v>3071</v>
      </c>
      <c r="J1000" s="6" t="s">
        <v>4073</v>
      </c>
      <c r="K1000" s="9">
        <v>6</v>
      </c>
      <c r="L1000" s="6" t="s">
        <v>4275</v>
      </c>
      <c r="M1000" s="6" t="s">
        <v>4282</v>
      </c>
      <c r="N1000" s="4">
        <v>367.34</v>
      </c>
      <c r="O1000" s="6">
        <f t="shared" si="15"/>
        <v>203</v>
      </c>
    </row>
    <row r="1001" spans="1:15" x14ac:dyDescent="0.3">
      <c r="A1001" s="6" t="s">
        <v>1013</v>
      </c>
      <c r="B1001" s="2">
        <v>45284</v>
      </c>
      <c r="C1001" s="6" t="s">
        <v>2206</v>
      </c>
      <c r="D1001" s="6" t="s">
        <v>2407</v>
      </c>
      <c r="E1001" s="9">
        <v>1</v>
      </c>
      <c r="F1001" s="4">
        <v>483.38</v>
      </c>
      <c r="G1001" t="s">
        <v>2741</v>
      </c>
      <c r="H1001" s="6" t="s">
        <v>3069</v>
      </c>
      <c r="I1001" s="6" t="s">
        <v>3074</v>
      </c>
      <c r="J1001" s="6" t="s">
        <v>4074</v>
      </c>
      <c r="K1001" s="9">
        <v>6</v>
      </c>
      <c r="L1001" s="6" t="s">
        <v>4276</v>
      </c>
      <c r="M1001" s="6" t="s">
        <v>4282</v>
      </c>
      <c r="N1001" s="4">
        <v>483.38</v>
      </c>
      <c r="O1001" s="6">
        <f t="shared" si="15"/>
        <v>202</v>
      </c>
    </row>
    <row r="1002" spans="1:15" x14ac:dyDescent="0.3">
      <c r="A1002" s="6" t="s">
        <v>1014</v>
      </c>
      <c r="B1002" s="2">
        <v>45098</v>
      </c>
      <c r="C1002" s="6" t="s">
        <v>2207</v>
      </c>
      <c r="D1002" s="6" t="s">
        <v>2407</v>
      </c>
      <c r="E1002" s="9">
        <v>5</v>
      </c>
      <c r="F1002" s="4">
        <v>260.93</v>
      </c>
      <c r="G1002" t="s">
        <v>3001</v>
      </c>
      <c r="H1002" s="6" t="s">
        <v>3066</v>
      </c>
      <c r="I1002" s="6" t="s">
        <v>3073</v>
      </c>
      <c r="J1002" s="6" t="s">
        <v>4075</v>
      </c>
      <c r="K1002" s="9">
        <v>9</v>
      </c>
      <c r="L1002" s="6" t="s">
        <v>4275</v>
      </c>
      <c r="M1002" s="6" t="s">
        <v>4280</v>
      </c>
      <c r="N1002" s="4">
        <v>1304.6500000000001</v>
      </c>
      <c r="O1002" s="6">
        <f t="shared" si="15"/>
        <v>201</v>
      </c>
    </row>
    <row r="1003" spans="1:15" x14ac:dyDescent="0.3">
      <c r="A1003" s="6" t="s">
        <v>1015</v>
      </c>
      <c r="B1003" s="2">
        <v>45268</v>
      </c>
      <c r="C1003" s="6" t="s">
        <v>2208</v>
      </c>
      <c r="D1003" s="6" t="s">
        <v>2407</v>
      </c>
      <c r="E1003" s="9">
        <v>2</v>
      </c>
      <c r="F1003" s="4">
        <v>253.68</v>
      </c>
      <c r="G1003" t="s">
        <v>2518</v>
      </c>
      <c r="H1003" s="6" t="s">
        <v>3068</v>
      </c>
      <c r="I1003" s="6" t="s">
        <v>3070</v>
      </c>
      <c r="J1003" s="6" t="s">
        <v>4076</v>
      </c>
      <c r="K1003" s="9">
        <v>6</v>
      </c>
      <c r="L1003" s="6" t="s">
        <v>4283</v>
      </c>
      <c r="M1003" s="6" t="s">
        <v>4279</v>
      </c>
      <c r="N1003" s="4">
        <v>507.36</v>
      </c>
      <c r="O1003" s="6">
        <f t="shared" si="15"/>
        <v>200</v>
      </c>
    </row>
    <row r="1004" spans="1:15" x14ac:dyDescent="0.3">
      <c r="A1004" s="6" t="s">
        <v>1016</v>
      </c>
      <c r="B1004" s="2">
        <v>45827</v>
      </c>
      <c r="C1004" s="6" t="s">
        <v>2209</v>
      </c>
      <c r="D1004" s="6" t="s">
        <v>2405</v>
      </c>
      <c r="E1004" s="9">
        <v>4</v>
      </c>
      <c r="F1004" s="4">
        <v>699.88</v>
      </c>
      <c r="G1004" t="s">
        <v>2505</v>
      </c>
      <c r="H1004" s="6" t="s">
        <v>3069</v>
      </c>
      <c r="I1004" s="6" t="s">
        <v>3074</v>
      </c>
      <c r="J1004" s="6" t="s">
        <v>4077</v>
      </c>
      <c r="K1004" s="9">
        <v>5</v>
      </c>
      <c r="L1004" s="6" t="s">
        <v>4277</v>
      </c>
      <c r="M1004" s="6" t="s">
        <v>4279</v>
      </c>
      <c r="N1004" s="4">
        <v>2799.52</v>
      </c>
      <c r="O1004" s="6">
        <f t="shared" si="15"/>
        <v>199</v>
      </c>
    </row>
    <row r="1005" spans="1:15" x14ac:dyDescent="0.3">
      <c r="A1005" s="6" t="s">
        <v>1017</v>
      </c>
      <c r="B1005" s="2">
        <v>44937</v>
      </c>
      <c r="C1005" s="6" t="s">
        <v>2210</v>
      </c>
      <c r="D1005" s="6" t="s">
        <v>2407</v>
      </c>
      <c r="E1005" s="9">
        <v>5</v>
      </c>
      <c r="F1005" s="4">
        <v>319.97000000000003</v>
      </c>
      <c r="G1005" t="s">
        <v>3001</v>
      </c>
      <c r="H1005" s="6" t="s">
        <v>3069</v>
      </c>
      <c r="I1005" s="6" t="s">
        <v>3070</v>
      </c>
      <c r="J1005" s="6" t="s">
        <v>4078</v>
      </c>
      <c r="K1005" s="9">
        <v>7</v>
      </c>
      <c r="L1005" s="6" t="s">
        <v>4275</v>
      </c>
      <c r="M1005" s="6" t="s">
        <v>4282</v>
      </c>
      <c r="N1005" s="4">
        <v>1599.85</v>
      </c>
      <c r="O1005" s="6">
        <f t="shared" si="15"/>
        <v>198</v>
      </c>
    </row>
    <row r="1006" spans="1:15" x14ac:dyDescent="0.3">
      <c r="A1006" s="6" t="s">
        <v>1018</v>
      </c>
      <c r="B1006" s="2">
        <v>45817</v>
      </c>
      <c r="C1006" s="6" t="s">
        <v>2211</v>
      </c>
      <c r="D1006" s="6" t="s">
        <v>2406</v>
      </c>
      <c r="E1006" s="9">
        <v>4</v>
      </c>
      <c r="F1006" s="4">
        <v>246.91</v>
      </c>
      <c r="G1006" t="s">
        <v>2436</v>
      </c>
      <c r="H1006" s="6" t="s">
        <v>3066</v>
      </c>
      <c r="I1006" s="6" t="s">
        <v>3074</v>
      </c>
      <c r="J1006" s="6" t="s">
        <v>4079</v>
      </c>
      <c r="K1006" s="9">
        <v>8</v>
      </c>
      <c r="L1006" s="6" t="s">
        <v>4275</v>
      </c>
      <c r="M1006" s="6" t="s">
        <v>4279</v>
      </c>
      <c r="N1006" s="4">
        <v>987.64</v>
      </c>
      <c r="O1006" s="6">
        <f t="shared" si="15"/>
        <v>197</v>
      </c>
    </row>
    <row r="1007" spans="1:15" x14ac:dyDescent="0.3">
      <c r="A1007" s="6" t="s">
        <v>1019</v>
      </c>
      <c r="B1007" s="2">
        <v>44987</v>
      </c>
      <c r="C1007" s="6" t="s">
        <v>2212</v>
      </c>
      <c r="D1007" s="6" t="s">
        <v>2407</v>
      </c>
      <c r="E1007" s="9">
        <v>3</v>
      </c>
      <c r="F1007" s="4">
        <v>392.85</v>
      </c>
      <c r="G1007" t="s">
        <v>2929</v>
      </c>
      <c r="H1007" s="6" t="s">
        <v>3067</v>
      </c>
      <c r="I1007" s="6" t="s">
        <v>3072</v>
      </c>
      <c r="J1007" s="6" t="s">
        <v>4080</v>
      </c>
      <c r="K1007" s="9">
        <v>6</v>
      </c>
      <c r="L1007" s="6" t="s">
        <v>4283</v>
      </c>
      <c r="M1007" s="6" t="s">
        <v>4282</v>
      </c>
      <c r="N1007" s="4">
        <v>1178.55</v>
      </c>
      <c r="O1007" s="6">
        <f t="shared" si="15"/>
        <v>196</v>
      </c>
    </row>
    <row r="1008" spans="1:15" x14ac:dyDescent="0.3">
      <c r="A1008" s="6" t="s">
        <v>1020</v>
      </c>
      <c r="B1008" s="2">
        <v>45439</v>
      </c>
      <c r="C1008" s="6" t="s">
        <v>2213</v>
      </c>
      <c r="D1008" s="6" t="s">
        <v>2405</v>
      </c>
      <c r="E1008" s="9">
        <v>5</v>
      </c>
      <c r="F1008" s="4">
        <v>420.98</v>
      </c>
      <c r="G1008" t="s">
        <v>2868</v>
      </c>
      <c r="H1008" s="6" t="s">
        <v>3069</v>
      </c>
      <c r="I1008" s="6" t="s">
        <v>3073</v>
      </c>
      <c r="J1008" s="6" t="s">
        <v>4081</v>
      </c>
      <c r="K1008" s="9">
        <v>7</v>
      </c>
      <c r="L1008" s="6" t="s">
        <v>4275</v>
      </c>
      <c r="M1008" s="6" t="s">
        <v>4281</v>
      </c>
      <c r="N1008" s="4">
        <v>2104.9</v>
      </c>
      <c r="O1008" s="6">
        <f t="shared" si="15"/>
        <v>195</v>
      </c>
    </row>
    <row r="1009" spans="1:15" x14ac:dyDescent="0.3">
      <c r="A1009" s="6" t="s">
        <v>1021</v>
      </c>
      <c r="B1009" s="2">
        <v>45371</v>
      </c>
      <c r="C1009" s="6" t="s">
        <v>1699</v>
      </c>
      <c r="D1009" s="6" t="s">
        <v>2403</v>
      </c>
      <c r="E1009" s="9">
        <v>2</v>
      </c>
      <c r="F1009" s="4">
        <v>73.260000000000005</v>
      </c>
      <c r="G1009" t="s">
        <v>2499</v>
      </c>
      <c r="H1009" s="6" t="s">
        <v>3069</v>
      </c>
      <c r="I1009" s="6" t="s">
        <v>3074</v>
      </c>
      <c r="J1009" s="6" t="s">
        <v>4082</v>
      </c>
      <c r="K1009" s="9">
        <v>4</v>
      </c>
      <c r="L1009" s="6" t="s">
        <v>4277</v>
      </c>
      <c r="M1009" s="6" t="s">
        <v>4281</v>
      </c>
      <c r="N1009" s="4">
        <v>146.52000000000001</v>
      </c>
      <c r="O1009" s="6">
        <f t="shared" si="15"/>
        <v>194</v>
      </c>
    </row>
    <row r="1010" spans="1:15" x14ac:dyDescent="0.3">
      <c r="A1010" s="6" t="s">
        <v>1022</v>
      </c>
      <c r="B1010" s="2">
        <v>44939</v>
      </c>
      <c r="C1010" s="6" t="s">
        <v>2214</v>
      </c>
      <c r="D1010" s="6" t="s">
        <v>2403</v>
      </c>
      <c r="E1010" s="9">
        <v>3</v>
      </c>
      <c r="F1010" s="4">
        <v>410.88</v>
      </c>
      <c r="G1010" t="s">
        <v>2916</v>
      </c>
      <c r="H1010" s="6" t="s">
        <v>3069</v>
      </c>
      <c r="I1010" s="6" t="s">
        <v>3073</v>
      </c>
      <c r="J1010" s="6" t="s">
        <v>4083</v>
      </c>
      <c r="K1010" s="9">
        <v>8</v>
      </c>
      <c r="L1010" s="6" t="s">
        <v>4276</v>
      </c>
      <c r="M1010" s="6" t="s">
        <v>4278</v>
      </c>
      <c r="N1010" s="4">
        <v>1232.6400000000001</v>
      </c>
      <c r="O1010" s="6">
        <f t="shared" si="15"/>
        <v>193</v>
      </c>
    </row>
    <row r="1011" spans="1:15" x14ac:dyDescent="0.3">
      <c r="A1011" s="6" t="s">
        <v>1023</v>
      </c>
      <c r="B1011" s="2">
        <v>45171</v>
      </c>
      <c r="C1011" s="6" t="s">
        <v>2215</v>
      </c>
      <c r="D1011" s="6" t="s">
        <v>2405</v>
      </c>
      <c r="E1011" s="9">
        <v>2</v>
      </c>
      <c r="F1011" s="4">
        <v>176.46</v>
      </c>
      <c r="G1011" t="s">
        <v>2796</v>
      </c>
      <c r="H1011" s="6" t="s">
        <v>3067</v>
      </c>
      <c r="I1011" s="6" t="s">
        <v>3073</v>
      </c>
      <c r="J1011" s="6" t="s">
        <v>4084</v>
      </c>
      <c r="K1011" s="9">
        <v>2</v>
      </c>
      <c r="L1011" s="6" t="s">
        <v>4276</v>
      </c>
      <c r="M1011" s="6" t="s">
        <v>4280</v>
      </c>
      <c r="N1011" s="4">
        <v>352.92</v>
      </c>
      <c r="O1011" s="6">
        <f t="shared" si="15"/>
        <v>192</v>
      </c>
    </row>
    <row r="1012" spans="1:15" x14ac:dyDescent="0.3">
      <c r="A1012" s="6" t="s">
        <v>1024</v>
      </c>
      <c r="B1012" s="2">
        <v>45016</v>
      </c>
      <c r="C1012" s="6" t="s">
        <v>2216</v>
      </c>
      <c r="D1012" s="6" t="s">
        <v>2403</v>
      </c>
      <c r="E1012" s="9">
        <v>3</v>
      </c>
      <c r="F1012" s="4">
        <v>659.57</v>
      </c>
      <c r="G1012" t="s">
        <v>2501</v>
      </c>
      <c r="H1012" s="6" t="s">
        <v>3067</v>
      </c>
      <c r="I1012" s="6" t="s">
        <v>3071</v>
      </c>
      <c r="J1012" s="6" t="s">
        <v>4085</v>
      </c>
      <c r="K1012" s="9">
        <v>6</v>
      </c>
      <c r="L1012" s="6" t="s">
        <v>4275</v>
      </c>
      <c r="M1012" s="6" t="s">
        <v>4280</v>
      </c>
      <c r="N1012" s="4">
        <v>1978.71</v>
      </c>
      <c r="O1012" s="6">
        <f t="shared" si="15"/>
        <v>191</v>
      </c>
    </row>
    <row r="1013" spans="1:15" x14ac:dyDescent="0.3">
      <c r="A1013" s="6" t="s">
        <v>1025</v>
      </c>
      <c r="B1013" s="2">
        <v>45629</v>
      </c>
      <c r="C1013" s="6" t="s">
        <v>2217</v>
      </c>
      <c r="D1013" s="6" t="s">
        <v>2404</v>
      </c>
      <c r="E1013" s="9">
        <v>2</v>
      </c>
      <c r="F1013" s="4">
        <v>478.36</v>
      </c>
      <c r="G1013" t="s">
        <v>2646</v>
      </c>
      <c r="H1013" s="6" t="s">
        <v>3066</v>
      </c>
      <c r="I1013" s="6" t="s">
        <v>3070</v>
      </c>
      <c r="J1013" s="6" t="s">
        <v>4086</v>
      </c>
      <c r="K1013" s="9">
        <v>3</v>
      </c>
      <c r="L1013" s="6" t="s">
        <v>4283</v>
      </c>
      <c r="M1013" s="6" t="s">
        <v>4282</v>
      </c>
      <c r="N1013" s="4">
        <v>956.72</v>
      </c>
      <c r="O1013" s="6">
        <f t="shared" si="15"/>
        <v>190</v>
      </c>
    </row>
    <row r="1014" spans="1:15" x14ac:dyDescent="0.3">
      <c r="A1014" s="6" t="s">
        <v>1026</v>
      </c>
      <c r="B1014" s="2">
        <v>45629</v>
      </c>
      <c r="C1014" s="6" t="s">
        <v>2218</v>
      </c>
      <c r="D1014" s="6" t="s">
        <v>2407</v>
      </c>
      <c r="E1014" s="9">
        <v>4</v>
      </c>
      <c r="F1014" s="4">
        <v>30.05</v>
      </c>
      <c r="G1014" t="s">
        <v>2676</v>
      </c>
      <c r="H1014" s="6" t="s">
        <v>3066</v>
      </c>
      <c r="I1014" s="6" t="s">
        <v>3072</v>
      </c>
      <c r="J1014" s="6" t="s">
        <v>4087</v>
      </c>
      <c r="K1014" s="9">
        <v>6</v>
      </c>
      <c r="L1014" s="6" t="s">
        <v>4283</v>
      </c>
      <c r="M1014" s="6" t="s">
        <v>4281</v>
      </c>
      <c r="N1014" s="4">
        <v>120.2</v>
      </c>
      <c r="O1014" s="6">
        <f t="shared" si="15"/>
        <v>189</v>
      </c>
    </row>
    <row r="1015" spans="1:15" x14ac:dyDescent="0.3">
      <c r="A1015" s="6" t="s">
        <v>1027</v>
      </c>
      <c r="B1015" s="2">
        <v>45773</v>
      </c>
      <c r="C1015" s="6" t="s">
        <v>2219</v>
      </c>
      <c r="D1015" s="6" t="s">
        <v>2408</v>
      </c>
      <c r="E1015" s="9">
        <v>4</v>
      </c>
      <c r="F1015" s="4">
        <v>300.56</v>
      </c>
      <c r="G1015" t="s">
        <v>2463</v>
      </c>
      <c r="H1015" s="6" t="s">
        <v>3069</v>
      </c>
      <c r="I1015" s="6" t="s">
        <v>3071</v>
      </c>
      <c r="J1015" s="6" t="s">
        <v>4088</v>
      </c>
      <c r="K1015" s="9">
        <v>9</v>
      </c>
      <c r="L1015" s="6" t="s">
        <v>4276</v>
      </c>
      <c r="M1015" s="6" t="s">
        <v>4281</v>
      </c>
      <c r="N1015" s="4">
        <v>1202.24</v>
      </c>
      <c r="O1015" s="6">
        <f t="shared" si="15"/>
        <v>188</v>
      </c>
    </row>
    <row r="1016" spans="1:15" x14ac:dyDescent="0.3">
      <c r="A1016" s="6" t="s">
        <v>1028</v>
      </c>
      <c r="B1016" s="2">
        <v>45326</v>
      </c>
      <c r="C1016" s="6" t="s">
        <v>2220</v>
      </c>
      <c r="D1016" s="6" t="s">
        <v>2405</v>
      </c>
      <c r="E1016" s="9">
        <v>5</v>
      </c>
      <c r="F1016" s="4">
        <v>226.45</v>
      </c>
      <c r="G1016" t="s">
        <v>2762</v>
      </c>
      <c r="H1016" s="6" t="s">
        <v>3065</v>
      </c>
      <c r="I1016" s="6" t="s">
        <v>3072</v>
      </c>
      <c r="J1016" s="6" t="s">
        <v>4089</v>
      </c>
      <c r="K1016" s="9">
        <v>6</v>
      </c>
      <c r="L1016" s="6" t="s">
        <v>4276</v>
      </c>
      <c r="M1016" s="6" t="s">
        <v>4280</v>
      </c>
      <c r="N1016" s="4">
        <v>1132.25</v>
      </c>
      <c r="O1016" s="6">
        <f t="shared" si="15"/>
        <v>187</v>
      </c>
    </row>
    <row r="1017" spans="1:15" x14ac:dyDescent="0.3">
      <c r="A1017" s="6" t="s">
        <v>1029</v>
      </c>
      <c r="B1017" s="2">
        <v>45317</v>
      </c>
      <c r="C1017" s="6" t="s">
        <v>2221</v>
      </c>
      <c r="D1017" s="6" t="s">
        <v>2407</v>
      </c>
      <c r="E1017" s="9">
        <v>2</v>
      </c>
      <c r="F1017" s="4">
        <v>349.4</v>
      </c>
      <c r="G1017" t="s">
        <v>2838</v>
      </c>
      <c r="H1017" s="6" t="s">
        <v>3066</v>
      </c>
      <c r="I1017" s="6" t="s">
        <v>3070</v>
      </c>
      <c r="J1017" s="6" t="s">
        <v>4090</v>
      </c>
      <c r="K1017" s="9">
        <v>2</v>
      </c>
      <c r="L1017" s="6" t="s">
        <v>4275</v>
      </c>
      <c r="M1017" s="6" t="s">
        <v>4278</v>
      </c>
      <c r="N1017" s="4">
        <v>698.8</v>
      </c>
      <c r="O1017" s="6">
        <f t="shared" si="15"/>
        <v>186</v>
      </c>
    </row>
    <row r="1018" spans="1:15" x14ac:dyDescent="0.3">
      <c r="A1018" s="6" t="s">
        <v>1030</v>
      </c>
      <c r="B1018" s="2">
        <v>45289</v>
      </c>
      <c r="C1018" s="6" t="s">
        <v>2222</v>
      </c>
      <c r="D1018" s="6" t="s">
        <v>2405</v>
      </c>
      <c r="E1018" s="9">
        <v>5</v>
      </c>
      <c r="F1018" s="4">
        <v>268.77999999999997</v>
      </c>
      <c r="G1018" t="s">
        <v>3002</v>
      </c>
      <c r="H1018" s="6" t="s">
        <v>3065</v>
      </c>
      <c r="I1018" s="6" t="s">
        <v>3073</v>
      </c>
      <c r="J1018" s="6" t="s">
        <v>4091</v>
      </c>
      <c r="K1018" s="9">
        <v>7</v>
      </c>
      <c r="L1018" s="6" t="s">
        <v>4277</v>
      </c>
      <c r="M1018" s="6" t="s">
        <v>4280</v>
      </c>
      <c r="N1018" s="4">
        <v>1343.9</v>
      </c>
      <c r="O1018" s="6">
        <f t="shared" si="15"/>
        <v>185</v>
      </c>
    </row>
    <row r="1019" spans="1:15" x14ac:dyDescent="0.3">
      <c r="A1019" s="6" t="s">
        <v>1031</v>
      </c>
      <c r="B1019" s="2">
        <v>45529</v>
      </c>
      <c r="C1019" s="6" t="s">
        <v>2223</v>
      </c>
      <c r="D1019" s="6" t="s">
        <v>2406</v>
      </c>
      <c r="E1019" s="9">
        <v>2</v>
      </c>
      <c r="F1019" s="4">
        <v>680.85</v>
      </c>
      <c r="G1019" t="s">
        <v>3003</v>
      </c>
      <c r="H1019" s="6" t="s">
        <v>3068</v>
      </c>
      <c r="I1019" s="6" t="s">
        <v>3073</v>
      </c>
      <c r="J1019" s="6" t="s">
        <v>4092</v>
      </c>
      <c r="K1019" s="9">
        <v>6</v>
      </c>
      <c r="L1019" s="6" t="s">
        <v>4276</v>
      </c>
      <c r="M1019" s="6" t="s">
        <v>4279</v>
      </c>
      <c r="N1019" s="4">
        <v>1361.7</v>
      </c>
      <c r="O1019" s="6">
        <f t="shared" si="15"/>
        <v>184</v>
      </c>
    </row>
    <row r="1020" spans="1:15" x14ac:dyDescent="0.3">
      <c r="A1020" s="6" t="s">
        <v>1032</v>
      </c>
      <c r="B1020" s="2">
        <v>45115</v>
      </c>
      <c r="C1020" s="6" t="s">
        <v>2224</v>
      </c>
      <c r="D1020" s="6" t="s">
        <v>2408</v>
      </c>
      <c r="E1020" s="9">
        <v>3</v>
      </c>
      <c r="F1020" s="4">
        <v>182.48</v>
      </c>
      <c r="G1020" t="s">
        <v>3004</v>
      </c>
      <c r="H1020" s="6" t="s">
        <v>3069</v>
      </c>
      <c r="I1020" s="6" t="s">
        <v>3073</v>
      </c>
      <c r="J1020" s="6" t="s">
        <v>4093</v>
      </c>
      <c r="K1020" s="9">
        <v>3</v>
      </c>
      <c r="L1020" s="6" t="s">
        <v>4283</v>
      </c>
      <c r="M1020" s="6" t="s">
        <v>4278</v>
      </c>
      <c r="N1020" s="4">
        <v>547.43999999999994</v>
      </c>
      <c r="O1020" s="6">
        <f t="shared" si="15"/>
        <v>183</v>
      </c>
    </row>
    <row r="1021" spans="1:15" x14ac:dyDescent="0.3">
      <c r="A1021" s="6" t="s">
        <v>1033</v>
      </c>
      <c r="B1021" s="2">
        <v>45388</v>
      </c>
      <c r="C1021" s="6" t="s">
        <v>2225</v>
      </c>
      <c r="D1021" s="6" t="s">
        <v>2409</v>
      </c>
      <c r="E1021" s="9">
        <v>1</v>
      </c>
      <c r="F1021" s="4">
        <v>277.08999999999997</v>
      </c>
      <c r="G1021" t="s">
        <v>2694</v>
      </c>
      <c r="H1021" s="6" t="s">
        <v>3069</v>
      </c>
      <c r="I1021" s="6" t="s">
        <v>3072</v>
      </c>
      <c r="J1021" s="6" t="s">
        <v>4094</v>
      </c>
      <c r="K1021" s="9">
        <v>2</v>
      </c>
      <c r="L1021" s="6" t="s">
        <v>4275</v>
      </c>
      <c r="M1021" s="6" t="s">
        <v>4279</v>
      </c>
      <c r="N1021" s="4">
        <v>277.08999999999997</v>
      </c>
      <c r="O1021" s="6">
        <f t="shared" si="15"/>
        <v>182</v>
      </c>
    </row>
    <row r="1022" spans="1:15" x14ac:dyDescent="0.3">
      <c r="A1022" s="6" t="s">
        <v>1034</v>
      </c>
      <c r="B1022" s="2">
        <v>45404</v>
      </c>
      <c r="C1022" s="6" t="s">
        <v>2226</v>
      </c>
      <c r="D1022" s="6" t="s">
        <v>2405</v>
      </c>
      <c r="E1022" s="9">
        <v>2</v>
      </c>
      <c r="F1022" s="4">
        <v>26.5</v>
      </c>
      <c r="G1022" t="s">
        <v>2714</v>
      </c>
      <c r="H1022" s="6" t="s">
        <v>3066</v>
      </c>
      <c r="I1022" s="6" t="s">
        <v>3073</v>
      </c>
      <c r="J1022" s="6" t="s">
        <v>4095</v>
      </c>
      <c r="K1022" s="9">
        <v>3</v>
      </c>
      <c r="L1022" s="6" t="s">
        <v>4275</v>
      </c>
      <c r="M1022" s="6" t="s">
        <v>4278</v>
      </c>
      <c r="N1022" s="4">
        <v>53</v>
      </c>
      <c r="O1022" s="6">
        <f t="shared" si="15"/>
        <v>181</v>
      </c>
    </row>
    <row r="1023" spans="1:15" x14ac:dyDescent="0.3">
      <c r="A1023" s="6" t="s">
        <v>1035</v>
      </c>
      <c r="B1023" s="2">
        <v>45222</v>
      </c>
      <c r="C1023" s="6" t="s">
        <v>2227</v>
      </c>
      <c r="D1023" s="6" t="s">
        <v>2404</v>
      </c>
      <c r="E1023" s="9">
        <v>3</v>
      </c>
      <c r="F1023" s="4">
        <v>315.27</v>
      </c>
      <c r="G1023" t="s">
        <v>2961</v>
      </c>
      <c r="H1023" s="6" t="s">
        <v>3067</v>
      </c>
      <c r="I1023" s="6" t="s">
        <v>3071</v>
      </c>
      <c r="J1023" s="6" t="s">
        <v>4096</v>
      </c>
      <c r="K1023" s="9">
        <v>4</v>
      </c>
      <c r="L1023" s="6" t="s">
        <v>4275</v>
      </c>
      <c r="M1023" s="6" t="s">
        <v>4280</v>
      </c>
      <c r="N1023" s="4">
        <v>945.81</v>
      </c>
      <c r="O1023" s="6">
        <f t="shared" si="15"/>
        <v>180</v>
      </c>
    </row>
    <row r="1024" spans="1:15" x14ac:dyDescent="0.3">
      <c r="A1024" s="6" t="s">
        <v>1036</v>
      </c>
      <c r="B1024" s="2">
        <v>45712</v>
      </c>
      <c r="C1024" s="6" t="s">
        <v>2228</v>
      </c>
      <c r="D1024" s="6" t="s">
        <v>2405</v>
      </c>
      <c r="E1024" s="9">
        <v>3</v>
      </c>
      <c r="F1024" s="4">
        <v>450.98</v>
      </c>
      <c r="G1024" t="s">
        <v>2877</v>
      </c>
      <c r="H1024" s="6" t="s">
        <v>3067</v>
      </c>
      <c r="I1024" s="6" t="s">
        <v>3070</v>
      </c>
      <c r="J1024" s="6" t="s">
        <v>4097</v>
      </c>
      <c r="K1024" s="9">
        <v>8</v>
      </c>
      <c r="L1024" s="6" t="s">
        <v>4275</v>
      </c>
      <c r="M1024" s="6" t="s">
        <v>4279</v>
      </c>
      <c r="N1024" s="4">
        <v>1352.94</v>
      </c>
      <c r="O1024" s="6">
        <f t="shared" si="15"/>
        <v>179</v>
      </c>
    </row>
    <row r="1025" spans="1:15" x14ac:dyDescent="0.3">
      <c r="A1025" s="6" t="s">
        <v>1037</v>
      </c>
      <c r="B1025" s="2">
        <v>45558</v>
      </c>
      <c r="C1025" s="6" t="s">
        <v>2229</v>
      </c>
      <c r="D1025" s="6" t="s">
        <v>2408</v>
      </c>
      <c r="E1025" s="9">
        <v>5</v>
      </c>
      <c r="F1025" s="4">
        <v>233.67</v>
      </c>
      <c r="G1025" t="s">
        <v>2493</v>
      </c>
      <c r="H1025" s="6" t="s">
        <v>3069</v>
      </c>
      <c r="I1025" s="6" t="s">
        <v>3070</v>
      </c>
      <c r="J1025" s="6" t="s">
        <v>4098</v>
      </c>
      <c r="K1025" s="9">
        <v>10</v>
      </c>
      <c r="L1025" s="6" t="s">
        <v>4283</v>
      </c>
      <c r="M1025" s="6" t="s">
        <v>4279</v>
      </c>
      <c r="N1025" s="4">
        <v>1168.3499999999999</v>
      </c>
      <c r="O1025" s="6">
        <f t="shared" si="15"/>
        <v>178</v>
      </c>
    </row>
    <row r="1026" spans="1:15" x14ac:dyDescent="0.3">
      <c r="A1026" s="6" t="s">
        <v>1038</v>
      </c>
      <c r="B1026" s="2">
        <v>45320</v>
      </c>
      <c r="C1026" s="6" t="s">
        <v>2230</v>
      </c>
      <c r="D1026" s="6" t="s">
        <v>2406</v>
      </c>
      <c r="E1026" s="9">
        <v>3</v>
      </c>
      <c r="F1026" s="4">
        <v>367.75</v>
      </c>
      <c r="G1026" t="s">
        <v>2769</v>
      </c>
      <c r="H1026" s="6" t="s">
        <v>3069</v>
      </c>
      <c r="I1026" s="6" t="s">
        <v>3074</v>
      </c>
      <c r="J1026" s="6" t="s">
        <v>4099</v>
      </c>
      <c r="K1026" s="9">
        <v>7</v>
      </c>
      <c r="L1026" s="6" t="s">
        <v>4276</v>
      </c>
      <c r="M1026" s="6" t="s">
        <v>4281</v>
      </c>
      <c r="N1026" s="4">
        <v>1103.25</v>
      </c>
      <c r="O1026" s="6">
        <f t="shared" ref="O1026:O1089" si="16">COUNTA(_xlfn.UNIQUE(C1025:C2224))</f>
        <v>177</v>
      </c>
    </row>
    <row r="1027" spans="1:15" x14ac:dyDescent="0.3">
      <c r="A1027" s="6" t="s">
        <v>1039</v>
      </c>
      <c r="B1027" s="2">
        <v>45794</v>
      </c>
      <c r="C1027" s="6" t="s">
        <v>2231</v>
      </c>
      <c r="D1027" s="6" t="s">
        <v>2406</v>
      </c>
      <c r="E1027" s="9">
        <v>1</v>
      </c>
      <c r="F1027" s="4">
        <v>23.53</v>
      </c>
      <c r="G1027" t="s">
        <v>2548</v>
      </c>
      <c r="H1027" s="6" t="s">
        <v>3068</v>
      </c>
      <c r="I1027" s="6" t="s">
        <v>3073</v>
      </c>
      <c r="J1027" s="6" t="s">
        <v>4100</v>
      </c>
      <c r="K1027" s="9">
        <v>2</v>
      </c>
      <c r="L1027" s="6" t="s">
        <v>4276</v>
      </c>
      <c r="M1027" s="6" t="s">
        <v>4278</v>
      </c>
      <c r="N1027" s="4">
        <v>23.53</v>
      </c>
      <c r="O1027" s="6">
        <f t="shared" si="16"/>
        <v>176</v>
      </c>
    </row>
    <row r="1028" spans="1:15" x14ac:dyDescent="0.3">
      <c r="A1028" s="6" t="s">
        <v>1040</v>
      </c>
      <c r="B1028" s="2">
        <v>45047</v>
      </c>
      <c r="C1028" s="6" t="s">
        <v>2232</v>
      </c>
      <c r="D1028" s="6" t="s">
        <v>2403</v>
      </c>
      <c r="E1028" s="9">
        <v>1</v>
      </c>
      <c r="F1028" s="4">
        <v>677.48</v>
      </c>
      <c r="G1028" t="s">
        <v>2521</v>
      </c>
      <c r="H1028" s="6" t="s">
        <v>3066</v>
      </c>
      <c r="I1028" s="6" t="s">
        <v>3073</v>
      </c>
      <c r="J1028" s="6" t="s">
        <v>4101</v>
      </c>
      <c r="K1028" s="9">
        <v>1</v>
      </c>
      <c r="L1028" s="6" t="s">
        <v>4277</v>
      </c>
      <c r="M1028" s="6" t="s">
        <v>4281</v>
      </c>
      <c r="N1028" s="4">
        <v>677.48</v>
      </c>
      <c r="O1028" s="6">
        <f t="shared" si="16"/>
        <v>175</v>
      </c>
    </row>
    <row r="1029" spans="1:15" x14ac:dyDescent="0.3">
      <c r="A1029" s="6" t="s">
        <v>1041</v>
      </c>
      <c r="B1029" s="2">
        <v>45433</v>
      </c>
      <c r="C1029" s="6" t="s">
        <v>2233</v>
      </c>
      <c r="D1029" s="6" t="s">
        <v>2408</v>
      </c>
      <c r="E1029" s="9">
        <v>4</v>
      </c>
      <c r="F1029" s="4">
        <v>554.83000000000004</v>
      </c>
      <c r="G1029" t="s">
        <v>2908</v>
      </c>
      <c r="H1029" s="6" t="s">
        <v>3069</v>
      </c>
      <c r="I1029" s="6" t="s">
        <v>3072</v>
      </c>
      <c r="J1029" s="6" t="s">
        <v>4102</v>
      </c>
      <c r="K1029" s="9">
        <v>6</v>
      </c>
      <c r="L1029" s="6" t="s">
        <v>4283</v>
      </c>
      <c r="M1029" s="6" t="s">
        <v>4282</v>
      </c>
      <c r="N1029" s="4">
        <v>2219.3200000000002</v>
      </c>
      <c r="O1029" s="6">
        <f t="shared" si="16"/>
        <v>174</v>
      </c>
    </row>
    <row r="1030" spans="1:15" x14ac:dyDescent="0.3">
      <c r="A1030" s="6" t="s">
        <v>1042</v>
      </c>
      <c r="B1030" s="2">
        <v>44974</v>
      </c>
      <c r="C1030" s="6" t="s">
        <v>2234</v>
      </c>
      <c r="D1030" s="6" t="s">
        <v>2409</v>
      </c>
      <c r="E1030" s="9">
        <v>4</v>
      </c>
      <c r="F1030" s="4">
        <v>440.31</v>
      </c>
      <c r="G1030" t="s">
        <v>2610</v>
      </c>
      <c r="H1030" s="6" t="s">
        <v>3069</v>
      </c>
      <c r="I1030" s="6" t="s">
        <v>3071</v>
      </c>
      <c r="J1030" s="6" t="s">
        <v>4103</v>
      </c>
      <c r="K1030" s="9">
        <v>6</v>
      </c>
      <c r="L1030" s="6" t="s">
        <v>4283</v>
      </c>
      <c r="M1030" s="6" t="s">
        <v>4278</v>
      </c>
      <c r="N1030" s="4">
        <v>1761.24</v>
      </c>
      <c r="O1030" s="6">
        <f t="shared" si="16"/>
        <v>173</v>
      </c>
    </row>
    <row r="1031" spans="1:15" x14ac:dyDescent="0.3">
      <c r="A1031" s="6" t="s">
        <v>1043</v>
      </c>
      <c r="B1031" s="2">
        <v>45717</v>
      </c>
      <c r="C1031" s="6" t="s">
        <v>2235</v>
      </c>
      <c r="D1031" s="6" t="s">
        <v>2409</v>
      </c>
      <c r="E1031" s="9">
        <v>1</v>
      </c>
      <c r="F1031" s="4">
        <v>87.06</v>
      </c>
      <c r="G1031" t="s">
        <v>2988</v>
      </c>
      <c r="H1031" s="6" t="s">
        <v>3067</v>
      </c>
      <c r="I1031" s="6" t="s">
        <v>3070</v>
      </c>
      <c r="J1031" s="6" t="s">
        <v>4104</v>
      </c>
      <c r="K1031" s="9">
        <v>4</v>
      </c>
      <c r="L1031" s="6" t="s">
        <v>4276</v>
      </c>
      <c r="M1031" s="6" t="s">
        <v>4280</v>
      </c>
      <c r="N1031" s="4">
        <v>87.06</v>
      </c>
      <c r="O1031" s="6">
        <f t="shared" si="16"/>
        <v>172</v>
      </c>
    </row>
    <row r="1032" spans="1:15" x14ac:dyDescent="0.3">
      <c r="A1032" s="6" t="s">
        <v>1044</v>
      </c>
      <c r="B1032" s="2">
        <v>45201</v>
      </c>
      <c r="C1032" s="6" t="s">
        <v>2236</v>
      </c>
      <c r="D1032" s="6" t="s">
        <v>2404</v>
      </c>
      <c r="E1032" s="9">
        <v>4</v>
      </c>
      <c r="F1032" s="4">
        <v>245.28</v>
      </c>
      <c r="G1032" t="s">
        <v>3005</v>
      </c>
      <c r="H1032" s="6" t="s">
        <v>3067</v>
      </c>
      <c r="I1032" s="6" t="s">
        <v>3073</v>
      </c>
      <c r="J1032" s="6" t="s">
        <v>4105</v>
      </c>
      <c r="K1032" s="9">
        <v>6</v>
      </c>
      <c r="L1032" s="6" t="s">
        <v>4277</v>
      </c>
      <c r="M1032" s="6" t="s">
        <v>4280</v>
      </c>
      <c r="N1032" s="4">
        <v>981.12</v>
      </c>
      <c r="O1032" s="6">
        <f t="shared" si="16"/>
        <v>171</v>
      </c>
    </row>
    <row r="1033" spans="1:15" x14ac:dyDescent="0.3">
      <c r="A1033" s="6" t="s">
        <v>1045</v>
      </c>
      <c r="B1033" s="2">
        <v>44985</v>
      </c>
      <c r="C1033" s="6" t="s">
        <v>2237</v>
      </c>
      <c r="D1033" s="6" t="s">
        <v>2404</v>
      </c>
      <c r="E1033" s="9">
        <v>5</v>
      </c>
      <c r="F1033" s="4">
        <v>664.51</v>
      </c>
      <c r="G1033" t="s">
        <v>3006</v>
      </c>
      <c r="H1033" s="6" t="s">
        <v>3065</v>
      </c>
      <c r="I1033" s="6" t="s">
        <v>3074</v>
      </c>
      <c r="J1033" s="6" t="s">
        <v>4106</v>
      </c>
      <c r="K1033" s="9">
        <v>8</v>
      </c>
      <c r="L1033" s="6" t="s">
        <v>4275</v>
      </c>
      <c r="M1033" s="6" t="s">
        <v>4280</v>
      </c>
      <c r="N1033" s="4">
        <v>3322.55</v>
      </c>
      <c r="O1033" s="6">
        <f t="shared" si="16"/>
        <v>170</v>
      </c>
    </row>
    <row r="1034" spans="1:15" x14ac:dyDescent="0.3">
      <c r="A1034" s="6" t="s">
        <v>1046</v>
      </c>
      <c r="B1034" s="2">
        <v>45036</v>
      </c>
      <c r="C1034" s="6" t="s">
        <v>2238</v>
      </c>
      <c r="D1034" s="6" t="s">
        <v>2406</v>
      </c>
      <c r="E1034" s="9">
        <v>1</v>
      </c>
      <c r="F1034" s="4">
        <v>618.67999999999995</v>
      </c>
      <c r="G1034" t="s">
        <v>2653</v>
      </c>
      <c r="H1034" s="6" t="s">
        <v>3066</v>
      </c>
      <c r="I1034" s="6" t="s">
        <v>3073</v>
      </c>
      <c r="J1034" s="6" t="s">
        <v>4107</v>
      </c>
      <c r="K1034" s="9">
        <v>6</v>
      </c>
      <c r="L1034" s="6" t="s">
        <v>4277</v>
      </c>
      <c r="M1034" s="6" t="s">
        <v>4279</v>
      </c>
      <c r="N1034" s="4">
        <v>618.67999999999995</v>
      </c>
      <c r="O1034" s="6">
        <f t="shared" si="16"/>
        <v>169</v>
      </c>
    </row>
    <row r="1035" spans="1:15" x14ac:dyDescent="0.3">
      <c r="A1035" s="6" t="s">
        <v>1047</v>
      </c>
      <c r="B1035" s="2">
        <v>45650</v>
      </c>
      <c r="C1035" s="6" t="s">
        <v>2239</v>
      </c>
      <c r="D1035" s="6" t="s">
        <v>2403</v>
      </c>
      <c r="E1035" s="9">
        <v>1</v>
      </c>
      <c r="F1035" s="4">
        <v>370.85</v>
      </c>
      <c r="G1035" t="s">
        <v>3007</v>
      </c>
      <c r="H1035" s="6" t="s">
        <v>3068</v>
      </c>
      <c r="I1035" s="6" t="s">
        <v>3073</v>
      </c>
      <c r="J1035" s="6" t="s">
        <v>4108</v>
      </c>
      <c r="K1035" s="9">
        <v>2</v>
      </c>
      <c r="L1035" s="6" t="s">
        <v>4276</v>
      </c>
      <c r="M1035" s="6" t="s">
        <v>4279</v>
      </c>
      <c r="N1035" s="4">
        <v>370.85</v>
      </c>
      <c r="O1035" s="6">
        <f t="shared" si="16"/>
        <v>168</v>
      </c>
    </row>
    <row r="1036" spans="1:15" x14ac:dyDescent="0.3">
      <c r="A1036" s="6" t="s">
        <v>1048</v>
      </c>
      <c r="B1036" s="2">
        <v>45459</v>
      </c>
      <c r="C1036" s="6" t="s">
        <v>2240</v>
      </c>
      <c r="D1036" s="6" t="s">
        <v>2407</v>
      </c>
      <c r="E1036" s="9">
        <v>4</v>
      </c>
      <c r="F1036" s="4">
        <v>517.98</v>
      </c>
      <c r="G1036" t="s">
        <v>3008</v>
      </c>
      <c r="H1036" s="6" t="s">
        <v>3069</v>
      </c>
      <c r="I1036" s="6" t="s">
        <v>3071</v>
      </c>
      <c r="J1036" s="6" t="s">
        <v>4109</v>
      </c>
      <c r="K1036" s="9">
        <v>8</v>
      </c>
      <c r="L1036" s="6" t="s">
        <v>4276</v>
      </c>
      <c r="M1036" s="6" t="s">
        <v>4281</v>
      </c>
      <c r="N1036" s="4">
        <v>2071.92</v>
      </c>
      <c r="O1036" s="6">
        <f t="shared" si="16"/>
        <v>167</v>
      </c>
    </row>
    <row r="1037" spans="1:15" x14ac:dyDescent="0.3">
      <c r="A1037" s="6" t="s">
        <v>1049</v>
      </c>
      <c r="B1037" s="2">
        <v>45242</v>
      </c>
      <c r="C1037" s="6" t="s">
        <v>2241</v>
      </c>
      <c r="D1037" s="6" t="s">
        <v>2408</v>
      </c>
      <c r="E1037" s="9">
        <v>4</v>
      </c>
      <c r="F1037" s="4">
        <v>506.11</v>
      </c>
      <c r="G1037" t="s">
        <v>3009</v>
      </c>
      <c r="H1037" s="6" t="s">
        <v>3069</v>
      </c>
      <c r="I1037" s="6" t="s">
        <v>3071</v>
      </c>
      <c r="J1037" s="6" t="s">
        <v>4110</v>
      </c>
      <c r="K1037" s="9">
        <v>5</v>
      </c>
      <c r="L1037" s="6" t="s">
        <v>4283</v>
      </c>
      <c r="M1037" s="6" t="s">
        <v>4279</v>
      </c>
      <c r="N1037" s="4">
        <v>2024.44</v>
      </c>
      <c r="O1037" s="6">
        <f t="shared" si="16"/>
        <v>166</v>
      </c>
    </row>
    <row r="1038" spans="1:15" x14ac:dyDescent="0.3">
      <c r="A1038" s="6" t="s">
        <v>1050</v>
      </c>
      <c r="B1038" s="2">
        <v>45443</v>
      </c>
      <c r="C1038" s="6" t="s">
        <v>2242</v>
      </c>
      <c r="D1038" s="6" t="s">
        <v>2404</v>
      </c>
      <c r="E1038" s="9">
        <v>3</v>
      </c>
      <c r="F1038" s="4">
        <v>413.83</v>
      </c>
      <c r="G1038" t="s">
        <v>2474</v>
      </c>
      <c r="H1038" s="6" t="s">
        <v>3068</v>
      </c>
      <c r="I1038" s="6" t="s">
        <v>3070</v>
      </c>
      <c r="J1038" s="6" t="s">
        <v>4111</v>
      </c>
      <c r="K1038" s="9">
        <v>8</v>
      </c>
      <c r="L1038" s="6" t="s">
        <v>4275</v>
      </c>
      <c r="M1038" s="6" t="s">
        <v>4281</v>
      </c>
      <c r="N1038" s="4">
        <v>1241.49</v>
      </c>
      <c r="O1038" s="6">
        <f t="shared" si="16"/>
        <v>165</v>
      </c>
    </row>
    <row r="1039" spans="1:15" x14ac:dyDescent="0.3">
      <c r="A1039" s="6" t="s">
        <v>1051</v>
      </c>
      <c r="B1039" s="2">
        <v>45273</v>
      </c>
      <c r="C1039" s="6" t="s">
        <v>2243</v>
      </c>
      <c r="D1039" s="6" t="s">
        <v>2407</v>
      </c>
      <c r="E1039" s="9">
        <v>1</v>
      </c>
      <c r="F1039" s="4">
        <v>249.81</v>
      </c>
      <c r="G1039" t="s">
        <v>2875</v>
      </c>
      <c r="H1039" s="6" t="s">
        <v>3069</v>
      </c>
      <c r="I1039" s="6" t="s">
        <v>3074</v>
      </c>
      <c r="J1039" s="6" t="s">
        <v>4112</v>
      </c>
      <c r="K1039" s="9">
        <v>1</v>
      </c>
      <c r="L1039" s="6" t="s">
        <v>4275</v>
      </c>
      <c r="M1039" s="6" t="s">
        <v>4282</v>
      </c>
      <c r="N1039" s="4">
        <v>249.81</v>
      </c>
      <c r="O1039" s="6">
        <f t="shared" si="16"/>
        <v>164</v>
      </c>
    </row>
    <row r="1040" spans="1:15" x14ac:dyDescent="0.3">
      <c r="A1040" s="6" t="s">
        <v>1052</v>
      </c>
      <c r="B1040" s="2">
        <v>45731</v>
      </c>
      <c r="C1040" s="6" t="s">
        <v>2244</v>
      </c>
      <c r="D1040" s="6" t="s">
        <v>2405</v>
      </c>
      <c r="E1040" s="9">
        <v>3</v>
      </c>
      <c r="F1040" s="4">
        <v>362.53</v>
      </c>
      <c r="G1040" t="s">
        <v>3010</v>
      </c>
      <c r="H1040" s="6" t="s">
        <v>3065</v>
      </c>
      <c r="I1040" s="6" t="s">
        <v>3072</v>
      </c>
      <c r="J1040" s="6" t="s">
        <v>4113</v>
      </c>
      <c r="K1040" s="9">
        <v>5</v>
      </c>
      <c r="L1040" s="6" t="s">
        <v>4283</v>
      </c>
      <c r="M1040" s="6" t="s">
        <v>4281</v>
      </c>
      <c r="N1040" s="4">
        <v>1087.5899999999999</v>
      </c>
      <c r="O1040" s="6">
        <f t="shared" si="16"/>
        <v>163</v>
      </c>
    </row>
    <row r="1041" spans="1:15" x14ac:dyDescent="0.3">
      <c r="A1041" s="6" t="s">
        <v>1053</v>
      </c>
      <c r="B1041" s="2">
        <v>45836</v>
      </c>
      <c r="C1041" s="6" t="s">
        <v>2245</v>
      </c>
      <c r="D1041" s="6" t="s">
        <v>2409</v>
      </c>
      <c r="E1041" s="9">
        <v>2</v>
      </c>
      <c r="F1041" s="4">
        <v>299.23</v>
      </c>
      <c r="G1041" t="s">
        <v>3011</v>
      </c>
      <c r="H1041" s="6" t="s">
        <v>3067</v>
      </c>
      <c r="I1041" s="6" t="s">
        <v>3071</v>
      </c>
      <c r="J1041" s="6" t="s">
        <v>4114</v>
      </c>
      <c r="K1041" s="9">
        <v>2</v>
      </c>
      <c r="L1041" s="6" t="s">
        <v>4277</v>
      </c>
      <c r="M1041" s="6" t="s">
        <v>4278</v>
      </c>
      <c r="N1041" s="4">
        <v>598.46</v>
      </c>
      <c r="O1041" s="6">
        <f t="shared" si="16"/>
        <v>162</v>
      </c>
    </row>
    <row r="1042" spans="1:15" x14ac:dyDescent="0.3">
      <c r="A1042" s="6" t="s">
        <v>1054</v>
      </c>
      <c r="B1042" s="2">
        <v>45245</v>
      </c>
      <c r="C1042" s="6" t="s">
        <v>2246</v>
      </c>
      <c r="D1042" s="6" t="s">
        <v>2405</v>
      </c>
      <c r="E1042" s="9">
        <v>1</v>
      </c>
      <c r="F1042" s="4">
        <v>536.07000000000005</v>
      </c>
      <c r="G1042" t="s">
        <v>2817</v>
      </c>
      <c r="H1042" s="6" t="s">
        <v>3065</v>
      </c>
      <c r="I1042" s="6" t="s">
        <v>3073</v>
      </c>
      <c r="J1042" s="6" t="s">
        <v>4115</v>
      </c>
      <c r="K1042" s="9">
        <v>5</v>
      </c>
      <c r="L1042" s="6" t="s">
        <v>4276</v>
      </c>
      <c r="M1042" s="6" t="s">
        <v>4282</v>
      </c>
      <c r="N1042" s="4">
        <v>536.07000000000005</v>
      </c>
      <c r="O1042" s="6">
        <f t="shared" si="16"/>
        <v>161</v>
      </c>
    </row>
    <row r="1043" spans="1:15" x14ac:dyDescent="0.3">
      <c r="A1043" s="6" t="s">
        <v>1055</v>
      </c>
      <c r="B1043" s="2">
        <v>44968</v>
      </c>
      <c r="C1043" s="6" t="s">
        <v>2247</v>
      </c>
      <c r="D1043" s="6" t="s">
        <v>2403</v>
      </c>
      <c r="E1043" s="9">
        <v>4</v>
      </c>
      <c r="F1043" s="4">
        <v>558.9</v>
      </c>
      <c r="G1043" t="s">
        <v>2608</v>
      </c>
      <c r="H1043" s="6" t="s">
        <v>3068</v>
      </c>
      <c r="I1043" s="6" t="s">
        <v>3070</v>
      </c>
      <c r="J1043" s="6" t="s">
        <v>4116</v>
      </c>
      <c r="K1043" s="9">
        <v>9</v>
      </c>
      <c r="L1043" s="6" t="s">
        <v>4277</v>
      </c>
      <c r="M1043" s="6" t="s">
        <v>4282</v>
      </c>
      <c r="N1043" s="4">
        <v>2235.6</v>
      </c>
      <c r="O1043" s="6">
        <f t="shared" si="16"/>
        <v>160</v>
      </c>
    </row>
    <row r="1044" spans="1:15" x14ac:dyDescent="0.3">
      <c r="A1044" s="6" t="s">
        <v>1056</v>
      </c>
      <c r="B1044" s="2">
        <v>45635</v>
      </c>
      <c r="C1044" s="6" t="s">
        <v>2248</v>
      </c>
      <c r="D1044" s="6" t="s">
        <v>2405</v>
      </c>
      <c r="E1044" s="9">
        <v>2</v>
      </c>
      <c r="F1044" s="4">
        <v>409.75</v>
      </c>
      <c r="G1044" t="s">
        <v>2681</v>
      </c>
      <c r="H1044" s="6" t="s">
        <v>3065</v>
      </c>
      <c r="I1044" s="6" t="s">
        <v>3070</v>
      </c>
      <c r="J1044" s="6" t="s">
        <v>4117</v>
      </c>
      <c r="K1044" s="9">
        <v>2</v>
      </c>
      <c r="L1044" s="6" t="s">
        <v>4277</v>
      </c>
      <c r="M1044" s="6" t="s">
        <v>4281</v>
      </c>
      <c r="N1044" s="4">
        <v>819.5</v>
      </c>
      <c r="O1044" s="6">
        <f t="shared" si="16"/>
        <v>159</v>
      </c>
    </row>
    <row r="1045" spans="1:15" x14ac:dyDescent="0.3">
      <c r="A1045" s="6" t="s">
        <v>1057</v>
      </c>
      <c r="B1045" s="2">
        <v>45668</v>
      </c>
      <c r="C1045" s="6" t="s">
        <v>2249</v>
      </c>
      <c r="D1045" s="6" t="s">
        <v>2405</v>
      </c>
      <c r="E1045" s="9">
        <v>2</v>
      </c>
      <c r="F1045" s="4">
        <v>179.96</v>
      </c>
      <c r="G1045" t="s">
        <v>2991</v>
      </c>
      <c r="H1045" s="6" t="s">
        <v>3068</v>
      </c>
      <c r="I1045" s="6" t="s">
        <v>3070</v>
      </c>
      <c r="J1045" s="6" t="s">
        <v>4118</v>
      </c>
      <c r="K1045" s="9">
        <v>5</v>
      </c>
      <c r="L1045" s="6" t="s">
        <v>4283</v>
      </c>
      <c r="M1045" s="6" t="s">
        <v>4278</v>
      </c>
      <c r="N1045" s="4">
        <v>359.92</v>
      </c>
      <c r="O1045" s="6">
        <f t="shared" si="16"/>
        <v>158</v>
      </c>
    </row>
    <row r="1046" spans="1:15" x14ac:dyDescent="0.3">
      <c r="A1046" s="6" t="s">
        <v>1058</v>
      </c>
      <c r="B1046" s="2">
        <v>45830</v>
      </c>
      <c r="C1046" s="6" t="s">
        <v>2250</v>
      </c>
      <c r="D1046" s="6" t="s">
        <v>2407</v>
      </c>
      <c r="E1046" s="9">
        <v>1</v>
      </c>
      <c r="F1046" s="4">
        <v>38.49</v>
      </c>
      <c r="G1046" t="s">
        <v>3012</v>
      </c>
      <c r="H1046" s="6" t="s">
        <v>3067</v>
      </c>
      <c r="I1046" s="6" t="s">
        <v>3073</v>
      </c>
      <c r="J1046" s="6" t="s">
        <v>4119</v>
      </c>
      <c r="K1046" s="9">
        <v>4</v>
      </c>
      <c r="L1046" s="6" t="s">
        <v>4276</v>
      </c>
      <c r="M1046" s="6" t="s">
        <v>4279</v>
      </c>
      <c r="N1046" s="4">
        <v>38.49</v>
      </c>
      <c r="O1046" s="6">
        <f t="shared" si="16"/>
        <v>157</v>
      </c>
    </row>
    <row r="1047" spans="1:15" x14ac:dyDescent="0.3">
      <c r="A1047" s="6" t="s">
        <v>1059</v>
      </c>
      <c r="B1047" s="2">
        <v>45555</v>
      </c>
      <c r="C1047" s="6" t="s">
        <v>2251</v>
      </c>
      <c r="D1047" s="6" t="s">
        <v>2408</v>
      </c>
      <c r="E1047" s="9">
        <v>5</v>
      </c>
      <c r="F1047" s="4">
        <v>316.39999999999998</v>
      </c>
      <c r="G1047" t="s">
        <v>3013</v>
      </c>
      <c r="H1047" s="6" t="s">
        <v>3068</v>
      </c>
      <c r="I1047" s="6" t="s">
        <v>3072</v>
      </c>
      <c r="J1047" s="6" t="s">
        <v>4120</v>
      </c>
      <c r="K1047" s="9">
        <v>7</v>
      </c>
      <c r="L1047" s="6" t="s">
        <v>4283</v>
      </c>
      <c r="M1047" s="6" t="s">
        <v>4280</v>
      </c>
      <c r="N1047" s="4">
        <v>1582</v>
      </c>
      <c r="O1047" s="6">
        <f t="shared" si="16"/>
        <v>156</v>
      </c>
    </row>
    <row r="1048" spans="1:15" x14ac:dyDescent="0.3">
      <c r="A1048" s="6" t="s">
        <v>1060</v>
      </c>
      <c r="B1048" s="2">
        <v>45572</v>
      </c>
      <c r="C1048" s="6" t="s">
        <v>2252</v>
      </c>
      <c r="D1048" s="6" t="s">
        <v>2405</v>
      </c>
      <c r="E1048" s="9">
        <v>3</v>
      </c>
      <c r="F1048" s="4">
        <v>547.15</v>
      </c>
      <c r="G1048" t="s">
        <v>3014</v>
      </c>
      <c r="H1048" s="6" t="s">
        <v>3066</v>
      </c>
      <c r="I1048" s="6" t="s">
        <v>3070</v>
      </c>
      <c r="J1048" s="6" t="s">
        <v>4121</v>
      </c>
      <c r="K1048" s="9">
        <v>4</v>
      </c>
      <c r="L1048" s="6" t="s">
        <v>4277</v>
      </c>
      <c r="M1048" s="6" t="s">
        <v>4278</v>
      </c>
      <c r="N1048" s="4">
        <v>1641.45</v>
      </c>
      <c r="O1048" s="6">
        <f t="shared" si="16"/>
        <v>155</v>
      </c>
    </row>
    <row r="1049" spans="1:15" x14ac:dyDescent="0.3">
      <c r="A1049" s="6" t="s">
        <v>1061</v>
      </c>
      <c r="B1049" s="2">
        <v>45100</v>
      </c>
      <c r="C1049" s="6" t="s">
        <v>2253</v>
      </c>
      <c r="D1049" s="6" t="s">
        <v>2406</v>
      </c>
      <c r="E1049" s="9">
        <v>4</v>
      </c>
      <c r="F1049" s="4">
        <v>540.34</v>
      </c>
      <c r="G1049" t="s">
        <v>3015</v>
      </c>
      <c r="H1049" s="6" t="s">
        <v>3068</v>
      </c>
      <c r="I1049" s="6" t="s">
        <v>3070</v>
      </c>
      <c r="J1049" s="6" t="s">
        <v>4122</v>
      </c>
      <c r="K1049" s="9">
        <v>6</v>
      </c>
      <c r="L1049" s="6" t="s">
        <v>4277</v>
      </c>
      <c r="M1049" s="6" t="s">
        <v>4279</v>
      </c>
      <c r="N1049" s="4">
        <v>2161.36</v>
      </c>
      <c r="O1049" s="6">
        <f t="shared" si="16"/>
        <v>154</v>
      </c>
    </row>
    <row r="1050" spans="1:15" x14ac:dyDescent="0.3">
      <c r="A1050" s="6" t="s">
        <v>1062</v>
      </c>
      <c r="B1050" s="2">
        <v>45544</v>
      </c>
      <c r="C1050" s="6" t="s">
        <v>2254</v>
      </c>
      <c r="D1050" s="6" t="s">
        <v>2403</v>
      </c>
      <c r="E1050" s="9">
        <v>4</v>
      </c>
      <c r="F1050" s="4">
        <v>73.650000000000006</v>
      </c>
      <c r="G1050" t="s">
        <v>3016</v>
      </c>
      <c r="H1050" s="6" t="s">
        <v>3065</v>
      </c>
      <c r="I1050" s="6" t="s">
        <v>3070</v>
      </c>
      <c r="J1050" s="6" t="s">
        <v>4123</v>
      </c>
      <c r="K1050" s="9">
        <v>9</v>
      </c>
      <c r="L1050" s="6" t="s">
        <v>4283</v>
      </c>
      <c r="M1050" s="6" t="s">
        <v>4282</v>
      </c>
      <c r="N1050" s="4">
        <v>294.60000000000002</v>
      </c>
      <c r="O1050" s="6">
        <f t="shared" si="16"/>
        <v>153</v>
      </c>
    </row>
    <row r="1051" spans="1:15" x14ac:dyDescent="0.3">
      <c r="A1051" s="6" t="s">
        <v>1063</v>
      </c>
      <c r="B1051" s="2">
        <v>45491</v>
      </c>
      <c r="C1051" s="6" t="s">
        <v>2255</v>
      </c>
      <c r="D1051" s="6" t="s">
        <v>2409</v>
      </c>
      <c r="E1051" s="9">
        <v>5</v>
      </c>
      <c r="F1051" s="4">
        <v>391.86</v>
      </c>
      <c r="G1051" t="s">
        <v>2430</v>
      </c>
      <c r="H1051" s="6" t="s">
        <v>3067</v>
      </c>
      <c r="I1051" s="6" t="s">
        <v>3070</v>
      </c>
      <c r="J1051" s="6" t="s">
        <v>4124</v>
      </c>
      <c r="K1051" s="9">
        <v>6</v>
      </c>
      <c r="L1051" s="6" t="s">
        <v>4283</v>
      </c>
      <c r="M1051" s="6" t="s">
        <v>4278</v>
      </c>
      <c r="N1051" s="4">
        <v>1959.3</v>
      </c>
      <c r="O1051" s="6">
        <f t="shared" si="16"/>
        <v>152</v>
      </c>
    </row>
    <row r="1052" spans="1:15" x14ac:dyDescent="0.3">
      <c r="A1052" s="6" t="s">
        <v>1064</v>
      </c>
      <c r="B1052" s="2">
        <v>45158</v>
      </c>
      <c r="C1052" s="6" t="s">
        <v>2256</v>
      </c>
      <c r="D1052" s="6" t="s">
        <v>2408</v>
      </c>
      <c r="E1052" s="9">
        <v>5</v>
      </c>
      <c r="F1052" s="4">
        <v>69.7</v>
      </c>
      <c r="G1052" t="s">
        <v>2805</v>
      </c>
      <c r="H1052" s="6" t="s">
        <v>3066</v>
      </c>
      <c r="I1052" s="6" t="s">
        <v>3072</v>
      </c>
      <c r="J1052" s="6" t="s">
        <v>4125</v>
      </c>
      <c r="K1052" s="9">
        <v>9</v>
      </c>
      <c r="L1052" s="6" t="s">
        <v>4283</v>
      </c>
      <c r="M1052" s="6" t="s">
        <v>4278</v>
      </c>
      <c r="N1052" s="4">
        <v>348.5</v>
      </c>
      <c r="O1052" s="6">
        <f t="shared" si="16"/>
        <v>151</v>
      </c>
    </row>
    <row r="1053" spans="1:15" x14ac:dyDescent="0.3">
      <c r="A1053" s="6" t="s">
        <v>1065</v>
      </c>
      <c r="B1053" s="2">
        <v>45721</v>
      </c>
      <c r="C1053" s="6" t="s">
        <v>2257</v>
      </c>
      <c r="D1053" s="6" t="s">
        <v>2403</v>
      </c>
      <c r="E1053" s="9">
        <v>5</v>
      </c>
      <c r="F1053" s="4">
        <v>26.43</v>
      </c>
      <c r="G1053" t="s">
        <v>3017</v>
      </c>
      <c r="H1053" s="6" t="s">
        <v>3068</v>
      </c>
      <c r="I1053" s="6" t="s">
        <v>3070</v>
      </c>
      <c r="J1053" s="6" t="s">
        <v>4126</v>
      </c>
      <c r="K1053" s="9">
        <v>5</v>
      </c>
      <c r="L1053" s="6" t="s">
        <v>4276</v>
      </c>
      <c r="M1053" s="6" t="s">
        <v>4281</v>
      </c>
      <c r="N1053" s="4">
        <v>132.15</v>
      </c>
      <c r="O1053" s="6">
        <f t="shared" si="16"/>
        <v>150</v>
      </c>
    </row>
    <row r="1054" spans="1:15" x14ac:dyDescent="0.3">
      <c r="A1054" s="6" t="s">
        <v>1066</v>
      </c>
      <c r="B1054" s="2">
        <v>45180</v>
      </c>
      <c r="C1054" s="6" t="s">
        <v>2258</v>
      </c>
      <c r="D1054" s="6" t="s">
        <v>2405</v>
      </c>
      <c r="E1054" s="9">
        <v>1</v>
      </c>
      <c r="F1054" s="4">
        <v>531.74</v>
      </c>
      <c r="G1054" t="s">
        <v>3018</v>
      </c>
      <c r="H1054" s="6" t="s">
        <v>3066</v>
      </c>
      <c r="I1054" s="6" t="s">
        <v>3070</v>
      </c>
      <c r="J1054" s="6" t="s">
        <v>4127</v>
      </c>
      <c r="K1054" s="9">
        <v>1</v>
      </c>
      <c r="L1054" s="6" t="s">
        <v>4277</v>
      </c>
      <c r="M1054" s="6" t="s">
        <v>4282</v>
      </c>
      <c r="N1054" s="4">
        <v>531.74</v>
      </c>
      <c r="O1054" s="6">
        <f t="shared" si="16"/>
        <v>150</v>
      </c>
    </row>
    <row r="1055" spans="1:15" x14ac:dyDescent="0.3">
      <c r="A1055" s="6" t="s">
        <v>1067</v>
      </c>
      <c r="B1055" s="2">
        <v>45550</v>
      </c>
      <c r="C1055" s="6" t="s">
        <v>2259</v>
      </c>
      <c r="D1055" s="6" t="s">
        <v>2404</v>
      </c>
      <c r="E1055" s="9">
        <v>2</v>
      </c>
      <c r="F1055" s="4">
        <v>496.62</v>
      </c>
      <c r="G1055" t="s">
        <v>2984</v>
      </c>
      <c r="H1055" s="6" t="s">
        <v>3066</v>
      </c>
      <c r="I1055" s="6" t="s">
        <v>3074</v>
      </c>
      <c r="J1055" s="6" t="s">
        <v>4128</v>
      </c>
      <c r="K1055" s="9">
        <v>2</v>
      </c>
      <c r="L1055" s="6" t="s">
        <v>4275</v>
      </c>
      <c r="M1055" s="6" t="s">
        <v>4278</v>
      </c>
      <c r="N1055" s="4">
        <v>993.24</v>
      </c>
      <c r="O1055" s="6">
        <f t="shared" si="16"/>
        <v>149</v>
      </c>
    </row>
    <row r="1056" spans="1:15" x14ac:dyDescent="0.3">
      <c r="A1056" s="6" t="s">
        <v>1068</v>
      </c>
      <c r="B1056" s="2">
        <v>45259</v>
      </c>
      <c r="C1056" s="6" t="s">
        <v>2260</v>
      </c>
      <c r="D1056" s="6" t="s">
        <v>2407</v>
      </c>
      <c r="E1056" s="9">
        <v>1</v>
      </c>
      <c r="F1056" s="4">
        <v>660.66</v>
      </c>
      <c r="G1056" t="s">
        <v>2490</v>
      </c>
      <c r="H1056" s="6" t="s">
        <v>3065</v>
      </c>
      <c r="I1056" s="6" t="s">
        <v>3073</v>
      </c>
      <c r="J1056" s="6" t="s">
        <v>4129</v>
      </c>
      <c r="K1056" s="9">
        <v>3</v>
      </c>
      <c r="L1056" s="6" t="s">
        <v>4277</v>
      </c>
      <c r="M1056" s="6" t="s">
        <v>4278</v>
      </c>
      <c r="N1056" s="4">
        <v>660.66</v>
      </c>
      <c r="O1056" s="6">
        <f t="shared" si="16"/>
        <v>148</v>
      </c>
    </row>
    <row r="1057" spans="1:15" x14ac:dyDescent="0.3">
      <c r="A1057" s="6" t="s">
        <v>1069</v>
      </c>
      <c r="B1057" s="2">
        <v>45222</v>
      </c>
      <c r="C1057" s="6" t="s">
        <v>2261</v>
      </c>
      <c r="D1057" s="6" t="s">
        <v>2403</v>
      </c>
      <c r="E1057" s="9">
        <v>4</v>
      </c>
      <c r="F1057" s="4">
        <v>274.82</v>
      </c>
      <c r="G1057" t="s">
        <v>2817</v>
      </c>
      <c r="H1057" s="6" t="s">
        <v>3065</v>
      </c>
      <c r="I1057" s="6" t="s">
        <v>3073</v>
      </c>
      <c r="J1057" s="6" t="s">
        <v>4130</v>
      </c>
      <c r="K1057" s="9">
        <v>9</v>
      </c>
      <c r="L1057" s="6" t="s">
        <v>4277</v>
      </c>
      <c r="M1057" s="6" t="s">
        <v>4280</v>
      </c>
      <c r="N1057" s="4">
        <v>1099.28</v>
      </c>
      <c r="O1057" s="6">
        <f t="shared" si="16"/>
        <v>147</v>
      </c>
    </row>
    <row r="1058" spans="1:15" x14ac:dyDescent="0.3">
      <c r="A1058" s="6" t="s">
        <v>1070</v>
      </c>
      <c r="B1058" s="2">
        <v>45457</v>
      </c>
      <c r="C1058" s="6" t="s">
        <v>2262</v>
      </c>
      <c r="D1058" s="6" t="s">
        <v>2404</v>
      </c>
      <c r="E1058" s="9">
        <v>2</v>
      </c>
      <c r="F1058" s="4">
        <v>486.35</v>
      </c>
      <c r="G1058" t="s">
        <v>2566</v>
      </c>
      <c r="H1058" s="6" t="s">
        <v>3066</v>
      </c>
      <c r="I1058" s="6" t="s">
        <v>3074</v>
      </c>
      <c r="J1058" s="6" t="s">
        <v>4131</v>
      </c>
      <c r="K1058" s="9">
        <v>6</v>
      </c>
      <c r="L1058" s="6" t="s">
        <v>4275</v>
      </c>
      <c r="M1058" s="6" t="s">
        <v>4279</v>
      </c>
      <c r="N1058" s="4">
        <v>972.7</v>
      </c>
      <c r="O1058" s="6">
        <f t="shared" si="16"/>
        <v>146</v>
      </c>
    </row>
    <row r="1059" spans="1:15" x14ac:dyDescent="0.3">
      <c r="A1059" s="6" t="s">
        <v>1071</v>
      </c>
      <c r="B1059" s="2">
        <v>45559</v>
      </c>
      <c r="C1059" s="6" t="s">
        <v>2263</v>
      </c>
      <c r="D1059" s="6" t="s">
        <v>2408</v>
      </c>
      <c r="E1059" s="9">
        <v>3</v>
      </c>
      <c r="F1059" s="4">
        <v>428.88</v>
      </c>
      <c r="G1059" t="s">
        <v>2563</v>
      </c>
      <c r="H1059" s="6" t="s">
        <v>3065</v>
      </c>
      <c r="I1059" s="6" t="s">
        <v>3070</v>
      </c>
      <c r="J1059" s="6" t="s">
        <v>4132</v>
      </c>
      <c r="K1059" s="9">
        <v>3</v>
      </c>
      <c r="L1059" s="6" t="s">
        <v>4277</v>
      </c>
      <c r="M1059" s="6" t="s">
        <v>4281</v>
      </c>
      <c r="N1059" s="4">
        <v>1286.6400000000001</v>
      </c>
      <c r="O1059" s="6">
        <f t="shared" si="16"/>
        <v>145</v>
      </c>
    </row>
    <row r="1060" spans="1:15" x14ac:dyDescent="0.3">
      <c r="A1060" s="6" t="s">
        <v>1072</v>
      </c>
      <c r="B1060" s="2">
        <v>45177</v>
      </c>
      <c r="C1060" s="6" t="s">
        <v>2264</v>
      </c>
      <c r="D1060" s="6" t="s">
        <v>2409</v>
      </c>
      <c r="E1060" s="9">
        <v>2</v>
      </c>
      <c r="F1060" s="4">
        <v>412.14</v>
      </c>
      <c r="G1060" t="s">
        <v>2640</v>
      </c>
      <c r="H1060" s="6" t="s">
        <v>3067</v>
      </c>
      <c r="I1060" s="6" t="s">
        <v>3072</v>
      </c>
      <c r="J1060" s="6" t="s">
        <v>4133</v>
      </c>
      <c r="K1060" s="9">
        <v>2</v>
      </c>
      <c r="L1060" s="6" t="s">
        <v>4276</v>
      </c>
      <c r="M1060" s="6" t="s">
        <v>4278</v>
      </c>
      <c r="N1060" s="4">
        <v>824.28</v>
      </c>
      <c r="O1060" s="6">
        <f t="shared" si="16"/>
        <v>144</v>
      </c>
    </row>
    <row r="1061" spans="1:15" x14ac:dyDescent="0.3">
      <c r="A1061" s="6" t="s">
        <v>1073</v>
      </c>
      <c r="B1061" s="2">
        <v>45557</v>
      </c>
      <c r="C1061" s="6" t="s">
        <v>2265</v>
      </c>
      <c r="D1061" s="6" t="s">
        <v>2409</v>
      </c>
      <c r="E1061" s="9">
        <v>1</v>
      </c>
      <c r="F1061" s="4">
        <v>265.64</v>
      </c>
      <c r="G1061" t="s">
        <v>3019</v>
      </c>
      <c r="H1061" s="6" t="s">
        <v>3067</v>
      </c>
      <c r="I1061" s="6" t="s">
        <v>3072</v>
      </c>
      <c r="J1061" s="6" t="s">
        <v>4134</v>
      </c>
      <c r="K1061" s="9">
        <v>3</v>
      </c>
      <c r="L1061" s="6" t="s">
        <v>4277</v>
      </c>
      <c r="M1061" s="6" t="s">
        <v>4278</v>
      </c>
      <c r="N1061" s="4">
        <v>265.64</v>
      </c>
      <c r="O1061" s="6">
        <f t="shared" si="16"/>
        <v>143</v>
      </c>
    </row>
    <row r="1062" spans="1:15" x14ac:dyDescent="0.3">
      <c r="A1062" s="6" t="s">
        <v>1074</v>
      </c>
      <c r="B1062" s="2">
        <v>45419</v>
      </c>
      <c r="C1062" s="6" t="s">
        <v>2266</v>
      </c>
      <c r="D1062" s="6" t="s">
        <v>2405</v>
      </c>
      <c r="E1062" s="9">
        <v>2</v>
      </c>
      <c r="F1062" s="4">
        <v>273.43</v>
      </c>
      <c r="G1062" t="s">
        <v>2702</v>
      </c>
      <c r="H1062" s="6" t="s">
        <v>3069</v>
      </c>
      <c r="I1062" s="6" t="s">
        <v>3070</v>
      </c>
      <c r="J1062" s="6" t="s">
        <v>4135</v>
      </c>
      <c r="K1062" s="9">
        <v>7</v>
      </c>
      <c r="L1062" s="6" t="s">
        <v>4277</v>
      </c>
      <c r="M1062" s="6" t="s">
        <v>4279</v>
      </c>
      <c r="N1062" s="4">
        <v>546.86</v>
      </c>
      <c r="O1062" s="6">
        <f t="shared" si="16"/>
        <v>142</v>
      </c>
    </row>
    <row r="1063" spans="1:15" x14ac:dyDescent="0.3">
      <c r="A1063" s="6" t="s">
        <v>1075</v>
      </c>
      <c r="B1063" s="2">
        <v>45686</v>
      </c>
      <c r="C1063" s="6" t="s">
        <v>2267</v>
      </c>
      <c r="D1063" s="6" t="s">
        <v>2408</v>
      </c>
      <c r="E1063" s="9">
        <v>5</v>
      </c>
      <c r="F1063" s="4">
        <v>131.69999999999999</v>
      </c>
      <c r="G1063" t="s">
        <v>2442</v>
      </c>
      <c r="H1063" s="6" t="s">
        <v>3069</v>
      </c>
      <c r="I1063" s="6" t="s">
        <v>3070</v>
      </c>
      <c r="J1063" s="6" t="s">
        <v>4136</v>
      </c>
      <c r="K1063" s="9">
        <v>8</v>
      </c>
      <c r="L1063" s="6" t="s">
        <v>4276</v>
      </c>
      <c r="M1063" s="6" t="s">
        <v>4282</v>
      </c>
      <c r="N1063" s="4">
        <v>658.5</v>
      </c>
      <c r="O1063" s="6">
        <f t="shared" si="16"/>
        <v>141</v>
      </c>
    </row>
    <row r="1064" spans="1:15" x14ac:dyDescent="0.3">
      <c r="A1064" s="6" t="s">
        <v>1076</v>
      </c>
      <c r="B1064" s="2">
        <v>45161</v>
      </c>
      <c r="C1064" s="6" t="s">
        <v>2268</v>
      </c>
      <c r="D1064" s="6" t="s">
        <v>2406</v>
      </c>
      <c r="E1064" s="9">
        <v>5</v>
      </c>
      <c r="F1064" s="4">
        <v>85.52</v>
      </c>
      <c r="G1064" t="s">
        <v>2676</v>
      </c>
      <c r="H1064" s="6" t="s">
        <v>3068</v>
      </c>
      <c r="I1064" s="6" t="s">
        <v>3071</v>
      </c>
      <c r="J1064" s="6" t="s">
        <v>4137</v>
      </c>
      <c r="K1064" s="9">
        <v>5</v>
      </c>
      <c r="L1064" s="6" t="s">
        <v>4283</v>
      </c>
      <c r="M1064" s="6" t="s">
        <v>4281</v>
      </c>
      <c r="N1064" s="4">
        <v>427.6</v>
      </c>
      <c r="O1064" s="6">
        <f t="shared" si="16"/>
        <v>140</v>
      </c>
    </row>
    <row r="1065" spans="1:15" x14ac:dyDescent="0.3">
      <c r="A1065" s="6" t="s">
        <v>1077</v>
      </c>
      <c r="B1065" s="2">
        <v>45462</v>
      </c>
      <c r="C1065" s="6" t="s">
        <v>2269</v>
      </c>
      <c r="D1065" s="6" t="s">
        <v>2409</v>
      </c>
      <c r="E1065" s="9">
        <v>2</v>
      </c>
      <c r="F1065" s="4">
        <v>320.68</v>
      </c>
      <c r="G1065" t="s">
        <v>2564</v>
      </c>
      <c r="H1065" s="6" t="s">
        <v>3067</v>
      </c>
      <c r="I1065" s="6" t="s">
        <v>3070</v>
      </c>
      <c r="J1065" s="6" t="s">
        <v>4138</v>
      </c>
      <c r="K1065" s="9">
        <v>5</v>
      </c>
      <c r="L1065" s="6" t="s">
        <v>4276</v>
      </c>
      <c r="M1065" s="6" t="s">
        <v>4279</v>
      </c>
      <c r="N1065" s="4">
        <v>641.36</v>
      </c>
      <c r="O1065" s="6">
        <f t="shared" si="16"/>
        <v>139</v>
      </c>
    </row>
    <row r="1066" spans="1:15" x14ac:dyDescent="0.3">
      <c r="A1066" s="6" t="s">
        <v>1078</v>
      </c>
      <c r="B1066" s="2">
        <v>45700</v>
      </c>
      <c r="C1066" s="6" t="s">
        <v>2270</v>
      </c>
      <c r="D1066" s="6" t="s">
        <v>2408</v>
      </c>
      <c r="E1066" s="9">
        <v>4</v>
      </c>
      <c r="F1066" s="4">
        <v>198.81</v>
      </c>
      <c r="G1066" t="s">
        <v>2646</v>
      </c>
      <c r="H1066" s="6" t="s">
        <v>3069</v>
      </c>
      <c r="I1066" s="6" t="s">
        <v>3072</v>
      </c>
      <c r="J1066" s="6" t="s">
        <v>4139</v>
      </c>
      <c r="K1066" s="9">
        <v>9</v>
      </c>
      <c r="L1066" s="6" t="s">
        <v>4276</v>
      </c>
      <c r="M1066" s="6" t="s">
        <v>4279</v>
      </c>
      <c r="N1066" s="4">
        <v>795.24</v>
      </c>
      <c r="O1066" s="6">
        <f t="shared" si="16"/>
        <v>138</v>
      </c>
    </row>
    <row r="1067" spans="1:15" x14ac:dyDescent="0.3">
      <c r="A1067" s="6" t="s">
        <v>1079</v>
      </c>
      <c r="B1067" s="2">
        <v>45229</v>
      </c>
      <c r="C1067" s="6" t="s">
        <v>2271</v>
      </c>
      <c r="D1067" s="6" t="s">
        <v>2407</v>
      </c>
      <c r="E1067" s="9">
        <v>5</v>
      </c>
      <c r="F1067" s="4">
        <v>666.8</v>
      </c>
      <c r="G1067" t="s">
        <v>2746</v>
      </c>
      <c r="H1067" s="6" t="s">
        <v>3065</v>
      </c>
      <c r="I1067" s="6" t="s">
        <v>3073</v>
      </c>
      <c r="J1067" s="6" t="s">
        <v>4140</v>
      </c>
      <c r="K1067" s="9">
        <v>7</v>
      </c>
      <c r="L1067" s="6" t="s">
        <v>4275</v>
      </c>
      <c r="M1067" s="6" t="s">
        <v>4279</v>
      </c>
      <c r="N1067" s="4">
        <v>3334</v>
      </c>
      <c r="O1067" s="6">
        <f t="shared" si="16"/>
        <v>137</v>
      </c>
    </row>
    <row r="1068" spans="1:15" x14ac:dyDescent="0.3">
      <c r="A1068" s="6" t="s">
        <v>1080</v>
      </c>
      <c r="B1068" s="2">
        <v>45280</v>
      </c>
      <c r="C1068" s="6" t="s">
        <v>2272</v>
      </c>
      <c r="D1068" s="6" t="s">
        <v>2409</v>
      </c>
      <c r="E1068" s="9">
        <v>1</v>
      </c>
      <c r="F1068" s="4">
        <v>355.09</v>
      </c>
      <c r="G1068" t="s">
        <v>2878</v>
      </c>
      <c r="H1068" s="6" t="s">
        <v>3065</v>
      </c>
      <c r="I1068" s="6" t="s">
        <v>3071</v>
      </c>
      <c r="J1068" s="6" t="s">
        <v>4141</v>
      </c>
      <c r="K1068" s="9">
        <v>5</v>
      </c>
      <c r="L1068" s="6" t="s">
        <v>4275</v>
      </c>
      <c r="M1068" s="6" t="s">
        <v>4278</v>
      </c>
      <c r="N1068" s="4">
        <v>355.09</v>
      </c>
      <c r="O1068" s="6">
        <f t="shared" si="16"/>
        <v>136</v>
      </c>
    </row>
    <row r="1069" spans="1:15" x14ac:dyDescent="0.3">
      <c r="A1069" s="6" t="s">
        <v>1081</v>
      </c>
      <c r="B1069" s="2">
        <v>45083</v>
      </c>
      <c r="C1069" s="6" t="s">
        <v>2273</v>
      </c>
      <c r="D1069" s="6" t="s">
        <v>2404</v>
      </c>
      <c r="E1069" s="9">
        <v>2</v>
      </c>
      <c r="F1069" s="4">
        <v>316.2</v>
      </c>
      <c r="G1069" t="s">
        <v>2475</v>
      </c>
      <c r="H1069" s="6" t="s">
        <v>3066</v>
      </c>
      <c r="I1069" s="6" t="s">
        <v>3072</v>
      </c>
      <c r="J1069" s="6" t="s">
        <v>4142</v>
      </c>
      <c r="K1069" s="9">
        <v>2</v>
      </c>
      <c r="L1069" s="6" t="s">
        <v>4283</v>
      </c>
      <c r="M1069" s="6" t="s">
        <v>4278</v>
      </c>
      <c r="N1069" s="4">
        <v>632.4</v>
      </c>
      <c r="O1069" s="6">
        <f t="shared" si="16"/>
        <v>135</v>
      </c>
    </row>
    <row r="1070" spans="1:15" x14ac:dyDescent="0.3">
      <c r="A1070" s="6" t="s">
        <v>1082</v>
      </c>
      <c r="B1070" s="2">
        <v>45507</v>
      </c>
      <c r="C1070" s="6" t="s">
        <v>2274</v>
      </c>
      <c r="D1070" s="6" t="s">
        <v>2408</v>
      </c>
      <c r="E1070" s="9">
        <v>1</v>
      </c>
      <c r="F1070" s="4">
        <v>133.38999999999999</v>
      </c>
      <c r="G1070" t="s">
        <v>3020</v>
      </c>
      <c r="H1070" s="6" t="s">
        <v>3065</v>
      </c>
      <c r="I1070" s="6" t="s">
        <v>3070</v>
      </c>
      <c r="J1070" s="6" t="s">
        <v>4143</v>
      </c>
      <c r="K1070" s="9">
        <v>2</v>
      </c>
      <c r="L1070" s="6" t="s">
        <v>4275</v>
      </c>
      <c r="M1070" s="6" t="s">
        <v>4279</v>
      </c>
      <c r="N1070" s="4">
        <v>133.38999999999999</v>
      </c>
      <c r="O1070" s="6">
        <f t="shared" si="16"/>
        <v>134</v>
      </c>
    </row>
    <row r="1071" spans="1:15" x14ac:dyDescent="0.3">
      <c r="A1071" s="6" t="s">
        <v>1083</v>
      </c>
      <c r="B1071" s="2">
        <v>44982</v>
      </c>
      <c r="C1071" s="6" t="s">
        <v>2275</v>
      </c>
      <c r="D1071" s="6" t="s">
        <v>2403</v>
      </c>
      <c r="E1071" s="9">
        <v>1</v>
      </c>
      <c r="F1071" s="4">
        <v>454.23</v>
      </c>
      <c r="G1071" t="s">
        <v>2617</v>
      </c>
      <c r="H1071" s="6" t="s">
        <v>3068</v>
      </c>
      <c r="I1071" s="6" t="s">
        <v>3072</v>
      </c>
      <c r="J1071" s="6" t="s">
        <v>4144</v>
      </c>
      <c r="K1071" s="9">
        <v>3</v>
      </c>
      <c r="L1071" s="6" t="s">
        <v>4283</v>
      </c>
      <c r="M1071" s="6" t="s">
        <v>4281</v>
      </c>
      <c r="N1071" s="4">
        <v>454.23</v>
      </c>
      <c r="O1071" s="6">
        <f t="shared" si="16"/>
        <v>133</v>
      </c>
    </row>
    <row r="1072" spans="1:15" x14ac:dyDescent="0.3">
      <c r="A1072" s="6" t="s">
        <v>1084</v>
      </c>
      <c r="B1072" s="2">
        <v>45541</v>
      </c>
      <c r="C1072" s="6" t="s">
        <v>2276</v>
      </c>
      <c r="D1072" s="6" t="s">
        <v>2409</v>
      </c>
      <c r="E1072" s="9">
        <v>4</v>
      </c>
      <c r="F1072" s="4">
        <v>491.29</v>
      </c>
      <c r="G1072" t="s">
        <v>2485</v>
      </c>
      <c r="H1072" s="6" t="s">
        <v>3065</v>
      </c>
      <c r="I1072" s="6" t="s">
        <v>3074</v>
      </c>
      <c r="J1072" s="6" t="s">
        <v>4145</v>
      </c>
      <c r="K1072" s="9">
        <v>6</v>
      </c>
      <c r="L1072" s="6" t="s">
        <v>4283</v>
      </c>
      <c r="M1072" s="6" t="s">
        <v>4280</v>
      </c>
      <c r="N1072" s="4">
        <v>1965.16</v>
      </c>
      <c r="O1072" s="6">
        <f t="shared" si="16"/>
        <v>132</v>
      </c>
    </row>
    <row r="1073" spans="1:15" x14ac:dyDescent="0.3">
      <c r="A1073" s="6" t="s">
        <v>1085</v>
      </c>
      <c r="B1073" s="2">
        <v>45832</v>
      </c>
      <c r="C1073" s="6" t="s">
        <v>2277</v>
      </c>
      <c r="D1073" s="6" t="s">
        <v>2404</v>
      </c>
      <c r="E1073" s="9">
        <v>2</v>
      </c>
      <c r="F1073" s="4">
        <v>255.14</v>
      </c>
      <c r="G1073" t="s">
        <v>2717</v>
      </c>
      <c r="H1073" s="6" t="s">
        <v>3069</v>
      </c>
      <c r="I1073" s="6" t="s">
        <v>3070</v>
      </c>
      <c r="J1073" s="6" t="s">
        <v>4146</v>
      </c>
      <c r="K1073" s="9">
        <v>2</v>
      </c>
      <c r="L1073" s="6" t="s">
        <v>4283</v>
      </c>
      <c r="M1073" s="6" t="s">
        <v>4282</v>
      </c>
      <c r="N1073" s="4">
        <v>510.28</v>
      </c>
      <c r="O1073" s="6">
        <f t="shared" si="16"/>
        <v>131</v>
      </c>
    </row>
    <row r="1074" spans="1:15" x14ac:dyDescent="0.3">
      <c r="A1074" s="6" t="s">
        <v>1086</v>
      </c>
      <c r="B1074" s="2">
        <v>44983</v>
      </c>
      <c r="C1074" s="6" t="s">
        <v>2278</v>
      </c>
      <c r="D1074" s="6" t="s">
        <v>2403</v>
      </c>
      <c r="E1074" s="9">
        <v>1</v>
      </c>
      <c r="F1074" s="4">
        <v>392.61</v>
      </c>
      <c r="G1074" t="s">
        <v>2635</v>
      </c>
      <c r="H1074" s="6" t="s">
        <v>3068</v>
      </c>
      <c r="I1074" s="6" t="s">
        <v>3071</v>
      </c>
      <c r="J1074" s="6" t="s">
        <v>4147</v>
      </c>
      <c r="K1074" s="9">
        <v>4</v>
      </c>
      <c r="L1074" s="6" t="s">
        <v>4275</v>
      </c>
      <c r="M1074" s="6" t="s">
        <v>4279</v>
      </c>
      <c r="N1074" s="4">
        <v>392.61</v>
      </c>
      <c r="O1074" s="6">
        <f t="shared" si="16"/>
        <v>130</v>
      </c>
    </row>
    <row r="1075" spans="1:15" x14ac:dyDescent="0.3">
      <c r="A1075" s="6" t="s">
        <v>1087</v>
      </c>
      <c r="B1075" s="2">
        <v>45576</v>
      </c>
      <c r="C1075" s="6" t="s">
        <v>2279</v>
      </c>
      <c r="D1075" s="6" t="s">
        <v>2405</v>
      </c>
      <c r="E1075" s="9">
        <v>4</v>
      </c>
      <c r="F1075" s="4">
        <v>362.06</v>
      </c>
      <c r="G1075" t="s">
        <v>2631</v>
      </c>
      <c r="H1075" s="6" t="s">
        <v>3065</v>
      </c>
      <c r="I1075" s="6" t="s">
        <v>3072</v>
      </c>
      <c r="J1075" s="6" t="s">
        <v>4148</v>
      </c>
      <c r="K1075" s="9">
        <v>4</v>
      </c>
      <c r="L1075" s="6" t="s">
        <v>4283</v>
      </c>
      <c r="M1075" s="6" t="s">
        <v>4281</v>
      </c>
      <c r="N1075" s="4">
        <v>1448.24</v>
      </c>
      <c r="O1075" s="6">
        <f t="shared" si="16"/>
        <v>129</v>
      </c>
    </row>
    <row r="1076" spans="1:15" x14ac:dyDescent="0.3">
      <c r="A1076" s="6" t="s">
        <v>1088</v>
      </c>
      <c r="B1076" s="2">
        <v>45422</v>
      </c>
      <c r="C1076" s="6" t="s">
        <v>2280</v>
      </c>
      <c r="D1076" s="6" t="s">
        <v>2404</v>
      </c>
      <c r="E1076" s="9">
        <v>1</v>
      </c>
      <c r="F1076" s="4">
        <v>222.73</v>
      </c>
      <c r="G1076" t="s">
        <v>3021</v>
      </c>
      <c r="H1076" s="6" t="s">
        <v>3066</v>
      </c>
      <c r="I1076" s="6" t="s">
        <v>3072</v>
      </c>
      <c r="J1076" s="6" t="s">
        <v>4149</v>
      </c>
      <c r="K1076" s="9">
        <v>4</v>
      </c>
      <c r="L1076" s="6" t="s">
        <v>4283</v>
      </c>
      <c r="M1076" s="6" t="s">
        <v>4282</v>
      </c>
      <c r="N1076" s="4">
        <v>222.73</v>
      </c>
      <c r="O1076" s="6">
        <f t="shared" si="16"/>
        <v>128</v>
      </c>
    </row>
    <row r="1077" spans="1:15" x14ac:dyDescent="0.3">
      <c r="A1077" s="6" t="s">
        <v>1089</v>
      </c>
      <c r="B1077" s="2">
        <v>45535</v>
      </c>
      <c r="C1077" s="6" t="s">
        <v>2281</v>
      </c>
      <c r="D1077" s="6" t="s">
        <v>2403</v>
      </c>
      <c r="E1077" s="9">
        <v>2</v>
      </c>
      <c r="F1077" s="4">
        <v>552.63</v>
      </c>
      <c r="G1077" t="s">
        <v>2591</v>
      </c>
      <c r="H1077" s="6" t="s">
        <v>3065</v>
      </c>
      <c r="I1077" s="6" t="s">
        <v>3073</v>
      </c>
      <c r="J1077" s="6" t="s">
        <v>4150</v>
      </c>
      <c r="K1077" s="9">
        <v>7</v>
      </c>
      <c r="L1077" s="6" t="s">
        <v>4277</v>
      </c>
      <c r="M1077" s="6" t="s">
        <v>4278</v>
      </c>
      <c r="N1077" s="4">
        <v>1105.26</v>
      </c>
      <c r="O1077" s="6">
        <f t="shared" si="16"/>
        <v>127</v>
      </c>
    </row>
    <row r="1078" spans="1:15" x14ac:dyDescent="0.3">
      <c r="A1078" s="6" t="s">
        <v>1090</v>
      </c>
      <c r="B1078" s="2">
        <v>45054</v>
      </c>
      <c r="C1078" s="6" t="s">
        <v>2282</v>
      </c>
      <c r="D1078" s="6" t="s">
        <v>2408</v>
      </c>
      <c r="E1078" s="9">
        <v>4</v>
      </c>
      <c r="F1078" s="4">
        <v>686.61</v>
      </c>
      <c r="G1078" t="s">
        <v>3005</v>
      </c>
      <c r="H1078" s="6" t="s">
        <v>3069</v>
      </c>
      <c r="I1078" s="6" t="s">
        <v>3070</v>
      </c>
      <c r="J1078" s="6" t="s">
        <v>4151</v>
      </c>
      <c r="K1078" s="9">
        <v>6</v>
      </c>
      <c r="L1078" s="6" t="s">
        <v>4283</v>
      </c>
      <c r="M1078" s="6" t="s">
        <v>4279</v>
      </c>
      <c r="N1078" s="4">
        <v>2746.44</v>
      </c>
      <c r="O1078" s="6">
        <f t="shared" si="16"/>
        <v>126</v>
      </c>
    </row>
    <row r="1079" spans="1:15" x14ac:dyDescent="0.3">
      <c r="A1079" s="6" t="s">
        <v>1091</v>
      </c>
      <c r="B1079" s="2">
        <v>45723</v>
      </c>
      <c r="C1079" s="6" t="s">
        <v>2283</v>
      </c>
      <c r="D1079" s="6" t="s">
        <v>2407</v>
      </c>
      <c r="E1079" s="9">
        <v>3</v>
      </c>
      <c r="F1079" s="4">
        <v>305.16000000000003</v>
      </c>
      <c r="G1079" t="s">
        <v>2517</v>
      </c>
      <c r="H1079" s="6" t="s">
        <v>3067</v>
      </c>
      <c r="I1079" s="6" t="s">
        <v>3071</v>
      </c>
      <c r="J1079" s="6" t="s">
        <v>4152</v>
      </c>
      <c r="K1079" s="9">
        <v>8</v>
      </c>
      <c r="L1079" s="6" t="s">
        <v>4275</v>
      </c>
      <c r="M1079" s="6" t="s">
        <v>4279</v>
      </c>
      <c r="N1079" s="4">
        <v>915.48</v>
      </c>
      <c r="O1079" s="6">
        <f t="shared" si="16"/>
        <v>125</v>
      </c>
    </row>
    <row r="1080" spans="1:15" x14ac:dyDescent="0.3">
      <c r="A1080" s="6" t="s">
        <v>1092</v>
      </c>
      <c r="B1080" s="2">
        <v>45003</v>
      </c>
      <c r="C1080" s="6" t="s">
        <v>2284</v>
      </c>
      <c r="D1080" s="6" t="s">
        <v>2409</v>
      </c>
      <c r="E1080" s="9">
        <v>1</v>
      </c>
      <c r="F1080" s="4">
        <v>41.09</v>
      </c>
      <c r="G1080" t="s">
        <v>2437</v>
      </c>
      <c r="H1080" s="6" t="s">
        <v>3066</v>
      </c>
      <c r="I1080" s="6" t="s">
        <v>3072</v>
      </c>
      <c r="J1080" s="6" t="s">
        <v>4153</v>
      </c>
      <c r="K1080" s="9">
        <v>4</v>
      </c>
      <c r="L1080" s="6" t="s">
        <v>4277</v>
      </c>
      <c r="M1080" s="6" t="s">
        <v>4280</v>
      </c>
      <c r="N1080" s="4">
        <v>41.09</v>
      </c>
      <c r="O1080" s="6">
        <f t="shared" si="16"/>
        <v>124</v>
      </c>
    </row>
    <row r="1081" spans="1:15" x14ac:dyDescent="0.3">
      <c r="A1081" s="6" t="s">
        <v>1093</v>
      </c>
      <c r="B1081" s="2">
        <v>45463</v>
      </c>
      <c r="C1081" s="6" t="s">
        <v>2285</v>
      </c>
      <c r="D1081" s="6" t="s">
        <v>2404</v>
      </c>
      <c r="E1081" s="9">
        <v>5</v>
      </c>
      <c r="F1081" s="4">
        <v>634</v>
      </c>
      <c r="G1081" t="s">
        <v>2980</v>
      </c>
      <c r="H1081" s="6" t="s">
        <v>3068</v>
      </c>
      <c r="I1081" s="6" t="s">
        <v>3073</v>
      </c>
      <c r="J1081" s="6" t="s">
        <v>4154</v>
      </c>
      <c r="K1081" s="9">
        <v>8</v>
      </c>
      <c r="L1081" s="6" t="s">
        <v>4283</v>
      </c>
      <c r="M1081" s="6" t="s">
        <v>4280</v>
      </c>
      <c r="N1081" s="4">
        <v>3170</v>
      </c>
      <c r="O1081" s="6">
        <f t="shared" si="16"/>
        <v>123</v>
      </c>
    </row>
    <row r="1082" spans="1:15" x14ac:dyDescent="0.3">
      <c r="A1082" s="6" t="s">
        <v>1094</v>
      </c>
      <c r="B1082" s="2">
        <v>44946</v>
      </c>
      <c r="C1082" s="6" t="s">
        <v>2286</v>
      </c>
      <c r="D1082" s="6" t="s">
        <v>2408</v>
      </c>
      <c r="E1082" s="9">
        <v>5</v>
      </c>
      <c r="F1082" s="4">
        <v>464.74</v>
      </c>
      <c r="G1082" t="s">
        <v>3022</v>
      </c>
      <c r="H1082" s="6" t="s">
        <v>3068</v>
      </c>
      <c r="I1082" s="6" t="s">
        <v>3073</v>
      </c>
      <c r="J1082" s="6" t="s">
        <v>4155</v>
      </c>
      <c r="K1082" s="9">
        <v>7</v>
      </c>
      <c r="L1082" s="6" t="s">
        <v>4283</v>
      </c>
      <c r="M1082" s="6" t="s">
        <v>4279</v>
      </c>
      <c r="N1082" s="4">
        <v>2323.6999999999998</v>
      </c>
      <c r="O1082" s="6">
        <f t="shared" si="16"/>
        <v>122</v>
      </c>
    </row>
    <row r="1083" spans="1:15" x14ac:dyDescent="0.3">
      <c r="A1083" s="6" t="s">
        <v>1095</v>
      </c>
      <c r="B1083" s="2">
        <v>45037</v>
      </c>
      <c r="C1083" s="6" t="s">
        <v>2287</v>
      </c>
      <c r="D1083" s="6" t="s">
        <v>2403</v>
      </c>
      <c r="E1083" s="9">
        <v>4</v>
      </c>
      <c r="F1083" s="4">
        <v>425.6</v>
      </c>
      <c r="G1083" t="s">
        <v>2704</v>
      </c>
      <c r="H1083" s="6" t="s">
        <v>3067</v>
      </c>
      <c r="I1083" s="6" t="s">
        <v>3074</v>
      </c>
      <c r="J1083" s="6" t="s">
        <v>4156</v>
      </c>
      <c r="K1083" s="9">
        <v>5</v>
      </c>
      <c r="L1083" s="6" t="s">
        <v>4276</v>
      </c>
      <c r="M1083" s="6" t="s">
        <v>4282</v>
      </c>
      <c r="N1083" s="4">
        <v>1702.4</v>
      </c>
      <c r="O1083" s="6">
        <f t="shared" si="16"/>
        <v>121</v>
      </c>
    </row>
    <row r="1084" spans="1:15" x14ac:dyDescent="0.3">
      <c r="A1084" s="6" t="s">
        <v>1096</v>
      </c>
      <c r="B1084" s="2">
        <v>45205</v>
      </c>
      <c r="C1084" s="6" t="s">
        <v>2288</v>
      </c>
      <c r="D1084" s="6" t="s">
        <v>2406</v>
      </c>
      <c r="E1084" s="9">
        <v>3</v>
      </c>
      <c r="F1084" s="4">
        <v>573.22</v>
      </c>
      <c r="G1084" t="s">
        <v>3011</v>
      </c>
      <c r="H1084" s="6" t="s">
        <v>3065</v>
      </c>
      <c r="I1084" s="6" t="s">
        <v>3074</v>
      </c>
      <c r="J1084" s="6" t="s">
        <v>4157</v>
      </c>
      <c r="K1084" s="9">
        <v>5</v>
      </c>
      <c r="L1084" s="6" t="s">
        <v>4275</v>
      </c>
      <c r="M1084" s="6" t="s">
        <v>4280</v>
      </c>
      <c r="N1084" s="4">
        <v>1719.66</v>
      </c>
      <c r="O1084" s="6">
        <f t="shared" si="16"/>
        <v>120</v>
      </c>
    </row>
    <row r="1085" spans="1:15" x14ac:dyDescent="0.3">
      <c r="A1085" s="6" t="s">
        <v>1097</v>
      </c>
      <c r="B1085" s="2">
        <v>45482</v>
      </c>
      <c r="C1085" s="6" t="s">
        <v>2289</v>
      </c>
      <c r="D1085" s="6" t="s">
        <v>2406</v>
      </c>
      <c r="E1085" s="9">
        <v>1</v>
      </c>
      <c r="F1085" s="4">
        <v>123.28</v>
      </c>
      <c r="G1085" t="s">
        <v>2440</v>
      </c>
      <c r="H1085" s="6" t="s">
        <v>3067</v>
      </c>
      <c r="I1085" s="6" t="s">
        <v>3073</v>
      </c>
      <c r="J1085" s="6" t="s">
        <v>4158</v>
      </c>
      <c r="K1085" s="9">
        <v>3</v>
      </c>
      <c r="L1085" s="6" t="s">
        <v>4275</v>
      </c>
      <c r="M1085" s="6" t="s">
        <v>4280</v>
      </c>
      <c r="N1085" s="4">
        <v>123.28</v>
      </c>
      <c r="O1085" s="6">
        <f t="shared" si="16"/>
        <v>119</v>
      </c>
    </row>
    <row r="1086" spans="1:15" x14ac:dyDescent="0.3">
      <c r="A1086" s="6" t="s">
        <v>1098</v>
      </c>
      <c r="B1086" s="2">
        <v>44934</v>
      </c>
      <c r="C1086" s="6" t="s">
        <v>2290</v>
      </c>
      <c r="D1086" s="6" t="s">
        <v>2404</v>
      </c>
      <c r="E1086" s="9">
        <v>1</v>
      </c>
      <c r="F1086" s="4">
        <v>70.819999999999993</v>
      </c>
      <c r="G1086" t="s">
        <v>2445</v>
      </c>
      <c r="H1086" s="6" t="s">
        <v>3068</v>
      </c>
      <c r="I1086" s="6" t="s">
        <v>3074</v>
      </c>
      <c r="J1086" s="6" t="s">
        <v>4159</v>
      </c>
      <c r="K1086" s="9">
        <v>1</v>
      </c>
      <c r="L1086" s="6" t="s">
        <v>4277</v>
      </c>
      <c r="M1086" s="6" t="s">
        <v>4278</v>
      </c>
      <c r="N1086" s="4">
        <v>70.819999999999993</v>
      </c>
      <c r="O1086" s="6">
        <f t="shared" si="16"/>
        <v>118</v>
      </c>
    </row>
    <row r="1087" spans="1:15" x14ac:dyDescent="0.3">
      <c r="A1087" s="6" t="s">
        <v>1099</v>
      </c>
      <c r="B1087" s="2">
        <v>45067</v>
      </c>
      <c r="C1087" s="6" t="s">
        <v>2291</v>
      </c>
      <c r="D1087" s="6" t="s">
        <v>2407</v>
      </c>
      <c r="E1087" s="9">
        <v>2</v>
      </c>
      <c r="F1087" s="4">
        <v>646.69000000000005</v>
      </c>
      <c r="G1087" t="s">
        <v>2545</v>
      </c>
      <c r="H1087" s="6" t="s">
        <v>3065</v>
      </c>
      <c r="I1087" s="6" t="s">
        <v>3070</v>
      </c>
      <c r="J1087" s="6" t="s">
        <v>4160</v>
      </c>
      <c r="K1087" s="9">
        <v>7</v>
      </c>
      <c r="L1087" s="6" t="s">
        <v>4277</v>
      </c>
      <c r="M1087" s="6" t="s">
        <v>4278</v>
      </c>
      <c r="N1087" s="4">
        <v>1293.3800000000001</v>
      </c>
      <c r="O1087" s="6">
        <f t="shared" si="16"/>
        <v>117</v>
      </c>
    </row>
    <row r="1088" spans="1:15" x14ac:dyDescent="0.3">
      <c r="A1088" s="6" t="s">
        <v>1100</v>
      </c>
      <c r="B1088" s="2">
        <v>45283</v>
      </c>
      <c r="C1088" s="6" t="s">
        <v>2292</v>
      </c>
      <c r="D1088" s="6" t="s">
        <v>2405</v>
      </c>
      <c r="E1088" s="9">
        <v>2</v>
      </c>
      <c r="F1088" s="4">
        <v>513.41999999999996</v>
      </c>
      <c r="G1088" t="s">
        <v>3023</v>
      </c>
      <c r="H1088" s="6" t="s">
        <v>3066</v>
      </c>
      <c r="I1088" s="6" t="s">
        <v>3074</v>
      </c>
      <c r="J1088" s="6" t="s">
        <v>4161</v>
      </c>
      <c r="K1088" s="9">
        <v>5</v>
      </c>
      <c r="L1088" s="6" t="s">
        <v>4277</v>
      </c>
      <c r="M1088" s="6" t="s">
        <v>4278</v>
      </c>
      <c r="N1088" s="4">
        <v>1026.8399999999999</v>
      </c>
      <c r="O1088" s="6">
        <f t="shared" si="16"/>
        <v>116</v>
      </c>
    </row>
    <row r="1089" spans="1:15" x14ac:dyDescent="0.3">
      <c r="A1089" s="6" t="s">
        <v>1101</v>
      </c>
      <c r="B1089" s="2">
        <v>45739</v>
      </c>
      <c r="C1089" s="6" t="s">
        <v>2293</v>
      </c>
      <c r="D1089" s="6" t="s">
        <v>2408</v>
      </c>
      <c r="E1089" s="9">
        <v>4</v>
      </c>
      <c r="F1089" s="4">
        <v>693.07</v>
      </c>
      <c r="G1089" t="s">
        <v>3024</v>
      </c>
      <c r="H1089" s="6" t="s">
        <v>3066</v>
      </c>
      <c r="I1089" s="6" t="s">
        <v>3070</v>
      </c>
      <c r="J1089" s="6" t="s">
        <v>4162</v>
      </c>
      <c r="K1089" s="9">
        <v>8</v>
      </c>
      <c r="L1089" s="6" t="s">
        <v>4275</v>
      </c>
      <c r="M1089" s="6" t="s">
        <v>4278</v>
      </c>
      <c r="N1089" s="4">
        <v>2772.28</v>
      </c>
      <c r="O1089" s="6">
        <f t="shared" si="16"/>
        <v>115</v>
      </c>
    </row>
    <row r="1090" spans="1:15" x14ac:dyDescent="0.3">
      <c r="A1090" s="6" t="s">
        <v>1102</v>
      </c>
      <c r="B1090" s="2">
        <v>45260</v>
      </c>
      <c r="C1090" s="6" t="s">
        <v>2294</v>
      </c>
      <c r="D1090" s="6" t="s">
        <v>2409</v>
      </c>
      <c r="E1090" s="9">
        <v>3</v>
      </c>
      <c r="F1090" s="4">
        <v>491.43</v>
      </c>
      <c r="G1090" t="s">
        <v>3025</v>
      </c>
      <c r="H1090" s="6" t="s">
        <v>3068</v>
      </c>
      <c r="I1090" s="6" t="s">
        <v>3070</v>
      </c>
      <c r="J1090" s="6" t="s">
        <v>4163</v>
      </c>
      <c r="K1090" s="9">
        <v>6</v>
      </c>
      <c r="L1090" s="6" t="s">
        <v>4277</v>
      </c>
      <c r="M1090" s="6" t="s">
        <v>4278</v>
      </c>
      <c r="N1090" s="4">
        <v>1474.29</v>
      </c>
      <c r="O1090" s="6">
        <f t="shared" ref="O1090:O1153" si="17">COUNTA(_xlfn.UNIQUE(C1089:C2288))</f>
        <v>114</v>
      </c>
    </row>
    <row r="1091" spans="1:15" x14ac:dyDescent="0.3">
      <c r="A1091" s="6" t="s">
        <v>1103</v>
      </c>
      <c r="B1091" s="2">
        <v>45731</v>
      </c>
      <c r="C1091" s="6" t="s">
        <v>2295</v>
      </c>
      <c r="D1091" s="6" t="s">
        <v>2405</v>
      </c>
      <c r="E1091" s="9">
        <v>2</v>
      </c>
      <c r="F1091" s="4">
        <v>599.74</v>
      </c>
      <c r="G1091" t="s">
        <v>2473</v>
      </c>
      <c r="H1091" s="6" t="s">
        <v>3068</v>
      </c>
      <c r="I1091" s="6" t="s">
        <v>3070</v>
      </c>
      <c r="J1091" s="6" t="s">
        <v>4164</v>
      </c>
      <c r="K1091" s="9">
        <v>2</v>
      </c>
      <c r="L1091" s="6" t="s">
        <v>4283</v>
      </c>
      <c r="M1091" s="6" t="s">
        <v>4278</v>
      </c>
      <c r="N1091" s="4">
        <v>1199.48</v>
      </c>
      <c r="O1091" s="6">
        <f t="shared" si="17"/>
        <v>113</v>
      </c>
    </row>
    <row r="1092" spans="1:15" x14ac:dyDescent="0.3">
      <c r="A1092" s="6" t="s">
        <v>1104</v>
      </c>
      <c r="B1092" s="2">
        <v>44982</v>
      </c>
      <c r="C1092" s="6" t="s">
        <v>2296</v>
      </c>
      <c r="D1092" s="6" t="s">
        <v>2403</v>
      </c>
      <c r="E1092" s="9">
        <v>2</v>
      </c>
      <c r="F1092" s="4">
        <v>650.25</v>
      </c>
      <c r="G1092" t="s">
        <v>2441</v>
      </c>
      <c r="H1092" s="6" t="s">
        <v>3068</v>
      </c>
      <c r="I1092" s="6" t="s">
        <v>3072</v>
      </c>
      <c r="J1092" s="6" t="s">
        <v>4165</v>
      </c>
      <c r="K1092" s="9">
        <v>6</v>
      </c>
      <c r="L1092" s="6" t="s">
        <v>4283</v>
      </c>
      <c r="M1092" s="6" t="s">
        <v>4278</v>
      </c>
      <c r="N1092" s="4">
        <v>1300.5</v>
      </c>
      <c r="O1092" s="6">
        <f t="shared" si="17"/>
        <v>112</v>
      </c>
    </row>
    <row r="1093" spans="1:15" x14ac:dyDescent="0.3">
      <c r="A1093" s="6" t="s">
        <v>1105</v>
      </c>
      <c r="B1093" s="2">
        <v>45573</v>
      </c>
      <c r="C1093" s="6" t="s">
        <v>2297</v>
      </c>
      <c r="D1093" s="6" t="s">
        <v>2408</v>
      </c>
      <c r="E1093" s="9">
        <v>3</v>
      </c>
      <c r="F1093" s="4">
        <v>209.48</v>
      </c>
      <c r="G1093" t="s">
        <v>2739</v>
      </c>
      <c r="H1093" s="6" t="s">
        <v>3065</v>
      </c>
      <c r="I1093" s="6" t="s">
        <v>3074</v>
      </c>
      <c r="J1093" s="6" t="s">
        <v>4166</v>
      </c>
      <c r="K1093" s="9">
        <v>4</v>
      </c>
      <c r="L1093" s="6" t="s">
        <v>4283</v>
      </c>
      <c r="M1093" s="6" t="s">
        <v>4280</v>
      </c>
      <c r="N1093" s="4">
        <v>628.43999999999994</v>
      </c>
      <c r="O1093" s="6">
        <f t="shared" si="17"/>
        <v>111</v>
      </c>
    </row>
    <row r="1094" spans="1:15" x14ac:dyDescent="0.3">
      <c r="A1094" s="6" t="s">
        <v>1106</v>
      </c>
      <c r="B1094" s="2">
        <v>45159</v>
      </c>
      <c r="C1094" s="6" t="s">
        <v>2298</v>
      </c>
      <c r="D1094" s="6" t="s">
        <v>2408</v>
      </c>
      <c r="E1094" s="9">
        <v>5</v>
      </c>
      <c r="F1094" s="4">
        <v>209.2</v>
      </c>
      <c r="G1094" t="s">
        <v>2439</v>
      </c>
      <c r="H1094" s="6" t="s">
        <v>3065</v>
      </c>
      <c r="I1094" s="6" t="s">
        <v>3073</v>
      </c>
      <c r="J1094" s="6" t="s">
        <v>4167</v>
      </c>
      <c r="K1094" s="9">
        <v>6</v>
      </c>
      <c r="L1094" s="6" t="s">
        <v>4277</v>
      </c>
      <c r="M1094" s="6" t="s">
        <v>4280</v>
      </c>
      <c r="N1094" s="4">
        <v>1046</v>
      </c>
      <c r="O1094" s="6">
        <f t="shared" si="17"/>
        <v>110</v>
      </c>
    </row>
    <row r="1095" spans="1:15" x14ac:dyDescent="0.3">
      <c r="A1095" s="6" t="s">
        <v>1107</v>
      </c>
      <c r="B1095" s="2">
        <v>45086</v>
      </c>
      <c r="C1095" s="6" t="s">
        <v>2299</v>
      </c>
      <c r="D1095" s="6" t="s">
        <v>2404</v>
      </c>
      <c r="E1095" s="9">
        <v>4</v>
      </c>
      <c r="F1095" s="4">
        <v>197.36</v>
      </c>
      <c r="G1095" t="s">
        <v>3026</v>
      </c>
      <c r="H1095" s="6" t="s">
        <v>3068</v>
      </c>
      <c r="I1095" s="6" t="s">
        <v>3072</v>
      </c>
      <c r="J1095" s="6" t="s">
        <v>4168</v>
      </c>
      <c r="K1095" s="9">
        <v>9</v>
      </c>
      <c r="L1095" s="6" t="s">
        <v>4276</v>
      </c>
      <c r="M1095" s="6" t="s">
        <v>4278</v>
      </c>
      <c r="N1095" s="4">
        <v>789.44</v>
      </c>
      <c r="O1095" s="6">
        <f t="shared" si="17"/>
        <v>109</v>
      </c>
    </row>
    <row r="1096" spans="1:15" x14ac:dyDescent="0.3">
      <c r="A1096" s="6" t="s">
        <v>1108</v>
      </c>
      <c r="B1096" s="2">
        <v>45105</v>
      </c>
      <c r="C1096" s="6" t="s">
        <v>2300</v>
      </c>
      <c r="D1096" s="6" t="s">
        <v>2407</v>
      </c>
      <c r="E1096" s="9">
        <v>4</v>
      </c>
      <c r="F1096" s="4">
        <v>648.91</v>
      </c>
      <c r="G1096" t="s">
        <v>3027</v>
      </c>
      <c r="H1096" s="6" t="s">
        <v>3067</v>
      </c>
      <c r="I1096" s="6" t="s">
        <v>3070</v>
      </c>
      <c r="J1096" s="6" t="s">
        <v>4169</v>
      </c>
      <c r="K1096" s="9">
        <v>6</v>
      </c>
      <c r="L1096" s="6" t="s">
        <v>4275</v>
      </c>
      <c r="M1096" s="6" t="s">
        <v>4278</v>
      </c>
      <c r="N1096" s="4">
        <v>2595.64</v>
      </c>
      <c r="O1096" s="6">
        <f t="shared" si="17"/>
        <v>108</v>
      </c>
    </row>
    <row r="1097" spans="1:15" x14ac:dyDescent="0.3">
      <c r="A1097" s="6" t="s">
        <v>1109</v>
      </c>
      <c r="B1097" s="2">
        <v>45405</v>
      </c>
      <c r="C1097" s="6" t="s">
        <v>2301</v>
      </c>
      <c r="D1097" s="6" t="s">
        <v>2404</v>
      </c>
      <c r="E1097" s="9">
        <v>2</v>
      </c>
      <c r="F1097" s="4">
        <v>441.54</v>
      </c>
      <c r="G1097" t="s">
        <v>3028</v>
      </c>
      <c r="H1097" s="6" t="s">
        <v>3066</v>
      </c>
      <c r="I1097" s="6" t="s">
        <v>3073</v>
      </c>
      <c r="J1097" s="6" t="s">
        <v>4170</v>
      </c>
      <c r="K1097" s="9">
        <v>2</v>
      </c>
      <c r="L1097" s="6" t="s">
        <v>4275</v>
      </c>
      <c r="M1097" s="6" t="s">
        <v>4280</v>
      </c>
      <c r="N1097" s="4">
        <v>883.08</v>
      </c>
      <c r="O1097" s="6">
        <f t="shared" si="17"/>
        <v>107</v>
      </c>
    </row>
    <row r="1098" spans="1:15" x14ac:dyDescent="0.3">
      <c r="A1098" s="6" t="s">
        <v>1110</v>
      </c>
      <c r="B1098" s="2">
        <v>45780</v>
      </c>
      <c r="C1098" s="6" t="s">
        <v>2302</v>
      </c>
      <c r="D1098" s="6" t="s">
        <v>2405</v>
      </c>
      <c r="E1098" s="9">
        <v>2</v>
      </c>
      <c r="F1098" s="4">
        <v>464.92</v>
      </c>
      <c r="G1098" t="s">
        <v>3029</v>
      </c>
      <c r="H1098" s="6" t="s">
        <v>3065</v>
      </c>
      <c r="I1098" s="6" t="s">
        <v>3072</v>
      </c>
      <c r="J1098" s="6" t="s">
        <v>4171</v>
      </c>
      <c r="K1098" s="9">
        <v>2</v>
      </c>
      <c r="L1098" s="6" t="s">
        <v>4283</v>
      </c>
      <c r="M1098" s="6" t="s">
        <v>4281</v>
      </c>
      <c r="N1098" s="4">
        <v>929.84</v>
      </c>
      <c r="O1098" s="6">
        <f t="shared" si="17"/>
        <v>106</v>
      </c>
    </row>
    <row r="1099" spans="1:15" x14ac:dyDescent="0.3">
      <c r="A1099" s="6" t="s">
        <v>1111</v>
      </c>
      <c r="B1099" s="2">
        <v>45652</v>
      </c>
      <c r="C1099" s="6" t="s">
        <v>2303</v>
      </c>
      <c r="D1099" s="6" t="s">
        <v>2403</v>
      </c>
      <c r="E1099" s="9">
        <v>5</v>
      </c>
      <c r="F1099" s="4">
        <v>506.45</v>
      </c>
      <c r="G1099" t="s">
        <v>3030</v>
      </c>
      <c r="H1099" s="6" t="s">
        <v>3068</v>
      </c>
      <c r="I1099" s="6" t="s">
        <v>3070</v>
      </c>
      <c r="J1099" s="6" t="s">
        <v>4172</v>
      </c>
      <c r="K1099" s="9">
        <v>7</v>
      </c>
      <c r="L1099" s="6" t="s">
        <v>4277</v>
      </c>
      <c r="M1099" s="6" t="s">
        <v>4282</v>
      </c>
      <c r="N1099" s="4">
        <v>2532.25</v>
      </c>
      <c r="O1099" s="6">
        <f t="shared" si="17"/>
        <v>105</v>
      </c>
    </row>
    <row r="1100" spans="1:15" x14ac:dyDescent="0.3">
      <c r="A1100" s="6" t="s">
        <v>1112</v>
      </c>
      <c r="B1100" s="2">
        <v>45094</v>
      </c>
      <c r="C1100" s="6" t="s">
        <v>2304</v>
      </c>
      <c r="D1100" s="6" t="s">
        <v>2403</v>
      </c>
      <c r="E1100" s="9">
        <v>4</v>
      </c>
      <c r="F1100" s="4">
        <v>255.86</v>
      </c>
      <c r="G1100" t="s">
        <v>3031</v>
      </c>
      <c r="H1100" s="6" t="s">
        <v>3067</v>
      </c>
      <c r="I1100" s="6" t="s">
        <v>3073</v>
      </c>
      <c r="J1100" s="6" t="s">
        <v>4173</v>
      </c>
      <c r="K1100" s="9">
        <v>7</v>
      </c>
      <c r="L1100" s="6" t="s">
        <v>4283</v>
      </c>
      <c r="M1100" s="6" t="s">
        <v>4280</v>
      </c>
      <c r="N1100" s="4">
        <v>1023.44</v>
      </c>
      <c r="O1100" s="6">
        <f t="shared" si="17"/>
        <v>104</v>
      </c>
    </row>
    <row r="1101" spans="1:15" x14ac:dyDescent="0.3">
      <c r="A1101" s="6" t="s">
        <v>1113</v>
      </c>
      <c r="B1101" s="2">
        <v>45554</v>
      </c>
      <c r="C1101" s="6" t="s">
        <v>2305</v>
      </c>
      <c r="D1101" s="6" t="s">
        <v>2408</v>
      </c>
      <c r="E1101" s="9">
        <v>2</v>
      </c>
      <c r="F1101" s="4">
        <v>125.23</v>
      </c>
      <c r="G1101" t="s">
        <v>2724</v>
      </c>
      <c r="H1101" s="6" t="s">
        <v>3069</v>
      </c>
      <c r="I1101" s="6" t="s">
        <v>3071</v>
      </c>
      <c r="J1101" s="6" t="s">
        <v>4174</v>
      </c>
      <c r="K1101" s="9">
        <v>3</v>
      </c>
      <c r="L1101" s="6" t="s">
        <v>4276</v>
      </c>
      <c r="M1101" s="6" t="s">
        <v>4280</v>
      </c>
      <c r="N1101" s="4">
        <v>250.46</v>
      </c>
      <c r="O1101" s="6">
        <f t="shared" si="17"/>
        <v>103</v>
      </c>
    </row>
    <row r="1102" spans="1:15" x14ac:dyDescent="0.3">
      <c r="A1102" s="6" t="s">
        <v>1114</v>
      </c>
      <c r="B1102" s="2">
        <v>45155</v>
      </c>
      <c r="C1102" s="6" t="s">
        <v>2306</v>
      </c>
      <c r="D1102" s="6" t="s">
        <v>2408</v>
      </c>
      <c r="E1102" s="9">
        <v>5</v>
      </c>
      <c r="F1102" s="4">
        <v>38.11</v>
      </c>
      <c r="G1102" t="s">
        <v>3032</v>
      </c>
      <c r="H1102" s="6" t="s">
        <v>3065</v>
      </c>
      <c r="I1102" s="6" t="s">
        <v>3071</v>
      </c>
      <c r="J1102" s="6" t="s">
        <v>4175</v>
      </c>
      <c r="K1102" s="9">
        <v>6</v>
      </c>
      <c r="L1102" s="6" t="s">
        <v>4277</v>
      </c>
      <c r="M1102" s="6" t="s">
        <v>4278</v>
      </c>
      <c r="N1102" s="4">
        <v>190.55</v>
      </c>
      <c r="O1102" s="6">
        <f t="shared" si="17"/>
        <v>102</v>
      </c>
    </row>
    <row r="1103" spans="1:15" x14ac:dyDescent="0.3">
      <c r="A1103" s="6" t="s">
        <v>1115</v>
      </c>
      <c r="B1103" s="2">
        <v>45816</v>
      </c>
      <c r="C1103" s="6" t="s">
        <v>2307</v>
      </c>
      <c r="D1103" s="6" t="s">
        <v>2403</v>
      </c>
      <c r="E1103" s="9">
        <v>3</v>
      </c>
      <c r="F1103" s="4">
        <v>161.97</v>
      </c>
      <c r="G1103" t="s">
        <v>2418</v>
      </c>
      <c r="H1103" s="6" t="s">
        <v>3069</v>
      </c>
      <c r="I1103" s="6" t="s">
        <v>3074</v>
      </c>
      <c r="J1103" s="6" t="s">
        <v>4176</v>
      </c>
      <c r="K1103" s="9">
        <v>4</v>
      </c>
      <c r="L1103" s="6" t="s">
        <v>4275</v>
      </c>
      <c r="M1103" s="6" t="s">
        <v>4280</v>
      </c>
      <c r="N1103" s="4">
        <v>485.91</v>
      </c>
      <c r="O1103" s="6">
        <f t="shared" si="17"/>
        <v>101</v>
      </c>
    </row>
    <row r="1104" spans="1:15" x14ac:dyDescent="0.3">
      <c r="A1104" s="6" t="s">
        <v>1116</v>
      </c>
      <c r="B1104" s="2">
        <v>45446</v>
      </c>
      <c r="C1104" s="6" t="s">
        <v>1228</v>
      </c>
      <c r="D1104" s="6" t="s">
        <v>2406</v>
      </c>
      <c r="E1104" s="9">
        <v>4</v>
      </c>
      <c r="F1104" s="4">
        <v>347.17</v>
      </c>
      <c r="G1104" t="s">
        <v>2904</v>
      </c>
      <c r="H1104" s="6" t="s">
        <v>3065</v>
      </c>
      <c r="I1104" s="6" t="s">
        <v>3070</v>
      </c>
      <c r="J1104" s="6" t="s">
        <v>4177</v>
      </c>
      <c r="K1104" s="9">
        <v>8</v>
      </c>
      <c r="L1104" s="6" t="s">
        <v>4283</v>
      </c>
      <c r="M1104" s="6" t="s">
        <v>4278</v>
      </c>
      <c r="N1104" s="4">
        <v>1388.68</v>
      </c>
      <c r="O1104" s="6">
        <f t="shared" si="17"/>
        <v>100</v>
      </c>
    </row>
    <row r="1105" spans="1:15" x14ac:dyDescent="0.3">
      <c r="A1105" s="6" t="s">
        <v>1117</v>
      </c>
      <c r="B1105" s="2">
        <v>45040</v>
      </c>
      <c r="C1105" s="6" t="s">
        <v>2308</v>
      </c>
      <c r="D1105" s="6" t="s">
        <v>2408</v>
      </c>
      <c r="E1105" s="9">
        <v>4</v>
      </c>
      <c r="F1105" s="4">
        <v>276.32</v>
      </c>
      <c r="G1105" t="s">
        <v>2477</v>
      </c>
      <c r="H1105" s="6" t="s">
        <v>3066</v>
      </c>
      <c r="I1105" s="6" t="s">
        <v>3073</v>
      </c>
      <c r="J1105" s="6" t="s">
        <v>4178</v>
      </c>
      <c r="K1105" s="9">
        <v>5</v>
      </c>
      <c r="L1105" s="6" t="s">
        <v>4283</v>
      </c>
      <c r="M1105" s="6" t="s">
        <v>4282</v>
      </c>
      <c r="N1105" s="4">
        <v>1105.28</v>
      </c>
      <c r="O1105" s="6">
        <f t="shared" si="17"/>
        <v>99</v>
      </c>
    </row>
    <row r="1106" spans="1:15" x14ac:dyDescent="0.3">
      <c r="A1106" s="6" t="s">
        <v>1118</v>
      </c>
      <c r="B1106" s="2">
        <v>45498</v>
      </c>
      <c r="C1106" s="6" t="s">
        <v>2309</v>
      </c>
      <c r="D1106" s="6" t="s">
        <v>2405</v>
      </c>
      <c r="E1106" s="9">
        <v>4</v>
      </c>
      <c r="F1106" s="4">
        <v>314.76</v>
      </c>
      <c r="G1106" t="s">
        <v>3033</v>
      </c>
      <c r="H1106" s="6" t="s">
        <v>3066</v>
      </c>
      <c r="I1106" s="6" t="s">
        <v>3070</v>
      </c>
      <c r="J1106" s="6" t="s">
        <v>4179</v>
      </c>
      <c r="K1106" s="9">
        <v>8</v>
      </c>
      <c r="L1106" s="6" t="s">
        <v>4283</v>
      </c>
      <c r="M1106" s="6" t="s">
        <v>4278</v>
      </c>
      <c r="N1106" s="4">
        <v>1259.04</v>
      </c>
      <c r="O1106" s="6">
        <f t="shared" si="17"/>
        <v>98</v>
      </c>
    </row>
    <row r="1107" spans="1:15" x14ac:dyDescent="0.3">
      <c r="A1107" s="6" t="s">
        <v>1119</v>
      </c>
      <c r="B1107" s="2">
        <v>45299</v>
      </c>
      <c r="C1107" s="6" t="s">
        <v>2310</v>
      </c>
      <c r="D1107" s="6" t="s">
        <v>2405</v>
      </c>
      <c r="E1107" s="9">
        <v>3</v>
      </c>
      <c r="F1107" s="4">
        <v>475.69</v>
      </c>
      <c r="G1107" t="s">
        <v>2644</v>
      </c>
      <c r="H1107" s="6" t="s">
        <v>3068</v>
      </c>
      <c r="I1107" s="6" t="s">
        <v>3071</v>
      </c>
      <c r="J1107" s="6" t="s">
        <v>4180</v>
      </c>
      <c r="K1107" s="9">
        <v>3</v>
      </c>
      <c r="L1107" s="6" t="s">
        <v>4276</v>
      </c>
      <c r="M1107" s="6" t="s">
        <v>4282</v>
      </c>
      <c r="N1107" s="4">
        <v>1427.07</v>
      </c>
      <c r="O1107" s="6">
        <f t="shared" si="17"/>
        <v>97</v>
      </c>
    </row>
    <row r="1108" spans="1:15" x14ac:dyDescent="0.3">
      <c r="A1108" s="6" t="s">
        <v>1120</v>
      </c>
      <c r="B1108" s="2">
        <v>44997</v>
      </c>
      <c r="C1108" s="6" t="s">
        <v>2311</v>
      </c>
      <c r="D1108" s="6" t="s">
        <v>2406</v>
      </c>
      <c r="E1108" s="9">
        <v>1</v>
      </c>
      <c r="F1108" s="4">
        <v>372.8</v>
      </c>
      <c r="G1108" t="s">
        <v>2423</v>
      </c>
      <c r="H1108" s="6" t="s">
        <v>3069</v>
      </c>
      <c r="I1108" s="6" t="s">
        <v>3071</v>
      </c>
      <c r="J1108" s="6" t="s">
        <v>4181</v>
      </c>
      <c r="K1108" s="9">
        <v>6</v>
      </c>
      <c r="L1108" s="6" t="s">
        <v>4275</v>
      </c>
      <c r="M1108" s="6" t="s">
        <v>4281</v>
      </c>
      <c r="N1108" s="4">
        <v>372.8</v>
      </c>
      <c r="O1108" s="6">
        <f t="shared" si="17"/>
        <v>96</v>
      </c>
    </row>
    <row r="1109" spans="1:15" x14ac:dyDescent="0.3">
      <c r="A1109" s="6" t="s">
        <v>1121</v>
      </c>
      <c r="B1109" s="2">
        <v>45838</v>
      </c>
      <c r="C1109" s="6" t="s">
        <v>2312</v>
      </c>
      <c r="D1109" s="6" t="s">
        <v>2405</v>
      </c>
      <c r="E1109" s="9">
        <v>2</v>
      </c>
      <c r="F1109" s="4">
        <v>63.21</v>
      </c>
      <c r="G1109" t="s">
        <v>2839</v>
      </c>
      <c r="H1109" s="6" t="s">
        <v>3066</v>
      </c>
      <c r="I1109" s="6" t="s">
        <v>3071</v>
      </c>
      <c r="J1109" s="6" t="s">
        <v>4182</v>
      </c>
      <c r="K1109" s="9">
        <v>4</v>
      </c>
      <c r="L1109" s="6" t="s">
        <v>4275</v>
      </c>
      <c r="M1109" s="6" t="s">
        <v>4282</v>
      </c>
      <c r="N1109" s="4">
        <v>126.42</v>
      </c>
      <c r="O1109" s="6">
        <f t="shared" si="17"/>
        <v>95</v>
      </c>
    </row>
    <row r="1110" spans="1:15" x14ac:dyDescent="0.3">
      <c r="A1110" s="6" t="s">
        <v>1122</v>
      </c>
      <c r="B1110" s="2">
        <v>45005</v>
      </c>
      <c r="C1110" s="6" t="s">
        <v>2313</v>
      </c>
      <c r="D1110" s="6" t="s">
        <v>2408</v>
      </c>
      <c r="E1110" s="9">
        <v>1</v>
      </c>
      <c r="F1110" s="4">
        <v>634.94000000000005</v>
      </c>
      <c r="G1110" t="s">
        <v>3034</v>
      </c>
      <c r="H1110" s="6" t="s">
        <v>3066</v>
      </c>
      <c r="I1110" s="6" t="s">
        <v>3071</v>
      </c>
      <c r="J1110" s="6" t="s">
        <v>4183</v>
      </c>
      <c r="K1110" s="9">
        <v>5</v>
      </c>
      <c r="L1110" s="6" t="s">
        <v>4277</v>
      </c>
      <c r="M1110" s="6" t="s">
        <v>4278</v>
      </c>
      <c r="N1110" s="4">
        <v>634.94000000000005</v>
      </c>
      <c r="O1110" s="6">
        <f t="shared" si="17"/>
        <v>94</v>
      </c>
    </row>
    <row r="1111" spans="1:15" x14ac:dyDescent="0.3">
      <c r="A1111" s="6" t="s">
        <v>1123</v>
      </c>
      <c r="B1111" s="2">
        <v>45390</v>
      </c>
      <c r="C1111" s="6" t="s">
        <v>2314</v>
      </c>
      <c r="D1111" s="6" t="s">
        <v>2407</v>
      </c>
      <c r="E1111" s="9">
        <v>4</v>
      </c>
      <c r="F1111" s="4">
        <v>77.47</v>
      </c>
      <c r="G1111" t="s">
        <v>2768</v>
      </c>
      <c r="H1111" s="6" t="s">
        <v>3068</v>
      </c>
      <c r="I1111" s="6" t="s">
        <v>3072</v>
      </c>
      <c r="J1111" s="6" t="s">
        <v>4184</v>
      </c>
      <c r="K1111" s="9">
        <v>7</v>
      </c>
      <c r="L1111" s="6" t="s">
        <v>4275</v>
      </c>
      <c r="M1111" s="6" t="s">
        <v>4278</v>
      </c>
      <c r="N1111" s="4">
        <v>309.88</v>
      </c>
      <c r="O1111" s="6">
        <f t="shared" si="17"/>
        <v>93</v>
      </c>
    </row>
    <row r="1112" spans="1:15" x14ac:dyDescent="0.3">
      <c r="A1112" s="6" t="s">
        <v>1124</v>
      </c>
      <c r="B1112" s="2">
        <v>45347</v>
      </c>
      <c r="C1112" s="6" t="s">
        <v>2315</v>
      </c>
      <c r="D1112" s="6" t="s">
        <v>2406</v>
      </c>
      <c r="E1112" s="9">
        <v>3</v>
      </c>
      <c r="F1112" s="4">
        <v>84.31</v>
      </c>
      <c r="G1112" t="s">
        <v>2443</v>
      </c>
      <c r="H1112" s="6" t="s">
        <v>3067</v>
      </c>
      <c r="I1112" s="6" t="s">
        <v>3070</v>
      </c>
      <c r="J1112" s="6" t="s">
        <v>4185</v>
      </c>
      <c r="K1112" s="9">
        <v>3</v>
      </c>
      <c r="L1112" s="6" t="s">
        <v>4275</v>
      </c>
      <c r="M1112" s="6" t="s">
        <v>4280</v>
      </c>
      <c r="N1112" s="4">
        <v>252.93</v>
      </c>
      <c r="O1112" s="6">
        <f t="shared" si="17"/>
        <v>92</v>
      </c>
    </row>
    <row r="1113" spans="1:15" x14ac:dyDescent="0.3">
      <c r="A1113" s="6" t="s">
        <v>1125</v>
      </c>
      <c r="B1113" s="2">
        <v>45052</v>
      </c>
      <c r="C1113" s="6" t="s">
        <v>2316</v>
      </c>
      <c r="D1113" s="6" t="s">
        <v>2403</v>
      </c>
      <c r="E1113" s="9">
        <v>4</v>
      </c>
      <c r="F1113" s="4">
        <v>234.45</v>
      </c>
      <c r="G1113" t="s">
        <v>3035</v>
      </c>
      <c r="H1113" s="6" t="s">
        <v>3066</v>
      </c>
      <c r="I1113" s="6" t="s">
        <v>3071</v>
      </c>
      <c r="J1113" s="6" t="s">
        <v>4186</v>
      </c>
      <c r="K1113" s="9">
        <v>9</v>
      </c>
      <c r="L1113" s="6" t="s">
        <v>4276</v>
      </c>
      <c r="M1113" s="6" t="s">
        <v>4278</v>
      </c>
      <c r="N1113" s="4">
        <v>937.8</v>
      </c>
      <c r="O1113" s="6">
        <f t="shared" si="17"/>
        <v>91</v>
      </c>
    </row>
    <row r="1114" spans="1:15" x14ac:dyDescent="0.3">
      <c r="A1114" s="6" t="s">
        <v>1126</v>
      </c>
      <c r="B1114" s="2">
        <v>45212</v>
      </c>
      <c r="C1114" s="6" t="s">
        <v>2317</v>
      </c>
      <c r="D1114" s="6" t="s">
        <v>2409</v>
      </c>
      <c r="E1114" s="9">
        <v>1</v>
      </c>
      <c r="F1114" s="4">
        <v>356.81</v>
      </c>
      <c r="G1114" t="s">
        <v>2526</v>
      </c>
      <c r="H1114" s="6" t="s">
        <v>3066</v>
      </c>
      <c r="I1114" s="6" t="s">
        <v>3073</v>
      </c>
      <c r="J1114" s="6" t="s">
        <v>4187</v>
      </c>
      <c r="K1114" s="9">
        <v>1</v>
      </c>
      <c r="L1114" s="6" t="s">
        <v>4277</v>
      </c>
      <c r="M1114" s="6" t="s">
        <v>4278</v>
      </c>
      <c r="N1114" s="4">
        <v>356.81</v>
      </c>
      <c r="O1114" s="6">
        <f t="shared" si="17"/>
        <v>90</v>
      </c>
    </row>
    <row r="1115" spans="1:15" x14ac:dyDescent="0.3">
      <c r="A1115" s="6" t="s">
        <v>1127</v>
      </c>
      <c r="B1115" s="2">
        <v>45004</v>
      </c>
      <c r="C1115" s="6" t="s">
        <v>2318</v>
      </c>
      <c r="D1115" s="6" t="s">
        <v>2409</v>
      </c>
      <c r="E1115" s="9">
        <v>4</v>
      </c>
      <c r="F1115" s="4">
        <v>209.99</v>
      </c>
      <c r="G1115" t="s">
        <v>2982</v>
      </c>
      <c r="H1115" s="6" t="s">
        <v>3069</v>
      </c>
      <c r="I1115" s="6" t="s">
        <v>3073</v>
      </c>
      <c r="J1115" s="6" t="s">
        <v>4188</v>
      </c>
      <c r="K1115" s="9">
        <v>8</v>
      </c>
      <c r="L1115" s="6" t="s">
        <v>4283</v>
      </c>
      <c r="M1115" s="6" t="s">
        <v>4282</v>
      </c>
      <c r="N1115" s="4">
        <v>839.96</v>
      </c>
      <c r="O1115" s="6">
        <f t="shared" si="17"/>
        <v>89</v>
      </c>
    </row>
    <row r="1116" spans="1:15" x14ac:dyDescent="0.3">
      <c r="A1116" s="6" t="s">
        <v>1128</v>
      </c>
      <c r="B1116" s="2">
        <v>45001</v>
      </c>
      <c r="C1116" s="6" t="s">
        <v>2319</v>
      </c>
      <c r="D1116" s="6" t="s">
        <v>2405</v>
      </c>
      <c r="E1116" s="9">
        <v>3</v>
      </c>
      <c r="F1116" s="4">
        <v>659.88</v>
      </c>
      <c r="G1116" t="s">
        <v>2591</v>
      </c>
      <c r="H1116" s="6" t="s">
        <v>3068</v>
      </c>
      <c r="I1116" s="6" t="s">
        <v>3071</v>
      </c>
      <c r="J1116" s="6" t="s">
        <v>4189</v>
      </c>
      <c r="K1116" s="9">
        <v>3</v>
      </c>
      <c r="L1116" s="6" t="s">
        <v>4283</v>
      </c>
      <c r="M1116" s="6" t="s">
        <v>4282</v>
      </c>
      <c r="N1116" s="4">
        <v>1979.64</v>
      </c>
      <c r="O1116" s="6">
        <f t="shared" si="17"/>
        <v>88</v>
      </c>
    </row>
    <row r="1117" spans="1:15" x14ac:dyDescent="0.3">
      <c r="A1117" s="6" t="s">
        <v>1129</v>
      </c>
      <c r="B1117" s="2">
        <v>45828</v>
      </c>
      <c r="C1117" s="6" t="s">
        <v>2320</v>
      </c>
      <c r="D1117" s="6" t="s">
        <v>2408</v>
      </c>
      <c r="E1117" s="9">
        <v>2</v>
      </c>
      <c r="F1117" s="4">
        <v>336.32</v>
      </c>
      <c r="G1117" t="s">
        <v>2613</v>
      </c>
      <c r="H1117" s="6" t="s">
        <v>3066</v>
      </c>
      <c r="I1117" s="6" t="s">
        <v>3072</v>
      </c>
      <c r="J1117" s="6" t="s">
        <v>4190</v>
      </c>
      <c r="K1117" s="9">
        <v>3</v>
      </c>
      <c r="L1117" s="6" t="s">
        <v>4283</v>
      </c>
      <c r="M1117" s="6" t="s">
        <v>4282</v>
      </c>
      <c r="N1117" s="4">
        <v>672.64</v>
      </c>
      <c r="O1117" s="6">
        <f t="shared" si="17"/>
        <v>87</v>
      </c>
    </row>
    <row r="1118" spans="1:15" x14ac:dyDescent="0.3">
      <c r="A1118" s="6" t="s">
        <v>1130</v>
      </c>
      <c r="B1118" s="2">
        <v>45213</v>
      </c>
      <c r="C1118" s="6" t="s">
        <v>2321</v>
      </c>
      <c r="D1118" s="6" t="s">
        <v>2407</v>
      </c>
      <c r="E1118" s="9">
        <v>2</v>
      </c>
      <c r="F1118" s="4">
        <v>531.49</v>
      </c>
      <c r="G1118" t="s">
        <v>2613</v>
      </c>
      <c r="H1118" s="6" t="s">
        <v>3067</v>
      </c>
      <c r="I1118" s="6" t="s">
        <v>3073</v>
      </c>
      <c r="J1118" s="6" t="s">
        <v>4191</v>
      </c>
      <c r="K1118" s="9">
        <v>7</v>
      </c>
      <c r="L1118" s="6" t="s">
        <v>4277</v>
      </c>
      <c r="M1118" s="6" t="s">
        <v>4281</v>
      </c>
      <c r="N1118" s="4">
        <v>1062.98</v>
      </c>
      <c r="O1118" s="6">
        <f t="shared" si="17"/>
        <v>86</v>
      </c>
    </row>
    <row r="1119" spans="1:15" x14ac:dyDescent="0.3">
      <c r="A1119" s="6" t="s">
        <v>1131</v>
      </c>
      <c r="B1119" s="2">
        <v>45432</v>
      </c>
      <c r="C1119" s="6" t="s">
        <v>2322</v>
      </c>
      <c r="D1119" s="6" t="s">
        <v>2406</v>
      </c>
      <c r="E1119" s="9">
        <v>3</v>
      </c>
      <c r="F1119" s="4">
        <v>588.44000000000005</v>
      </c>
      <c r="G1119" t="s">
        <v>2734</v>
      </c>
      <c r="H1119" s="6" t="s">
        <v>3068</v>
      </c>
      <c r="I1119" s="6" t="s">
        <v>3070</v>
      </c>
      <c r="J1119" s="6" t="s">
        <v>4192</v>
      </c>
      <c r="K1119" s="9">
        <v>8</v>
      </c>
      <c r="L1119" s="6" t="s">
        <v>4277</v>
      </c>
      <c r="M1119" s="6" t="s">
        <v>4282</v>
      </c>
      <c r="N1119" s="4">
        <v>1765.32</v>
      </c>
      <c r="O1119" s="6">
        <f t="shared" si="17"/>
        <v>85</v>
      </c>
    </row>
    <row r="1120" spans="1:15" x14ac:dyDescent="0.3">
      <c r="A1120" s="6" t="s">
        <v>1132</v>
      </c>
      <c r="B1120" s="2">
        <v>45436</v>
      </c>
      <c r="C1120" s="6" t="s">
        <v>2323</v>
      </c>
      <c r="D1120" s="6" t="s">
        <v>2404</v>
      </c>
      <c r="E1120" s="9">
        <v>3</v>
      </c>
      <c r="F1120" s="4">
        <v>251.48</v>
      </c>
      <c r="G1120" t="s">
        <v>2729</v>
      </c>
      <c r="H1120" s="6" t="s">
        <v>3067</v>
      </c>
      <c r="I1120" s="6" t="s">
        <v>3072</v>
      </c>
      <c r="J1120" s="6" t="s">
        <v>4193</v>
      </c>
      <c r="K1120" s="9">
        <v>4</v>
      </c>
      <c r="L1120" s="6" t="s">
        <v>4283</v>
      </c>
      <c r="M1120" s="6" t="s">
        <v>4280</v>
      </c>
      <c r="N1120" s="4">
        <v>754.43999999999994</v>
      </c>
      <c r="O1120" s="6">
        <f t="shared" si="17"/>
        <v>84</v>
      </c>
    </row>
    <row r="1121" spans="1:15" x14ac:dyDescent="0.3">
      <c r="A1121" s="6" t="s">
        <v>1133</v>
      </c>
      <c r="B1121" s="2">
        <v>45620</v>
      </c>
      <c r="C1121" s="6" t="s">
        <v>2324</v>
      </c>
      <c r="D1121" s="6" t="s">
        <v>2408</v>
      </c>
      <c r="E1121" s="9">
        <v>1</v>
      </c>
      <c r="F1121" s="4">
        <v>684.65</v>
      </c>
      <c r="G1121" t="s">
        <v>2634</v>
      </c>
      <c r="H1121" s="6" t="s">
        <v>3067</v>
      </c>
      <c r="I1121" s="6" t="s">
        <v>3073</v>
      </c>
      <c r="J1121" s="6" t="s">
        <v>4194</v>
      </c>
      <c r="K1121" s="9">
        <v>1</v>
      </c>
      <c r="L1121" s="6" t="s">
        <v>4276</v>
      </c>
      <c r="M1121" s="6" t="s">
        <v>4280</v>
      </c>
      <c r="N1121" s="4">
        <v>684.65</v>
      </c>
      <c r="O1121" s="6">
        <f t="shared" si="17"/>
        <v>83</v>
      </c>
    </row>
    <row r="1122" spans="1:15" x14ac:dyDescent="0.3">
      <c r="A1122" s="6" t="s">
        <v>1134</v>
      </c>
      <c r="B1122" s="2">
        <v>45787</v>
      </c>
      <c r="C1122" s="6" t="s">
        <v>2325</v>
      </c>
      <c r="D1122" s="6" t="s">
        <v>2405</v>
      </c>
      <c r="E1122" s="9">
        <v>1</v>
      </c>
      <c r="F1122" s="4">
        <v>195.86</v>
      </c>
      <c r="G1122" t="s">
        <v>2450</v>
      </c>
      <c r="H1122" s="6" t="s">
        <v>3066</v>
      </c>
      <c r="I1122" s="6" t="s">
        <v>3074</v>
      </c>
      <c r="J1122" s="6" t="s">
        <v>4195</v>
      </c>
      <c r="K1122" s="9">
        <v>3</v>
      </c>
      <c r="L1122" s="6" t="s">
        <v>4283</v>
      </c>
      <c r="M1122" s="6" t="s">
        <v>4281</v>
      </c>
      <c r="N1122" s="4">
        <v>195.86</v>
      </c>
      <c r="O1122" s="6">
        <f t="shared" si="17"/>
        <v>82</v>
      </c>
    </row>
    <row r="1123" spans="1:15" x14ac:dyDescent="0.3">
      <c r="A1123" s="6" t="s">
        <v>1135</v>
      </c>
      <c r="B1123" s="2">
        <v>45074</v>
      </c>
      <c r="C1123" s="6" t="s">
        <v>2326</v>
      </c>
      <c r="D1123" s="6" t="s">
        <v>2404</v>
      </c>
      <c r="E1123" s="9">
        <v>3</v>
      </c>
      <c r="F1123" s="4">
        <v>50.34</v>
      </c>
      <c r="G1123" t="s">
        <v>2965</v>
      </c>
      <c r="H1123" s="6" t="s">
        <v>3068</v>
      </c>
      <c r="I1123" s="6" t="s">
        <v>3072</v>
      </c>
      <c r="J1123" s="6" t="s">
        <v>4196</v>
      </c>
      <c r="K1123" s="9">
        <v>3</v>
      </c>
      <c r="L1123" s="6" t="s">
        <v>4276</v>
      </c>
      <c r="M1123" s="6" t="s">
        <v>4278</v>
      </c>
      <c r="N1123" s="4">
        <v>151.02000000000001</v>
      </c>
      <c r="O1123" s="6">
        <f t="shared" si="17"/>
        <v>81</v>
      </c>
    </row>
    <row r="1124" spans="1:15" x14ac:dyDescent="0.3">
      <c r="A1124" s="6" t="s">
        <v>1136</v>
      </c>
      <c r="B1124" s="2">
        <v>45084</v>
      </c>
      <c r="C1124" s="6" t="s">
        <v>1480</v>
      </c>
      <c r="D1124" s="6" t="s">
        <v>2403</v>
      </c>
      <c r="E1124" s="9">
        <v>5</v>
      </c>
      <c r="F1124" s="4">
        <v>678.19</v>
      </c>
      <c r="G1124" t="s">
        <v>3008</v>
      </c>
      <c r="H1124" s="6" t="s">
        <v>3066</v>
      </c>
      <c r="I1124" s="6" t="s">
        <v>3072</v>
      </c>
      <c r="J1124" s="6" t="s">
        <v>4197</v>
      </c>
      <c r="K1124" s="9">
        <v>8</v>
      </c>
      <c r="L1124" s="6" t="s">
        <v>4283</v>
      </c>
      <c r="M1124" s="6" t="s">
        <v>4281</v>
      </c>
      <c r="N1124" s="4">
        <v>3390.95</v>
      </c>
      <c r="O1124" s="6">
        <f t="shared" si="17"/>
        <v>80</v>
      </c>
    </row>
    <row r="1125" spans="1:15" x14ac:dyDescent="0.3">
      <c r="A1125" s="6" t="s">
        <v>1137</v>
      </c>
      <c r="B1125" s="2">
        <v>45030</v>
      </c>
      <c r="C1125" s="6" t="s">
        <v>2327</v>
      </c>
      <c r="D1125" s="6" t="s">
        <v>2405</v>
      </c>
      <c r="E1125" s="9">
        <v>3</v>
      </c>
      <c r="F1125" s="4">
        <v>554.25</v>
      </c>
      <c r="G1125" t="s">
        <v>3036</v>
      </c>
      <c r="H1125" s="6" t="s">
        <v>3065</v>
      </c>
      <c r="I1125" s="6" t="s">
        <v>3070</v>
      </c>
      <c r="J1125" s="6" t="s">
        <v>4198</v>
      </c>
      <c r="K1125" s="9">
        <v>6</v>
      </c>
      <c r="L1125" s="6" t="s">
        <v>4277</v>
      </c>
      <c r="M1125" s="6" t="s">
        <v>4279</v>
      </c>
      <c r="N1125" s="4">
        <v>1662.75</v>
      </c>
      <c r="O1125" s="6">
        <f t="shared" si="17"/>
        <v>79</v>
      </c>
    </row>
    <row r="1126" spans="1:15" x14ac:dyDescent="0.3">
      <c r="A1126" s="6" t="s">
        <v>1138</v>
      </c>
      <c r="B1126" s="2">
        <v>45055</v>
      </c>
      <c r="C1126" s="6" t="s">
        <v>2328</v>
      </c>
      <c r="D1126" s="6" t="s">
        <v>2406</v>
      </c>
      <c r="E1126" s="9">
        <v>4</v>
      </c>
      <c r="F1126" s="4">
        <v>576.87</v>
      </c>
      <c r="G1126" t="s">
        <v>3037</v>
      </c>
      <c r="H1126" s="6" t="s">
        <v>3068</v>
      </c>
      <c r="I1126" s="6" t="s">
        <v>3072</v>
      </c>
      <c r="J1126" s="6" t="s">
        <v>4199</v>
      </c>
      <c r="K1126" s="9">
        <v>5</v>
      </c>
      <c r="L1126" s="6" t="s">
        <v>4283</v>
      </c>
      <c r="M1126" s="6" t="s">
        <v>4278</v>
      </c>
      <c r="N1126" s="4">
        <v>2307.48</v>
      </c>
      <c r="O1126" s="6">
        <f t="shared" si="17"/>
        <v>78</v>
      </c>
    </row>
    <row r="1127" spans="1:15" x14ac:dyDescent="0.3">
      <c r="A1127" s="6" t="s">
        <v>1139</v>
      </c>
      <c r="B1127" s="2">
        <v>45215</v>
      </c>
      <c r="C1127" s="6" t="s">
        <v>2329</v>
      </c>
      <c r="D1127" s="6" t="s">
        <v>2409</v>
      </c>
      <c r="E1127" s="9">
        <v>4</v>
      </c>
      <c r="F1127" s="4">
        <v>408.36</v>
      </c>
      <c r="G1127" t="s">
        <v>2958</v>
      </c>
      <c r="H1127" s="6" t="s">
        <v>3068</v>
      </c>
      <c r="I1127" s="6" t="s">
        <v>3071</v>
      </c>
      <c r="J1127" s="6" t="s">
        <v>4200</v>
      </c>
      <c r="K1127" s="9">
        <v>4</v>
      </c>
      <c r="L1127" s="6" t="s">
        <v>4276</v>
      </c>
      <c r="M1127" s="6" t="s">
        <v>4279</v>
      </c>
      <c r="N1127" s="4">
        <v>1633.44</v>
      </c>
      <c r="O1127" s="6">
        <f t="shared" si="17"/>
        <v>77</v>
      </c>
    </row>
    <row r="1128" spans="1:15" x14ac:dyDescent="0.3">
      <c r="A1128" s="6" t="s">
        <v>1140</v>
      </c>
      <c r="B1128" s="2">
        <v>45495</v>
      </c>
      <c r="C1128" s="6" t="s">
        <v>2330</v>
      </c>
      <c r="D1128" s="6" t="s">
        <v>2404</v>
      </c>
      <c r="E1128" s="9">
        <v>5</v>
      </c>
      <c r="F1128" s="4">
        <v>190.11</v>
      </c>
      <c r="G1128" t="s">
        <v>3038</v>
      </c>
      <c r="H1128" s="6" t="s">
        <v>3069</v>
      </c>
      <c r="I1128" s="6" t="s">
        <v>3073</v>
      </c>
      <c r="J1128" s="6" t="s">
        <v>4201</v>
      </c>
      <c r="K1128" s="9">
        <v>7</v>
      </c>
      <c r="L1128" s="6" t="s">
        <v>4275</v>
      </c>
      <c r="M1128" s="6" t="s">
        <v>4282</v>
      </c>
      <c r="N1128" s="4">
        <v>950.55000000000007</v>
      </c>
      <c r="O1128" s="6">
        <f t="shared" si="17"/>
        <v>76</v>
      </c>
    </row>
    <row r="1129" spans="1:15" x14ac:dyDescent="0.3">
      <c r="A1129" s="6" t="s">
        <v>1141</v>
      </c>
      <c r="B1129" s="2">
        <v>45731</v>
      </c>
      <c r="C1129" s="6" t="s">
        <v>2331</v>
      </c>
      <c r="D1129" s="6" t="s">
        <v>2407</v>
      </c>
      <c r="E1129" s="9">
        <v>3</v>
      </c>
      <c r="F1129" s="4">
        <v>602.75</v>
      </c>
      <c r="G1129" t="s">
        <v>2939</v>
      </c>
      <c r="H1129" s="6" t="s">
        <v>3067</v>
      </c>
      <c r="I1129" s="6" t="s">
        <v>3070</v>
      </c>
      <c r="J1129" s="6" t="s">
        <v>4202</v>
      </c>
      <c r="K1129" s="9">
        <v>6</v>
      </c>
      <c r="L1129" s="6" t="s">
        <v>4275</v>
      </c>
      <c r="M1129" s="6" t="s">
        <v>4280</v>
      </c>
      <c r="N1129" s="4">
        <v>1808.25</v>
      </c>
      <c r="O1129" s="6">
        <f t="shared" si="17"/>
        <v>75</v>
      </c>
    </row>
    <row r="1130" spans="1:15" x14ac:dyDescent="0.3">
      <c r="A1130" s="6" t="s">
        <v>1142</v>
      </c>
      <c r="B1130" s="2">
        <v>45155</v>
      </c>
      <c r="C1130" s="6" t="s">
        <v>2332</v>
      </c>
      <c r="D1130" s="6" t="s">
        <v>2403</v>
      </c>
      <c r="E1130" s="9">
        <v>3</v>
      </c>
      <c r="F1130" s="4">
        <v>646.79</v>
      </c>
      <c r="G1130" t="s">
        <v>2490</v>
      </c>
      <c r="H1130" s="6" t="s">
        <v>3069</v>
      </c>
      <c r="I1130" s="6" t="s">
        <v>3071</v>
      </c>
      <c r="J1130" s="6" t="s">
        <v>4203</v>
      </c>
      <c r="K1130" s="9">
        <v>5</v>
      </c>
      <c r="L1130" s="6" t="s">
        <v>4277</v>
      </c>
      <c r="M1130" s="6" t="s">
        <v>4282</v>
      </c>
      <c r="N1130" s="4">
        <v>1940.37</v>
      </c>
      <c r="O1130" s="6">
        <f t="shared" si="17"/>
        <v>74</v>
      </c>
    </row>
    <row r="1131" spans="1:15" x14ac:dyDescent="0.3">
      <c r="A1131" s="6" t="s">
        <v>1143</v>
      </c>
      <c r="B1131" s="2">
        <v>45088</v>
      </c>
      <c r="C1131" s="6" t="s">
        <v>2333</v>
      </c>
      <c r="D1131" s="6" t="s">
        <v>2406</v>
      </c>
      <c r="E1131" s="9">
        <v>4</v>
      </c>
      <c r="F1131" s="4">
        <v>418.71</v>
      </c>
      <c r="G1131" t="s">
        <v>2480</v>
      </c>
      <c r="H1131" s="6" t="s">
        <v>3069</v>
      </c>
      <c r="I1131" s="6" t="s">
        <v>3074</v>
      </c>
      <c r="J1131" s="6" t="s">
        <v>4204</v>
      </c>
      <c r="K1131" s="9">
        <v>8</v>
      </c>
      <c r="L1131" s="6" t="s">
        <v>4276</v>
      </c>
      <c r="M1131" s="6" t="s">
        <v>4278</v>
      </c>
      <c r="N1131" s="4">
        <v>1674.84</v>
      </c>
      <c r="O1131" s="6">
        <f t="shared" si="17"/>
        <v>73</v>
      </c>
    </row>
    <row r="1132" spans="1:15" x14ac:dyDescent="0.3">
      <c r="A1132" s="6" t="s">
        <v>1144</v>
      </c>
      <c r="B1132" s="2">
        <v>45704</v>
      </c>
      <c r="C1132" s="6" t="s">
        <v>2334</v>
      </c>
      <c r="D1132" s="6" t="s">
        <v>2408</v>
      </c>
      <c r="E1132" s="9">
        <v>2</v>
      </c>
      <c r="F1132" s="4">
        <v>323.45</v>
      </c>
      <c r="G1132" t="s">
        <v>2501</v>
      </c>
      <c r="H1132" s="6" t="s">
        <v>3067</v>
      </c>
      <c r="I1132" s="6" t="s">
        <v>3072</v>
      </c>
      <c r="J1132" s="6" t="s">
        <v>4205</v>
      </c>
      <c r="K1132" s="9">
        <v>5</v>
      </c>
      <c r="L1132" s="6" t="s">
        <v>4276</v>
      </c>
      <c r="M1132" s="6" t="s">
        <v>4278</v>
      </c>
      <c r="N1132" s="4">
        <v>646.9</v>
      </c>
      <c r="O1132" s="6">
        <f t="shared" si="17"/>
        <v>72</v>
      </c>
    </row>
    <row r="1133" spans="1:15" x14ac:dyDescent="0.3">
      <c r="A1133" s="6" t="s">
        <v>1145</v>
      </c>
      <c r="B1133" s="2">
        <v>45491</v>
      </c>
      <c r="C1133" s="6" t="s">
        <v>2335</v>
      </c>
      <c r="D1133" s="6" t="s">
        <v>2404</v>
      </c>
      <c r="E1133" s="9">
        <v>1</v>
      </c>
      <c r="F1133" s="4">
        <v>694.5</v>
      </c>
      <c r="G1133" t="s">
        <v>2651</v>
      </c>
      <c r="H1133" s="6" t="s">
        <v>3067</v>
      </c>
      <c r="I1133" s="6" t="s">
        <v>3074</v>
      </c>
      <c r="J1133" s="6" t="s">
        <v>4206</v>
      </c>
      <c r="K1133" s="9">
        <v>3</v>
      </c>
      <c r="L1133" s="6" t="s">
        <v>4277</v>
      </c>
      <c r="M1133" s="6" t="s">
        <v>4281</v>
      </c>
      <c r="N1133" s="4">
        <v>694.5</v>
      </c>
      <c r="O1133" s="6">
        <f t="shared" si="17"/>
        <v>71</v>
      </c>
    </row>
    <row r="1134" spans="1:15" x14ac:dyDescent="0.3">
      <c r="A1134" s="6" t="s">
        <v>1146</v>
      </c>
      <c r="B1134" s="2">
        <v>45628</v>
      </c>
      <c r="C1134" s="6" t="s">
        <v>2336</v>
      </c>
      <c r="D1134" s="6" t="s">
        <v>2406</v>
      </c>
      <c r="E1134" s="9">
        <v>2</v>
      </c>
      <c r="F1134" s="4">
        <v>337.32</v>
      </c>
      <c r="G1134" t="s">
        <v>2608</v>
      </c>
      <c r="H1134" s="6" t="s">
        <v>3067</v>
      </c>
      <c r="I1134" s="6" t="s">
        <v>3071</v>
      </c>
      <c r="J1134" s="6" t="s">
        <v>4207</v>
      </c>
      <c r="K1134" s="9">
        <v>4</v>
      </c>
      <c r="L1134" s="6" t="s">
        <v>4275</v>
      </c>
      <c r="M1134" s="6" t="s">
        <v>4280</v>
      </c>
      <c r="N1134" s="4">
        <v>674.64</v>
      </c>
      <c r="O1134" s="6">
        <f t="shared" si="17"/>
        <v>70</v>
      </c>
    </row>
    <row r="1135" spans="1:15" x14ac:dyDescent="0.3">
      <c r="A1135" s="6" t="s">
        <v>1147</v>
      </c>
      <c r="B1135" s="2">
        <v>45391</v>
      </c>
      <c r="C1135" s="6" t="s">
        <v>2337</v>
      </c>
      <c r="D1135" s="6" t="s">
        <v>2407</v>
      </c>
      <c r="E1135" s="9">
        <v>2</v>
      </c>
      <c r="F1135" s="4">
        <v>467.91</v>
      </c>
      <c r="G1135" t="s">
        <v>2597</v>
      </c>
      <c r="H1135" s="6" t="s">
        <v>3068</v>
      </c>
      <c r="I1135" s="6" t="s">
        <v>3072</v>
      </c>
      <c r="J1135" s="6" t="s">
        <v>4208</v>
      </c>
      <c r="K1135" s="9">
        <v>5</v>
      </c>
      <c r="L1135" s="6" t="s">
        <v>4277</v>
      </c>
      <c r="M1135" s="6" t="s">
        <v>4281</v>
      </c>
      <c r="N1135" s="4">
        <v>935.82</v>
      </c>
      <c r="O1135" s="6">
        <f t="shared" si="17"/>
        <v>69</v>
      </c>
    </row>
    <row r="1136" spans="1:15" x14ac:dyDescent="0.3">
      <c r="A1136" s="6" t="s">
        <v>1148</v>
      </c>
      <c r="B1136" s="2">
        <v>45451</v>
      </c>
      <c r="C1136" s="6" t="s">
        <v>2338</v>
      </c>
      <c r="D1136" s="6" t="s">
        <v>2409</v>
      </c>
      <c r="E1136" s="9">
        <v>4</v>
      </c>
      <c r="F1136" s="4">
        <v>38.28</v>
      </c>
      <c r="G1136" t="s">
        <v>3039</v>
      </c>
      <c r="H1136" s="6" t="s">
        <v>3065</v>
      </c>
      <c r="I1136" s="6" t="s">
        <v>3071</v>
      </c>
      <c r="J1136" s="6" t="s">
        <v>4209</v>
      </c>
      <c r="K1136" s="9">
        <v>4</v>
      </c>
      <c r="L1136" s="6" t="s">
        <v>4277</v>
      </c>
      <c r="M1136" s="6" t="s">
        <v>4281</v>
      </c>
      <c r="N1136" s="4">
        <v>153.12</v>
      </c>
      <c r="O1136" s="6">
        <f t="shared" si="17"/>
        <v>68</v>
      </c>
    </row>
    <row r="1137" spans="1:15" x14ac:dyDescent="0.3">
      <c r="A1137" s="6" t="s">
        <v>1149</v>
      </c>
      <c r="B1137" s="2">
        <v>45288</v>
      </c>
      <c r="C1137" s="6" t="s">
        <v>2339</v>
      </c>
      <c r="D1137" s="6" t="s">
        <v>2407</v>
      </c>
      <c r="E1137" s="9">
        <v>2</v>
      </c>
      <c r="F1137" s="4">
        <v>73.41</v>
      </c>
      <c r="G1137" t="s">
        <v>2613</v>
      </c>
      <c r="H1137" s="6" t="s">
        <v>3066</v>
      </c>
      <c r="I1137" s="6" t="s">
        <v>3070</v>
      </c>
      <c r="J1137" s="6" t="s">
        <v>4210</v>
      </c>
      <c r="K1137" s="9">
        <v>2</v>
      </c>
      <c r="L1137" s="6" t="s">
        <v>4275</v>
      </c>
      <c r="M1137" s="6" t="s">
        <v>4282</v>
      </c>
      <c r="N1137" s="4">
        <v>146.82</v>
      </c>
      <c r="O1137" s="6">
        <f t="shared" si="17"/>
        <v>67</v>
      </c>
    </row>
    <row r="1138" spans="1:15" x14ac:dyDescent="0.3">
      <c r="A1138" s="6" t="s">
        <v>1150</v>
      </c>
      <c r="B1138" s="2">
        <v>45193</v>
      </c>
      <c r="C1138" s="6" t="s">
        <v>2340</v>
      </c>
      <c r="D1138" s="6" t="s">
        <v>2405</v>
      </c>
      <c r="E1138" s="9">
        <v>3</v>
      </c>
      <c r="F1138" s="4">
        <v>668.33</v>
      </c>
      <c r="G1138" t="s">
        <v>2882</v>
      </c>
      <c r="H1138" s="6" t="s">
        <v>3068</v>
      </c>
      <c r="I1138" s="6" t="s">
        <v>3074</v>
      </c>
      <c r="J1138" s="6" t="s">
        <v>4211</v>
      </c>
      <c r="K1138" s="9">
        <v>4</v>
      </c>
      <c r="L1138" s="6" t="s">
        <v>4277</v>
      </c>
      <c r="M1138" s="6" t="s">
        <v>4281</v>
      </c>
      <c r="N1138" s="4">
        <v>2004.99</v>
      </c>
      <c r="O1138" s="6">
        <f t="shared" si="17"/>
        <v>66</v>
      </c>
    </row>
    <row r="1139" spans="1:15" x14ac:dyDescent="0.3">
      <c r="A1139" s="6" t="s">
        <v>1151</v>
      </c>
      <c r="B1139" s="2">
        <v>45502</v>
      </c>
      <c r="C1139" s="6" t="s">
        <v>2341</v>
      </c>
      <c r="D1139" s="6" t="s">
        <v>2407</v>
      </c>
      <c r="E1139" s="9">
        <v>4</v>
      </c>
      <c r="F1139" s="4">
        <v>410.21</v>
      </c>
      <c r="G1139" t="s">
        <v>3040</v>
      </c>
      <c r="H1139" s="6" t="s">
        <v>3069</v>
      </c>
      <c r="I1139" s="6" t="s">
        <v>3074</v>
      </c>
      <c r="J1139" s="6" t="s">
        <v>4212</v>
      </c>
      <c r="K1139" s="9">
        <v>5</v>
      </c>
      <c r="L1139" s="6" t="s">
        <v>4277</v>
      </c>
      <c r="M1139" s="6" t="s">
        <v>4278</v>
      </c>
      <c r="N1139" s="4">
        <v>1640.84</v>
      </c>
      <c r="O1139" s="6">
        <f t="shared" si="17"/>
        <v>65</v>
      </c>
    </row>
    <row r="1140" spans="1:15" x14ac:dyDescent="0.3">
      <c r="A1140" s="6" t="s">
        <v>1152</v>
      </c>
      <c r="B1140" s="2">
        <v>45278</v>
      </c>
      <c r="C1140" s="6" t="s">
        <v>2342</v>
      </c>
      <c r="D1140" s="6" t="s">
        <v>2409</v>
      </c>
      <c r="E1140" s="9">
        <v>4</v>
      </c>
      <c r="F1140" s="4">
        <v>294.41000000000003</v>
      </c>
      <c r="G1140" t="s">
        <v>2865</v>
      </c>
      <c r="H1140" s="6" t="s">
        <v>3065</v>
      </c>
      <c r="I1140" s="6" t="s">
        <v>3074</v>
      </c>
      <c r="J1140" s="6" t="s">
        <v>4213</v>
      </c>
      <c r="K1140" s="9">
        <v>4</v>
      </c>
      <c r="L1140" s="6" t="s">
        <v>4283</v>
      </c>
      <c r="M1140" s="6" t="s">
        <v>4278</v>
      </c>
      <c r="N1140" s="4">
        <v>1177.6400000000001</v>
      </c>
      <c r="O1140" s="6">
        <f t="shared" si="17"/>
        <v>64</v>
      </c>
    </row>
    <row r="1141" spans="1:15" x14ac:dyDescent="0.3">
      <c r="A1141" s="6" t="s">
        <v>1153</v>
      </c>
      <c r="B1141" s="2">
        <v>45717</v>
      </c>
      <c r="C1141" s="6" t="s">
        <v>2256</v>
      </c>
      <c r="D1141" s="6" t="s">
        <v>2406</v>
      </c>
      <c r="E1141" s="9">
        <v>3</v>
      </c>
      <c r="F1141" s="4">
        <v>501.82</v>
      </c>
      <c r="G1141" t="s">
        <v>2438</v>
      </c>
      <c r="H1141" s="6" t="s">
        <v>3068</v>
      </c>
      <c r="I1141" s="6" t="s">
        <v>3071</v>
      </c>
      <c r="J1141" s="6" t="s">
        <v>4214</v>
      </c>
      <c r="K1141" s="9">
        <v>4</v>
      </c>
      <c r="L1141" s="6" t="s">
        <v>4276</v>
      </c>
      <c r="M1141" s="6" t="s">
        <v>4280</v>
      </c>
      <c r="N1141" s="4">
        <v>1505.46</v>
      </c>
      <c r="O1141" s="6">
        <f t="shared" si="17"/>
        <v>63</v>
      </c>
    </row>
    <row r="1142" spans="1:15" x14ac:dyDescent="0.3">
      <c r="A1142" s="6" t="s">
        <v>1154</v>
      </c>
      <c r="B1142" s="2">
        <v>45467</v>
      </c>
      <c r="C1142" s="6" t="s">
        <v>2343</v>
      </c>
      <c r="D1142" s="6" t="s">
        <v>2407</v>
      </c>
      <c r="E1142" s="9">
        <v>2</v>
      </c>
      <c r="F1142" s="4">
        <v>552.83000000000004</v>
      </c>
      <c r="G1142" t="s">
        <v>2418</v>
      </c>
      <c r="H1142" s="6" t="s">
        <v>3067</v>
      </c>
      <c r="I1142" s="6" t="s">
        <v>3071</v>
      </c>
      <c r="J1142" s="6" t="s">
        <v>4215</v>
      </c>
      <c r="K1142" s="9">
        <v>3</v>
      </c>
      <c r="L1142" s="6" t="s">
        <v>4283</v>
      </c>
      <c r="M1142" s="6" t="s">
        <v>4279</v>
      </c>
      <c r="N1142" s="4">
        <v>1105.6600000000001</v>
      </c>
      <c r="O1142" s="6">
        <f t="shared" si="17"/>
        <v>62</v>
      </c>
    </row>
    <row r="1143" spans="1:15" x14ac:dyDescent="0.3">
      <c r="A1143" s="6" t="s">
        <v>1155</v>
      </c>
      <c r="B1143" s="2">
        <v>45704</v>
      </c>
      <c r="C1143" s="6" t="s">
        <v>2344</v>
      </c>
      <c r="D1143" s="6" t="s">
        <v>2406</v>
      </c>
      <c r="E1143" s="9">
        <v>3</v>
      </c>
      <c r="F1143" s="4">
        <v>498.66</v>
      </c>
      <c r="G1143" t="s">
        <v>2427</v>
      </c>
      <c r="H1143" s="6" t="s">
        <v>3069</v>
      </c>
      <c r="I1143" s="6" t="s">
        <v>3071</v>
      </c>
      <c r="J1143" s="6" t="s">
        <v>4216</v>
      </c>
      <c r="K1143" s="9">
        <v>6</v>
      </c>
      <c r="L1143" s="6" t="s">
        <v>4283</v>
      </c>
      <c r="M1143" s="6" t="s">
        <v>4280</v>
      </c>
      <c r="N1143" s="4">
        <v>1495.98</v>
      </c>
      <c r="O1143" s="6">
        <f t="shared" si="17"/>
        <v>61</v>
      </c>
    </row>
    <row r="1144" spans="1:15" x14ac:dyDescent="0.3">
      <c r="A1144" s="6" t="s">
        <v>1156</v>
      </c>
      <c r="B1144" s="2">
        <v>45527</v>
      </c>
      <c r="C1144" s="6" t="s">
        <v>2345</v>
      </c>
      <c r="D1144" s="6" t="s">
        <v>2404</v>
      </c>
      <c r="E1144" s="9">
        <v>4</v>
      </c>
      <c r="F1144" s="4">
        <v>695.1</v>
      </c>
      <c r="G1144" t="s">
        <v>3041</v>
      </c>
      <c r="H1144" s="6" t="s">
        <v>3065</v>
      </c>
      <c r="I1144" s="6" t="s">
        <v>3072</v>
      </c>
      <c r="J1144" s="6" t="s">
        <v>4217</v>
      </c>
      <c r="K1144" s="9">
        <v>8</v>
      </c>
      <c r="L1144" s="6" t="s">
        <v>4283</v>
      </c>
      <c r="M1144" s="6" t="s">
        <v>4280</v>
      </c>
      <c r="N1144" s="4">
        <v>2780.4</v>
      </c>
      <c r="O1144" s="6">
        <f t="shared" si="17"/>
        <v>60</v>
      </c>
    </row>
    <row r="1145" spans="1:15" x14ac:dyDescent="0.3">
      <c r="A1145" s="6" t="s">
        <v>1157</v>
      </c>
      <c r="B1145" s="2">
        <v>45019</v>
      </c>
      <c r="C1145" s="6" t="s">
        <v>2346</v>
      </c>
      <c r="D1145" s="6" t="s">
        <v>2406</v>
      </c>
      <c r="E1145" s="9">
        <v>1</v>
      </c>
      <c r="F1145" s="4">
        <v>381.61</v>
      </c>
      <c r="G1145" t="s">
        <v>3042</v>
      </c>
      <c r="H1145" s="6" t="s">
        <v>3065</v>
      </c>
      <c r="I1145" s="6" t="s">
        <v>3074</v>
      </c>
      <c r="J1145" s="6" t="s">
        <v>4218</v>
      </c>
      <c r="K1145" s="9">
        <v>5</v>
      </c>
      <c r="L1145" s="6" t="s">
        <v>4283</v>
      </c>
      <c r="M1145" s="6" t="s">
        <v>4280</v>
      </c>
      <c r="N1145" s="4">
        <v>381.61</v>
      </c>
      <c r="O1145" s="6">
        <f t="shared" si="17"/>
        <v>59</v>
      </c>
    </row>
    <row r="1146" spans="1:15" x14ac:dyDescent="0.3">
      <c r="A1146" s="6" t="s">
        <v>1158</v>
      </c>
      <c r="B1146" s="2">
        <v>44973</v>
      </c>
      <c r="C1146" s="6" t="s">
        <v>2347</v>
      </c>
      <c r="D1146" s="6" t="s">
        <v>2409</v>
      </c>
      <c r="E1146" s="9">
        <v>5</v>
      </c>
      <c r="F1146" s="4">
        <v>507.94</v>
      </c>
      <c r="G1146" t="s">
        <v>3043</v>
      </c>
      <c r="H1146" s="6" t="s">
        <v>3066</v>
      </c>
      <c r="I1146" s="6" t="s">
        <v>3071</v>
      </c>
      <c r="J1146" s="6" t="s">
        <v>4219</v>
      </c>
      <c r="K1146" s="9">
        <v>9</v>
      </c>
      <c r="L1146" s="6" t="s">
        <v>4283</v>
      </c>
      <c r="M1146" s="6" t="s">
        <v>4281</v>
      </c>
      <c r="N1146" s="4">
        <v>2539.6999999999998</v>
      </c>
      <c r="O1146" s="6">
        <f t="shared" si="17"/>
        <v>58</v>
      </c>
    </row>
    <row r="1147" spans="1:15" x14ac:dyDescent="0.3">
      <c r="A1147" s="6" t="s">
        <v>1159</v>
      </c>
      <c r="B1147" s="2">
        <v>45789</v>
      </c>
      <c r="C1147" s="6" t="s">
        <v>2348</v>
      </c>
      <c r="D1147" s="6" t="s">
        <v>2409</v>
      </c>
      <c r="E1147" s="9">
        <v>3</v>
      </c>
      <c r="F1147" s="4">
        <v>571.53</v>
      </c>
      <c r="G1147" t="s">
        <v>2628</v>
      </c>
      <c r="H1147" s="6" t="s">
        <v>3065</v>
      </c>
      <c r="I1147" s="6" t="s">
        <v>3073</v>
      </c>
      <c r="J1147" s="6" t="s">
        <v>4220</v>
      </c>
      <c r="K1147" s="9">
        <v>6</v>
      </c>
      <c r="L1147" s="6" t="s">
        <v>4276</v>
      </c>
      <c r="M1147" s="6" t="s">
        <v>4281</v>
      </c>
      <c r="N1147" s="4">
        <v>1714.59</v>
      </c>
      <c r="O1147" s="6">
        <f t="shared" si="17"/>
        <v>57</v>
      </c>
    </row>
    <row r="1148" spans="1:15" x14ac:dyDescent="0.3">
      <c r="A1148" s="6" t="s">
        <v>1160</v>
      </c>
      <c r="B1148" s="2">
        <v>45568</v>
      </c>
      <c r="C1148" s="6" t="s">
        <v>2349</v>
      </c>
      <c r="D1148" s="6" t="s">
        <v>2403</v>
      </c>
      <c r="E1148" s="9">
        <v>5</v>
      </c>
      <c r="F1148" s="4">
        <v>421.44</v>
      </c>
      <c r="G1148" t="s">
        <v>2761</v>
      </c>
      <c r="H1148" s="6" t="s">
        <v>3069</v>
      </c>
      <c r="I1148" s="6" t="s">
        <v>3074</v>
      </c>
      <c r="J1148" s="6" t="s">
        <v>4221</v>
      </c>
      <c r="K1148" s="9">
        <v>5</v>
      </c>
      <c r="L1148" s="6" t="s">
        <v>4275</v>
      </c>
      <c r="M1148" s="6" t="s">
        <v>4278</v>
      </c>
      <c r="N1148" s="4">
        <v>2107.1999999999998</v>
      </c>
      <c r="O1148" s="6">
        <f t="shared" si="17"/>
        <v>56</v>
      </c>
    </row>
    <row r="1149" spans="1:15" x14ac:dyDescent="0.3">
      <c r="A1149" s="6" t="s">
        <v>1161</v>
      </c>
      <c r="B1149" s="2">
        <v>45659</v>
      </c>
      <c r="C1149" s="6" t="s">
        <v>2350</v>
      </c>
      <c r="D1149" s="6" t="s">
        <v>2406</v>
      </c>
      <c r="E1149" s="9">
        <v>2</v>
      </c>
      <c r="F1149" s="4">
        <v>588.29999999999995</v>
      </c>
      <c r="G1149" t="s">
        <v>3044</v>
      </c>
      <c r="H1149" s="6" t="s">
        <v>3066</v>
      </c>
      <c r="I1149" s="6" t="s">
        <v>3074</v>
      </c>
      <c r="J1149" s="6" t="s">
        <v>4222</v>
      </c>
      <c r="K1149" s="9">
        <v>2</v>
      </c>
      <c r="L1149" s="6" t="s">
        <v>4276</v>
      </c>
      <c r="M1149" s="6" t="s">
        <v>4280</v>
      </c>
      <c r="N1149" s="4">
        <v>1176.5999999999999</v>
      </c>
      <c r="O1149" s="6">
        <f t="shared" si="17"/>
        <v>55</v>
      </c>
    </row>
    <row r="1150" spans="1:15" x14ac:dyDescent="0.3">
      <c r="A1150" s="6" t="s">
        <v>1162</v>
      </c>
      <c r="B1150" s="2">
        <v>45468</v>
      </c>
      <c r="C1150" s="6" t="s">
        <v>2351</v>
      </c>
      <c r="D1150" s="6" t="s">
        <v>2404</v>
      </c>
      <c r="E1150" s="9">
        <v>1</v>
      </c>
      <c r="F1150" s="4">
        <v>355.15</v>
      </c>
      <c r="G1150" t="s">
        <v>3045</v>
      </c>
      <c r="H1150" s="6" t="s">
        <v>3069</v>
      </c>
      <c r="I1150" s="6" t="s">
        <v>3072</v>
      </c>
      <c r="J1150" s="6" t="s">
        <v>4223</v>
      </c>
      <c r="K1150" s="9">
        <v>2</v>
      </c>
      <c r="L1150" s="6" t="s">
        <v>4275</v>
      </c>
      <c r="M1150" s="6" t="s">
        <v>4280</v>
      </c>
      <c r="N1150" s="4">
        <v>355.15</v>
      </c>
      <c r="O1150" s="6">
        <f t="shared" si="17"/>
        <v>54</v>
      </c>
    </row>
    <row r="1151" spans="1:15" x14ac:dyDescent="0.3">
      <c r="A1151" s="6" t="s">
        <v>1163</v>
      </c>
      <c r="B1151" s="2">
        <v>45498</v>
      </c>
      <c r="C1151" s="6" t="s">
        <v>2352</v>
      </c>
      <c r="D1151" s="6" t="s">
        <v>2406</v>
      </c>
      <c r="E1151" s="9">
        <v>2</v>
      </c>
      <c r="F1151" s="4">
        <v>695.29</v>
      </c>
      <c r="G1151" t="s">
        <v>3046</v>
      </c>
      <c r="H1151" s="6" t="s">
        <v>3067</v>
      </c>
      <c r="I1151" s="6" t="s">
        <v>3074</v>
      </c>
      <c r="J1151" s="6" t="s">
        <v>4224</v>
      </c>
      <c r="K1151" s="9">
        <v>6</v>
      </c>
      <c r="L1151" s="6" t="s">
        <v>4276</v>
      </c>
      <c r="M1151" s="6" t="s">
        <v>4278</v>
      </c>
      <c r="N1151" s="4">
        <v>1390.58</v>
      </c>
      <c r="O1151" s="6">
        <f t="shared" si="17"/>
        <v>53</v>
      </c>
    </row>
    <row r="1152" spans="1:15" x14ac:dyDescent="0.3">
      <c r="A1152" s="6" t="s">
        <v>1164</v>
      </c>
      <c r="B1152" s="2">
        <v>44977</v>
      </c>
      <c r="C1152" s="6" t="s">
        <v>2353</v>
      </c>
      <c r="D1152" s="6" t="s">
        <v>2409</v>
      </c>
      <c r="E1152" s="9">
        <v>4</v>
      </c>
      <c r="F1152" s="4">
        <v>302.64999999999998</v>
      </c>
      <c r="G1152" t="s">
        <v>2642</v>
      </c>
      <c r="H1152" s="6" t="s">
        <v>3067</v>
      </c>
      <c r="I1152" s="6" t="s">
        <v>3071</v>
      </c>
      <c r="J1152" s="6" t="s">
        <v>4225</v>
      </c>
      <c r="K1152" s="9">
        <v>8</v>
      </c>
      <c r="L1152" s="6" t="s">
        <v>4275</v>
      </c>
      <c r="M1152" s="6" t="s">
        <v>4279</v>
      </c>
      <c r="N1152" s="4">
        <v>1210.5999999999999</v>
      </c>
      <c r="O1152" s="6">
        <f t="shared" si="17"/>
        <v>52</v>
      </c>
    </row>
    <row r="1153" spans="1:15" x14ac:dyDescent="0.3">
      <c r="A1153" s="6" t="s">
        <v>1165</v>
      </c>
      <c r="B1153" s="2">
        <v>44955</v>
      </c>
      <c r="C1153" s="6" t="s">
        <v>2354</v>
      </c>
      <c r="D1153" s="6" t="s">
        <v>2406</v>
      </c>
      <c r="E1153" s="9">
        <v>2</v>
      </c>
      <c r="F1153" s="4">
        <v>608.04</v>
      </c>
      <c r="G1153" t="s">
        <v>3047</v>
      </c>
      <c r="H1153" s="6" t="s">
        <v>3069</v>
      </c>
      <c r="I1153" s="6" t="s">
        <v>3071</v>
      </c>
      <c r="J1153" s="6" t="s">
        <v>4226</v>
      </c>
      <c r="K1153" s="9">
        <v>4</v>
      </c>
      <c r="L1153" s="6" t="s">
        <v>4283</v>
      </c>
      <c r="M1153" s="6" t="s">
        <v>4282</v>
      </c>
      <c r="N1153" s="4">
        <v>1216.08</v>
      </c>
      <c r="O1153" s="6">
        <f t="shared" si="17"/>
        <v>51</v>
      </c>
    </row>
    <row r="1154" spans="1:15" x14ac:dyDescent="0.3">
      <c r="A1154" s="6" t="s">
        <v>1166</v>
      </c>
      <c r="B1154" s="2">
        <v>45239</v>
      </c>
      <c r="C1154" s="6" t="s">
        <v>2355</v>
      </c>
      <c r="D1154" s="6" t="s">
        <v>2405</v>
      </c>
      <c r="E1154" s="9">
        <v>2</v>
      </c>
      <c r="F1154" s="4">
        <v>344.18</v>
      </c>
      <c r="G1154" t="s">
        <v>2501</v>
      </c>
      <c r="H1154" s="6" t="s">
        <v>3067</v>
      </c>
      <c r="I1154" s="6" t="s">
        <v>3070</v>
      </c>
      <c r="J1154" s="6" t="s">
        <v>4227</v>
      </c>
      <c r="K1154" s="9">
        <v>7</v>
      </c>
      <c r="L1154" s="6" t="s">
        <v>4283</v>
      </c>
      <c r="M1154" s="6" t="s">
        <v>4279</v>
      </c>
      <c r="N1154" s="4">
        <v>688.36</v>
      </c>
      <c r="O1154" s="6">
        <f t="shared" ref="O1154:O1201" si="18">COUNTA(_xlfn.UNIQUE(C1153:C2352))</f>
        <v>50</v>
      </c>
    </row>
    <row r="1155" spans="1:15" x14ac:dyDescent="0.3">
      <c r="A1155" s="6" t="s">
        <v>1167</v>
      </c>
      <c r="B1155" s="2">
        <v>45642</v>
      </c>
      <c r="C1155" s="6" t="s">
        <v>2356</v>
      </c>
      <c r="D1155" s="6" t="s">
        <v>2403</v>
      </c>
      <c r="E1155" s="9">
        <v>4</v>
      </c>
      <c r="F1155" s="4">
        <v>696.71</v>
      </c>
      <c r="G1155" t="s">
        <v>3048</v>
      </c>
      <c r="H1155" s="6" t="s">
        <v>3065</v>
      </c>
      <c r="I1155" s="6" t="s">
        <v>3070</v>
      </c>
      <c r="J1155" s="6" t="s">
        <v>4228</v>
      </c>
      <c r="K1155" s="9">
        <v>4</v>
      </c>
      <c r="L1155" s="6" t="s">
        <v>4283</v>
      </c>
      <c r="M1155" s="6" t="s">
        <v>4278</v>
      </c>
      <c r="N1155" s="4">
        <v>2786.84</v>
      </c>
      <c r="O1155" s="6">
        <f t="shared" si="18"/>
        <v>49</v>
      </c>
    </row>
    <row r="1156" spans="1:15" x14ac:dyDescent="0.3">
      <c r="A1156" s="6" t="s">
        <v>1168</v>
      </c>
      <c r="B1156" s="2">
        <v>45819</v>
      </c>
      <c r="C1156" s="6" t="s">
        <v>2357</v>
      </c>
      <c r="D1156" s="6" t="s">
        <v>2403</v>
      </c>
      <c r="E1156" s="9">
        <v>3</v>
      </c>
      <c r="F1156" s="4">
        <v>198.63</v>
      </c>
      <c r="G1156" t="s">
        <v>2520</v>
      </c>
      <c r="H1156" s="6" t="s">
        <v>3069</v>
      </c>
      <c r="I1156" s="6" t="s">
        <v>3074</v>
      </c>
      <c r="J1156" s="6" t="s">
        <v>4229</v>
      </c>
      <c r="K1156" s="9">
        <v>8</v>
      </c>
      <c r="L1156" s="6" t="s">
        <v>4275</v>
      </c>
      <c r="M1156" s="6" t="s">
        <v>4278</v>
      </c>
      <c r="N1156" s="4">
        <v>595.89</v>
      </c>
      <c r="O1156" s="6">
        <f t="shared" si="18"/>
        <v>48</v>
      </c>
    </row>
    <row r="1157" spans="1:15" x14ac:dyDescent="0.3">
      <c r="A1157" s="6" t="s">
        <v>1169</v>
      </c>
      <c r="B1157" s="2">
        <v>45151</v>
      </c>
      <c r="C1157" s="6" t="s">
        <v>2358</v>
      </c>
      <c r="D1157" s="6" t="s">
        <v>2407</v>
      </c>
      <c r="E1157" s="9">
        <v>4</v>
      </c>
      <c r="F1157" s="4">
        <v>534.57000000000005</v>
      </c>
      <c r="G1157" t="s">
        <v>2558</v>
      </c>
      <c r="H1157" s="6" t="s">
        <v>3067</v>
      </c>
      <c r="I1157" s="6" t="s">
        <v>3073</v>
      </c>
      <c r="J1157" s="6" t="s">
        <v>4230</v>
      </c>
      <c r="K1157" s="9">
        <v>6</v>
      </c>
      <c r="L1157" s="6" t="s">
        <v>4276</v>
      </c>
      <c r="M1157" s="6" t="s">
        <v>4281</v>
      </c>
      <c r="N1157" s="4">
        <v>2138.2800000000002</v>
      </c>
      <c r="O1157" s="6">
        <f t="shared" si="18"/>
        <v>47</v>
      </c>
    </row>
    <row r="1158" spans="1:15" x14ac:dyDescent="0.3">
      <c r="A1158" s="6" t="s">
        <v>1170</v>
      </c>
      <c r="B1158" s="2">
        <v>45126</v>
      </c>
      <c r="C1158" s="6" t="s">
        <v>2359</v>
      </c>
      <c r="D1158" s="6" t="s">
        <v>2408</v>
      </c>
      <c r="E1158" s="9">
        <v>4</v>
      </c>
      <c r="F1158" s="4">
        <v>690.78</v>
      </c>
      <c r="G1158" t="s">
        <v>2424</v>
      </c>
      <c r="H1158" s="6" t="s">
        <v>3067</v>
      </c>
      <c r="I1158" s="6" t="s">
        <v>3070</v>
      </c>
      <c r="J1158" s="6" t="s">
        <v>4231</v>
      </c>
      <c r="K1158" s="9">
        <v>9</v>
      </c>
      <c r="L1158" s="6" t="s">
        <v>4283</v>
      </c>
      <c r="M1158" s="6" t="s">
        <v>4279</v>
      </c>
      <c r="N1158" s="4">
        <v>2763.12</v>
      </c>
      <c r="O1158" s="6">
        <f t="shared" si="18"/>
        <v>46</v>
      </c>
    </row>
    <row r="1159" spans="1:15" x14ac:dyDescent="0.3">
      <c r="A1159" s="6" t="s">
        <v>1171</v>
      </c>
      <c r="B1159" s="2">
        <v>45441</v>
      </c>
      <c r="C1159" s="6" t="s">
        <v>2360</v>
      </c>
      <c r="D1159" s="6" t="s">
        <v>2403</v>
      </c>
      <c r="E1159" s="9">
        <v>3</v>
      </c>
      <c r="F1159" s="4">
        <v>301.55</v>
      </c>
      <c r="G1159" t="s">
        <v>2605</v>
      </c>
      <c r="H1159" s="6" t="s">
        <v>3065</v>
      </c>
      <c r="I1159" s="6" t="s">
        <v>3073</v>
      </c>
      <c r="J1159" s="6" t="s">
        <v>4232</v>
      </c>
      <c r="K1159" s="9">
        <v>5</v>
      </c>
      <c r="L1159" s="6" t="s">
        <v>4276</v>
      </c>
      <c r="M1159" s="6" t="s">
        <v>4282</v>
      </c>
      <c r="N1159" s="4">
        <v>904.65000000000009</v>
      </c>
      <c r="O1159" s="6">
        <f t="shared" si="18"/>
        <v>45</v>
      </c>
    </row>
    <row r="1160" spans="1:15" x14ac:dyDescent="0.3">
      <c r="A1160" s="6" t="s">
        <v>1172</v>
      </c>
      <c r="B1160" s="2">
        <v>45036</v>
      </c>
      <c r="C1160" s="6" t="s">
        <v>2361</v>
      </c>
      <c r="D1160" s="6" t="s">
        <v>2403</v>
      </c>
      <c r="E1160" s="9">
        <v>4</v>
      </c>
      <c r="F1160" s="4">
        <v>27.42</v>
      </c>
      <c r="G1160" t="s">
        <v>2755</v>
      </c>
      <c r="H1160" s="6" t="s">
        <v>3065</v>
      </c>
      <c r="I1160" s="6" t="s">
        <v>3074</v>
      </c>
      <c r="J1160" s="6" t="s">
        <v>4233</v>
      </c>
      <c r="K1160" s="9">
        <v>4</v>
      </c>
      <c r="L1160" s="6" t="s">
        <v>4275</v>
      </c>
      <c r="M1160" s="6" t="s">
        <v>4279</v>
      </c>
      <c r="N1160" s="4">
        <v>109.68</v>
      </c>
      <c r="O1160" s="6">
        <f t="shared" si="18"/>
        <v>44</v>
      </c>
    </row>
    <row r="1161" spans="1:15" x14ac:dyDescent="0.3">
      <c r="A1161" s="6" t="s">
        <v>1173</v>
      </c>
      <c r="B1161" s="2">
        <v>45345</v>
      </c>
      <c r="C1161" s="6" t="s">
        <v>2362</v>
      </c>
      <c r="D1161" s="6" t="s">
        <v>2409</v>
      </c>
      <c r="E1161" s="9">
        <v>4</v>
      </c>
      <c r="F1161" s="4">
        <v>466.7</v>
      </c>
      <c r="G1161" t="s">
        <v>2766</v>
      </c>
      <c r="H1161" s="6" t="s">
        <v>3065</v>
      </c>
      <c r="I1161" s="6" t="s">
        <v>3072</v>
      </c>
      <c r="J1161" s="6" t="s">
        <v>4234</v>
      </c>
      <c r="K1161" s="9">
        <v>8</v>
      </c>
      <c r="L1161" s="6" t="s">
        <v>4283</v>
      </c>
      <c r="M1161" s="6" t="s">
        <v>4278</v>
      </c>
      <c r="N1161" s="4">
        <v>1866.8</v>
      </c>
      <c r="O1161" s="6">
        <f t="shared" si="18"/>
        <v>43</v>
      </c>
    </row>
    <row r="1162" spans="1:15" x14ac:dyDescent="0.3">
      <c r="A1162" s="6" t="s">
        <v>1174</v>
      </c>
      <c r="B1162" s="2">
        <v>45539</v>
      </c>
      <c r="C1162" s="6" t="s">
        <v>2363</v>
      </c>
      <c r="D1162" s="6" t="s">
        <v>2409</v>
      </c>
      <c r="E1162" s="9">
        <v>1</v>
      </c>
      <c r="F1162" s="4">
        <v>541.64</v>
      </c>
      <c r="G1162" t="s">
        <v>2777</v>
      </c>
      <c r="H1162" s="6" t="s">
        <v>3065</v>
      </c>
      <c r="I1162" s="6" t="s">
        <v>3070</v>
      </c>
      <c r="J1162" s="6" t="s">
        <v>4235</v>
      </c>
      <c r="K1162" s="9">
        <v>5</v>
      </c>
      <c r="L1162" s="6" t="s">
        <v>4275</v>
      </c>
      <c r="M1162" s="6" t="s">
        <v>4280</v>
      </c>
      <c r="N1162" s="4">
        <v>541.64</v>
      </c>
      <c r="O1162" s="6">
        <f t="shared" si="18"/>
        <v>42</v>
      </c>
    </row>
    <row r="1163" spans="1:15" x14ac:dyDescent="0.3">
      <c r="A1163" s="6" t="s">
        <v>1175</v>
      </c>
      <c r="B1163" s="2">
        <v>45215</v>
      </c>
      <c r="C1163" s="6" t="s">
        <v>2364</v>
      </c>
      <c r="D1163" s="6" t="s">
        <v>2404</v>
      </c>
      <c r="E1163" s="9">
        <v>1</v>
      </c>
      <c r="F1163" s="4">
        <v>11.39</v>
      </c>
      <c r="G1163" t="s">
        <v>2693</v>
      </c>
      <c r="H1163" s="6" t="s">
        <v>3069</v>
      </c>
      <c r="I1163" s="6" t="s">
        <v>3071</v>
      </c>
      <c r="J1163" s="6" t="s">
        <v>4236</v>
      </c>
      <c r="K1163" s="9">
        <v>6</v>
      </c>
      <c r="L1163" s="6" t="s">
        <v>4277</v>
      </c>
      <c r="M1163" s="6" t="s">
        <v>4280</v>
      </c>
      <c r="N1163" s="4">
        <v>11.39</v>
      </c>
      <c r="O1163" s="6">
        <f t="shared" si="18"/>
        <v>41</v>
      </c>
    </row>
    <row r="1164" spans="1:15" x14ac:dyDescent="0.3">
      <c r="A1164" s="6" t="s">
        <v>1176</v>
      </c>
      <c r="B1164" s="2">
        <v>45727</v>
      </c>
      <c r="C1164" s="6" t="s">
        <v>2365</v>
      </c>
      <c r="D1164" s="6" t="s">
        <v>2404</v>
      </c>
      <c r="E1164" s="9">
        <v>2</v>
      </c>
      <c r="F1164" s="4">
        <v>224.37</v>
      </c>
      <c r="G1164" t="s">
        <v>3049</v>
      </c>
      <c r="H1164" s="6" t="s">
        <v>3065</v>
      </c>
      <c r="I1164" s="6" t="s">
        <v>3073</v>
      </c>
      <c r="J1164" s="6" t="s">
        <v>4237</v>
      </c>
      <c r="K1164" s="9">
        <v>3</v>
      </c>
      <c r="L1164" s="6" t="s">
        <v>4277</v>
      </c>
      <c r="M1164" s="6" t="s">
        <v>4279</v>
      </c>
      <c r="N1164" s="4">
        <v>448.74</v>
      </c>
      <c r="O1164" s="6">
        <f t="shared" si="18"/>
        <v>40</v>
      </c>
    </row>
    <row r="1165" spans="1:15" x14ac:dyDescent="0.3">
      <c r="A1165" s="6" t="s">
        <v>1177</v>
      </c>
      <c r="B1165" s="2">
        <v>45454</v>
      </c>
      <c r="C1165" s="6" t="s">
        <v>2366</v>
      </c>
      <c r="D1165" s="6" t="s">
        <v>2408</v>
      </c>
      <c r="E1165" s="9">
        <v>3</v>
      </c>
      <c r="F1165" s="4">
        <v>306.29000000000002</v>
      </c>
      <c r="G1165" t="s">
        <v>3050</v>
      </c>
      <c r="H1165" s="6" t="s">
        <v>3067</v>
      </c>
      <c r="I1165" s="6" t="s">
        <v>3072</v>
      </c>
      <c r="J1165" s="6" t="s">
        <v>4238</v>
      </c>
      <c r="K1165" s="9">
        <v>7</v>
      </c>
      <c r="L1165" s="6" t="s">
        <v>4277</v>
      </c>
      <c r="M1165" s="6" t="s">
        <v>4278</v>
      </c>
      <c r="N1165" s="4">
        <v>918.87000000000012</v>
      </c>
      <c r="O1165" s="6">
        <f t="shared" si="18"/>
        <v>39</v>
      </c>
    </row>
    <row r="1166" spans="1:15" x14ac:dyDescent="0.3">
      <c r="A1166" s="6" t="s">
        <v>1178</v>
      </c>
      <c r="B1166" s="2">
        <v>45299</v>
      </c>
      <c r="C1166" s="6" t="s">
        <v>2367</v>
      </c>
      <c r="D1166" s="6" t="s">
        <v>2405</v>
      </c>
      <c r="E1166" s="9">
        <v>5</v>
      </c>
      <c r="F1166" s="4">
        <v>315.57</v>
      </c>
      <c r="G1166" t="s">
        <v>2826</v>
      </c>
      <c r="H1166" s="6" t="s">
        <v>3065</v>
      </c>
      <c r="I1166" s="6" t="s">
        <v>3073</v>
      </c>
      <c r="J1166" s="6" t="s">
        <v>4239</v>
      </c>
      <c r="K1166" s="9">
        <v>6</v>
      </c>
      <c r="L1166" s="6" t="s">
        <v>4277</v>
      </c>
      <c r="M1166" s="6" t="s">
        <v>4280</v>
      </c>
      <c r="N1166" s="4">
        <v>1577.85</v>
      </c>
      <c r="O1166" s="6">
        <f t="shared" si="18"/>
        <v>38</v>
      </c>
    </row>
    <row r="1167" spans="1:15" x14ac:dyDescent="0.3">
      <c r="A1167" s="6" t="s">
        <v>1179</v>
      </c>
      <c r="B1167" s="2">
        <v>45121</v>
      </c>
      <c r="C1167" s="6" t="s">
        <v>2368</v>
      </c>
      <c r="D1167" s="6" t="s">
        <v>2406</v>
      </c>
      <c r="E1167" s="9">
        <v>3</v>
      </c>
      <c r="F1167" s="4">
        <v>223.79</v>
      </c>
      <c r="G1167" t="s">
        <v>3051</v>
      </c>
      <c r="H1167" s="6" t="s">
        <v>3065</v>
      </c>
      <c r="I1167" s="6" t="s">
        <v>3074</v>
      </c>
      <c r="J1167" s="6" t="s">
        <v>4240</v>
      </c>
      <c r="K1167" s="9">
        <v>3</v>
      </c>
      <c r="L1167" s="6" t="s">
        <v>4283</v>
      </c>
      <c r="M1167" s="6" t="s">
        <v>4282</v>
      </c>
      <c r="N1167" s="4">
        <v>671.37</v>
      </c>
      <c r="O1167" s="6">
        <f t="shared" si="18"/>
        <v>37</v>
      </c>
    </row>
    <row r="1168" spans="1:15" x14ac:dyDescent="0.3">
      <c r="A1168" s="6" t="s">
        <v>1180</v>
      </c>
      <c r="B1168" s="2">
        <v>45138</v>
      </c>
      <c r="C1168" s="6" t="s">
        <v>2369</v>
      </c>
      <c r="D1168" s="6" t="s">
        <v>2406</v>
      </c>
      <c r="E1168" s="9">
        <v>3</v>
      </c>
      <c r="F1168" s="4">
        <v>324.47000000000003</v>
      </c>
      <c r="G1168" t="s">
        <v>2486</v>
      </c>
      <c r="H1168" s="6" t="s">
        <v>3069</v>
      </c>
      <c r="I1168" s="6" t="s">
        <v>3073</v>
      </c>
      <c r="J1168" s="6" t="s">
        <v>4241</v>
      </c>
      <c r="K1168" s="9">
        <v>4</v>
      </c>
      <c r="L1168" s="6" t="s">
        <v>4277</v>
      </c>
      <c r="M1168" s="6" t="s">
        <v>4280</v>
      </c>
      <c r="N1168" s="4">
        <v>973.41000000000008</v>
      </c>
      <c r="O1168" s="6">
        <f t="shared" si="18"/>
        <v>36</v>
      </c>
    </row>
    <row r="1169" spans="1:15" x14ac:dyDescent="0.3">
      <c r="A1169" s="6" t="s">
        <v>1181</v>
      </c>
      <c r="B1169" s="2">
        <v>45216</v>
      </c>
      <c r="C1169" s="6" t="s">
        <v>2370</v>
      </c>
      <c r="D1169" s="6" t="s">
        <v>2407</v>
      </c>
      <c r="E1169" s="9">
        <v>2</v>
      </c>
      <c r="F1169" s="4">
        <v>92.87</v>
      </c>
      <c r="G1169" t="s">
        <v>2645</v>
      </c>
      <c r="H1169" s="6" t="s">
        <v>3067</v>
      </c>
      <c r="I1169" s="6" t="s">
        <v>3074</v>
      </c>
      <c r="J1169" s="6" t="s">
        <v>4242</v>
      </c>
      <c r="K1169" s="9">
        <v>5</v>
      </c>
      <c r="L1169" s="6" t="s">
        <v>4276</v>
      </c>
      <c r="M1169" s="6" t="s">
        <v>4281</v>
      </c>
      <c r="N1169" s="4">
        <v>185.74</v>
      </c>
      <c r="O1169" s="6">
        <f t="shared" si="18"/>
        <v>35</v>
      </c>
    </row>
    <row r="1170" spans="1:15" x14ac:dyDescent="0.3">
      <c r="A1170" s="6" t="s">
        <v>1182</v>
      </c>
      <c r="B1170" s="2">
        <v>45024</v>
      </c>
      <c r="C1170" s="6" t="s">
        <v>2371</v>
      </c>
      <c r="D1170" s="6" t="s">
        <v>2408</v>
      </c>
      <c r="E1170" s="9">
        <v>2</v>
      </c>
      <c r="F1170" s="4">
        <v>331.42</v>
      </c>
      <c r="G1170" t="s">
        <v>3052</v>
      </c>
      <c r="H1170" s="6" t="s">
        <v>3067</v>
      </c>
      <c r="I1170" s="6" t="s">
        <v>3073</v>
      </c>
      <c r="J1170" s="6" t="s">
        <v>4243</v>
      </c>
      <c r="K1170" s="9">
        <v>6</v>
      </c>
      <c r="L1170" s="6" t="s">
        <v>4277</v>
      </c>
      <c r="M1170" s="6" t="s">
        <v>4282</v>
      </c>
      <c r="N1170" s="4">
        <v>662.84</v>
      </c>
      <c r="O1170" s="6">
        <f t="shared" si="18"/>
        <v>34</v>
      </c>
    </row>
    <row r="1171" spans="1:15" x14ac:dyDescent="0.3">
      <c r="A1171" s="6" t="s">
        <v>1183</v>
      </c>
      <c r="B1171" s="2">
        <v>45649</v>
      </c>
      <c r="C1171" s="6" t="s">
        <v>2372</v>
      </c>
      <c r="D1171" s="6" t="s">
        <v>2406</v>
      </c>
      <c r="E1171" s="9">
        <v>1</v>
      </c>
      <c r="F1171" s="4">
        <v>525.42999999999995</v>
      </c>
      <c r="G1171" t="s">
        <v>3053</v>
      </c>
      <c r="H1171" s="6" t="s">
        <v>3069</v>
      </c>
      <c r="I1171" s="6" t="s">
        <v>3071</v>
      </c>
      <c r="J1171" s="6" t="s">
        <v>4244</v>
      </c>
      <c r="K1171" s="9">
        <v>2</v>
      </c>
      <c r="L1171" s="6" t="s">
        <v>4275</v>
      </c>
      <c r="M1171" s="6" t="s">
        <v>4278</v>
      </c>
      <c r="N1171" s="4">
        <v>525.42999999999995</v>
      </c>
      <c r="O1171" s="6">
        <f t="shared" si="18"/>
        <v>33</v>
      </c>
    </row>
    <row r="1172" spans="1:15" x14ac:dyDescent="0.3">
      <c r="A1172" s="6" t="s">
        <v>1184</v>
      </c>
      <c r="B1172" s="2">
        <v>45141</v>
      </c>
      <c r="C1172" s="6" t="s">
        <v>2373</v>
      </c>
      <c r="D1172" s="6" t="s">
        <v>2407</v>
      </c>
      <c r="E1172" s="9">
        <v>2</v>
      </c>
      <c r="F1172" s="4">
        <v>697.19</v>
      </c>
      <c r="G1172" t="s">
        <v>2607</v>
      </c>
      <c r="H1172" s="6" t="s">
        <v>3069</v>
      </c>
      <c r="I1172" s="6" t="s">
        <v>3072</v>
      </c>
      <c r="J1172" s="6" t="s">
        <v>4245</v>
      </c>
      <c r="K1172" s="9">
        <v>7</v>
      </c>
      <c r="L1172" s="6" t="s">
        <v>4276</v>
      </c>
      <c r="M1172" s="6" t="s">
        <v>4280</v>
      </c>
      <c r="N1172" s="4">
        <v>1394.38</v>
      </c>
      <c r="O1172" s="6">
        <f t="shared" si="18"/>
        <v>32</v>
      </c>
    </row>
    <row r="1173" spans="1:15" x14ac:dyDescent="0.3">
      <c r="A1173" s="6" t="s">
        <v>1185</v>
      </c>
      <c r="B1173" s="2">
        <v>45166</v>
      </c>
      <c r="C1173" s="6" t="s">
        <v>2374</v>
      </c>
      <c r="D1173" s="6" t="s">
        <v>2404</v>
      </c>
      <c r="E1173" s="9">
        <v>4</v>
      </c>
      <c r="F1173" s="4">
        <v>518.4</v>
      </c>
      <c r="G1173" t="s">
        <v>3054</v>
      </c>
      <c r="H1173" s="6" t="s">
        <v>3067</v>
      </c>
      <c r="I1173" s="6" t="s">
        <v>3073</v>
      </c>
      <c r="J1173" s="6" t="s">
        <v>4246</v>
      </c>
      <c r="K1173" s="9">
        <v>7</v>
      </c>
      <c r="L1173" s="6" t="s">
        <v>4275</v>
      </c>
      <c r="M1173" s="6" t="s">
        <v>4281</v>
      </c>
      <c r="N1173" s="4">
        <v>2073.6</v>
      </c>
      <c r="O1173" s="6">
        <f t="shared" si="18"/>
        <v>31</v>
      </c>
    </row>
    <row r="1174" spans="1:15" x14ac:dyDescent="0.3">
      <c r="A1174" s="6" t="s">
        <v>1186</v>
      </c>
      <c r="B1174" s="2">
        <v>45692</v>
      </c>
      <c r="C1174" s="6" t="s">
        <v>2375</v>
      </c>
      <c r="D1174" s="6" t="s">
        <v>2409</v>
      </c>
      <c r="E1174" s="9">
        <v>3</v>
      </c>
      <c r="F1174" s="4">
        <v>131.96</v>
      </c>
      <c r="G1174" t="s">
        <v>2793</v>
      </c>
      <c r="H1174" s="6" t="s">
        <v>3067</v>
      </c>
      <c r="I1174" s="6" t="s">
        <v>3074</v>
      </c>
      <c r="J1174" s="6" t="s">
        <v>4247</v>
      </c>
      <c r="K1174" s="9">
        <v>8</v>
      </c>
      <c r="L1174" s="6" t="s">
        <v>4283</v>
      </c>
      <c r="M1174" s="6" t="s">
        <v>4278</v>
      </c>
      <c r="N1174" s="4">
        <v>395.88</v>
      </c>
      <c r="O1174" s="6">
        <f t="shared" si="18"/>
        <v>30</v>
      </c>
    </row>
    <row r="1175" spans="1:15" x14ac:dyDescent="0.3">
      <c r="A1175" s="6" t="s">
        <v>1187</v>
      </c>
      <c r="B1175" s="2">
        <v>45569</v>
      </c>
      <c r="C1175" s="6" t="s">
        <v>2376</v>
      </c>
      <c r="D1175" s="6" t="s">
        <v>2403</v>
      </c>
      <c r="E1175" s="9">
        <v>1</v>
      </c>
      <c r="F1175" s="4">
        <v>208.36</v>
      </c>
      <c r="G1175" t="s">
        <v>2891</v>
      </c>
      <c r="H1175" s="6" t="s">
        <v>3066</v>
      </c>
      <c r="I1175" s="6" t="s">
        <v>3070</v>
      </c>
      <c r="J1175" s="6" t="s">
        <v>4248</v>
      </c>
      <c r="K1175" s="9">
        <v>4</v>
      </c>
      <c r="L1175" s="6" t="s">
        <v>4276</v>
      </c>
      <c r="M1175" s="6" t="s">
        <v>4280</v>
      </c>
      <c r="N1175" s="4">
        <v>208.36</v>
      </c>
      <c r="O1175" s="6">
        <f t="shared" si="18"/>
        <v>29</v>
      </c>
    </row>
    <row r="1176" spans="1:15" x14ac:dyDescent="0.3">
      <c r="A1176" s="6" t="s">
        <v>1188</v>
      </c>
      <c r="B1176" s="2">
        <v>45257</v>
      </c>
      <c r="C1176" s="6" t="s">
        <v>2377</v>
      </c>
      <c r="D1176" s="6" t="s">
        <v>2407</v>
      </c>
      <c r="E1176" s="9">
        <v>3</v>
      </c>
      <c r="F1176" s="4">
        <v>222.34</v>
      </c>
      <c r="G1176" t="s">
        <v>3055</v>
      </c>
      <c r="H1176" s="6" t="s">
        <v>3067</v>
      </c>
      <c r="I1176" s="6" t="s">
        <v>3072</v>
      </c>
      <c r="J1176" s="6" t="s">
        <v>4249</v>
      </c>
      <c r="K1176" s="9">
        <v>5</v>
      </c>
      <c r="L1176" s="6" t="s">
        <v>4277</v>
      </c>
      <c r="M1176" s="6" t="s">
        <v>4280</v>
      </c>
      <c r="N1176" s="4">
        <v>667.02</v>
      </c>
      <c r="O1176" s="6">
        <f t="shared" si="18"/>
        <v>28</v>
      </c>
    </row>
    <row r="1177" spans="1:15" x14ac:dyDescent="0.3">
      <c r="A1177" s="6" t="s">
        <v>1189</v>
      </c>
      <c r="B1177" s="2">
        <v>45545</v>
      </c>
      <c r="C1177" s="6" t="s">
        <v>2378</v>
      </c>
      <c r="D1177" s="6" t="s">
        <v>2407</v>
      </c>
      <c r="E1177" s="9">
        <v>3</v>
      </c>
      <c r="F1177" s="4">
        <v>91.74</v>
      </c>
      <c r="G1177" t="s">
        <v>2666</v>
      </c>
      <c r="H1177" s="6" t="s">
        <v>3065</v>
      </c>
      <c r="I1177" s="6" t="s">
        <v>3072</v>
      </c>
      <c r="J1177" s="6" t="s">
        <v>4250</v>
      </c>
      <c r="K1177" s="9">
        <v>8</v>
      </c>
      <c r="L1177" s="6" t="s">
        <v>4276</v>
      </c>
      <c r="M1177" s="6" t="s">
        <v>4279</v>
      </c>
      <c r="N1177" s="4">
        <v>275.22000000000003</v>
      </c>
      <c r="O1177" s="6">
        <f t="shared" si="18"/>
        <v>27</v>
      </c>
    </row>
    <row r="1178" spans="1:15" x14ac:dyDescent="0.3">
      <c r="A1178" s="6" t="s">
        <v>1190</v>
      </c>
      <c r="B1178" s="2">
        <v>45151</v>
      </c>
      <c r="C1178" s="6" t="s">
        <v>2379</v>
      </c>
      <c r="D1178" s="6" t="s">
        <v>2405</v>
      </c>
      <c r="E1178" s="9">
        <v>2</v>
      </c>
      <c r="F1178" s="4">
        <v>213.83</v>
      </c>
      <c r="G1178" t="s">
        <v>3056</v>
      </c>
      <c r="H1178" s="6" t="s">
        <v>3065</v>
      </c>
      <c r="I1178" s="6" t="s">
        <v>3071</v>
      </c>
      <c r="J1178" s="6" t="s">
        <v>4251</v>
      </c>
      <c r="K1178" s="9">
        <v>2</v>
      </c>
      <c r="L1178" s="6" t="s">
        <v>4277</v>
      </c>
      <c r="M1178" s="6" t="s">
        <v>4280</v>
      </c>
      <c r="N1178" s="4">
        <v>427.66</v>
      </c>
      <c r="O1178" s="6">
        <f t="shared" si="18"/>
        <v>26</v>
      </c>
    </row>
    <row r="1179" spans="1:15" x14ac:dyDescent="0.3">
      <c r="A1179" s="6" t="s">
        <v>1191</v>
      </c>
      <c r="B1179" s="2">
        <v>45043</v>
      </c>
      <c r="C1179" s="6" t="s">
        <v>2380</v>
      </c>
      <c r="D1179" s="6" t="s">
        <v>2407</v>
      </c>
      <c r="E1179" s="9">
        <v>1</v>
      </c>
      <c r="F1179" s="4">
        <v>127.55</v>
      </c>
      <c r="G1179" t="s">
        <v>2749</v>
      </c>
      <c r="H1179" s="6" t="s">
        <v>3069</v>
      </c>
      <c r="I1179" s="6" t="s">
        <v>3070</v>
      </c>
      <c r="J1179" s="6" t="s">
        <v>4252</v>
      </c>
      <c r="K1179" s="9">
        <v>3</v>
      </c>
      <c r="L1179" s="6" t="s">
        <v>4275</v>
      </c>
      <c r="M1179" s="6" t="s">
        <v>4279</v>
      </c>
      <c r="N1179" s="4">
        <v>127.55</v>
      </c>
      <c r="O1179" s="6">
        <f t="shared" si="18"/>
        <v>25</v>
      </c>
    </row>
    <row r="1180" spans="1:15" x14ac:dyDescent="0.3">
      <c r="A1180" s="6" t="s">
        <v>1192</v>
      </c>
      <c r="B1180" s="2">
        <v>45543</v>
      </c>
      <c r="C1180" s="6" t="s">
        <v>2381</v>
      </c>
      <c r="D1180" s="6" t="s">
        <v>2403</v>
      </c>
      <c r="E1180" s="9">
        <v>1</v>
      </c>
      <c r="F1180" s="4">
        <v>70.239999999999995</v>
      </c>
      <c r="G1180" t="s">
        <v>2616</v>
      </c>
      <c r="H1180" s="6" t="s">
        <v>3067</v>
      </c>
      <c r="I1180" s="6" t="s">
        <v>3071</v>
      </c>
      <c r="J1180" s="6" t="s">
        <v>4253</v>
      </c>
      <c r="K1180" s="9">
        <v>4</v>
      </c>
      <c r="L1180" s="6" t="s">
        <v>4276</v>
      </c>
      <c r="M1180" s="6" t="s">
        <v>4282</v>
      </c>
      <c r="N1180" s="4">
        <v>70.239999999999995</v>
      </c>
      <c r="O1180" s="6">
        <f t="shared" si="18"/>
        <v>24</v>
      </c>
    </row>
    <row r="1181" spans="1:15" x14ac:dyDescent="0.3">
      <c r="A1181" s="6" t="s">
        <v>1193</v>
      </c>
      <c r="B1181" s="2">
        <v>44934</v>
      </c>
      <c r="C1181" s="6" t="s">
        <v>2382</v>
      </c>
      <c r="D1181" s="6" t="s">
        <v>2408</v>
      </c>
      <c r="E1181" s="9">
        <v>5</v>
      </c>
      <c r="F1181" s="4">
        <v>518.54999999999995</v>
      </c>
      <c r="G1181" t="s">
        <v>2709</v>
      </c>
      <c r="H1181" s="6" t="s">
        <v>3067</v>
      </c>
      <c r="I1181" s="6" t="s">
        <v>3071</v>
      </c>
      <c r="J1181" s="6" t="s">
        <v>4254</v>
      </c>
      <c r="K1181" s="9">
        <v>6</v>
      </c>
      <c r="L1181" s="6" t="s">
        <v>4277</v>
      </c>
      <c r="M1181" s="6" t="s">
        <v>4278</v>
      </c>
      <c r="N1181" s="4">
        <v>2592.75</v>
      </c>
      <c r="O1181" s="6">
        <f t="shared" si="18"/>
        <v>23</v>
      </c>
    </row>
    <row r="1182" spans="1:15" x14ac:dyDescent="0.3">
      <c r="A1182" s="6" t="s">
        <v>1194</v>
      </c>
      <c r="B1182" s="2">
        <v>45230</v>
      </c>
      <c r="C1182" s="6" t="s">
        <v>2383</v>
      </c>
      <c r="D1182" s="6" t="s">
        <v>2406</v>
      </c>
      <c r="E1182" s="9">
        <v>4</v>
      </c>
      <c r="F1182" s="4">
        <v>298.36</v>
      </c>
      <c r="G1182" t="s">
        <v>2805</v>
      </c>
      <c r="H1182" s="6" t="s">
        <v>3065</v>
      </c>
      <c r="I1182" s="6" t="s">
        <v>3074</v>
      </c>
      <c r="J1182" s="6" t="s">
        <v>4255</v>
      </c>
      <c r="K1182" s="9">
        <v>8</v>
      </c>
      <c r="L1182" s="6" t="s">
        <v>4276</v>
      </c>
      <c r="M1182" s="6" t="s">
        <v>4282</v>
      </c>
      <c r="N1182" s="4">
        <v>1193.44</v>
      </c>
      <c r="O1182" s="6">
        <f t="shared" si="18"/>
        <v>22</v>
      </c>
    </row>
    <row r="1183" spans="1:15" x14ac:dyDescent="0.3">
      <c r="A1183" s="6" t="s">
        <v>1195</v>
      </c>
      <c r="B1183" s="2">
        <v>45134</v>
      </c>
      <c r="C1183" s="6" t="s">
        <v>2384</v>
      </c>
      <c r="D1183" s="6" t="s">
        <v>2409</v>
      </c>
      <c r="E1183" s="9">
        <v>3</v>
      </c>
      <c r="F1183" s="4">
        <v>158.74</v>
      </c>
      <c r="G1183" t="s">
        <v>2694</v>
      </c>
      <c r="H1183" s="6" t="s">
        <v>3066</v>
      </c>
      <c r="I1183" s="6" t="s">
        <v>3074</v>
      </c>
      <c r="J1183" s="6" t="s">
        <v>4256</v>
      </c>
      <c r="K1183" s="9">
        <v>7</v>
      </c>
      <c r="L1183" s="6" t="s">
        <v>4276</v>
      </c>
      <c r="M1183" s="6" t="s">
        <v>4278</v>
      </c>
      <c r="N1183" s="4">
        <v>476.22</v>
      </c>
      <c r="O1183" s="6">
        <f t="shared" si="18"/>
        <v>21</v>
      </c>
    </row>
    <row r="1184" spans="1:15" x14ac:dyDescent="0.3">
      <c r="A1184" s="6" t="s">
        <v>1196</v>
      </c>
      <c r="B1184" s="2">
        <v>45822</v>
      </c>
      <c r="C1184" s="6" t="s">
        <v>2385</v>
      </c>
      <c r="D1184" s="6" t="s">
        <v>2406</v>
      </c>
      <c r="E1184" s="9">
        <v>2</v>
      </c>
      <c r="F1184" s="4">
        <v>420.29</v>
      </c>
      <c r="G1184" t="s">
        <v>2835</v>
      </c>
      <c r="H1184" s="6" t="s">
        <v>3068</v>
      </c>
      <c r="I1184" s="6" t="s">
        <v>3072</v>
      </c>
      <c r="J1184" s="6" t="s">
        <v>4257</v>
      </c>
      <c r="K1184" s="9">
        <v>3</v>
      </c>
      <c r="L1184" s="6" t="s">
        <v>4275</v>
      </c>
      <c r="M1184" s="6" t="s">
        <v>4282</v>
      </c>
      <c r="N1184" s="4">
        <v>840.58</v>
      </c>
      <c r="O1184" s="6">
        <f t="shared" si="18"/>
        <v>20</v>
      </c>
    </row>
    <row r="1185" spans="1:15" x14ac:dyDescent="0.3">
      <c r="A1185" s="6" t="s">
        <v>1197</v>
      </c>
      <c r="B1185" s="2">
        <v>45021</v>
      </c>
      <c r="C1185" s="6" t="s">
        <v>2386</v>
      </c>
      <c r="D1185" s="6" t="s">
        <v>2409</v>
      </c>
      <c r="E1185" s="9">
        <v>1</v>
      </c>
      <c r="F1185" s="4">
        <v>281.52</v>
      </c>
      <c r="G1185" t="s">
        <v>2633</v>
      </c>
      <c r="H1185" s="6" t="s">
        <v>3068</v>
      </c>
      <c r="I1185" s="6" t="s">
        <v>3070</v>
      </c>
      <c r="J1185" s="6" t="s">
        <v>4258</v>
      </c>
      <c r="K1185" s="9">
        <v>6</v>
      </c>
      <c r="L1185" s="6" t="s">
        <v>4277</v>
      </c>
      <c r="M1185" s="6" t="s">
        <v>4279</v>
      </c>
      <c r="N1185" s="4">
        <v>281.52</v>
      </c>
      <c r="O1185" s="6">
        <f t="shared" si="18"/>
        <v>19</v>
      </c>
    </row>
    <row r="1186" spans="1:15" x14ac:dyDescent="0.3">
      <c r="A1186" s="6" t="s">
        <v>1198</v>
      </c>
      <c r="B1186" s="2">
        <v>45196</v>
      </c>
      <c r="C1186" s="6" t="s">
        <v>2387</v>
      </c>
      <c r="D1186" s="6" t="s">
        <v>2408</v>
      </c>
      <c r="E1186" s="9">
        <v>1</v>
      </c>
      <c r="F1186" s="4">
        <v>204.08</v>
      </c>
      <c r="G1186" t="s">
        <v>2938</v>
      </c>
      <c r="H1186" s="6" t="s">
        <v>3068</v>
      </c>
      <c r="I1186" s="6" t="s">
        <v>3072</v>
      </c>
      <c r="J1186" s="6" t="s">
        <v>4259</v>
      </c>
      <c r="K1186" s="9">
        <v>4</v>
      </c>
      <c r="L1186" s="6" t="s">
        <v>4283</v>
      </c>
      <c r="M1186" s="6" t="s">
        <v>4282</v>
      </c>
      <c r="N1186" s="4">
        <v>204.08</v>
      </c>
      <c r="O1186" s="6">
        <f t="shared" si="18"/>
        <v>18</v>
      </c>
    </row>
    <row r="1187" spans="1:15" x14ac:dyDescent="0.3">
      <c r="A1187" s="6" t="s">
        <v>1199</v>
      </c>
      <c r="B1187" s="2">
        <v>45481</v>
      </c>
      <c r="C1187" s="6" t="s">
        <v>2388</v>
      </c>
      <c r="D1187" s="6" t="s">
        <v>2406</v>
      </c>
      <c r="E1187" s="9">
        <v>1</v>
      </c>
      <c r="F1187" s="4">
        <v>343.31</v>
      </c>
      <c r="G1187" t="s">
        <v>3057</v>
      </c>
      <c r="H1187" s="6" t="s">
        <v>3068</v>
      </c>
      <c r="I1187" s="6" t="s">
        <v>3072</v>
      </c>
      <c r="J1187" s="6" t="s">
        <v>4260</v>
      </c>
      <c r="K1187" s="9">
        <v>6</v>
      </c>
      <c r="L1187" s="6" t="s">
        <v>4275</v>
      </c>
      <c r="M1187" s="6" t="s">
        <v>4282</v>
      </c>
      <c r="N1187" s="4">
        <v>343.31</v>
      </c>
      <c r="O1187" s="6">
        <f t="shared" si="18"/>
        <v>17</v>
      </c>
    </row>
    <row r="1188" spans="1:15" x14ac:dyDescent="0.3">
      <c r="A1188" s="6" t="s">
        <v>1200</v>
      </c>
      <c r="B1188" s="2">
        <v>45248</v>
      </c>
      <c r="C1188" s="6" t="s">
        <v>2389</v>
      </c>
      <c r="D1188" s="6" t="s">
        <v>2403</v>
      </c>
      <c r="E1188" s="9">
        <v>1</v>
      </c>
      <c r="F1188" s="4">
        <v>163.32</v>
      </c>
      <c r="G1188" t="s">
        <v>3058</v>
      </c>
      <c r="H1188" s="6" t="s">
        <v>3069</v>
      </c>
      <c r="I1188" s="6" t="s">
        <v>3070</v>
      </c>
      <c r="J1188" s="6" t="s">
        <v>4261</v>
      </c>
      <c r="K1188" s="9">
        <v>6</v>
      </c>
      <c r="L1188" s="6" t="s">
        <v>4277</v>
      </c>
      <c r="M1188" s="6" t="s">
        <v>4281</v>
      </c>
      <c r="N1188" s="4">
        <v>163.32</v>
      </c>
      <c r="O1188" s="6">
        <f t="shared" si="18"/>
        <v>16</v>
      </c>
    </row>
    <row r="1189" spans="1:15" x14ac:dyDescent="0.3">
      <c r="A1189" s="6" t="s">
        <v>1201</v>
      </c>
      <c r="B1189" s="2">
        <v>45364</v>
      </c>
      <c r="C1189" s="6" t="s">
        <v>2390</v>
      </c>
      <c r="D1189" s="6" t="s">
        <v>2409</v>
      </c>
      <c r="E1189" s="9">
        <v>2</v>
      </c>
      <c r="F1189" s="4">
        <v>184.6</v>
      </c>
      <c r="G1189" t="s">
        <v>2613</v>
      </c>
      <c r="H1189" s="6" t="s">
        <v>3068</v>
      </c>
      <c r="I1189" s="6" t="s">
        <v>3073</v>
      </c>
      <c r="J1189" s="6" t="s">
        <v>4262</v>
      </c>
      <c r="K1189" s="9">
        <v>7</v>
      </c>
      <c r="L1189" s="6" t="s">
        <v>4277</v>
      </c>
      <c r="M1189" s="6" t="s">
        <v>4280</v>
      </c>
      <c r="N1189" s="4">
        <v>369.2</v>
      </c>
      <c r="O1189" s="6">
        <f t="shared" si="18"/>
        <v>15</v>
      </c>
    </row>
    <row r="1190" spans="1:15" x14ac:dyDescent="0.3">
      <c r="A1190" s="6" t="s">
        <v>1202</v>
      </c>
      <c r="B1190" s="2">
        <v>45206</v>
      </c>
      <c r="C1190" s="6" t="s">
        <v>2391</v>
      </c>
      <c r="D1190" s="6" t="s">
        <v>2407</v>
      </c>
      <c r="E1190" s="9">
        <v>2</v>
      </c>
      <c r="F1190" s="4">
        <v>371.29</v>
      </c>
      <c r="G1190" t="s">
        <v>3059</v>
      </c>
      <c r="H1190" s="6" t="s">
        <v>3068</v>
      </c>
      <c r="I1190" s="6" t="s">
        <v>3070</v>
      </c>
      <c r="J1190" s="6" t="s">
        <v>4263</v>
      </c>
      <c r="K1190" s="9">
        <v>5</v>
      </c>
      <c r="L1190" s="6" t="s">
        <v>4277</v>
      </c>
      <c r="M1190" s="6" t="s">
        <v>4281</v>
      </c>
      <c r="N1190" s="4">
        <v>742.58</v>
      </c>
      <c r="O1190" s="6">
        <f t="shared" si="18"/>
        <v>14</v>
      </c>
    </row>
    <row r="1191" spans="1:15" x14ac:dyDescent="0.3">
      <c r="A1191" s="6" t="s">
        <v>1203</v>
      </c>
      <c r="B1191" s="2">
        <v>45521</v>
      </c>
      <c r="C1191" s="6" t="s">
        <v>2392</v>
      </c>
      <c r="D1191" s="6" t="s">
        <v>2405</v>
      </c>
      <c r="E1191" s="9">
        <v>5</v>
      </c>
      <c r="F1191" s="4">
        <v>389.22</v>
      </c>
      <c r="G1191" t="s">
        <v>3060</v>
      </c>
      <c r="H1191" s="6" t="s">
        <v>3069</v>
      </c>
      <c r="I1191" s="6" t="s">
        <v>3071</v>
      </c>
      <c r="J1191" s="6" t="s">
        <v>4264</v>
      </c>
      <c r="K1191" s="9">
        <v>7</v>
      </c>
      <c r="L1191" s="6" t="s">
        <v>4283</v>
      </c>
      <c r="M1191" s="6" t="s">
        <v>4279</v>
      </c>
      <c r="N1191" s="4">
        <v>1946.1</v>
      </c>
      <c r="O1191" s="6">
        <f t="shared" si="18"/>
        <v>13</v>
      </c>
    </row>
    <row r="1192" spans="1:15" x14ac:dyDescent="0.3">
      <c r="A1192" s="6" t="s">
        <v>1204</v>
      </c>
      <c r="B1192" s="2">
        <v>45816</v>
      </c>
      <c r="C1192" s="6" t="s">
        <v>2393</v>
      </c>
      <c r="D1192" s="6" t="s">
        <v>2409</v>
      </c>
      <c r="E1192" s="9">
        <v>3</v>
      </c>
      <c r="F1192" s="4">
        <v>616.39</v>
      </c>
      <c r="G1192" t="s">
        <v>3061</v>
      </c>
      <c r="H1192" s="6" t="s">
        <v>3067</v>
      </c>
      <c r="I1192" s="6" t="s">
        <v>3070</v>
      </c>
      <c r="J1192" s="6" t="s">
        <v>4265</v>
      </c>
      <c r="K1192" s="9">
        <v>6</v>
      </c>
      <c r="L1192" s="6" t="s">
        <v>4276</v>
      </c>
      <c r="M1192" s="6" t="s">
        <v>4278</v>
      </c>
      <c r="N1192" s="4">
        <v>1849.17</v>
      </c>
      <c r="O1192" s="6">
        <f t="shared" si="18"/>
        <v>12</v>
      </c>
    </row>
    <row r="1193" spans="1:15" x14ac:dyDescent="0.3">
      <c r="A1193" s="6" t="s">
        <v>1205</v>
      </c>
      <c r="B1193" s="2">
        <v>45698</v>
      </c>
      <c r="C1193" s="6" t="s">
        <v>2394</v>
      </c>
      <c r="D1193" s="6" t="s">
        <v>2409</v>
      </c>
      <c r="E1193" s="9">
        <v>4</v>
      </c>
      <c r="F1193" s="4">
        <v>376.43</v>
      </c>
      <c r="G1193" t="s">
        <v>2841</v>
      </c>
      <c r="H1193" s="6" t="s">
        <v>3068</v>
      </c>
      <c r="I1193" s="6" t="s">
        <v>3074</v>
      </c>
      <c r="J1193" s="6" t="s">
        <v>4266</v>
      </c>
      <c r="K1193" s="9">
        <v>5</v>
      </c>
      <c r="L1193" s="6" t="s">
        <v>4277</v>
      </c>
      <c r="M1193" s="6" t="s">
        <v>4278</v>
      </c>
      <c r="N1193" s="4">
        <v>1505.72</v>
      </c>
      <c r="O1193" s="6">
        <f t="shared" si="18"/>
        <v>11</v>
      </c>
    </row>
    <row r="1194" spans="1:15" x14ac:dyDescent="0.3">
      <c r="A1194" s="6" t="s">
        <v>1206</v>
      </c>
      <c r="B1194" s="2">
        <v>45350</v>
      </c>
      <c r="C1194" s="6" t="s">
        <v>2395</v>
      </c>
      <c r="D1194" s="6" t="s">
        <v>2406</v>
      </c>
      <c r="E1194" s="9">
        <v>3</v>
      </c>
      <c r="F1194" s="4">
        <v>432.85</v>
      </c>
      <c r="G1194" t="s">
        <v>2593</v>
      </c>
      <c r="H1194" s="6" t="s">
        <v>3066</v>
      </c>
      <c r="I1194" s="6" t="s">
        <v>3074</v>
      </c>
      <c r="J1194" s="6" t="s">
        <v>4267</v>
      </c>
      <c r="K1194" s="9">
        <v>4</v>
      </c>
      <c r="L1194" s="6" t="s">
        <v>4283</v>
      </c>
      <c r="M1194" s="6" t="s">
        <v>4278</v>
      </c>
      <c r="N1194" s="4">
        <v>1298.55</v>
      </c>
      <c r="O1194" s="6">
        <f t="shared" si="18"/>
        <v>10</v>
      </c>
    </row>
    <row r="1195" spans="1:15" x14ac:dyDescent="0.3">
      <c r="A1195" s="6" t="s">
        <v>1207</v>
      </c>
      <c r="B1195" s="2">
        <v>45824</v>
      </c>
      <c r="C1195" s="6" t="s">
        <v>2396</v>
      </c>
      <c r="D1195" s="6" t="s">
        <v>2405</v>
      </c>
      <c r="E1195" s="9">
        <v>1</v>
      </c>
      <c r="F1195" s="4">
        <v>687.89</v>
      </c>
      <c r="G1195" t="s">
        <v>2481</v>
      </c>
      <c r="H1195" s="6" t="s">
        <v>3069</v>
      </c>
      <c r="I1195" s="6" t="s">
        <v>3072</v>
      </c>
      <c r="J1195" s="6" t="s">
        <v>4268</v>
      </c>
      <c r="K1195" s="9">
        <v>1</v>
      </c>
      <c r="L1195" s="6" t="s">
        <v>4276</v>
      </c>
      <c r="M1195" s="6" t="s">
        <v>4280</v>
      </c>
      <c r="N1195" s="4">
        <v>687.89</v>
      </c>
      <c r="O1195" s="6">
        <f t="shared" si="18"/>
        <v>9</v>
      </c>
    </row>
    <row r="1196" spans="1:15" x14ac:dyDescent="0.3">
      <c r="A1196" s="6" t="s">
        <v>1208</v>
      </c>
      <c r="B1196" s="2">
        <v>45249</v>
      </c>
      <c r="C1196" s="6" t="s">
        <v>2397</v>
      </c>
      <c r="D1196" s="6" t="s">
        <v>2407</v>
      </c>
      <c r="E1196" s="9">
        <v>3</v>
      </c>
      <c r="F1196" s="4">
        <v>189.44</v>
      </c>
      <c r="G1196" t="s">
        <v>2582</v>
      </c>
      <c r="H1196" s="6" t="s">
        <v>3069</v>
      </c>
      <c r="I1196" s="6" t="s">
        <v>3074</v>
      </c>
      <c r="J1196" s="6" t="s">
        <v>4269</v>
      </c>
      <c r="K1196" s="9">
        <v>4</v>
      </c>
      <c r="L1196" s="6" t="s">
        <v>4276</v>
      </c>
      <c r="M1196" s="6" t="s">
        <v>4280</v>
      </c>
      <c r="N1196" s="4">
        <v>568.31999999999994</v>
      </c>
      <c r="O1196" s="6">
        <f t="shared" si="18"/>
        <v>8</v>
      </c>
    </row>
    <row r="1197" spans="1:15" x14ac:dyDescent="0.3">
      <c r="A1197" s="6" t="s">
        <v>1209</v>
      </c>
      <c r="B1197" s="2">
        <v>45463</v>
      </c>
      <c r="C1197" s="6" t="s">
        <v>2398</v>
      </c>
      <c r="D1197" s="6" t="s">
        <v>2409</v>
      </c>
      <c r="E1197" s="9">
        <v>1</v>
      </c>
      <c r="F1197" s="4">
        <v>107.04</v>
      </c>
      <c r="G1197" t="s">
        <v>3062</v>
      </c>
      <c r="H1197" s="6" t="s">
        <v>3067</v>
      </c>
      <c r="I1197" s="6" t="s">
        <v>3071</v>
      </c>
      <c r="J1197" s="6" t="s">
        <v>4270</v>
      </c>
      <c r="K1197" s="9">
        <v>6</v>
      </c>
      <c r="L1197" s="6" t="s">
        <v>4276</v>
      </c>
      <c r="M1197" s="6" t="s">
        <v>4282</v>
      </c>
      <c r="N1197" s="4">
        <v>107.04</v>
      </c>
      <c r="O1197" s="6">
        <f t="shared" si="18"/>
        <v>7</v>
      </c>
    </row>
    <row r="1198" spans="1:15" x14ac:dyDescent="0.3">
      <c r="A1198" s="6" t="s">
        <v>1210</v>
      </c>
      <c r="B1198" s="2">
        <v>45355</v>
      </c>
      <c r="C1198" s="6" t="s">
        <v>2399</v>
      </c>
      <c r="D1198" s="6" t="s">
        <v>2403</v>
      </c>
      <c r="E1198" s="9">
        <v>2</v>
      </c>
      <c r="F1198" s="4">
        <v>662.53</v>
      </c>
      <c r="G1198" t="s">
        <v>2730</v>
      </c>
      <c r="H1198" s="6" t="s">
        <v>3066</v>
      </c>
      <c r="I1198" s="6" t="s">
        <v>3071</v>
      </c>
      <c r="J1198" s="6" t="s">
        <v>4271</v>
      </c>
      <c r="K1198" s="9">
        <v>5</v>
      </c>
      <c r="L1198" s="6" t="s">
        <v>4283</v>
      </c>
      <c r="M1198" s="6" t="s">
        <v>4281</v>
      </c>
      <c r="N1198" s="4">
        <v>1325.06</v>
      </c>
      <c r="O1198" s="6">
        <f t="shared" si="18"/>
        <v>6</v>
      </c>
    </row>
    <row r="1199" spans="1:15" x14ac:dyDescent="0.3">
      <c r="A1199" s="6" t="s">
        <v>1211</v>
      </c>
      <c r="B1199" s="2">
        <v>45120</v>
      </c>
      <c r="C1199" s="6" t="s">
        <v>2400</v>
      </c>
      <c r="D1199" s="6" t="s">
        <v>2405</v>
      </c>
      <c r="E1199" s="9">
        <v>2</v>
      </c>
      <c r="F1199" s="4">
        <v>436.84</v>
      </c>
      <c r="G1199" t="s">
        <v>2413</v>
      </c>
      <c r="H1199" s="6" t="s">
        <v>3066</v>
      </c>
      <c r="I1199" s="6" t="s">
        <v>3073</v>
      </c>
      <c r="J1199" s="6" t="s">
        <v>4272</v>
      </c>
      <c r="K1199" s="9">
        <v>2</v>
      </c>
      <c r="L1199" s="6" t="s">
        <v>4276</v>
      </c>
      <c r="M1199" s="6" t="s">
        <v>4278</v>
      </c>
      <c r="N1199" s="4">
        <v>873.68</v>
      </c>
      <c r="O1199" s="6">
        <f t="shared" si="18"/>
        <v>5</v>
      </c>
    </row>
    <row r="1200" spans="1:15" x14ac:dyDescent="0.3">
      <c r="A1200" s="6" t="s">
        <v>1212</v>
      </c>
      <c r="B1200" s="2">
        <v>45526</v>
      </c>
      <c r="C1200" s="6" t="s">
        <v>2401</v>
      </c>
      <c r="D1200" s="6" t="s">
        <v>2406</v>
      </c>
      <c r="E1200" s="9">
        <v>4</v>
      </c>
      <c r="F1200" s="4">
        <v>262.52</v>
      </c>
      <c r="G1200" t="s">
        <v>3063</v>
      </c>
      <c r="H1200" s="6" t="s">
        <v>3065</v>
      </c>
      <c r="I1200" s="6" t="s">
        <v>3071</v>
      </c>
      <c r="J1200" s="6" t="s">
        <v>4273</v>
      </c>
      <c r="K1200" s="9">
        <v>4</v>
      </c>
      <c r="L1200" s="6" t="s">
        <v>4277</v>
      </c>
      <c r="M1200" s="6" t="s">
        <v>4278</v>
      </c>
      <c r="N1200" s="4">
        <v>1050.08</v>
      </c>
      <c r="O1200" s="6">
        <f t="shared" si="18"/>
        <v>4</v>
      </c>
    </row>
    <row r="1201" spans="1:15" x14ac:dyDescent="0.3">
      <c r="A1201" s="6" t="s">
        <v>1213</v>
      </c>
      <c r="B1201" s="2">
        <v>45088</v>
      </c>
      <c r="C1201" s="6" t="s">
        <v>2402</v>
      </c>
      <c r="D1201" s="6" t="s">
        <v>2405</v>
      </c>
      <c r="E1201" s="9">
        <v>4</v>
      </c>
      <c r="F1201" s="4">
        <v>560.58000000000004</v>
      </c>
      <c r="G1201" t="s">
        <v>3064</v>
      </c>
      <c r="H1201" s="6" t="s">
        <v>3068</v>
      </c>
      <c r="I1201" s="6" t="s">
        <v>3072</v>
      </c>
      <c r="J1201" s="6" t="s">
        <v>4274</v>
      </c>
      <c r="K1201" s="9">
        <v>6</v>
      </c>
      <c r="L1201" s="6" t="s">
        <v>4275</v>
      </c>
      <c r="M1201" s="6" t="s">
        <v>4279</v>
      </c>
      <c r="N1201" s="4">
        <v>2242.3200000000002</v>
      </c>
      <c r="O1201" s="6">
        <f t="shared" si="18"/>
        <v>3</v>
      </c>
    </row>
  </sheetData>
  <conditionalFormatting sqref="A1:A1048576">
    <cfRule type="duplicateValues" dxfId="35" priority="2"/>
  </conditionalFormatting>
  <conditionalFormatting sqref="J1:J1048576">
    <cfRule type="duplicateValues" dxfId="34" priority="1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F2AB4-455C-4A3F-AFFE-26863FAC57D3}">
  <dimension ref="A2:L51"/>
  <sheetViews>
    <sheetView tabSelected="1" workbookViewId="0">
      <selection activeCell="A14" sqref="A14"/>
    </sheetView>
  </sheetViews>
  <sheetFormatPr defaultRowHeight="14.4" x14ac:dyDescent="0.3"/>
  <cols>
    <col min="1" max="1" width="14.33203125" bestFit="1" customWidth="1"/>
    <col min="2" max="2" width="15.88671875" bestFit="1" customWidth="1"/>
    <col min="3" max="3" width="15.44140625" customWidth="1"/>
    <col min="4" max="4" width="12.21875" bestFit="1" customWidth="1"/>
    <col min="5" max="5" width="15.109375" bestFit="1" customWidth="1"/>
    <col min="6" max="7" width="15.44140625" bestFit="1" customWidth="1"/>
    <col min="8" max="8" width="12.5546875" bestFit="1" customWidth="1"/>
    <col min="9" max="9" width="15.44140625" bestFit="1" customWidth="1"/>
    <col min="10" max="10" width="10.6640625" bestFit="1" customWidth="1"/>
    <col min="11" max="11" width="12.5546875" bestFit="1" customWidth="1"/>
    <col min="12" max="12" width="15.88671875" bestFit="1" customWidth="1"/>
    <col min="13" max="1202" width="10.6640625" bestFit="1" customWidth="1"/>
    <col min="1203" max="1203" width="10.77734375" bestFit="1" customWidth="1"/>
  </cols>
  <sheetData>
    <row r="2" spans="1:12" x14ac:dyDescent="0.3">
      <c r="A2" s="27" t="s">
        <v>20703</v>
      </c>
      <c r="E2" s="27" t="s">
        <v>20707</v>
      </c>
      <c r="K2" s="27" t="s">
        <v>20713</v>
      </c>
    </row>
    <row r="3" spans="1:12" x14ac:dyDescent="0.3">
      <c r="A3" s="20" t="s">
        <v>20704</v>
      </c>
      <c r="B3" t="s">
        <v>20706</v>
      </c>
      <c r="E3" s="20" t="s">
        <v>20704</v>
      </c>
      <c r="F3" t="s">
        <v>20706</v>
      </c>
      <c r="K3" s="20" t="s">
        <v>20704</v>
      </c>
      <c r="L3" t="s">
        <v>20711</v>
      </c>
    </row>
    <row r="4" spans="1:12" x14ac:dyDescent="0.3">
      <c r="A4" s="21" t="s">
        <v>2406</v>
      </c>
      <c r="B4" s="22">
        <v>178</v>
      </c>
      <c r="C4" s="22"/>
      <c r="E4" s="21" t="s">
        <v>3069</v>
      </c>
      <c r="F4" s="22">
        <v>246</v>
      </c>
      <c r="K4" s="21" t="s">
        <v>20708</v>
      </c>
      <c r="L4" s="22">
        <v>552643.24</v>
      </c>
    </row>
    <row r="5" spans="1:12" x14ac:dyDescent="0.3">
      <c r="A5" s="21" t="s">
        <v>2409</v>
      </c>
      <c r="B5" s="22">
        <v>170</v>
      </c>
      <c r="C5" s="22"/>
      <c r="E5" s="21" t="s">
        <v>3067</v>
      </c>
      <c r="F5" s="22">
        <v>234</v>
      </c>
      <c r="K5" s="25" t="s">
        <v>20722</v>
      </c>
      <c r="L5" s="22">
        <v>145412.78</v>
      </c>
    </row>
    <row r="6" spans="1:12" x14ac:dyDescent="0.3">
      <c r="A6" s="21" t="s">
        <v>2408</v>
      </c>
      <c r="B6" s="22">
        <v>173</v>
      </c>
      <c r="C6" s="22"/>
      <c r="E6" s="21" t="s">
        <v>3065</v>
      </c>
      <c r="F6" s="22">
        <v>232</v>
      </c>
      <c r="K6" s="25" t="s">
        <v>20723</v>
      </c>
      <c r="L6" s="22">
        <v>141088.73999999993</v>
      </c>
    </row>
    <row r="7" spans="1:12" x14ac:dyDescent="0.3">
      <c r="A7" s="21" t="s">
        <v>2403</v>
      </c>
      <c r="B7" s="22">
        <v>163</v>
      </c>
      <c r="C7" s="22"/>
      <c r="E7" s="21" t="s">
        <v>3068</v>
      </c>
      <c r="F7" s="22">
        <v>230</v>
      </c>
      <c r="K7" s="25" t="s">
        <v>20724</v>
      </c>
      <c r="L7" s="22">
        <v>126699.47</v>
      </c>
    </row>
    <row r="8" spans="1:12" x14ac:dyDescent="0.3">
      <c r="A8" s="21" t="s">
        <v>2404</v>
      </c>
      <c r="B8" s="22">
        <v>156</v>
      </c>
      <c r="C8" s="22"/>
      <c r="E8" s="21" t="s">
        <v>3066</v>
      </c>
      <c r="F8" s="22">
        <v>258</v>
      </c>
      <c r="K8" s="25" t="s">
        <v>20725</v>
      </c>
      <c r="L8" s="22">
        <v>139442.25000000009</v>
      </c>
    </row>
    <row r="9" spans="1:12" x14ac:dyDescent="0.3">
      <c r="A9" s="21" t="s">
        <v>2407</v>
      </c>
      <c r="B9" s="22">
        <v>181</v>
      </c>
      <c r="C9" s="22"/>
      <c r="E9" s="21" t="s">
        <v>20705</v>
      </c>
      <c r="F9" s="22">
        <v>1200</v>
      </c>
      <c r="K9" s="21" t="s">
        <v>20709</v>
      </c>
      <c r="L9" s="22">
        <v>480235.87000000005</v>
      </c>
    </row>
    <row r="10" spans="1:12" x14ac:dyDescent="0.3">
      <c r="A10" s="21" t="s">
        <v>2405</v>
      </c>
      <c r="B10" s="22">
        <v>179</v>
      </c>
      <c r="C10" s="22"/>
      <c r="K10" s="25" t="s">
        <v>20722</v>
      </c>
      <c r="L10" s="22">
        <v>111468.55</v>
      </c>
    </row>
    <row r="11" spans="1:12" x14ac:dyDescent="0.3">
      <c r="A11" s="21" t="s">
        <v>20705</v>
      </c>
      <c r="B11" s="22">
        <v>1200</v>
      </c>
      <c r="C11" s="22"/>
      <c r="K11" s="25" t="s">
        <v>20723</v>
      </c>
      <c r="L11" s="22">
        <v>145590.79</v>
      </c>
    </row>
    <row r="12" spans="1:12" x14ac:dyDescent="0.3">
      <c r="K12" s="25" t="s">
        <v>20724</v>
      </c>
      <c r="L12" s="22">
        <v>114750.03000000001</v>
      </c>
    </row>
    <row r="13" spans="1:12" x14ac:dyDescent="0.3">
      <c r="F13" s="27" t="s">
        <v>20721</v>
      </c>
      <c r="K13" s="25" t="s">
        <v>20725</v>
      </c>
      <c r="L13" s="22">
        <v>108426.5</v>
      </c>
    </row>
    <row r="14" spans="1:12" x14ac:dyDescent="0.3">
      <c r="A14" s="28" t="s">
        <v>20714</v>
      </c>
      <c r="F14" s="20" t="s">
        <v>20704</v>
      </c>
      <c r="G14" t="s">
        <v>20706</v>
      </c>
      <c r="K14" s="21" t="s">
        <v>20710</v>
      </c>
      <c r="L14" s="22">
        <v>231882.84999999998</v>
      </c>
    </row>
    <row r="15" spans="1:12" x14ac:dyDescent="0.3">
      <c r="A15" s="21" t="s">
        <v>20715</v>
      </c>
      <c r="B15">
        <f>QUARTILE(cleaned_data!N2:N1201,1)</f>
        <v>410.52</v>
      </c>
      <c r="F15" s="21" t="s">
        <v>3071</v>
      </c>
      <c r="G15" s="22">
        <v>250</v>
      </c>
      <c r="K15" s="25" t="s">
        <v>20722</v>
      </c>
      <c r="L15" s="22">
        <v>103617.60999999997</v>
      </c>
    </row>
    <row r="16" spans="1:12" x14ac:dyDescent="0.3">
      <c r="A16" s="21" t="s">
        <v>20716</v>
      </c>
      <c r="B16">
        <f>QUARTILE(cleaned_data!N2:N1201,3)</f>
        <v>1578.4749999999999</v>
      </c>
      <c r="D16" s="27" t="s">
        <v>20720</v>
      </c>
      <c r="F16" s="21" t="s">
        <v>3073</v>
      </c>
      <c r="G16" s="22">
        <v>231</v>
      </c>
      <c r="K16" s="25" t="s">
        <v>20723</v>
      </c>
      <c r="L16" s="22">
        <v>128265.24</v>
      </c>
    </row>
    <row r="17" spans="1:12" x14ac:dyDescent="0.3">
      <c r="A17" s="21" t="s">
        <v>20717</v>
      </c>
      <c r="B17">
        <f>B16-B15</f>
        <v>1167.9549999999999</v>
      </c>
      <c r="D17">
        <f>COUNTIF(cleaned_data!N2:N1201,"&gt;"&amp;3330.4075)</f>
        <v>8</v>
      </c>
      <c r="F17" s="21" t="s">
        <v>3074</v>
      </c>
      <c r="G17" s="22">
        <v>237</v>
      </c>
      <c r="K17" s="21" t="s">
        <v>20705</v>
      </c>
      <c r="L17" s="22">
        <v>1264761.96</v>
      </c>
    </row>
    <row r="18" spans="1:12" x14ac:dyDescent="0.3">
      <c r="A18" s="21" t="s">
        <v>20718</v>
      </c>
      <c r="B18">
        <f>B15-(1.5*B17)</f>
        <v>-1341.4124999999999</v>
      </c>
      <c r="F18" s="21" t="s">
        <v>3072</v>
      </c>
      <c r="G18" s="22">
        <v>247</v>
      </c>
    </row>
    <row r="19" spans="1:12" x14ac:dyDescent="0.3">
      <c r="A19" s="21" t="s">
        <v>20719</v>
      </c>
      <c r="B19">
        <f>B16+(1.5*B17)</f>
        <v>3330.4074999999998</v>
      </c>
      <c r="F19" s="21" t="s">
        <v>3070</v>
      </c>
      <c r="G19" s="22">
        <v>235</v>
      </c>
    </row>
    <row r="20" spans="1:12" x14ac:dyDescent="0.3">
      <c r="F20" s="21" t="s">
        <v>20705</v>
      </c>
      <c r="G20" s="22">
        <v>1200</v>
      </c>
    </row>
    <row r="24" spans="1:12" x14ac:dyDescent="0.3">
      <c r="A24" s="20" t="s">
        <v>20704</v>
      </c>
      <c r="B24" t="s">
        <v>20706</v>
      </c>
    </row>
    <row r="25" spans="1:12" x14ac:dyDescent="0.3">
      <c r="A25" s="21" t="s">
        <v>4280</v>
      </c>
      <c r="B25" s="22">
        <v>250</v>
      </c>
    </row>
    <row r="26" spans="1:12" x14ac:dyDescent="0.3">
      <c r="A26" s="21" t="s">
        <v>4281</v>
      </c>
      <c r="B26" s="22">
        <v>228</v>
      </c>
      <c r="D26">
        <f>COUNTIF(cleaned_data!L2:L1201,"N/A")</f>
        <v>309</v>
      </c>
    </row>
    <row r="27" spans="1:12" x14ac:dyDescent="0.3">
      <c r="A27" s="21" t="s">
        <v>4282</v>
      </c>
      <c r="B27" s="22">
        <v>241</v>
      </c>
      <c r="D27">
        <f>COUNTIF(cleaned_data!L2:L1201,"&lt;&gt;N/A")</f>
        <v>891</v>
      </c>
    </row>
    <row r="28" spans="1:12" x14ac:dyDescent="0.3">
      <c r="A28" s="21" t="s">
        <v>4278</v>
      </c>
      <c r="B28" s="22">
        <v>259</v>
      </c>
    </row>
    <row r="29" spans="1:12" x14ac:dyDescent="0.3">
      <c r="A29" s="21" t="s">
        <v>4279</v>
      </c>
      <c r="B29" s="22">
        <v>222</v>
      </c>
    </row>
    <row r="30" spans="1:12" x14ac:dyDescent="0.3">
      <c r="A30" s="21" t="s">
        <v>20705</v>
      </c>
      <c r="B30" s="22">
        <v>1200</v>
      </c>
    </row>
    <row r="37" spans="1:2" x14ac:dyDescent="0.3">
      <c r="A37" s="20" t="s">
        <v>20704</v>
      </c>
      <c r="B37" t="s">
        <v>20711</v>
      </c>
    </row>
    <row r="38" spans="1:2" x14ac:dyDescent="0.3">
      <c r="A38" s="21" t="s">
        <v>20708</v>
      </c>
      <c r="B38" s="22">
        <v>552643.24</v>
      </c>
    </row>
    <row r="39" spans="1:2" x14ac:dyDescent="0.3">
      <c r="A39" s="25" t="s">
        <v>20722</v>
      </c>
      <c r="B39" s="22">
        <v>145412.78</v>
      </c>
    </row>
    <row r="40" spans="1:2" x14ac:dyDescent="0.3">
      <c r="A40" s="25" t="s">
        <v>20723</v>
      </c>
      <c r="B40" s="22">
        <v>141088.73999999993</v>
      </c>
    </row>
    <row r="41" spans="1:2" x14ac:dyDescent="0.3">
      <c r="A41" s="25" t="s">
        <v>20724</v>
      </c>
      <c r="B41" s="22">
        <v>126699.47</v>
      </c>
    </row>
    <row r="42" spans="1:2" x14ac:dyDescent="0.3">
      <c r="A42" s="25" t="s">
        <v>20725</v>
      </c>
      <c r="B42" s="22">
        <v>139442.25000000009</v>
      </c>
    </row>
    <row r="43" spans="1:2" x14ac:dyDescent="0.3">
      <c r="A43" s="21" t="s">
        <v>20709</v>
      </c>
      <c r="B43" s="22">
        <v>480235.87000000005</v>
      </c>
    </row>
    <row r="44" spans="1:2" x14ac:dyDescent="0.3">
      <c r="A44" s="25" t="s">
        <v>20722</v>
      </c>
      <c r="B44" s="22">
        <v>111468.55</v>
      </c>
    </row>
    <row r="45" spans="1:2" x14ac:dyDescent="0.3">
      <c r="A45" s="25" t="s">
        <v>20723</v>
      </c>
      <c r="B45" s="22">
        <v>145590.79</v>
      </c>
    </row>
    <row r="46" spans="1:2" x14ac:dyDescent="0.3">
      <c r="A46" s="25" t="s">
        <v>20724</v>
      </c>
      <c r="B46" s="22">
        <v>114750.03000000001</v>
      </c>
    </row>
    <row r="47" spans="1:2" x14ac:dyDescent="0.3">
      <c r="A47" s="25" t="s">
        <v>20725</v>
      </c>
      <c r="B47" s="22">
        <v>108426.5</v>
      </c>
    </row>
    <row r="48" spans="1:2" x14ac:dyDescent="0.3">
      <c r="A48" s="21" t="s">
        <v>20710</v>
      </c>
      <c r="B48" s="22">
        <v>231882.84999999998</v>
      </c>
    </row>
    <row r="49" spans="1:2" x14ac:dyDescent="0.3">
      <c r="A49" s="25" t="s">
        <v>20722</v>
      </c>
      <c r="B49" s="22">
        <v>103617.60999999997</v>
      </c>
    </row>
    <row r="50" spans="1:2" x14ac:dyDescent="0.3">
      <c r="A50" s="25" t="s">
        <v>20723</v>
      </c>
      <c r="B50" s="22">
        <v>128265.24</v>
      </c>
    </row>
    <row r="51" spans="1:2" x14ac:dyDescent="0.3">
      <c r="A51" s="21" t="s">
        <v>20705</v>
      </c>
      <c r="B51" s="22">
        <v>1264761.96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workbookViewId="0">
      <selection activeCell="Q9" sqref="Q9"/>
    </sheetView>
  </sheetViews>
  <sheetFormatPr defaultRowHeight="14.4" x14ac:dyDescent="0.3"/>
  <cols>
    <col min="1" max="1" width="12" style="6" bestFit="1" customWidth="1"/>
    <col min="2" max="2" width="10.33203125" style="2" bestFit="1" customWidth="1"/>
    <col min="3" max="3" width="15.33203125" style="6" bestFit="1" customWidth="1"/>
    <col min="4" max="4" width="12.109375" style="6" bestFit="1" customWidth="1"/>
    <col min="5" max="5" width="12.77734375" style="9" bestFit="1" customWidth="1"/>
    <col min="6" max="6" width="13.109375" style="24" bestFit="1" customWidth="1"/>
    <col min="7" max="7" width="16.88671875" customWidth="1"/>
    <col min="8" max="8" width="17.21875" style="6" customWidth="1"/>
    <col min="9" max="9" width="12.88671875" style="6" customWidth="1"/>
    <col min="10" max="10" width="16.88671875" style="6" customWidth="1"/>
    <col min="11" max="11" width="15.21875" style="9" bestFit="1" customWidth="1"/>
    <col min="12" max="12" width="16.44140625" style="6" bestFit="1" customWidth="1"/>
    <col min="13" max="13" width="17.88671875" style="6" bestFit="1" customWidth="1"/>
    <col min="14" max="14" width="13.77734375" style="24" bestFit="1" customWidth="1"/>
    <col min="15" max="15" width="41.44140625" style="22" bestFit="1" customWidth="1"/>
    <col min="17" max="17" width="10.33203125" bestFit="1" customWidth="1"/>
  </cols>
  <sheetData>
    <row r="1" spans="1:17" x14ac:dyDescent="0.3">
      <c r="A1" s="5" t="s">
        <v>0</v>
      </c>
      <c r="B1" s="7" t="s">
        <v>1</v>
      </c>
      <c r="C1" s="5" t="s">
        <v>2</v>
      </c>
      <c r="D1" s="5" t="s">
        <v>3</v>
      </c>
      <c r="E1" s="8" t="s">
        <v>4</v>
      </c>
      <c r="F1" s="23" t="s">
        <v>5</v>
      </c>
      <c r="G1" s="1" t="s">
        <v>6</v>
      </c>
      <c r="H1" s="5" t="s">
        <v>7</v>
      </c>
      <c r="I1" s="5" t="s">
        <v>8</v>
      </c>
      <c r="J1" s="5" t="s">
        <v>9</v>
      </c>
      <c r="K1" s="8" t="s">
        <v>10</v>
      </c>
      <c r="L1" s="5" t="s">
        <v>11</v>
      </c>
      <c r="M1" s="5" t="s">
        <v>12</v>
      </c>
      <c r="N1" s="23" t="s">
        <v>13</v>
      </c>
      <c r="O1" s="26" t="s">
        <v>20726</v>
      </c>
    </row>
    <row r="2" spans="1:17" x14ac:dyDescent="0.3">
      <c r="A2" s="6" t="s">
        <v>14</v>
      </c>
      <c r="B2" s="2">
        <v>44930</v>
      </c>
      <c r="C2" s="6" t="s">
        <v>1214</v>
      </c>
      <c r="D2" s="6" t="s">
        <v>2403</v>
      </c>
      <c r="E2" s="9">
        <v>5</v>
      </c>
      <c r="F2" s="24">
        <v>570.62</v>
      </c>
      <c r="G2" t="s">
        <v>2410</v>
      </c>
      <c r="H2" s="6" t="s">
        <v>3065</v>
      </c>
      <c r="I2" s="6" t="s">
        <v>3070</v>
      </c>
      <c r="J2" s="6" t="s">
        <v>3075</v>
      </c>
      <c r="K2" s="9">
        <v>7</v>
      </c>
      <c r="L2" s="6" t="s">
        <v>4275</v>
      </c>
      <c r="M2" s="6" t="s">
        <v>4278</v>
      </c>
      <c r="N2" s="24">
        <v>2853.1</v>
      </c>
      <c r="O2" s="22" t="str">
        <f>IF(Table2[[#This Row],[CouponCode]]="N/A", "Not Used", "Used")</f>
        <v>Used</v>
      </c>
    </row>
    <row r="3" spans="1:17" x14ac:dyDescent="0.3">
      <c r="A3" s="6" t="s">
        <v>15</v>
      </c>
      <c r="B3" s="2">
        <v>45527</v>
      </c>
      <c r="C3" s="6" t="s">
        <v>1215</v>
      </c>
      <c r="D3" s="6" t="s">
        <v>2404</v>
      </c>
      <c r="E3" s="9">
        <v>2</v>
      </c>
      <c r="F3" s="24">
        <v>151.35</v>
      </c>
      <c r="G3" t="s">
        <v>2411</v>
      </c>
      <c r="H3" s="6" t="s">
        <v>3066</v>
      </c>
      <c r="I3" s="6" t="s">
        <v>3070</v>
      </c>
      <c r="J3" s="6" t="s">
        <v>3076</v>
      </c>
      <c r="K3" s="9">
        <v>3</v>
      </c>
      <c r="L3" s="6" t="s">
        <v>4275</v>
      </c>
      <c r="M3" s="6" t="s">
        <v>4279</v>
      </c>
      <c r="N3" s="24">
        <v>302.7</v>
      </c>
      <c r="O3" s="22" t="str">
        <f>IF(Table2[[#This Row],[CouponCode]]="N/A", "Not Used", "Used")</f>
        <v>Used</v>
      </c>
    </row>
    <row r="4" spans="1:17" x14ac:dyDescent="0.3">
      <c r="A4" s="6" t="s">
        <v>16</v>
      </c>
      <c r="B4" s="2">
        <v>45349</v>
      </c>
      <c r="C4" s="6" t="s">
        <v>1216</v>
      </c>
      <c r="D4" s="6" t="s">
        <v>2405</v>
      </c>
      <c r="E4" s="9">
        <v>5</v>
      </c>
      <c r="F4" s="24">
        <v>550.67999999999995</v>
      </c>
      <c r="G4" t="s">
        <v>2412</v>
      </c>
      <c r="H4" s="6" t="s">
        <v>3067</v>
      </c>
      <c r="I4" s="6" t="s">
        <v>3071</v>
      </c>
      <c r="J4" s="6" t="s">
        <v>3077</v>
      </c>
      <c r="K4" s="9">
        <v>8</v>
      </c>
      <c r="L4" s="6" t="s">
        <v>4276</v>
      </c>
      <c r="M4" s="6" t="s">
        <v>4280</v>
      </c>
      <c r="N4" s="24">
        <v>2753.4</v>
      </c>
      <c r="O4" s="22" t="str">
        <f>IF(Table2[[#This Row],[CouponCode]]="N/A", "Not Used", "Used")</f>
        <v>Used</v>
      </c>
    </row>
    <row r="5" spans="1:17" x14ac:dyDescent="0.3">
      <c r="A5" s="6" t="s">
        <v>17</v>
      </c>
      <c r="B5" s="2">
        <v>45214</v>
      </c>
      <c r="C5" s="6" t="s">
        <v>1217</v>
      </c>
      <c r="D5" s="6" t="s">
        <v>2406</v>
      </c>
      <c r="E5" s="9">
        <v>1</v>
      </c>
      <c r="F5" s="24">
        <v>273.19</v>
      </c>
      <c r="G5" t="s">
        <v>2413</v>
      </c>
      <c r="H5" s="6" t="s">
        <v>3065</v>
      </c>
      <c r="I5" s="6" t="s">
        <v>3072</v>
      </c>
      <c r="J5" s="6" t="s">
        <v>3078</v>
      </c>
      <c r="K5" s="9">
        <v>5</v>
      </c>
      <c r="L5" s="6" t="s">
        <v>4275</v>
      </c>
      <c r="M5" s="6" t="s">
        <v>4281</v>
      </c>
      <c r="N5" s="24">
        <v>273.19</v>
      </c>
      <c r="O5" s="22" t="str">
        <f>IF(Table2[[#This Row],[CouponCode]]="N/A", "Not Used", "Used")</f>
        <v>Used</v>
      </c>
    </row>
    <row r="6" spans="1:17" x14ac:dyDescent="0.3">
      <c r="A6" s="6" t="s">
        <v>18</v>
      </c>
      <c r="B6" s="2">
        <v>45785</v>
      </c>
      <c r="C6" s="6" t="s">
        <v>1218</v>
      </c>
      <c r="D6" s="6" t="s">
        <v>2407</v>
      </c>
      <c r="E6" s="9">
        <v>4</v>
      </c>
      <c r="F6" s="24">
        <v>626.01</v>
      </c>
      <c r="G6" t="s">
        <v>2414</v>
      </c>
      <c r="H6" s="6" t="s">
        <v>3066</v>
      </c>
      <c r="I6" s="6" t="s">
        <v>3073</v>
      </c>
      <c r="J6" s="6" t="s">
        <v>3079</v>
      </c>
      <c r="K6" s="9">
        <v>8</v>
      </c>
      <c r="L6" s="6" t="s">
        <v>4275</v>
      </c>
      <c r="M6" s="6" t="s">
        <v>4280</v>
      </c>
      <c r="N6" s="24">
        <v>2504.04</v>
      </c>
      <c r="O6" s="22" t="str">
        <f>IF(Table2[[#This Row],[CouponCode]]="N/A", "Not Used", "Used")</f>
        <v>Used</v>
      </c>
    </row>
    <row r="7" spans="1:17" x14ac:dyDescent="0.3">
      <c r="A7" s="6" t="s">
        <v>19</v>
      </c>
      <c r="B7" s="2">
        <v>45222</v>
      </c>
      <c r="C7" s="6" t="s">
        <v>1219</v>
      </c>
      <c r="D7" s="6" t="s">
        <v>2404</v>
      </c>
      <c r="E7" s="9">
        <v>2</v>
      </c>
      <c r="F7" s="24">
        <v>245.86</v>
      </c>
      <c r="G7" t="s">
        <v>2415</v>
      </c>
      <c r="H7" s="6" t="s">
        <v>3067</v>
      </c>
      <c r="I7" s="6" t="s">
        <v>3070</v>
      </c>
      <c r="J7" s="6" t="s">
        <v>3080</v>
      </c>
      <c r="K7" s="9">
        <v>4</v>
      </c>
      <c r="L7" s="6" t="s">
        <v>4275</v>
      </c>
      <c r="M7" s="6" t="s">
        <v>4278</v>
      </c>
      <c r="N7" s="24">
        <v>491.72</v>
      </c>
      <c r="O7" s="22" t="str">
        <f>IF(Table2[[#This Row],[CouponCode]]="N/A", "Not Used", "Used")</f>
        <v>Used</v>
      </c>
    </row>
    <row r="8" spans="1:17" x14ac:dyDescent="0.3">
      <c r="A8" s="6" t="s">
        <v>20</v>
      </c>
      <c r="B8" s="2">
        <v>45825</v>
      </c>
      <c r="C8" s="6" t="s">
        <v>1220</v>
      </c>
      <c r="D8" s="6" t="s">
        <v>2408</v>
      </c>
      <c r="E8" s="9">
        <v>1</v>
      </c>
      <c r="F8" s="24">
        <v>664.42</v>
      </c>
      <c r="G8" t="s">
        <v>2416</v>
      </c>
      <c r="H8" s="6" t="s">
        <v>3068</v>
      </c>
      <c r="I8" s="6" t="s">
        <v>3072</v>
      </c>
      <c r="J8" s="6" t="s">
        <v>3081</v>
      </c>
      <c r="K8" s="9">
        <v>6</v>
      </c>
      <c r="L8" s="6" t="s">
        <v>4275</v>
      </c>
      <c r="M8" s="6" t="s">
        <v>4281</v>
      </c>
      <c r="N8" s="24">
        <v>664.42</v>
      </c>
      <c r="O8" s="22" t="str">
        <f>IF(Table2[[#This Row],[CouponCode]]="N/A", "Not Used", "Used")</f>
        <v>Used</v>
      </c>
      <c r="Q8" s="2"/>
    </row>
    <row r="9" spans="1:17" x14ac:dyDescent="0.3">
      <c r="A9" s="6" t="s">
        <v>21</v>
      </c>
      <c r="B9" s="2">
        <v>45058</v>
      </c>
      <c r="C9" s="6" t="s">
        <v>1221</v>
      </c>
      <c r="D9" s="6" t="s">
        <v>2403</v>
      </c>
      <c r="E9" s="9">
        <v>5</v>
      </c>
      <c r="F9" s="24">
        <v>149.55000000000001</v>
      </c>
      <c r="G9" t="s">
        <v>2417</v>
      </c>
      <c r="H9" s="6" t="s">
        <v>3069</v>
      </c>
      <c r="I9" s="6" t="s">
        <v>3070</v>
      </c>
      <c r="J9" s="6" t="s">
        <v>3082</v>
      </c>
      <c r="K9" s="9">
        <v>9</v>
      </c>
      <c r="L9" s="6" t="s">
        <v>4276</v>
      </c>
      <c r="M9" s="6" t="s">
        <v>4281</v>
      </c>
      <c r="N9" s="24">
        <v>747.75</v>
      </c>
      <c r="O9" s="22" t="str">
        <f>IF(Table2[[#This Row],[CouponCode]]="N/A", "Not Used", "Used")</f>
        <v>Used</v>
      </c>
      <c r="Q9" s="2"/>
    </row>
    <row r="10" spans="1:17" x14ac:dyDescent="0.3">
      <c r="A10" s="6" t="s">
        <v>22</v>
      </c>
      <c r="B10" s="2">
        <v>45749</v>
      </c>
      <c r="C10" s="6" t="s">
        <v>1222</v>
      </c>
      <c r="D10" s="6" t="s">
        <v>2404</v>
      </c>
      <c r="E10" s="9">
        <v>2</v>
      </c>
      <c r="F10" s="24">
        <v>134.28</v>
      </c>
      <c r="G10" t="s">
        <v>2418</v>
      </c>
      <c r="H10" s="6" t="s">
        <v>3068</v>
      </c>
      <c r="I10" s="6" t="s">
        <v>3071</v>
      </c>
      <c r="J10" s="6" t="s">
        <v>3083</v>
      </c>
      <c r="K10" s="9">
        <v>2</v>
      </c>
      <c r="L10" s="6" t="s">
        <v>4283</v>
      </c>
      <c r="M10" s="6" t="s">
        <v>4280</v>
      </c>
      <c r="N10" s="24">
        <v>268.56</v>
      </c>
      <c r="O10" s="22" t="str">
        <f>IF(Table2[[#This Row],[CouponCode]]="N/A", "Not Used", "Used")</f>
        <v>Not Used</v>
      </c>
    </row>
    <row r="11" spans="1:17" x14ac:dyDescent="0.3">
      <c r="A11" s="6" t="s">
        <v>23</v>
      </c>
      <c r="B11" s="2">
        <v>45251</v>
      </c>
      <c r="C11" s="6" t="s">
        <v>1223</v>
      </c>
      <c r="D11" s="6" t="s">
        <v>2409</v>
      </c>
      <c r="E11" s="9">
        <v>4</v>
      </c>
      <c r="F11" s="24">
        <v>509.38</v>
      </c>
      <c r="G11" t="s">
        <v>2419</v>
      </c>
      <c r="H11" s="6" t="s">
        <v>3067</v>
      </c>
      <c r="I11" s="6" t="s">
        <v>3070</v>
      </c>
      <c r="J11" s="6" t="s">
        <v>3084</v>
      </c>
      <c r="K11" s="9">
        <v>6</v>
      </c>
      <c r="L11" s="6" t="s">
        <v>4275</v>
      </c>
      <c r="M11" s="6" t="s">
        <v>4282</v>
      </c>
      <c r="N11" s="24">
        <v>2037.52</v>
      </c>
      <c r="O11" s="22" t="str">
        <f>IF(Table2[[#This Row],[CouponCode]]="N/A", "Not Used", "Used")</f>
        <v>Used</v>
      </c>
    </row>
    <row r="12" spans="1:17" x14ac:dyDescent="0.3">
      <c r="A12" s="6" t="s">
        <v>24</v>
      </c>
      <c r="B12" s="2">
        <v>45289</v>
      </c>
      <c r="C12" s="6" t="s">
        <v>1224</v>
      </c>
      <c r="D12" s="6" t="s">
        <v>2405</v>
      </c>
      <c r="E12" s="9">
        <v>5</v>
      </c>
      <c r="F12" s="24">
        <v>625.97</v>
      </c>
      <c r="G12" t="s">
        <v>2420</v>
      </c>
      <c r="H12" s="6" t="s">
        <v>3067</v>
      </c>
      <c r="I12" s="6" t="s">
        <v>3072</v>
      </c>
      <c r="J12" s="6" t="s">
        <v>3085</v>
      </c>
      <c r="K12" s="9">
        <v>9</v>
      </c>
      <c r="L12" s="6" t="s">
        <v>4277</v>
      </c>
      <c r="M12" s="6" t="s">
        <v>4278</v>
      </c>
      <c r="N12" s="24">
        <v>3129.85</v>
      </c>
      <c r="O12" s="22" t="str">
        <f>IF(Table2[[#This Row],[CouponCode]]="N/A", "Not Used", "Used")</f>
        <v>Used</v>
      </c>
    </row>
    <row r="13" spans="1:17" x14ac:dyDescent="0.3">
      <c r="A13" s="6" t="s">
        <v>25</v>
      </c>
      <c r="B13" s="2">
        <v>45339</v>
      </c>
      <c r="C13" s="6" t="s">
        <v>1225</v>
      </c>
      <c r="D13" s="6" t="s">
        <v>2403</v>
      </c>
      <c r="E13" s="9">
        <v>3</v>
      </c>
      <c r="F13" s="24">
        <v>49.14</v>
      </c>
      <c r="G13" t="s">
        <v>2421</v>
      </c>
      <c r="H13" s="6" t="s">
        <v>3066</v>
      </c>
      <c r="I13" s="6" t="s">
        <v>3072</v>
      </c>
      <c r="J13" s="6" t="s">
        <v>3086</v>
      </c>
      <c r="K13" s="9">
        <v>7</v>
      </c>
      <c r="L13" s="6" t="s">
        <v>4275</v>
      </c>
      <c r="M13" s="6" t="s">
        <v>4280</v>
      </c>
      <c r="N13" s="24">
        <v>147.41999999999999</v>
      </c>
      <c r="O13" s="22" t="str">
        <f>IF(Table2[[#This Row],[CouponCode]]="N/A", "Not Used", "Used")</f>
        <v>Used</v>
      </c>
    </row>
    <row r="14" spans="1:17" x14ac:dyDescent="0.3">
      <c r="A14" s="6" t="s">
        <v>26</v>
      </c>
      <c r="B14" s="2">
        <v>45580</v>
      </c>
      <c r="C14" s="6" t="s">
        <v>1226</v>
      </c>
      <c r="D14" s="6" t="s">
        <v>2403</v>
      </c>
      <c r="E14" s="9">
        <v>2</v>
      </c>
      <c r="F14" s="24">
        <v>180.5</v>
      </c>
      <c r="G14" t="s">
        <v>2422</v>
      </c>
      <c r="H14" s="6" t="s">
        <v>3065</v>
      </c>
      <c r="I14" s="6" t="s">
        <v>3074</v>
      </c>
      <c r="J14" s="6" t="s">
        <v>3087</v>
      </c>
      <c r="K14" s="9">
        <v>6</v>
      </c>
      <c r="L14" s="6" t="s">
        <v>4276</v>
      </c>
      <c r="M14" s="6" t="s">
        <v>4279</v>
      </c>
      <c r="N14" s="24">
        <v>361</v>
      </c>
      <c r="O14" s="22" t="str">
        <f>IF(Table2[[#This Row],[CouponCode]]="N/A", "Not Used", "Used")</f>
        <v>Used</v>
      </c>
    </row>
    <row r="15" spans="1:17" x14ac:dyDescent="0.3">
      <c r="A15" s="6" t="s">
        <v>27</v>
      </c>
      <c r="B15" s="2">
        <v>45168</v>
      </c>
      <c r="C15" s="6" t="s">
        <v>1227</v>
      </c>
      <c r="D15" s="6" t="s">
        <v>2408</v>
      </c>
      <c r="E15" s="9">
        <v>3</v>
      </c>
      <c r="F15" s="24">
        <v>201.49</v>
      </c>
      <c r="G15" t="s">
        <v>2423</v>
      </c>
      <c r="H15" s="6" t="s">
        <v>3067</v>
      </c>
      <c r="I15" s="6" t="s">
        <v>3072</v>
      </c>
      <c r="J15" s="6" t="s">
        <v>3088</v>
      </c>
      <c r="K15" s="9">
        <v>4</v>
      </c>
      <c r="L15" s="6" t="s">
        <v>4276</v>
      </c>
      <c r="M15" s="6" t="s">
        <v>4281</v>
      </c>
      <c r="N15" s="24">
        <v>604.47</v>
      </c>
      <c r="O15" s="22" t="str">
        <f>IF(Table2[[#This Row],[CouponCode]]="N/A", "Not Used", "Used")</f>
        <v>Used</v>
      </c>
    </row>
    <row r="16" spans="1:17" x14ac:dyDescent="0.3">
      <c r="A16" s="6" t="s">
        <v>28</v>
      </c>
      <c r="B16" s="2">
        <v>45012</v>
      </c>
      <c r="C16" s="6" t="s">
        <v>1228</v>
      </c>
      <c r="D16" s="6" t="s">
        <v>2405</v>
      </c>
      <c r="E16" s="9">
        <v>2</v>
      </c>
      <c r="F16" s="24">
        <v>393.33</v>
      </c>
      <c r="G16" t="s">
        <v>2424</v>
      </c>
      <c r="H16" s="6" t="s">
        <v>3065</v>
      </c>
      <c r="I16" s="6" t="s">
        <v>3074</v>
      </c>
      <c r="J16" s="6" t="s">
        <v>3089</v>
      </c>
      <c r="K16" s="9">
        <v>3</v>
      </c>
      <c r="L16" s="6" t="s">
        <v>4275</v>
      </c>
      <c r="M16" s="6" t="s">
        <v>4278</v>
      </c>
      <c r="N16" s="24">
        <v>786.66</v>
      </c>
      <c r="O16" s="22" t="str">
        <f>IF(Table2[[#This Row],[CouponCode]]="N/A", "Not Used", "Used")</f>
        <v>Used</v>
      </c>
    </row>
    <row r="17" spans="1:15" x14ac:dyDescent="0.3">
      <c r="A17" s="6" t="s">
        <v>29</v>
      </c>
      <c r="B17" s="2">
        <v>45124</v>
      </c>
      <c r="C17" s="6" t="s">
        <v>1229</v>
      </c>
      <c r="D17" s="6" t="s">
        <v>2407</v>
      </c>
      <c r="E17" s="9">
        <v>1</v>
      </c>
      <c r="F17" s="24">
        <v>473.96</v>
      </c>
      <c r="G17" t="s">
        <v>2425</v>
      </c>
      <c r="H17" s="6" t="s">
        <v>3069</v>
      </c>
      <c r="I17" s="6" t="s">
        <v>3073</v>
      </c>
      <c r="J17" s="6" t="s">
        <v>3090</v>
      </c>
      <c r="K17" s="9">
        <v>3</v>
      </c>
      <c r="L17" s="6" t="s">
        <v>4283</v>
      </c>
      <c r="M17" s="6" t="s">
        <v>4282</v>
      </c>
      <c r="N17" s="24">
        <v>473.96</v>
      </c>
      <c r="O17" s="22" t="str">
        <f>IF(Table2[[#This Row],[CouponCode]]="N/A", "Not Used", "Used")</f>
        <v>Not Used</v>
      </c>
    </row>
    <row r="18" spans="1:15" x14ac:dyDescent="0.3">
      <c r="A18" s="6" t="s">
        <v>30</v>
      </c>
      <c r="B18" s="2">
        <v>44950</v>
      </c>
      <c r="C18" s="6" t="s">
        <v>1230</v>
      </c>
      <c r="D18" s="6" t="s">
        <v>2407</v>
      </c>
      <c r="E18" s="9">
        <v>2</v>
      </c>
      <c r="F18" s="24">
        <v>533.80999999999995</v>
      </c>
      <c r="G18" t="s">
        <v>2426</v>
      </c>
      <c r="H18" s="6" t="s">
        <v>3067</v>
      </c>
      <c r="I18" s="6" t="s">
        <v>3074</v>
      </c>
      <c r="J18" s="6" t="s">
        <v>3091</v>
      </c>
      <c r="K18" s="9">
        <v>3</v>
      </c>
      <c r="L18" s="6" t="s">
        <v>4276</v>
      </c>
      <c r="M18" s="6" t="s">
        <v>4280</v>
      </c>
      <c r="N18" s="24">
        <v>1067.6199999999999</v>
      </c>
      <c r="O18" s="22" t="str">
        <f>IF(Table2[[#This Row],[CouponCode]]="N/A", "Not Used", "Used")</f>
        <v>Used</v>
      </c>
    </row>
    <row r="19" spans="1:15" x14ac:dyDescent="0.3">
      <c r="A19" s="6" t="s">
        <v>31</v>
      </c>
      <c r="B19" s="2">
        <v>45353</v>
      </c>
      <c r="C19" s="6" t="s">
        <v>1231</v>
      </c>
      <c r="D19" s="6" t="s">
        <v>2405</v>
      </c>
      <c r="E19" s="9">
        <v>1</v>
      </c>
      <c r="F19" s="24">
        <v>423.4</v>
      </c>
      <c r="G19" t="s">
        <v>2427</v>
      </c>
      <c r="H19" s="6" t="s">
        <v>3065</v>
      </c>
      <c r="I19" s="6" t="s">
        <v>3070</v>
      </c>
      <c r="J19" s="6" t="s">
        <v>3092</v>
      </c>
      <c r="K19" s="9">
        <v>3</v>
      </c>
      <c r="L19" s="6" t="s">
        <v>4283</v>
      </c>
      <c r="M19" s="6" t="s">
        <v>4279</v>
      </c>
      <c r="N19" s="24">
        <v>423.4</v>
      </c>
      <c r="O19" s="22" t="str">
        <f>IF(Table2[[#This Row],[CouponCode]]="N/A", "Not Used", "Used")</f>
        <v>Not Used</v>
      </c>
    </row>
    <row r="20" spans="1:15" x14ac:dyDescent="0.3">
      <c r="A20" s="6" t="s">
        <v>32</v>
      </c>
      <c r="B20" s="2">
        <v>45742</v>
      </c>
      <c r="C20" s="6" t="s">
        <v>1232</v>
      </c>
      <c r="D20" s="6" t="s">
        <v>2409</v>
      </c>
      <c r="E20" s="9">
        <v>1</v>
      </c>
      <c r="F20" s="24">
        <v>431.44</v>
      </c>
      <c r="G20" t="s">
        <v>2428</v>
      </c>
      <c r="H20" s="6" t="s">
        <v>3068</v>
      </c>
      <c r="I20" s="6" t="s">
        <v>3074</v>
      </c>
      <c r="J20" s="6" t="s">
        <v>3093</v>
      </c>
      <c r="K20" s="9">
        <v>3</v>
      </c>
      <c r="L20" s="6" t="s">
        <v>4275</v>
      </c>
      <c r="M20" s="6" t="s">
        <v>4281</v>
      </c>
      <c r="N20" s="24">
        <v>431.44</v>
      </c>
      <c r="O20" s="22" t="str">
        <f>IF(Table2[[#This Row],[CouponCode]]="N/A", "Not Used", "Used")</f>
        <v>Used</v>
      </c>
    </row>
    <row r="21" spans="1:15" x14ac:dyDescent="0.3">
      <c r="A21" s="6" t="s">
        <v>33</v>
      </c>
      <c r="B21" s="2">
        <v>44949</v>
      </c>
      <c r="C21" s="6" t="s">
        <v>1233</v>
      </c>
      <c r="D21" s="6" t="s">
        <v>2403</v>
      </c>
      <c r="E21" s="9">
        <v>5</v>
      </c>
      <c r="F21" s="24">
        <v>224</v>
      </c>
      <c r="G21" t="s">
        <v>2429</v>
      </c>
      <c r="H21" s="6" t="s">
        <v>3069</v>
      </c>
      <c r="I21" s="6" t="s">
        <v>3072</v>
      </c>
      <c r="J21" s="6" t="s">
        <v>3094</v>
      </c>
      <c r="K21" s="9">
        <v>9</v>
      </c>
      <c r="L21" s="6" t="s">
        <v>4275</v>
      </c>
      <c r="M21" s="6" t="s">
        <v>4282</v>
      </c>
      <c r="N21" s="24">
        <v>1120</v>
      </c>
      <c r="O21" s="22" t="str">
        <f>IF(Table2[[#This Row],[CouponCode]]="N/A", "Not Used", "Used")</f>
        <v>Used</v>
      </c>
    </row>
    <row r="22" spans="1:15" x14ac:dyDescent="0.3">
      <c r="A22" s="6" t="s">
        <v>34</v>
      </c>
      <c r="B22" s="2">
        <v>45054</v>
      </c>
      <c r="C22" s="6" t="s">
        <v>1234</v>
      </c>
      <c r="D22" s="6" t="s">
        <v>2406</v>
      </c>
      <c r="E22" s="9">
        <v>5</v>
      </c>
      <c r="F22" s="24">
        <v>62.51</v>
      </c>
      <c r="G22" t="s">
        <v>2430</v>
      </c>
      <c r="H22" s="6" t="s">
        <v>3069</v>
      </c>
      <c r="I22" s="6" t="s">
        <v>3074</v>
      </c>
      <c r="J22" s="6" t="s">
        <v>3095</v>
      </c>
      <c r="K22" s="9">
        <v>9</v>
      </c>
      <c r="L22" s="6" t="s">
        <v>4277</v>
      </c>
      <c r="M22" s="6" t="s">
        <v>4278</v>
      </c>
      <c r="N22" s="24">
        <v>312.55</v>
      </c>
      <c r="O22" s="22" t="str">
        <f>IF(Table2[[#This Row],[CouponCode]]="N/A", "Not Used", "Used")</f>
        <v>Used</v>
      </c>
    </row>
    <row r="23" spans="1:15" x14ac:dyDescent="0.3">
      <c r="A23" s="6" t="s">
        <v>35</v>
      </c>
      <c r="B23" s="2">
        <v>45613</v>
      </c>
      <c r="C23" s="6" t="s">
        <v>1235</v>
      </c>
      <c r="D23" s="6" t="s">
        <v>2403</v>
      </c>
      <c r="E23" s="9">
        <v>4</v>
      </c>
      <c r="F23" s="24">
        <v>342.95</v>
      </c>
      <c r="G23" t="s">
        <v>2431</v>
      </c>
      <c r="H23" s="6" t="s">
        <v>3069</v>
      </c>
      <c r="I23" s="6" t="s">
        <v>3073</v>
      </c>
      <c r="J23" s="6" t="s">
        <v>3096</v>
      </c>
      <c r="K23" s="9">
        <v>6</v>
      </c>
      <c r="L23" s="6" t="s">
        <v>4283</v>
      </c>
      <c r="M23" s="6" t="s">
        <v>4282</v>
      </c>
      <c r="N23" s="24">
        <v>1371.8</v>
      </c>
      <c r="O23" s="22" t="str">
        <f>IF(Table2[[#This Row],[CouponCode]]="N/A", "Not Used", "Used")</f>
        <v>Not Used</v>
      </c>
    </row>
    <row r="24" spans="1:15" x14ac:dyDescent="0.3">
      <c r="A24" s="6" t="s">
        <v>36</v>
      </c>
      <c r="B24" s="2">
        <v>44955</v>
      </c>
      <c r="C24" s="6" t="s">
        <v>1236</v>
      </c>
      <c r="D24" s="6" t="s">
        <v>2403</v>
      </c>
      <c r="E24" s="9">
        <v>2</v>
      </c>
      <c r="F24" s="24">
        <v>49.62</v>
      </c>
      <c r="G24" t="s">
        <v>2432</v>
      </c>
      <c r="H24" s="6" t="s">
        <v>3066</v>
      </c>
      <c r="I24" s="6" t="s">
        <v>3074</v>
      </c>
      <c r="J24" s="6" t="s">
        <v>3097</v>
      </c>
      <c r="K24" s="9">
        <v>2</v>
      </c>
      <c r="L24" s="6" t="s">
        <v>4275</v>
      </c>
      <c r="M24" s="6" t="s">
        <v>4282</v>
      </c>
      <c r="N24" s="24">
        <v>99.24</v>
      </c>
      <c r="O24" s="22" t="str">
        <f>IF(Table2[[#This Row],[CouponCode]]="N/A", "Not Used", "Used")</f>
        <v>Used</v>
      </c>
    </row>
    <row r="25" spans="1:15" x14ac:dyDescent="0.3">
      <c r="A25" s="6" t="s">
        <v>37</v>
      </c>
      <c r="B25" s="2">
        <v>45756</v>
      </c>
      <c r="C25" s="6" t="s">
        <v>1237</v>
      </c>
      <c r="D25" s="6" t="s">
        <v>2404</v>
      </c>
      <c r="E25" s="9">
        <v>4</v>
      </c>
      <c r="F25" s="24">
        <v>273.25</v>
      </c>
      <c r="G25" t="s">
        <v>2433</v>
      </c>
      <c r="H25" s="6" t="s">
        <v>3065</v>
      </c>
      <c r="I25" s="6" t="s">
        <v>3071</v>
      </c>
      <c r="J25" s="6" t="s">
        <v>3098</v>
      </c>
      <c r="K25" s="9">
        <v>5</v>
      </c>
      <c r="L25" s="6" t="s">
        <v>4276</v>
      </c>
      <c r="M25" s="6" t="s">
        <v>4279</v>
      </c>
      <c r="N25" s="24">
        <v>1093</v>
      </c>
      <c r="O25" s="22" t="str">
        <f>IF(Table2[[#This Row],[CouponCode]]="N/A", "Not Used", "Used")</f>
        <v>Used</v>
      </c>
    </row>
    <row r="26" spans="1:15" x14ac:dyDescent="0.3">
      <c r="A26" s="6" t="s">
        <v>38</v>
      </c>
      <c r="B26" s="2">
        <v>45595</v>
      </c>
      <c r="C26" s="6" t="s">
        <v>1238</v>
      </c>
      <c r="D26" s="6" t="s">
        <v>2408</v>
      </c>
      <c r="E26" s="9">
        <v>2</v>
      </c>
      <c r="F26" s="24">
        <v>230.95</v>
      </c>
      <c r="G26" t="s">
        <v>2434</v>
      </c>
      <c r="H26" s="6" t="s">
        <v>3066</v>
      </c>
      <c r="I26" s="6" t="s">
        <v>3073</v>
      </c>
      <c r="J26" s="6" t="s">
        <v>3099</v>
      </c>
      <c r="K26" s="9">
        <v>3</v>
      </c>
      <c r="L26" s="6" t="s">
        <v>4277</v>
      </c>
      <c r="M26" s="6" t="s">
        <v>4279</v>
      </c>
      <c r="N26" s="24">
        <v>461.9</v>
      </c>
      <c r="O26" s="22" t="str">
        <f>IF(Table2[[#This Row],[CouponCode]]="N/A", "Not Used", "Used")</f>
        <v>Used</v>
      </c>
    </row>
    <row r="27" spans="1:15" x14ac:dyDescent="0.3">
      <c r="A27" s="6" t="s">
        <v>39</v>
      </c>
      <c r="B27" s="2">
        <v>45497</v>
      </c>
      <c r="C27" s="6" t="s">
        <v>1239</v>
      </c>
      <c r="D27" s="6" t="s">
        <v>2403</v>
      </c>
      <c r="E27" s="9">
        <v>1</v>
      </c>
      <c r="F27" s="24">
        <v>399.98</v>
      </c>
      <c r="G27" t="s">
        <v>2435</v>
      </c>
      <c r="H27" s="6" t="s">
        <v>3065</v>
      </c>
      <c r="I27" s="6" t="s">
        <v>3073</v>
      </c>
      <c r="J27" s="6" t="s">
        <v>3100</v>
      </c>
      <c r="K27" s="9">
        <v>3</v>
      </c>
      <c r="L27" s="6" t="s">
        <v>4277</v>
      </c>
      <c r="M27" s="6" t="s">
        <v>4280</v>
      </c>
      <c r="N27" s="24">
        <v>399.98</v>
      </c>
      <c r="O27" s="22" t="str">
        <f>IF(Table2[[#This Row],[CouponCode]]="N/A", "Not Used", "Used")</f>
        <v>Used</v>
      </c>
    </row>
    <row r="28" spans="1:15" x14ac:dyDescent="0.3">
      <c r="A28" s="6" t="s">
        <v>40</v>
      </c>
      <c r="B28" s="2">
        <v>45357</v>
      </c>
      <c r="C28" s="6" t="s">
        <v>1240</v>
      </c>
      <c r="D28" s="6" t="s">
        <v>2408</v>
      </c>
      <c r="E28" s="9">
        <v>5</v>
      </c>
      <c r="F28" s="24">
        <v>59.55</v>
      </c>
      <c r="G28" t="s">
        <v>2436</v>
      </c>
      <c r="H28" s="6" t="s">
        <v>3066</v>
      </c>
      <c r="I28" s="6" t="s">
        <v>3073</v>
      </c>
      <c r="J28" s="6" t="s">
        <v>3101</v>
      </c>
      <c r="K28" s="9">
        <v>6</v>
      </c>
      <c r="L28" s="6" t="s">
        <v>4283</v>
      </c>
      <c r="M28" s="6" t="s">
        <v>4279</v>
      </c>
      <c r="N28" s="24">
        <v>297.75</v>
      </c>
      <c r="O28" s="22" t="str">
        <f>IF(Table2[[#This Row],[CouponCode]]="N/A", "Not Used", "Used")</f>
        <v>Not Used</v>
      </c>
    </row>
    <row r="29" spans="1:15" x14ac:dyDescent="0.3">
      <c r="A29" s="6" t="s">
        <v>41</v>
      </c>
      <c r="B29" s="2">
        <v>45344</v>
      </c>
      <c r="C29" s="6" t="s">
        <v>1241</v>
      </c>
      <c r="D29" s="6" t="s">
        <v>2407</v>
      </c>
      <c r="E29" s="9">
        <v>1</v>
      </c>
      <c r="F29" s="24">
        <v>472.74</v>
      </c>
      <c r="G29" t="s">
        <v>2437</v>
      </c>
      <c r="H29" s="6" t="s">
        <v>3066</v>
      </c>
      <c r="I29" s="6" t="s">
        <v>3070</v>
      </c>
      <c r="J29" s="6" t="s">
        <v>3102</v>
      </c>
      <c r="K29" s="9">
        <v>6</v>
      </c>
      <c r="L29" s="6" t="s">
        <v>4277</v>
      </c>
      <c r="M29" s="6" t="s">
        <v>4282</v>
      </c>
      <c r="N29" s="24">
        <v>472.74</v>
      </c>
      <c r="O29" s="22" t="str">
        <f>IF(Table2[[#This Row],[CouponCode]]="N/A", "Not Used", "Used")</f>
        <v>Used</v>
      </c>
    </row>
    <row r="30" spans="1:15" x14ac:dyDescent="0.3">
      <c r="A30" s="6" t="s">
        <v>42</v>
      </c>
      <c r="B30" s="2">
        <v>45251</v>
      </c>
      <c r="C30" s="6" t="s">
        <v>1242</v>
      </c>
      <c r="D30" s="6" t="s">
        <v>2404</v>
      </c>
      <c r="E30" s="9">
        <v>4</v>
      </c>
      <c r="F30" s="24">
        <v>160.07</v>
      </c>
      <c r="G30" t="s">
        <v>2438</v>
      </c>
      <c r="H30" s="6" t="s">
        <v>3066</v>
      </c>
      <c r="I30" s="6" t="s">
        <v>3074</v>
      </c>
      <c r="J30" s="6" t="s">
        <v>3103</v>
      </c>
      <c r="K30" s="9">
        <v>5</v>
      </c>
      <c r="L30" s="6" t="s">
        <v>4283</v>
      </c>
      <c r="M30" s="6" t="s">
        <v>4280</v>
      </c>
      <c r="N30" s="24">
        <v>640.28</v>
      </c>
      <c r="O30" s="22" t="str">
        <f>IF(Table2[[#This Row],[CouponCode]]="N/A", "Not Used", "Used")</f>
        <v>Not Used</v>
      </c>
    </row>
    <row r="31" spans="1:15" x14ac:dyDescent="0.3">
      <c r="A31" s="6" t="s">
        <v>43</v>
      </c>
      <c r="B31" s="2">
        <v>45555</v>
      </c>
      <c r="C31" s="6" t="s">
        <v>1243</v>
      </c>
      <c r="D31" s="6" t="s">
        <v>2409</v>
      </c>
      <c r="E31" s="9">
        <v>3</v>
      </c>
      <c r="F31" s="24">
        <v>423.53</v>
      </c>
      <c r="G31" t="s">
        <v>2439</v>
      </c>
      <c r="H31" s="6" t="s">
        <v>3067</v>
      </c>
      <c r="I31" s="6" t="s">
        <v>3073</v>
      </c>
      <c r="J31" s="6" t="s">
        <v>3104</v>
      </c>
      <c r="K31" s="9">
        <v>6</v>
      </c>
      <c r="L31" s="6" t="s">
        <v>4275</v>
      </c>
      <c r="M31" s="6" t="s">
        <v>4279</v>
      </c>
      <c r="N31" s="24">
        <v>1270.5899999999999</v>
      </c>
      <c r="O31" s="22" t="str">
        <f>IF(Table2[[#This Row],[CouponCode]]="N/A", "Not Used", "Used")</f>
        <v>Used</v>
      </c>
    </row>
    <row r="32" spans="1:15" x14ac:dyDescent="0.3">
      <c r="A32" s="6" t="s">
        <v>44</v>
      </c>
      <c r="B32" s="2">
        <v>45738</v>
      </c>
      <c r="C32" s="6" t="s">
        <v>1244</v>
      </c>
      <c r="D32" s="6" t="s">
        <v>2403</v>
      </c>
      <c r="E32" s="9">
        <v>2</v>
      </c>
      <c r="F32" s="24">
        <v>426.7</v>
      </c>
      <c r="G32" t="s">
        <v>2440</v>
      </c>
      <c r="H32" s="6" t="s">
        <v>3066</v>
      </c>
      <c r="I32" s="6" t="s">
        <v>3074</v>
      </c>
      <c r="J32" s="6" t="s">
        <v>3105</v>
      </c>
      <c r="K32" s="9">
        <v>5</v>
      </c>
      <c r="L32" s="6" t="s">
        <v>4275</v>
      </c>
      <c r="M32" s="6" t="s">
        <v>4279</v>
      </c>
      <c r="N32" s="24">
        <v>853.4</v>
      </c>
      <c r="O32" s="22" t="str">
        <f>IF(Table2[[#This Row],[CouponCode]]="N/A", "Not Used", "Used")</f>
        <v>Used</v>
      </c>
    </row>
    <row r="33" spans="1:15" x14ac:dyDescent="0.3">
      <c r="A33" s="6" t="s">
        <v>45</v>
      </c>
      <c r="B33" s="2">
        <v>45107</v>
      </c>
      <c r="C33" s="6" t="s">
        <v>1245</v>
      </c>
      <c r="D33" s="6" t="s">
        <v>2406</v>
      </c>
      <c r="E33" s="9">
        <v>3</v>
      </c>
      <c r="F33" s="24">
        <v>500.08</v>
      </c>
      <c r="G33" t="s">
        <v>2441</v>
      </c>
      <c r="H33" s="6" t="s">
        <v>3065</v>
      </c>
      <c r="I33" s="6" t="s">
        <v>3072</v>
      </c>
      <c r="J33" s="6" t="s">
        <v>3106</v>
      </c>
      <c r="K33" s="9">
        <v>6</v>
      </c>
      <c r="L33" s="6" t="s">
        <v>4283</v>
      </c>
      <c r="M33" s="6" t="s">
        <v>4281</v>
      </c>
      <c r="N33" s="24">
        <v>1500.24</v>
      </c>
      <c r="O33" s="22" t="str">
        <f>IF(Table2[[#This Row],[CouponCode]]="N/A", "Not Used", "Used")</f>
        <v>Not Used</v>
      </c>
    </row>
    <row r="34" spans="1:15" x14ac:dyDescent="0.3">
      <c r="A34" s="6" t="s">
        <v>46</v>
      </c>
      <c r="B34" s="2">
        <v>45047</v>
      </c>
      <c r="C34" s="6" t="s">
        <v>1246</v>
      </c>
      <c r="D34" s="6" t="s">
        <v>2405</v>
      </c>
      <c r="E34" s="9">
        <v>5</v>
      </c>
      <c r="F34" s="24">
        <v>536.72</v>
      </c>
      <c r="G34" t="s">
        <v>2442</v>
      </c>
      <c r="H34" s="6" t="s">
        <v>3069</v>
      </c>
      <c r="I34" s="6" t="s">
        <v>3073</v>
      </c>
      <c r="J34" s="6" t="s">
        <v>3107</v>
      </c>
      <c r="K34" s="9">
        <v>10</v>
      </c>
      <c r="L34" s="6" t="s">
        <v>4283</v>
      </c>
      <c r="M34" s="6" t="s">
        <v>4280</v>
      </c>
      <c r="N34" s="24">
        <v>2683.6</v>
      </c>
      <c r="O34" s="22" t="str">
        <f>IF(Table2[[#This Row],[CouponCode]]="N/A", "Not Used", "Used")</f>
        <v>Not Used</v>
      </c>
    </row>
    <row r="35" spans="1:15" x14ac:dyDescent="0.3">
      <c r="A35" s="6" t="s">
        <v>47</v>
      </c>
      <c r="B35" s="2">
        <v>45082</v>
      </c>
      <c r="C35" s="6" t="s">
        <v>1247</v>
      </c>
      <c r="D35" s="6" t="s">
        <v>2406</v>
      </c>
      <c r="E35" s="9">
        <v>1</v>
      </c>
      <c r="F35" s="24">
        <v>162.77000000000001</v>
      </c>
      <c r="G35" t="s">
        <v>2443</v>
      </c>
      <c r="H35" s="6" t="s">
        <v>3066</v>
      </c>
      <c r="I35" s="6" t="s">
        <v>3071</v>
      </c>
      <c r="J35" s="6" t="s">
        <v>3108</v>
      </c>
      <c r="K35" s="9">
        <v>4</v>
      </c>
      <c r="L35" s="6" t="s">
        <v>4277</v>
      </c>
      <c r="M35" s="6" t="s">
        <v>4281</v>
      </c>
      <c r="N35" s="24">
        <v>162.77000000000001</v>
      </c>
      <c r="O35" s="22" t="str">
        <f>IF(Table2[[#This Row],[CouponCode]]="N/A", "Not Used", "Used")</f>
        <v>Used</v>
      </c>
    </row>
    <row r="36" spans="1:15" x14ac:dyDescent="0.3">
      <c r="A36" s="6" t="s">
        <v>48</v>
      </c>
      <c r="B36" s="2">
        <v>44933</v>
      </c>
      <c r="C36" s="6" t="s">
        <v>1248</v>
      </c>
      <c r="D36" s="6" t="s">
        <v>2406</v>
      </c>
      <c r="E36" s="9">
        <v>4</v>
      </c>
      <c r="F36" s="24">
        <v>576.52</v>
      </c>
      <c r="G36" t="s">
        <v>2444</v>
      </c>
      <c r="H36" s="6" t="s">
        <v>3067</v>
      </c>
      <c r="I36" s="6" t="s">
        <v>3074</v>
      </c>
      <c r="J36" s="6" t="s">
        <v>3109</v>
      </c>
      <c r="K36" s="9">
        <v>5</v>
      </c>
      <c r="L36" s="6" t="s">
        <v>4277</v>
      </c>
      <c r="M36" s="6" t="s">
        <v>4281</v>
      </c>
      <c r="N36" s="24">
        <v>2306.08</v>
      </c>
      <c r="O36" s="22" t="str">
        <f>IF(Table2[[#This Row],[CouponCode]]="N/A", "Not Used", "Used")</f>
        <v>Used</v>
      </c>
    </row>
    <row r="37" spans="1:15" x14ac:dyDescent="0.3">
      <c r="A37" s="6" t="s">
        <v>49</v>
      </c>
      <c r="B37" s="2">
        <v>45633</v>
      </c>
      <c r="C37" s="6" t="s">
        <v>1249</v>
      </c>
      <c r="D37" s="6" t="s">
        <v>2403</v>
      </c>
      <c r="E37" s="9">
        <v>2</v>
      </c>
      <c r="F37" s="24">
        <v>465.15</v>
      </c>
      <c r="G37" t="s">
        <v>2445</v>
      </c>
      <c r="H37" s="6" t="s">
        <v>3066</v>
      </c>
      <c r="I37" s="6" t="s">
        <v>3070</v>
      </c>
      <c r="J37" s="6" t="s">
        <v>3110</v>
      </c>
      <c r="K37" s="9">
        <v>2</v>
      </c>
      <c r="L37" s="6" t="s">
        <v>4275</v>
      </c>
      <c r="M37" s="6" t="s">
        <v>4281</v>
      </c>
      <c r="N37" s="24">
        <v>930.3</v>
      </c>
      <c r="O37" s="22" t="str">
        <f>IF(Table2[[#This Row],[CouponCode]]="N/A", "Not Used", "Used")</f>
        <v>Used</v>
      </c>
    </row>
    <row r="38" spans="1:15" x14ac:dyDescent="0.3">
      <c r="A38" s="6" t="s">
        <v>50</v>
      </c>
      <c r="B38" s="2">
        <v>45785</v>
      </c>
      <c r="C38" s="6" t="s">
        <v>1250</v>
      </c>
      <c r="D38" s="6" t="s">
        <v>2408</v>
      </c>
      <c r="E38" s="9">
        <v>2</v>
      </c>
      <c r="F38" s="24">
        <v>534.42999999999995</v>
      </c>
      <c r="G38" t="s">
        <v>2446</v>
      </c>
      <c r="H38" s="6" t="s">
        <v>3065</v>
      </c>
      <c r="I38" s="6" t="s">
        <v>3074</v>
      </c>
      <c r="J38" s="6" t="s">
        <v>3111</v>
      </c>
      <c r="K38" s="9">
        <v>5</v>
      </c>
      <c r="L38" s="6" t="s">
        <v>4283</v>
      </c>
      <c r="M38" s="6" t="s">
        <v>4281</v>
      </c>
      <c r="N38" s="24">
        <v>1068.8599999999999</v>
      </c>
      <c r="O38" s="22" t="str">
        <f>IF(Table2[[#This Row],[CouponCode]]="N/A", "Not Used", "Used")</f>
        <v>Not Used</v>
      </c>
    </row>
    <row r="39" spans="1:15" x14ac:dyDescent="0.3">
      <c r="A39" s="6" t="s">
        <v>51</v>
      </c>
      <c r="B39" s="2">
        <v>45579</v>
      </c>
      <c r="C39" s="6" t="s">
        <v>1251</v>
      </c>
      <c r="D39" s="6" t="s">
        <v>2408</v>
      </c>
      <c r="E39" s="9">
        <v>2</v>
      </c>
      <c r="F39" s="24">
        <v>76.739999999999995</v>
      </c>
      <c r="G39" t="s">
        <v>2447</v>
      </c>
      <c r="H39" s="6" t="s">
        <v>3069</v>
      </c>
      <c r="I39" s="6" t="s">
        <v>3072</v>
      </c>
      <c r="J39" s="6" t="s">
        <v>3112</v>
      </c>
      <c r="K39" s="9">
        <v>7</v>
      </c>
      <c r="L39" s="6" t="s">
        <v>4275</v>
      </c>
      <c r="M39" s="6" t="s">
        <v>4278</v>
      </c>
      <c r="N39" s="24">
        <v>153.47999999999999</v>
      </c>
      <c r="O39" s="22" t="str">
        <f>IF(Table2[[#This Row],[CouponCode]]="N/A", "Not Used", "Used")</f>
        <v>Used</v>
      </c>
    </row>
    <row r="40" spans="1:15" x14ac:dyDescent="0.3">
      <c r="A40" s="6" t="s">
        <v>52</v>
      </c>
      <c r="B40" s="2">
        <v>45645</v>
      </c>
      <c r="C40" s="6" t="s">
        <v>1252</v>
      </c>
      <c r="D40" s="6" t="s">
        <v>2408</v>
      </c>
      <c r="E40" s="9">
        <v>1</v>
      </c>
      <c r="F40" s="24">
        <v>245.89</v>
      </c>
      <c r="G40" t="s">
        <v>2448</v>
      </c>
      <c r="H40" s="6" t="s">
        <v>3065</v>
      </c>
      <c r="I40" s="6" t="s">
        <v>3073</v>
      </c>
      <c r="J40" s="6" t="s">
        <v>3113</v>
      </c>
      <c r="K40" s="9">
        <v>3</v>
      </c>
      <c r="L40" s="6" t="s">
        <v>4275</v>
      </c>
      <c r="M40" s="6" t="s">
        <v>4282</v>
      </c>
      <c r="N40" s="24">
        <v>245.89</v>
      </c>
      <c r="O40" s="22" t="str">
        <f>IF(Table2[[#This Row],[CouponCode]]="N/A", "Not Used", "Used")</f>
        <v>Used</v>
      </c>
    </row>
    <row r="41" spans="1:15" x14ac:dyDescent="0.3">
      <c r="A41" s="6" t="s">
        <v>53</v>
      </c>
      <c r="B41" s="2">
        <v>45715</v>
      </c>
      <c r="C41" s="6" t="s">
        <v>1253</v>
      </c>
      <c r="D41" s="6" t="s">
        <v>2407</v>
      </c>
      <c r="E41" s="9">
        <v>3</v>
      </c>
      <c r="F41" s="24">
        <v>256.45999999999998</v>
      </c>
      <c r="G41" t="s">
        <v>2449</v>
      </c>
      <c r="H41" s="6" t="s">
        <v>3067</v>
      </c>
      <c r="I41" s="6" t="s">
        <v>3073</v>
      </c>
      <c r="J41" s="6" t="s">
        <v>3114</v>
      </c>
      <c r="K41" s="9">
        <v>4</v>
      </c>
      <c r="L41" s="6" t="s">
        <v>4275</v>
      </c>
      <c r="M41" s="6" t="s">
        <v>4279</v>
      </c>
      <c r="N41" s="24">
        <v>769.37999999999988</v>
      </c>
      <c r="O41" s="22" t="str">
        <f>IF(Table2[[#This Row],[CouponCode]]="N/A", "Not Used", "Used")</f>
        <v>Used</v>
      </c>
    </row>
    <row r="42" spans="1:15" x14ac:dyDescent="0.3">
      <c r="A42" s="6" t="s">
        <v>54</v>
      </c>
      <c r="B42" s="2">
        <v>45158</v>
      </c>
      <c r="C42" s="6" t="s">
        <v>1254</v>
      </c>
      <c r="D42" s="6" t="s">
        <v>2409</v>
      </c>
      <c r="E42" s="9">
        <v>2</v>
      </c>
      <c r="F42" s="24">
        <v>344.02</v>
      </c>
      <c r="G42" t="s">
        <v>2450</v>
      </c>
      <c r="H42" s="6" t="s">
        <v>3066</v>
      </c>
      <c r="I42" s="6" t="s">
        <v>3073</v>
      </c>
      <c r="J42" s="6" t="s">
        <v>3115</v>
      </c>
      <c r="K42" s="9">
        <v>4</v>
      </c>
      <c r="L42" s="6" t="s">
        <v>4276</v>
      </c>
      <c r="M42" s="6" t="s">
        <v>4278</v>
      </c>
      <c r="N42" s="24">
        <v>688.04</v>
      </c>
      <c r="O42" s="22" t="str">
        <f>IF(Table2[[#This Row],[CouponCode]]="N/A", "Not Used", "Used")</f>
        <v>Used</v>
      </c>
    </row>
    <row r="43" spans="1:15" x14ac:dyDescent="0.3">
      <c r="A43" s="6" t="s">
        <v>55</v>
      </c>
      <c r="B43" s="2">
        <v>45265</v>
      </c>
      <c r="C43" s="6" t="s">
        <v>1255</v>
      </c>
      <c r="D43" s="6" t="s">
        <v>2403</v>
      </c>
      <c r="E43" s="9">
        <v>3</v>
      </c>
      <c r="F43" s="24">
        <v>611.45000000000005</v>
      </c>
      <c r="G43" t="s">
        <v>2451</v>
      </c>
      <c r="H43" s="6" t="s">
        <v>3068</v>
      </c>
      <c r="I43" s="6" t="s">
        <v>3074</v>
      </c>
      <c r="J43" s="6" t="s">
        <v>3116</v>
      </c>
      <c r="K43" s="9">
        <v>4</v>
      </c>
      <c r="L43" s="6" t="s">
        <v>4276</v>
      </c>
      <c r="M43" s="6" t="s">
        <v>4278</v>
      </c>
      <c r="N43" s="24">
        <v>1834.35</v>
      </c>
      <c r="O43" s="22" t="str">
        <f>IF(Table2[[#This Row],[CouponCode]]="N/A", "Not Used", "Used")</f>
        <v>Used</v>
      </c>
    </row>
    <row r="44" spans="1:15" x14ac:dyDescent="0.3">
      <c r="A44" s="6" t="s">
        <v>56</v>
      </c>
      <c r="B44" s="2">
        <v>45418</v>
      </c>
      <c r="C44" s="6" t="s">
        <v>1256</v>
      </c>
      <c r="D44" s="6" t="s">
        <v>2407</v>
      </c>
      <c r="E44" s="9">
        <v>2</v>
      </c>
      <c r="F44" s="24">
        <v>151.66</v>
      </c>
      <c r="G44" t="s">
        <v>2424</v>
      </c>
      <c r="H44" s="6" t="s">
        <v>3069</v>
      </c>
      <c r="I44" s="6" t="s">
        <v>3071</v>
      </c>
      <c r="J44" s="6" t="s">
        <v>3117</v>
      </c>
      <c r="K44" s="9">
        <v>6</v>
      </c>
      <c r="L44" s="6" t="s">
        <v>4283</v>
      </c>
      <c r="M44" s="6" t="s">
        <v>4278</v>
      </c>
      <c r="N44" s="24">
        <v>303.32</v>
      </c>
      <c r="O44" s="22" t="str">
        <f>IF(Table2[[#This Row],[CouponCode]]="N/A", "Not Used", "Used")</f>
        <v>Not Used</v>
      </c>
    </row>
    <row r="45" spans="1:15" x14ac:dyDescent="0.3">
      <c r="A45" s="6" t="s">
        <v>57</v>
      </c>
      <c r="B45" s="2">
        <v>45274</v>
      </c>
      <c r="C45" s="6" t="s">
        <v>1257</v>
      </c>
      <c r="D45" s="6" t="s">
        <v>2406</v>
      </c>
      <c r="E45" s="9">
        <v>3</v>
      </c>
      <c r="F45" s="24">
        <v>499.21</v>
      </c>
      <c r="G45" t="s">
        <v>2452</v>
      </c>
      <c r="H45" s="6" t="s">
        <v>3066</v>
      </c>
      <c r="I45" s="6" t="s">
        <v>3071</v>
      </c>
      <c r="J45" s="6" t="s">
        <v>3118</v>
      </c>
      <c r="K45" s="9">
        <v>8</v>
      </c>
      <c r="L45" s="6" t="s">
        <v>4283</v>
      </c>
      <c r="M45" s="6" t="s">
        <v>4278</v>
      </c>
      <c r="N45" s="24">
        <v>1497.63</v>
      </c>
      <c r="O45" s="22" t="str">
        <f>IF(Table2[[#This Row],[CouponCode]]="N/A", "Not Used", "Used")</f>
        <v>Not Used</v>
      </c>
    </row>
    <row r="46" spans="1:15" x14ac:dyDescent="0.3">
      <c r="A46" s="6" t="s">
        <v>58</v>
      </c>
      <c r="B46" s="2">
        <v>45768</v>
      </c>
      <c r="C46" s="6" t="s">
        <v>1258</v>
      </c>
      <c r="D46" s="6" t="s">
        <v>2404</v>
      </c>
      <c r="E46" s="9">
        <v>2</v>
      </c>
      <c r="F46" s="24">
        <v>550.17999999999995</v>
      </c>
      <c r="G46" t="s">
        <v>2441</v>
      </c>
      <c r="H46" s="6" t="s">
        <v>3068</v>
      </c>
      <c r="I46" s="6" t="s">
        <v>3072</v>
      </c>
      <c r="J46" s="6" t="s">
        <v>3119</v>
      </c>
      <c r="K46" s="9">
        <v>3</v>
      </c>
      <c r="L46" s="6" t="s">
        <v>4276</v>
      </c>
      <c r="M46" s="6" t="s">
        <v>4279</v>
      </c>
      <c r="N46" s="24">
        <v>1100.3599999999999</v>
      </c>
      <c r="O46" s="22" t="str">
        <f>IF(Table2[[#This Row],[CouponCode]]="N/A", "Not Used", "Used")</f>
        <v>Used</v>
      </c>
    </row>
    <row r="47" spans="1:15" x14ac:dyDescent="0.3">
      <c r="A47" s="6" t="s">
        <v>59</v>
      </c>
      <c r="B47" s="2">
        <v>45332</v>
      </c>
      <c r="C47" s="6" t="s">
        <v>1259</v>
      </c>
      <c r="D47" s="6" t="s">
        <v>2406</v>
      </c>
      <c r="E47" s="9">
        <v>1</v>
      </c>
      <c r="F47" s="24">
        <v>317.25</v>
      </c>
      <c r="G47" t="s">
        <v>2453</v>
      </c>
      <c r="H47" s="6" t="s">
        <v>3065</v>
      </c>
      <c r="I47" s="6" t="s">
        <v>3072</v>
      </c>
      <c r="J47" s="6" t="s">
        <v>3120</v>
      </c>
      <c r="K47" s="9">
        <v>1</v>
      </c>
      <c r="L47" s="6" t="s">
        <v>4275</v>
      </c>
      <c r="M47" s="6" t="s">
        <v>4281</v>
      </c>
      <c r="N47" s="24">
        <v>317.25</v>
      </c>
      <c r="O47" s="22" t="str">
        <f>IF(Table2[[#This Row],[CouponCode]]="N/A", "Not Used", "Used")</f>
        <v>Used</v>
      </c>
    </row>
    <row r="48" spans="1:15" x14ac:dyDescent="0.3">
      <c r="A48" s="6" t="s">
        <v>60</v>
      </c>
      <c r="B48" s="2">
        <v>45469</v>
      </c>
      <c r="C48" s="6" t="s">
        <v>1260</v>
      </c>
      <c r="D48" s="6" t="s">
        <v>2403</v>
      </c>
      <c r="E48" s="9">
        <v>4</v>
      </c>
      <c r="F48" s="24">
        <v>550.14</v>
      </c>
      <c r="G48" t="s">
        <v>2454</v>
      </c>
      <c r="H48" s="6" t="s">
        <v>3065</v>
      </c>
      <c r="I48" s="6" t="s">
        <v>3074</v>
      </c>
      <c r="J48" s="6" t="s">
        <v>3121</v>
      </c>
      <c r="K48" s="9">
        <v>4</v>
      </c>
      <c r="L48" s="6" t="s">
        <v>4276</v>
      </c>
      <c r="M48" s="6" t="s">
        <v>4278</v>
      </c>
      <c r="N48" s="24">
        <v>2200.56</v>
      </c>
      <c r="O48" s="22" t="str">
        <f>IF(Table2[[#This Row],[CouponCode]]="N/A", "Not Used", "Used")</f>
        <v>Used</v>
      </c>
    </row>
    <row r="49" spans="1:15" x14ac:dyDescent="0.3">
      <c r="A49" s="6" t="s">
        <v>61</v>
      </c>
      <c r="B49" s="2">
        <v>45126</v>
      </c>
      <c r="C49" s="6" t="s">
        <v>1261</v>
      </c>
      <c r="D49" s="6" t="s">
        <v>2409</v>
      </c>
      <c r="E49" s="9">
        <v>2</v>
      </c>
      <c r="F49" s="24">
        <v>209.94</v>
      </c>
      <c r="G49" t="s">
        <v>2455</v>
      </c>
      <c r="H49" s="6" t="s">
        <v>3067</v>
      </c>
      <c r="I49" s="6" t="s">
        <v>3072</v>
      </c>
      <c r="J49" s="6" t="s">
        <v>3122</v>
      </c>
      <c r="K49" s="9">
        <v>3</v>
      </c>
      <c r="L49" s="6" t="s">
        <v>4276</v>
      </c>
      <c r="M49" s="6" t="s">
        <v>4280</v>
      </c>
      <c r="N49" s="24">
        <v>419.88</v>
      </c>
      <c r="O49" s="22" t="str">
        <f>IF(Table2[[#This Row],[CouponCode]]="N/A", "Not Used", "Used")</f>
        <v>Used</v>
      </c>
    </row>
    <row r="50" spans="1:15" x14ac:dyDescent="0.3">
      <c r="A50" s="6" t="s">
        <v>62</v>
      </c>
      <c r="B50" s="2">
        <v>45164</v>
      </c>
      <c r="C50" s="6" t="s">
        <v>1262</v>
      </c>
      <c r="D50" s="6" t="s">
        <v>2403</v>
      </c>
      <c r="E50" s="9">
        <v>2</v>
      </c>
      <c r="F50" s="24">
        <v>80.77</v>
      </c>
      <c r="G50" t="s">
        <v>2456</v>
      </c>
      <c r="H50" s="6" t="s">
        <v>3065</v>
      </c>
      <c r="I50" s="6" t="s">
        <v>3070</v>
      </c>
      <c r="J50" s="6" t="s">
        <v>3123</v>
      </c>
      <c r="K50" s="9">
        <v>4</v>
      </c>
      <c r="L50" s="6" t="s">
        <v>4283</v>
      </c>
      <c r="M50" s="6" t="s">
        <v>4282</v>
      </c>
      <c r="N50" s="24">
        <v>161.54</v>
      </c>
      <c r="O50" s="22" t="str">
        <f>IF(Table2[[#This Row],[CouponCode]]="N/A", "Not Used", "Used")</f>
        <v>Not Used</v>
      </c>
    </row>
    <row r="51" spans="1:15" x14ac:dyDescent="0.3">
      <c r="A51" s="6" t="s">
        <v>63</v>
      </c>
      <c r="B51" s="2">
        <v>45206</v>
      </c>
      <c r="C51" s="6" t="s">
        <v>1263</v>
      </c>
      <c r="D51" s="6" t="s">
        <v>2407</v>
      </c>
      <c r="E51" s="9">
        <v>1</v>
      </c>
      <c r="F51" s="24">
        <v>30.44</v>
      </c>
      <c r="G51" t="s">
        <v>2432</v>
      </c>
      <c r="H51" s="6" t="s">
        <v>3067</v>
      </c>
      <c r="I51" s="6" t="s">
        <v>3070</v>
      </c>
      <c r="J51" s="6" t="s">
        <v>3124</v>
      </c>
      <c r="K51" s="9">
        <v>1</v>
      </c>
      <c r="L51" s="6" t="s">
        <v>4275</v>
      </c>
      <c r="M51" s="6" t="s">
        <v>4280</v>
      </c>
      <c r="N51" s="24">
        <v>30.44</v>
      </c>
      <c r="O51" s="22" t="str">
        <f>IF(Table2[[#This Row],[CouponCode]]="N/A", "Not Used", "Used")</f>
        <v>Used</v>
      </c>
    </row>
    <row r="52" spans="1:15" x14ac:dyDescent="0.3">
      <c r="A52" s="6" t="s">
        <v>64</v>
      </c>
      <c r="B52" s="2">
        <v>45138</v>
      </c>
      <c r="C52" s="6" t="s">
        <v>1264</v>
      </c>
      <c r="D52" s="6" t="s">
        <v>2405</v>
      </c>
      <c r="E52" s="9">
        <v>1</v>
      </c>
      <c r="F52" s="24">
        <v>179.22</v>
      </c>
      <c r="G52" t="s">
        <v>2457</v>
      </c>
      <c r="H52" s="6" t="s">
        <v>3066</v>
      </c>
      <c r="I52" s="6" t="s">
        <v>3071</v>
      </c>
      <c r="J52" s="6" t="s">
        <v>3125</v>
      </c>
      <c r="K52" s="9">
        <v>6</v>
      </c>
      <c r="L52" s="6" t="s">
        <v>4276</v>
      </c>
      <c r="M52" s="6" t="s">
        <v>4278</v>
      </c>
      <c r="N52" s="24">
        <v>179.22</v>
      </c>
      <c r="O52" s="22" t="str">
        <f>IF(Table2[[#This Row],[CouponCode]]="N/A", "Not Used", "Used")</f>
        <v>Used</v>
      </c>
    </row>
    <row r="53" spans="1:15" x14ac:dyDescent="0.3">
      <c r="A53" s="6" t="s">
        <v>65</v>
      </c>
      <c r="B53" s="2">
        <v>45656</v>
      </c>
      <c r="C53" s="6" t="s">
        <v>1265</v>
      </c>
      <c r="D53" s="6" t="s">
        <v>2405</v>
      </c>
      <c r="E53" s="9">
        <v>1</v>
      </c>
      <c r="F53" s="24">
        <v>388.33</v>
      </c>
      <c r="G53" t="s">
        <v>2458</v>
      </c>
      <c r="H53" s="6" t="s">
        <v>3069</v>
      </c>
      <c r="I53" s="6" t="s">
        <v>3072</v>
      </c>
      <c r="J53" s="6" t="s">
        <v>3126</v>
      </c>
      <c r="K53" s="9">
        <v>2</v>
      </c>
      <c r="L53" s="6" t="s">
        <v>4275</v>
      </c>
      <c r="M53" s="6" t="s">
        <v>4281</v>
      </c>
      <c r="N53" s="24">
        <v>388.33</v>
      </c>
      <c r="O53" s="22" t="str">
        <f>IF(Table2[[#This Row],[CouponCode]]="N/A", "Not Used", "Used")</f>
        <v>Used</v>
      </c>
    </row>
    <row r="54" spans="1:15" x14ac:dyDescent="0.3">
      <c r="A54" s="6" t="s">
        <v>66</v>
      </c>
      <c r="B54" s="2">
        <v>45543</v>
      </c>
      <c r="C54" s="6" t="s">
        <v>1266</v>
      </c>
      <c r="D54" s="6" t="s">
        <v>2405</v>
      </c>
      <c r="E54" s="9">
        <v>1</v>
      </c>
      <c r="F54" s="24">
        <v>586.44000000000005</v>
      </c>
      <c r="G54" t="s">
        <v>2459</v>
      </c>
      <c r="H54" s="6" t="s">
        <v>3066</v>
      </c>
      <c r="I54" s="6" t="s">
        <v>3072</v>
      </c>
      <c r="J54" s="6" t="s">
        <v>3127</v>
      </c>
      <c r="K54" s="9">
        <v>5</v>
      </c>
      <c r="L54" s="6" t="s">
        <v>4275</v>
      </c>
      <c r="M54" s="6" t="s">
        <v>4281</v>
      </c>
      <c r="N54" s="24">
        <v>586.44000000000005</v>
      </c>
      <c r="O54" s="22" t="str">
        <f>IF(Table2[[#This Row],[CouponCode]]="N/A", "Not Used", "Used")</f>
        <v>Used</v>
      </c>
    </row>
    <row r="55" spans="1:15" x14ac:dyDescent="0.3">
      <c r="A55" s="6" t="s">
        <v>67</v>
      </c>
      <c r="B55" s="2">
        <v>45430</v>
      </c>
      <c r="C55" s="6" t="s">
        <v>1267</v>
      </c>
      <c r="D55" s="6" t="s">
        <v>2404</v>
      </c>
      <c r="E55" s="9">
        <v>4</v>
      </c>
      <c r="F55" s="24">
        <v>488.78</v>
      </c>
      <c r="G55" t="s">
        <v>2412</v>
      </c>
      <c r="H55" s="6" t="s">
        <v>3066</v>
      </c>
      <c r="I55" s="6" t="s">
        <v>3072</v>
      </c>
      <c r="J55" s="6" t="s">
        <v>3128</v>
      </c>
      <c r="K55" s="9">
        <v>5</v>
      </c>
      <c r="L55" s="6" t="s">
        <v>4276</v>
      </c>
      <c r="M55" s="6" t="s">
        <v>4282</v>
      </c>
      <c r="N55" s="24">
        <v>1955.12</v>
      </c>
      <c r="O55" s="22" t="str">
        <f>IF(Table2[[#This Row],[CouponCode]]="N/A", "Not Used", "Used")</f>
        <v>Used</v>
      </c>
    </row>
    <row r="56" spans="1:15" x14ac:dyDescent="0.3">
      <c r="A56" s="6" t="s">
        <v>68</v>
      </c>
      <c r="B56" s="2">
        <v>45743</v>
      </c>
      <c r="C56" s="6" t="s">
        <v>1268</v>
      </c>
      <c r="D56" s="6" t="s">
        <v>2406</v>
      </c>
      <c r="E56" s="9">
        <v>1</v>
      </c>
      <c r="F56" s="24">
        <v>280.25</v>
      </c>
      <c r="G56" t="s">
        <v>2460</v>
      </c>
      <c r="H56" s="6" t="s">
        <v>3066</v>
      </c>
      <c r="I56" s="6" t="s">
        <v>3074</v>
      </c>
      <c r="J56" s="6" t="s">
        <v>3129</v>
      </c>
      <c r="K56" s="9">
        <v>5</v>
      </c>
      <c r="L56" s="6" t="s">
        <v>4277</v>
      </c>
      <c r="M56" s="6" t="s">
        <v>4280</v>
      </c>
      <c r="N56" s="24">
        <v>280.25</v>
      </c>
      <c r="O56" s="22" t="str">
        <f>IF(Table2[[#This Row],[CouponCode]]="N/A", "Not Used", "Used")</f>
        <v>Used</v>
      </c>
    </row>
    <row r="57" spans="1:15" x14ac:dyDescent="0.3">
      <c r="A57" s="6" t="s">
        <v>69</v>
      </c>
      <c r="B57" s="2">
        <v>45832</v>
      </c>
      <c r="C57" s="6" t="s">
        <v>1269</v>
      </c>
      <c r="D57" s="6" t="s">
        <v>2407</v>
      </c>
      <c r="E57" s="9">
        <v>3</v>
      </c>
      <c r="F57" s="24">
        <v>344.4</v>
      </c>
      <c r="G57" t="s">
        <v>2461</v>
      </c>
      <c r="H57" s="6" t="s">
        <v>3066</v>
      </c>
      <c r="I57" s="6" t="s">
        <v>3071</v>
      </c>
      <c r="J57" s="6" t="s">
        <v>3130</v>
      </c>
      <c r="K57" s="9">
        <v>3</v>
      </c>
      <c r="L57" s="6" t="s">
        <v>4283</v>
      </c>
      <c r="M57" s="6" t="s">
        <v>4281</v>
      </c>
      <c r="N57" s="24">
        <v>1033.2</v>
      </c>
      <c r="O57" s="22" t="str">
        <f>IF(Table2[[#This Row],[CouponCode]]="N/A", "Not Used", "Used")</f>
        <v>Not Used</v>
      </c>
    </row>
    <row r="58" spans="1:15" x14ac:dyDescent="0.3">
      <c r="A58" s="6" t="s">
        <v>70</v>
      </c>
      <c r="B58" s="2">
        <v>45067</v>
      </c>
      <c r="C58" s="6" t="s">
        <v>1270</v>
      </c>
      <c r="D58" s="6" t="s">
        <v>2405</v>
      </c>
      <c r="E58" s="9">
        <v>3</v>
      </c>
      <c r="F58" s="24">
        <v>479.21</v>
      </c>
      <c r="G58" t="s">
        <v>2462</v>
      </c>
      <c r="H58" s="6" t="s">
        <v>3069</v>
      </c>
      <c r="I58" s="6" t="s">
        <v>3071</v>
      </c>
      <c r="J58" s="6" t="s">
        <v>3131</v>
      </c>
      <c r="K58" s="9">
        <v>5</v>
      </c>
      <c r="L58" s="6" t="s">
        <v>4277</v>
      </c>
      <c r="M58" s="6" t="s">
        <v>4279</v>
      </c>
      <c r="N58" s="24">
        <v>1437.63</v>
      </c>
      <c r="O58" s="22" t="str">
        <f>IF(Table2[[#This Row],[CouponCode]]="N/A", "Not Used", "Used")</f>
        <v>Used</v>
      </c>
    </row>
    <row r="59" spans="1:15" x14ac:dyDescent="0.3">
      <c r="A59" s="6" t="s">
        <v>71</v>
      </c>
      <c r="B59" s="2">
        <v>44948</v>
      </c>
      <c r="C59" s="6" t="s">
        <v>1271</v>
      </c>
      <c r="D59" s="6" t="s">
        <v>2407</v>
      </c>
      <c r="E59" s="9">
        <v>5</v>
      </c>
      <c r="F59" s="24">
        <v>314.27</v>
      </c>
      <c r="G59" t="s">
        <v>2463</v>
      </c>
      <c r="H59" s="6" t="s">
        <v>3069</v>
      </c>
      <c r="I59" s="6" t="s">
        <v>3072</v>
      </c>
      <c r="J59" s="6" t="s">
        <v>3132</v>
      </c>
      <c r="K59" s="9">
        <v>6</v>
      </c>
      <c r="L59" s="6" t="s">
        <v>4275</v>
      </c>
      <c r="M59" s="6" t="s">
        <v>4278</v>
      </c>
      <c r="N59" s="24">
        <v>1571.35</v>
      </c>
      <c r="O59" s="22" t="str">
        <f>IF(Table2[[#This Row],[CouponCode]]="N/A", "Not Used", "Used")</f>
        <v>Used</v>
      </c>
    </row>
    <row r="60" spans="1:15" x14ac:dyDescent="0.3">
      <c r="A60" s="6" t="s">
        <v>72</v>
      </c>
      <c r="B60" s="2">
        <v>44941</v>
      </c>
      <c r="C60" s="6" t="s">
        <v>1272</v>
      </c>
      <c r="D60" s="6" t="s">
        <v>2404</v>
      </c>
      <c r="E60" s="9">
        <v>4</v>
      </c>
      <c r="F60" s="24">
        <v>474.69</v>
      </c>
      <c r="G60" t="s">
        <v>2464</v>
      </c>
      <c r="H60" s="6" t="s">
        <v>3068</v>
      </c>
      <c r="I60" s="6" t="s">
        <v>3071</v>
      </c>
      <c r="J60" s="6" t="s">
        <v>3133</v>
      </c>
      <c r="K60" s="9">
        <v>6</v>
      </c>
      <c r="L60" s="6" t="s">
        <v>4275</v>
      </c>
      <c r="M60" s="6" t="s">
        <v>4282</v>
      </c>
      <c r="N60" s="24">
        <v>1898.76</v>
      </c>
      <c r="O60" s="22" t="str">
        <f>IF(Table2[[#This Row],[CouponCode]]="N/A", "Not Used", "Used")</f>
        <v>Used</v>
      </c>
    </row>
    <row r="61" spans="1:15" x14ac:dyDescent="0.3">
      <c r="A61" s="6" t="s">
        <v>73</v>
      </c>
      <c r="B61" s="2">
        <v>45546</v>
      </c>
      <c r="C61" s="6" t="s">
        <v>1273</v>
      </c>
      <c r="D61" s="6" t="s">
        <v>2406</v>
      </c>
      <c r="E61" s="9">
        <v>4</v>
      </c>
      <c r="F61" s="24">
        <v>593.27</v>
      </c>
      <c r="G61" t="s">
        <v>2465</v>
      </c>
      <c r="H61" s="6" t="s">
        <v>3066</v>
      </c>
      <c r="I61" s="6" t="s">
        <v>3070</v>
      </c>
      <c r="J61" s="6" t="s">
        <v>3134</v>
      </c>
      <c r="K61" s="9">
        <v>5</v>
      </c>
      <c r="L61" s="6" t="s">
        <v>4283</v>
      </c>
      <c r="M61" s="6" t="s">
        <v>4281</v>
      </c>
      <c r="N61" s="24">
        <v>2373.08</v>
      </c>
      <c r="O61" s="22" t="str">
        <f>IF(Table2[[#This Row],[CouponCode]]="N/A", "Not Used", "Used")</f>
        <v>Not Used</v>
      </c>
    </row>
    <row r="62" spans="1:15" x14ac:dyDescent="0.3">
      <c r="A62" s="6" t="s">
        <v>74</v>
      </c>
      <c r="B62" s="2">
        <v>45525</v>
      </c>
      <c r="C62" s="6" t="s">
        <v>1274</v>
      </c>
      <c r="D62" s="6" t="s">
        <v>2409</v>
      </c>
      <c r="E62" s="9">
        <v>1</v>
      </c>
      <c r="F62" s="24">
        <v>417.1</v>
      </c>
      <c r="G62" t="s">
        <v>2466</v>
      </c>
      <c r="H62" s="6" t="s">
        <v>3065</v>
      </c>
      <c r="I62" s="6" t="s">
        <v>3072</v>
      </c>
      <c r="J62" s="6" t="s">
        <v>3135</v>
      </c>
      <c r="K62" s="9">
        <v>3</v>
      </c>
      <c r="L62" s="6" t="s">
        <v>4276</v>
      </c>
      <c r="M62" s="6" t="s">
        <v>4279</v>
      </c>
      <c r="N62" s="24">
        <v>417.1</v>
      </c>
      <c r="O62" s="22" t="str">
        <f>IF(Table2[[#This Row],[CouponCode]]="N/A", "Not Used", "Used")</f>
        <v>Used</v>
      </c>
    </row>
    <row r="63" spans="1:15" x14ac:dyDescent="0.3">
      <c r="A63" s="6" t="s">
        <v>75</v>
      </c>
      <c r="B63" s="2">
        <v>45375</v>
      </c>
      <c r="C63" s="6" t="s">
        <v>1275</v>
      </c>
      <c r="D63" s="6" t="s">
        <v>2409</v>
      </c>
      <c r="E63" s="9">
        <v>4</v>
      </c>
      <c r="F63" s="24">
        <v>122.2</v>
      </c>
      <c r="G63" t="s">
        <v>2467</v>
      </c>
      <c r="H63" s="6" t="s">
        <v>3069</v>
      </c>
      <c r="I63" s="6" t="s">
        <v>3073</v>
      </c>
      <c r="J63" s="6" t="s">
        <v>3136</v>
      </c>
      <c r="K63" s="9">
        <v>7</v>
      </c>
      <c r="L63" s="6" t="s">
        <v>4276</v>
      </c>
      <c r="M63" s="6" t="s">
        <v>4281</v>
      </c>
      <c r="N63" s="24">
        <v>488.8</v>
      </c>
      <c r="O63" s="22" t="str">
        <f>IF(Table2[[#This Row],[CouponCode]]="N/A", "Not Used", "Used")</f>
        <v>Used</v>
      </c>
    </row>
    <row r="64" spans="1:15" x14ac:dyDescent="0.3">
      <c r="A64" s="6" t="s">
        <v>76</v>
      </c>
      <c r="B64" s="2">
        <v>45160</v>
      </c>
      <c r="C64" s="6" t="s">
        <v>1276</v>
      </c>
      <c r="D64" s="6" t="s">
        <v>2409</v>
      </c>
      <c r="E64" s="9">
        <v>2</v>
      </c>
      <c r="F64" s="24">
        <v>43.15</v>
      </c>
      <c r="G64" t="s">
        <v>2468</v>
      </c>
      <c r="H64" s="6" t="s">
        <v>3065</v>
      </c>
      <c r="I64" s="6" t="s">
        <v>3074</v>
      </c>
      <c r="J64" s="6" t="s">
        <v>3137</v>
      </c>
      <c r="K64" s="9">
        <v>3</v>
      </c>
      <c r="L64" s="6" t="s">
        <v>4277</v>
      </c>
      <c r="M64" s="6" t="s">
        <v>4280</v>
      </c>
      <c r="N64" s="24">
        <v>86.3</v>
      </c>
      <c r="O64" s="22" t="str">
        <f>IF(Table2[[#This Row],[CouponCode]]="N/A", "Not Used", "Used")</f>
        <v>Used</v>
      </c>
    </row>
    <row r="65" spans="1:15" x14ac:dyDescent="0.3">
      <c r="A65" s="6" t="s">
        <v>77</v>
      </c>
      <c r="B65" s="2">
        <v>45690</v>
      </c>
      <c r="C65" s="6" t="s">
        <v>1277</v>
      </c>
      <c r="D65" s="6" t="s">
        <v>2406</v>
      </c>
      <c r="E65" s="9">
        <v>1</v>
      </c>
      <c r="F65" s="24">
        <v>564.86</v>
      </c>
      <c r="G65" t="s">
        <v>2469</v>
      </c>
      <c r="H65" s="6" t="s">
        <v>3065</v>
      </c>
      <c r="I65" s="6" t="s">
        <v>3070</v>
      </c>
      <c r="J65" s="6" t="s">
        <v>3138</v>
      </c>
      <c r="K65" s="9">
        <v>6</v>
      </c>
      <c r="L65" s="6" t="s">
        <v>4277</v>
      </c>
      <c r="M65" s="6" t="s">
        <v>4279</v>
      </c>
      <c r="N65" s="24">
        <v>564.86</v>
      </c>
      <c r="O65" s="22" t="str">
        <f>IF(Table2[[#This Row],[CouponCode]]="N/A", "Not Used", "Used")</f>
        <v>Used</v>
      </c>
    </row>
    <row r="66" spans="1:15" x14ac:dyDescent="0.3">
      <c r="A66" s="6" t="s">
        <v>78</v>
      </c>
      <c r="B66" s="2">
        <v>45833</v>
      </c>
      <c r="C66" s="6" t="s">
        <v>1278</v>
      </c>
      <c r="D66" s="6" t="s">
        <v>2407</v>
      </c>
      <c r="E66" s="9">
        <v>3</v>
      </c>
      <c r="F66" s="24">
        <v>130.61000000000001</v>
      </c>
      <c r="G66" t="s">
        <v>2470</v>
      </c>
      <c r="H66" s="6" t="s">
        <v>3065</v>
      </c>
      <c r="I66" s="6" t="s">
        <v>3071</v>
      </c>
      <c r="J66" s="6" t="s">
        <v>3139</v>
      </c>
      <c r="K66" s="9">
        <v>4</v>
      </c>
      <c r="L66" s="6" t="s">
        <v>4276</v>
      </c>
      <c r="M66" s="6" t="s">
        <v>4281</v>
      </c>
      <c r="N66" s="24">
        <v>391.83</v>
      </c>
      <c r="O66" s="22" t="str">
        <f>IF(Table2[[#This Row],[CouponCode]]="N/A", "Not Used", "Used")</f>
        <v>Used</v>
      </c>
    </row>
    <row r="67" spans="1:15" x14ac:dyDescent="0.3">
      <c r="A67" s="6" t="s">
        <v>79</v>
      </c>
      <c r="B67" s="2">
        <v>45290</v>
      </c>
      <c r="C67" s="6" t="s">
        <v>1279</v>
      </c>
      <c r="D67" s="6" t="s">
        <v>2403</v>
      </c>
      <c r="E67" s="9">
        <v>5</v>
      </c>
      <c r="F67" s="24">
        <v>81.7</v>
      </c>
      <c r="G67" t="s">
        <v>2471</v>
      </c>
      <c r="H67" s="6" t="s">
        <v>3067</v>
      </c>
      <c r="I67" s="6" t="s">
        <v>3073</v>
      </c>
      <c r="J67" s="6" t="s">
        <v>3140</v>
      </c>
      <c r="K67" s="9">
        <v>6</v>
      </c>
      <c r="L67" s="6" t="s">
        <v>4283</v>
      </c>
      <c r="M67" s="6" t="s">
        <v>4278</v>
      </c>
      <c r="N67" s="24">
        <v>408.5</v>
      </c>
      <c r="O67" s="22" t="str">
        <f>IF(Table2[[#This Row],[CouponCode]]="N/A", "Not Used", "Used")</f>
        <v>Not Used</v>
      </c>
    </row>
    <row r="68" spans="1:15" x14ac:dyDescent="0.3">
      <c r="A68" s="6" t="s">
        <v>80</v>
      </c>
      <c r="B68" s="2">
        <v>45611</v>
      </c>
      <c r="C68" s="6" t="s">
        <v>1280</v>
      </c>
      <c r="D68" s="6" t="s">
        <v>2406</v>
      </c>
      <c r="E68" s="9">
        <v>5</v>
      </c>
      <c r="F68" s="24">
        <v>127.18</v>
      </c>
      <c r="G68" t="s">
        <v>2472</v>
      </c>
      <c r="H68" s="6" t="s">
        <v>3069</v>
      </c>
      <c r="I68" s="6" t="s">
        <v>3071</v>
      </c>
      <c r="J68" s="6" t="s">
        <v>3141</v>
      </c>
      <c r="K68" s="9">
        <v>9</v>
      </c>
      <c r="L68" s="6" t="s">
        <v>4275</v>
      </c>
      <c r="M68" s="6" t="s">
        <v>4279</v>
      </c>
      <c r="N68" s="24">
        <v>635.90000000000009</v>
      </c>
      <c r="O68" s="22" t="str">
        <f>IF(Table2[[#This Row],[CouponCode]]="N/A", "Not Used", "Used")</f>
        <v>Used</v>
      </c>
    </row>
    <row r="69" spans="1:15" x14ac:dyDescent="0.3">
      <c r="A69" s="6" t="s">
        <v>81</v>
      </c>
      <c r="B69" s="2">
        <v>45635</v>
      </c>
      <c r="C69" s="6" t="s">
        <v>1281</v>
      </c>
      <c r="D69" s="6" t="s">
        <v>2407</v>
      </c>
      <c r="E69" s="9">
        <v>4</v>
      </c>
      <c r="F69" s="24">
        <v>12.1</v>
      </c>
      <c r="G69" t="s">
        <v>2473</v>
      </c>
      <c r="H69" s="6" t="s">
        <v>3065</v>
      </c>
      <c r="I69" s="6" t="s">
        <v>3071</v>
      </c>
      <c r="J69" s="6" t="s">
        <v>3142</v>
      </c>
      <c r="K69" s="9">
        <v>8</v>
      </c>
      <c r="L69" s="6" t="s">
        <v>4283</v>
      </c>
      <c r="M69" s="6" t="s">
        <v>4282</v>
      </c>
      <c r="N69" s="24">
        <v>48.4</v>
      </c>
      <c r="O69" s="22" t="str">
        <f>IF(Table2[[#This Row],[CouponCode]]="N/A", "Not Used", "Used")</f>
        <v>Not Used</v>
      </c>
    </row>
    <row r="70" spans="1:15" x14ac:dyDescent="0.3">
      <c r="A70" s="6" t="s">
        <v>82</v>
      </c>
      <c r="B70" s="2">
        <v>45271</v>
      </c>
      <c r="C70" s="6" t="s">
        <v>1282</v>
      </c>
      <c r="D70" s="6" t="s">
        <v>2406</v>
      </c>
      <c r="E70" s="9">
        <v>3</v>
      </c>
      <c r="F70" s="24">
        <v>490.92</v>
      </c>
      <c r="G70" t="s">
        <v>2435</v>
      </c>
      <c r="H70" s="6" t="s">
        <v>3067</v>
      </c>
      <c r="I70" s="6" t="s">
        <v>3074</v>
      </c>
      <c r="J70" s="6" t="s">
        <v>3143</v>
      </c>
      <c r="K70" s="9">
        <v>5</v>
      </c>
      <c r="L70" s="6" t="s">
        <v>4276</v>
      </c>
      <c r="M70" s="6" t="s">
        <v>4280</v>
      </c>
      <c r="N70" s="24">
        <v>1472.76</v>
      </c>
      <c r="O70" s="22" t="str">
        <f>IF(Table2[[#This Row],[CouponCode]]="N/A", "Not Used", "Used")</f>
        <v>Used</v>
      </c>
    </row>
    <row r="71" spans="1:15" x14ac:dyDescent="0.3">
      <c r="A71" s="6" t="s">
        <v>83</v>
      </c>
      <c r="B71" s="2">
        <v>45057</v>
      </c>
      <c r="C71" s="6" t="s">
        <v>1283</v>
      </c>
      <c r="D71" s="6" t="s">
        <v>2403</v>
      </c>
      <c r="E71" s="9">
        <v>3</v>
      </c>
      <c r="F71" s="24">
        <v>478.65</v>
      </c>
      <c r="G71" t="s">
        <v>2474</v>
      </c>
      <c r="H71" s="6" t="s">
        <v>3066</v>
      </c>
      <c r="I71" s="6" t="s">
        <v>3070</v>
      </c>
      <c r="J71" s="6" t="s">
        <v>3144</v>
      </c>
      <c r="K71" s="9">
        <v>4</v>
      </c>
      <c r="L71" s="6" t="s">
        <v>4283</v>
      </c>
      <c r="M71" s="6" t="s">
        <v>4279</v>
      </c>
      <c r="N71" s="24">
        <v>1435.95</v>
      </c>
      <c r="O71" s="22" t="str">
        <f>IF(Table2[[#This Row],[CouponCode]]="N/A", "Not Used", "Used")</f>
        <v>Not Used</v>
      </c>
    </row>
    <row r="72" spans="1:15" x14ac:dyDescent="0.3">
      <c r="A72" s="6" t="s">
        <v>84</v>
      </c>
      <c r="B72" s="2">
        <v>45072</v>
      </c>
      <c r="C72" s="6" t="s">
        <v>1284</v>
      </c>
      <c r="D72" s="6" t="s">
        <v>2409</v>
      </c>
      <c r="E72" s="9">
        <v>1</v>
      </c>
      <c r="F72" s="24">
        <v>629.21</v>
      </c>
      <c r="G72" t="s">
        <v>2475</v>
      </c>
      <c r="H72" s="6" t="s">
        <v>3068</v>
      </c>
      <c r="I72" s="6" t="s">
        <v>3074</v>
      </c>
      <c r="J72" s="6" t="s">
        <v>3145</v>
      </c>
      <c r="K72" s="9">
        <v>2</v>
      </c>
      <c r="L72" s="6" t="s">
        <v>4276</v>
      </c>
      <c r="M72" s="6" t="s">
        <v>4278</v>
      </c>
      <c r="N72" s="24">
        <v>629.21</v>
      </c>
      <c r="O72" s="22" t="str">
        <f>IF(Table2[[#This Row],[CouponCode]]="N/A", "Not Used", "Used")</f>
        <v>Used</v>
      </c>
    </row>
    <row r="73" spans="1:15" x14ac:dyDescent="0.3">
      <c r="A73" s="6" t="s">
        <v>85</v>
      </c>
      <c r="B73" s="2">
        <v>45818</v>
      </c>
      <c r="C73" s="6" t="s">
        <v>1285</v>
      </c>
      <c r="D73" s="6" t="s">
        <v>2403</v>
      </c>
      <c r="E73" s="9">
        <v>3</v>
      </c>
      <c r="F73" s="24">
        <v>434.45</v>
      </c>
      <c r="G73" t="s">
        <v>2476</v>
      </c>
      <c r="H73" s="6" t="s">
        <v>3067</v>
      </c>
      <c r="I73" s="6" t="s">
        <v>3074</v>
      </c>
      <c r="J73" s="6" t="s">
        <v>3146</v>
      </c>
      <c r="K73" s="9">
        <v>4</v>
      </c>
      <c r="L73" s="6" t="s">
        <v>4283</v>
      </c>
      <c r="M73" s="6" t="s">
        <v>4279</v>
      </c>
      <c r="N73" s="24">
        <v>1303.3499999999999</v>
      </c>
      <c r="O73" s="22" t="str">
        <f>IF(Table2[[#This Row],[CouponCode]]="N/A", "Not Used", "Used")</f>
        <v>Not Used</v>
      </c>
    </row>
    <row r="74" spans="1:15" x14ac:dyDescent="0.3">
      <c r="A74" s="6" t="s">
        <v>86</v>
      </c>
      <c r="B74" s="2">
        <v>45648</v>
      </c>
      <c r="C74" s="6" t="s">
        <v>1286</v>
      </c>
      <c r="D74" s="6" t="s">
        <v>2405</v>
      </c>
      <c r="E74" s="9">
        <v>4</v>
      </c>
      <c r="F74" s="24">
        <v>589.44000000000005</v>
      </c>
      <c r="G74" t="s">
        <v>2425</v>
      </c>
      <c r="H74" s="6" t="s">
        <v>3068</v>
      </c>
      <c r="I74" s="6" t="s">
        <v>3072</v>
      </c>
      <c r="J74" s="6" t="s">
        <v>3147</v>
      </c>
      <c r="K74" s="9">
        <v>5</v>
      </c>
      <c r="L74" s="6" t="s">
        <v>4283</v>
      </c>
      <c r="M74" s="6" t="s">
        <v>4281</v>
      </c>
      <c r="N74" s="24">
        <v>2357.7600000000002</v>
      </c>
      <c r="O74" s="22" t="str">
        <f>IF(Table2[[#This Row],[CouponCode]]="N/A", "Not Used", "Used")</f>
        <v>Not Used</v>
      </c>
    </row>
    <row r="75" spans="1:15" x14ac:dyDescent="0.3">
      <c r="A75" s="6" t="s">
        <v>87</v>
      </c>
      <c r="B75" s="2">
        <v>45049</v>
      </c>
      <c r="C75" s="6" t="s">
        <v>1287</v>
      </c>
      <c r="D75" s="6" t="s">
        <v>2403</v>
      </c>
      <c r="E75" s="9">
        <v>4</v>
      </c>
      <c r="F75" s="24">
        <v>433.45</v>
      </c>
      <c r="G75" t="s">
        <v>2477</v>
      </c>
      <c r="H75" s="6" t="s">
        <v>3068</v>
      </c>
      <c r="I75" s="6" t="s">
        <v>3071</v>
      </c>
      <c r="J75" s="6" t="s">
        <v>3148</v>
      </c>
      <c r="K75" s="9">
        <v>4</v>
      </c>
      <c r="L75" s="6" t="s">
        <v>4283</v>
      </c>
      <c r="M75" s="6" t="s">
        <v>4281</v>
      </c>
      <c r="N75" s="24">
        <v>1733.8</v>
      </c>
      <c r="O75" s="22" t="str">
        <f>IF(Table2[[#This Row],[CouponCode]]="N/A", "Not Used", "Used")</f>
        <v>Not Used</v>
      </c>
    </row>
    <row r="76" spans="1:15" x14ac:dyDescent="0.3">
      <c r="A76" s="6" t="s">
        <v>88</v>
      </c>
      <c r="B76" s="2">
        <v>45101</v>
      </c>
      <c r="C76" s="6" t="s">
        <v>1288</v>
      </c>
      <c r="D76" s="6" t="s">
        <v>2404</v>
      </c>
      <c r="E76" s="9">
        <v>5</v>
      </c>
      <c r="F76" s="24">
        <v>90.87</v>
      </c>
      <c r="G76" t="s">
        <v>2478</v>
      </c>
      <c r="H76" s="6" t="s">
        <v>3069</v>
      </c>
      <c r="I76" s="6" t="s">
        <v>3074</v>
      </c>
      <c r="J76" s="6" t="s">
        <v>3149</v>
      </c>
      <c r="K76" s="9">
        <v>5</v>
      </c>
      <c r="L76" s="6" t="s">
        <v>4283</v>
      </c>
      <c r="M76" s="6" t="s">
        <v>4278</v>
      </c>
      <c r="N76" s="24">
        <v>454.35</v>
      </c>
      <c r="O76" s="22" t="str">
        <f>IF(Table2[[#This Row],[CouponCode]]="N/A", "Not Used", "Used")</f>
        <v>Not Used</v>
      </c>
    </row>
    <row r="77" spans="1:15" x14ac:dyDescent="0.3">
      <c r="A77" s="6" t="s">
        <v>89</v>
      </c>
      <c r="B77" s="2">
        <v>45195</v>
      </c>
      <c r="C77" s="6" t="s">
        <v>1289</v>
      </c>
      <c r="D77" s="6" t="s">
        <v>2405</v>
      </c>
      <c r="E77" s="9">
        <v>3</v>
      </c>
      <c r="F77" s="24">
        <v>398.17</v>
      </c>
      <c r="G77" t="s">
        <v>2479</v>
      </c>
      <c r="H77" s="6" t="s">
        <v>3065</v>
      </c>
      <c r="I77" s="6" t="s">
        <v>3073</v>
      </c>
      <c r="J77" s="6" t="s">
        <v>3150</v>
      </c>
      <c r="K77" s="9">
        <v>5</v>
      </c>
      <c r="L77" s="6" t="s">
        <v>4275</v>
      </c>
      <c r="M77" s="6" t="s">
        <v>4280</v>
      </c>
      <c r="N77" s="24">
        <v>1194.51</v>
      </c>
      <c r="O77" s="22" t="str">
        <f>IF(Table2[[#This Row],[CouponCode]]="N/A", "Not Used", "Used")</f>
        <v>Used</v>
      </c>
    </row>
    <row r="78" spans="1:15" x14ac:dyDescent="0.3">
      <c r="A78" s="6" t="s">
        <v>90</v>
      </c>
      <c r="B78" s="2">
        <v>45382</v>
      </c>
      <c r="C78" s="6" t="s">
        <v>1290</v>
      </c>
      <c r="D78" s="6" t="s">
        <v>2408</v>
      </c>
      <c r="E78" s="9">
        <v>4</v>
      </c>
      <c r="F78" s="24">
        <v>382.88</v>
      </c>
      <c r="G78" t="s">
        <v>2480</v>
      </c>
      <c r="H78" s="6" t="s">
        <v>3069</v>
      </c>
      <c r="I78" s="6" t="s">
        <v>3071</v>
      </c>
      <c r="J78" s="6" t="s">
        <v>3151</v>
      </c>
      <c r="K78" s="9">
        <v>6</v>
      </c>
      <c r="L78" s="6" t="s">
        <v>4277</v>
      </c>
      <c r="M78" s="6" t="s">
        <v>4280</v>
      </c>
      <c r="N78" s="24">
        <v>1531.52</v>
      </c>
      <c r="O78" s="22" t="str">
        <f>IF(Table2[[#This Row],[CouponCode]]="N/A", "Not Used", "Used")</f>
        <v>Used</v>
      </c>
    </row>
    <row r="79" spans="1:15" x14ac:dyDescent="0.3">
      <c r="A79" s="6" t="s">
        <v>91</v>
      </c>
      <c r="B79" s="2">
        <v>45436</v>
      </c>
      <c r="C79" s="6" t="s">
        <v>1291</v>
      </c>
      <c r="D79" s="6" t="s">
        <v>2404</v>
      </c>
      <c r="E79" s="9">
        <v>1</v>
      </c>
      <c r="F79" s="24">
        <v>583.17999999999995</v>
      </c>
      <c r="G79" t="s">
        <v>2481</v>
      </c>
      <c r="H79" s="6" t="s">
        <v>3067</v>
      </c>
      <c r="I79" s="6" t="s">
        <v>3072</v>
      </c>
      <c r="J79" s="6" t="s">
        <v>3152</v>
      </c>
      <c r="K79" s="9">
        <v>5</v>
      </c>
      <c r="L79" s="6" t="s">
        <v>4283</v>
      </c>
      <c r="M79" s="6" t="s">
        <v>4282</v>
      </c>
      <c r="N79" s="24">
        <v>583.17999999999995</v>
      </c>
      <c r="O79" s="22" t="str">
        <f>IF(Table2[[#This Row],[CouponCode]]="N/A", "Not Used", "Used")</f>
        <v>Not Used</v>
      </c>
    </row>
    <row r="80" spans="1:15" x14ac:dyDescent="0.3">
      <c r="A80" s="6" t="s">
        <v>92</v>
      </c>
      <c r="B80" s="2">
        <v>45510</v>
      </c>
      <c r="C80" s="6" t="s">
        <v>1292</v>
      </c>
      <c r="D80" s="6" t="s">
        <v>2407</v>
      </c>
      <c r="E80" s="9">
        <v>4</v>
      </c>
      <c r="F80" s="24">
        <v>175.36</v>
      </c>
      <c r="G80" t="s">
        <v>2482</v>
      </c>
      <c r="H80" s="6" t="s">
        <v>3065</v>
      </c>
      <c r="I80" s="6" t="s">
        <v>3073</v>
      </c>
      <c r="J80" s="6" t="s">
        <v>3153</v>
      </c>
      <c r="K80" s="9">
        <v>4</v>
      </c>
      <c r="L80" s="6" t="s">
        <v>4276</v>
      </c>
      <c r="M80" s="6" t="s">
        <v>4278</v>
      </c>
      <c r="N80" s="24">
        <v>701.44</v>
      </c>
      <c r="O80" s="22" t="str">
        <f>IF(Table2[[#This Row],[CouponCode]]="N/A", "Not Used", "Used")</f>
        <v>Used</v>
      </c>
    </row>
    <row r="81" spans="1:15" x14ac:dyDescent="0.3">
      <c r="A81" s="6" t="s">
        <v>93</v>
      </c>
      <c r="B81" s="2">
        <v>45726</v>
      </c>
      <c r="C81" s="6" t="s">
        <v>1293</v>
      </c>
      <c r="D81" s="6" t="s">
        <v>2405</v>
      </c>
      <c r="E81" s="9">
        <v>2</v>
      </c>
      <c r="F81" s="24">
        <v>311.91000000000003</v>
      </c>
      <c r="G81" t="s">
        <v>2483</v>
      </c>
      <c r="H81" s="6" t="s">
        <v>3066</v>
      </c>
      <c r="I81" s="6" t="s">
        <v>3070</v>
      </c>
      <c r="J81" s="6" t="s">
        <v>3154</v>
      </c>
      <c r="K81" s="9">
        <v>2</v>
      </c>
      <c r="L81" s="6" t="s">
        <v>4283</v>
      </c>
      <c r="M81" s="6" t="s">
        <v>4281</v>
      </c>
      <c r="N81" s="24">
        <v>623.82000000000005</v>
      </c>
      <c r="O81" s="22" t="str">
        <f>IF(Table2[[#This Row],[CouponCode]]="N/A", "Not Used", "Used")</f>
        <v>Not Used</v>
      </c>
    </row>
    <row r="82" spans="1:15" x14ac:dyDescent="0.3">
      <c r="A82" s="6" t="s">
        <v>94</v>
      </c>
      <c r="B82" s="2">
        <v>45104</v>
      </c>
      <c r="C82" s="6" t="s">
        <v>1294</v>
      </c>
      <c r="D82" s="6" t="s">
        <v>2404</v>
      </c>
      <c r="E82" s="9">
        <v>3</v>
      </c>
      <c r="F82" s="24">
        <v>589.55999999999995</v>
      </c>
      <c r="G82" t="s">
        <v>2484</v>
      </c>
      <c r="H82" s="6" t="s">
        <v>3066</v>
      </c>
      <c r="I82" s="6" t="s">
        <v>3072</v>
      </c>
      <c r="J82" s="6" t="s">
        <v>3155</v>
      </c>
      <c r="K82" s="9">
        <v>6</v>
      </c>
      <c r="L82" s="6" t="s">
        <v>4283</v>
      </c>
      <c r="M82" s="6" t="s">
        <v>4281</v>
      </c>
      <c r="N82" s="24">
        <v>1768.68</v>
      </c>
      <c r="O82" s="22" t="str">
        <f>IF(Table2[[#This Row],[CouponCode]]="N/A", "Not Used", "Used")</f>
        <v>Not Used</v>
      </c>
    </row>
    <row r="83" spans="1:15" x14ac:dyDescent="0.3">
      <c r="A83" s="6" t="s">
        <v>95</v>
      </c>
      <c r="B83" s="2">
        <v>45085</v>
      </c>
      <c r="C83" s="6" t="s">
        <v>1295</v>
      </c>
      <c r="D83" s="6" t="s">
        <v>2403</v>
      </c>
      <c r="E83" s="9">
        <v>2</v>
      </c>
      <c r="F83" s="24">
        <v>394.3</v>
      </c>
      <c r="G83" t="s">
        <v>2485</v>
      </c>
      <c r="H83" s="6" t="s">
        <v>3069</v>
      </c>
      <c r="I83" s="6" t="s">
        <v>3070</v>
      </c>
      <c r="J83" s="6" t="s">
        <v>3156</v>
      </c>
      <c r="K83" s="9">
        <v>6</v>
      </c>
      <c r="L83" s="6" t="s">
        <v>4276</v>
      </c>
      <c r="M83" s="6" t="s">
        <v>4280</v>
      </c>
      <c r="N83" s="24">
        <v>788.6</v>
      </c>
      <c r="O83" s="22" t="str">
        <f>IF(Table2[[#This Row],[CouponCode]]="N/A", "Not Used", "Used")</f>
        <v>Used</v>
      </c>
    </row>
    <row r="84" spans="1:15" x14ac:dyDescent="0.3">
      <c r="A84" s="6" t="s">
        <v>96</v>
      </c>
      <c r="B84" s="2">
        <v>45296</v>
      </c>
      <c r="C84" s="6" t="s">
        <v>1296</v>
      </c>
      <c r="D84" s="6" t="s">
        <v>2405</v>
      </c>
      <c r="E84" s="9">
        <v>4</v>
      </c>
      <c r="F84" s="24">
        <v>565.20000000000005</v>
      </c>
      <c r="G84" t="s">
        <v>2486</v>
      </c>
      <c r="H84" s="6" t="s">
        <v>3065</v>
      </c>
      <c r="I84" s="6" t="s">
        <v>3070</v>
      </c>
      <c r="J84" s="6" t="s">
        <v>3157</v>
      </c>
      <c r="K84" s="9">
        <v>9</v>
      </c>
      <c r="L84" s="6" t="s">
        <v>4275</v>
      </c>
      <c r="M84" s="6" t="s">
        <v>4282</v>
      </c>
      <c r="N84" s="24">
        <v>2260.8000000000002</v>
      </c>
      <c r="O84" s="22" t="str">
        <f>IF(Table2[[#This Row],[CouponCode]]="N/A", "Not Used", "Used")</f>
        <v>Used</v>
      </c>
    </row>
    <row r="85" spans="1:15" x14ac:dyDescent="0.3">
      <c r="A85" s="6" t="s">
        <v>97</v>
      </c>
      <c r="B85" s="2">
        <v>45160</v>
      </c>
      <c r="C85" s="6" t="s">
        <v>1297</v>
      </c>
      <c r="D85" s="6" t="s">
        <v>2408</v>
      </c>
      <c r="E85" s="9">
        <v>4</v>
      </c>
      <c r="F85" s="24">
        <v>540.41</v>
      </c>
      <c r="G85" t="s">
        <v>2487</v>
      </c>
      <c r="H85" s="6" t="s">
        <v>3067</v>
      </c>
      <c r="I85" s="6" t="s">
        <v>3071</v>
      </c>
      <c r="J85" s="6" t="s">
        <v>3158</v>
      </c>
      <c r="K85" s="9">
        <v>6</v>
      </c>
      <c r="L85" s="6" t="s">
        <v>4283</v>
      </c>
      <c r="M85" s="6" t="s">
        <v>4279</v>
      </c>
      <c r="N85" s="24">
        <v>2161.64</v>
      </c>
      <c r="O85" s="22" t="str">
        <f>IF(Table2[[#This Row],[CouponCode]]="N/A", "Not Used", "Used")</f>
        <v>Not Used</v>
      </c>
    </row>
    <row r="86" spans="1:15" x14ac:dyDescent="0.3">
      <c r="A86" s="6" t="s">
        <v>98</v>
      </c>
      <c r="B86" s="2">
        <v>45166</v>
      </c>
      <c r="C86" s="6" t="s">
        <v>1298</v>
      </c>
      <c r="D86" s="6" t="s">
        <v>2403</v>
      </c>
      <c r="E86" s="9">
        <v>2</v>
      </c>
      <c r="F86" s="24">
        <v>165.49</v>
      </c>
      <c r="G86" t="s">
        <v>2488</v>
      </c>
      <c r="H86" s="6" t="s">
        <v>3066</v>
      </c>
      <c r="I86" s="6" t="s">
        <v>3070</v>
      </c>
      <c r="J86" s="6" t="s">
        <v>3159</v>
      </c>
      <c r="K86" s="9">
        <v>4</v>
      </c>
      <c r="L86" s="6" t="s">
        <v>4277</v>
      </c>
      <c r="M86" s="6" t="s">
        <v>4278</v>
      </c>
      <c r="N86" s="24">
        <v>330.98</v>
      </c>
      <c r="O86" s="22" t="str">
        <f>IF(Table2[[#This Row],[CouponCode]]="N/A", "Not Used", "Used")</f>
        <v>Used</v>
      </c>
    </row>
    <row r="87" spans="1:15" x14ac:dyDescent="0.3">
      <c r="A87" s="6" t="s">
        <v>99</v>
      </c>
      <c r="B87" s="2">
        <v>45544</v>
      </c>
      <c r="C87" s="6" t="s">
        <v>1299</v>
      </c>
      <c r="D87" s="6" t="s">
        <v>2405</v>
      </c>
      <c r="E87" s="9">
        <v>3</v>
      </c>
      <c r="F87" s="24">
        <v>146.72999999999999</v>
      </c>
      <c r="G87" t="s">
        <v>2489</v>
      </c>
      <c r="H87" s="6" t="s">
        <v>3069</v>
      </c>
      <c r="I87" s="6" t="s">
        <v>3073</v>
      </c>
      <c r="J87" s="6" t="s">
        <v>3160</v>
      </c>
      <c r="K87" s="9">
        <v>8</v>
      </c>
      <c r="L87" s="6" t="s">
        <v>4276</v>
      </c>
      <c r="M87" s="6" t="s">
        <v>4280</v>
      </c>
      <c r="N87" s="24">
        <v>440.18999999999988</v>
      </c>
      <c r="O87" s="22" t="str">
        <f>IF(Table2[[#This Row],[CouponCode]]="N/A", "Not Used", "Used")</f>
        <v>Used</v>
      </c>
    </row>
    <row r="88" spans="1:15" x14ac:dyDescent="0.3">
      <c r="A88" s="6" t="s">
        <v>100</v>
      </c>
      <c r="B88" s="2">
        <v>45462</v>
      </c>
      <c r="C88" s="6" t="s">
        <v>1300</v>
      </c>
      <c r="D88" s="6" t="s">
        <v>2407</v>
      </c>
      <c r="E88" s="9">
        <v>5</v>
      </c>
      <c r="F88" s="24">
        <v>643.03</v>
      </c>
      <c r="G88" t="s">
        <v>2490</v>
      </c>
      <c r="H88" s="6" t="s">
        <v>3066</v>
      </c>
      <c r="I88" s="6" t="s">
        <v>3071</v>
      </c>
      <c r="J88" s="6" t="s">
        <v>3161</v>
      </c>
      <c r="K88" s="9">
        <v>5</v>
      </c>
      <c r="L88" s="6" t="s">
        <v>4276</v>
      </c>
      <c r="M88" s="6" t="s">
        <v>4279</v>
      </c>
      <c r="N88" s="24">
        <v>3215.15</v>
      </c>
      <c r="O88" s="22" t="str">
        <f>IF(Table2[[#This Row],[CouponCode]]="N/A", "Not Used", "Used")</f>
        <v>Used</v>
      </c>
    </row>
    <row r="89" spans="1:15" x14ac:dyDescent="0.3">
      <c r="A89" s="6" t="s">
        <v>101</v>
      </c>
      <c r="B89" s="2">
        <v>45575</v>
      </c>
      <c r="C89" s="6" t="s">
        <v>1301</v>
      </c>
      <c r="D89" s="6" t="s">
        <v>2405</v>
      </c>
      <c r="E89" s="9">
        <v>3</v>
      </c>
      <c r="F89" s="24">
        <v>225.11</v>
      </c>
      <c r="G89" t="s">
        <v>2491</v>
      </c>
      <c r="H89" s="6" t="s">
        <v>3069</v>
      </c>
      <c r="I89" s="6" t="s">
        <v>3070</v>
      </c>
      <c r="J89" s="6" t="s">
        <v>3162</v>
      </c>
      <c r="K89" s="9">
        <v>4</v>
      </c>
      <c r="L89" s="6" t="s">
        <v>4275</v>
      </c>
      <c r="M89" s="6" t="s">
        <v>4281</v>
      </c>
      <c r="N89" s="24">
        <v>675.33</v>
      </c>
      <c r="O89" s="22" t="str">
        <f>IF(Table2[[#This Row],[CouponCode]]="N/A", "Not Used", "Used")</f>
        <v>Used</v>
      </c>
    </row>
    <row r="90" spans="1:15" x14ac:dyDescent="0.3">
      <c r="A90" s="6" t="s">
        <v>102</v>
      </c>
      <c r="B90" s="2">
        <v>45813</v>
      </c>
      <c r="C90" s="6" t="s">
        <v>1302</v>
      </c>
      <c r="D90" s="6" t="s">
        <v>2409</v>
      </c>
      <c r="E90" s="9">
        <v>3</v>
      </c>
      <c r="F90" s="24">
        <v>114.81</v>
      </c>
      <c r="G90" t="s">
        <v>2492</v>
      </c>
      <c r="H90" s="6" t="s">
        <v>3068</v>
      </c>
      <c r="I90" s="6" t="s">
        <v>3071</v>
      </c>
      <c r="J90" s="6" t="s">
        <v>3163</v>
      </c>
      <c r="K90" s="9">
        <v>7</v>
      </c>
      <c r="L90" s="6" t="s">
        <v>4283</v>
      </c>
      <c r="M90" s="6" t="s">
        <v>4282</v>
      </c>
      <c r="N90" s="24">
        <v>344.43</v>
      </c>
      <c r="O90" s="22" t="str">
        <f>IF(Table2[[#This Row],[CouponCode]]="N/A", "Not Used", "Used")</f>
        <v>Not Used</v>
      </c>
    </row>
    <row r="91" spans="1:15" x14ac:dyDescent="0.3">
      <c r="A91" s="6" t="s">
        <v>103</v>
      </c>
      <c r="B91" s="2">
        <v>45713</v>
      </c>
      <c r="C91" s="6" t="s">
        <v>1303</v>
      </c>
      <c r="D91" s="6" t="s">
        <v>2407</v>
      </c>
      <c r="E91" s="9">
        <v>5</v>
      </c>
      <c r="F91" s="24">
        <v>455.33</v>
      </c>
      <c r="G91" t="s">
        <v>2493</v>
      </c>
      <c r="H91" s="6" t="s">
        <v>3067</v>
      </c>
      <c r="I91" s="6" t="s">
        <v>3071</v>
      </c>
      <c r="J91" s="6" t="s">
        <v>3164</v>
      </c>
      <c r="K91" s="9">
        <v>8</v>
      </c>
      <c r="L91" s="6" t="s">
        <v>4276</v>
      </c>
      <c r="M91" s="6" t="s">
        <v>4282</v>
      </c>
      <c r="N91" s="24">
        <v>2276.65</v>
      </c>
      <c r="O91" s="22" t="str">
        <f>IF(Table2[[#This Row],[CouponCode]]="N/A", "Not Used", "Used")</f>
        <v>Used</v>
      </c>
    </row>
    <row r="92" spans="1:15" x14ac:dyDescent="0.3">
      <c r="A92" s="6" t="s">
        <v>104</v>
      </c>
      <c r="B92" s="2">
        <v>45187</v>
      </c>
      <c r="C92" s="6" t="s">
        <v>1304</v>
      </c>
      <c r="D92" s="6" t="s">
        <v>2406</v>
      </c>
      <c r="E92" s="9">
        <v>4</v>
      </c>
      <c r="F92" s="24">
        <v>182.08</v>
      </c>
      <c r="G92" t="s">
        <v>2494</v>
      </c>
      <c r="H92" s="6" t="s">
        <v>3068</v>
      </c>
      <c r="I92" s="6" t="s">
        <v>3073</v>
      </c>
      <c r="J92" s="6" t="s">
        <v>3165</v>
      </c>
      <c r="K92" s="9">
        <v>4</v>
      </c>
      <c r="L92" s="6" t="s">
        <v>4275</v>
      </c>
      <c r="M92" s="6" t="s">
        <v>4280</v>
      </c>
      <c r="N92" s="24">
        <v>728.32</v>
      </c>
      <c r="O92" s="22" t="str">
        <f>IF(Table2[[#This Row],[CouponCode]]="N/A", "Not Used", "Used")</f>
        <v>Used</v>
      </c>
    </row>
    <row r="93" spans="1:15" x14ac:dyDescent="0.3">
      <c r="A93" s="6" t="s">
        <v>105</v>
      </c>
      <c r="B93" s="2">
        <v>45000</v>
      </c>
      <c r="C93" s="6" t="s">
        <v>1305</v>
      </c>
      <c r="D93" s="6" t="s">
        <v>2408</v>
      </c>
      <c r="E93" s="9">
        <v>5</v>
      </c>
      <c r="F93" s="24">
        <v>492.75</v>
      </c>
      <c r="G93" t="s">
        <v>2495</v>
      </c>
      <c r="H93" s="6" t="s">
        <v>3069</v>
      </c>
      <c r="I93" s="6" t="s">
        <v>3070</v>
      </c>
      <c r="J93" s="6" t="s">
        <v>3166</v>
      </c>
      <c r="K93" s="9">
        <v>6</v>
      </c>
      <c r="L93" s="6" t="s">
        <v>4277</v>
      </c>
      <c r="M93" s="6" t="s">
        <v>4279</v>
      </c>
      <c r="N93" s="24">
        <v>2463.75</v>
      </c>
      <c r="O93" s="22" t="str">
        <f>IF(Table2[[#This Row],[CouponCode]]="N/A", "Not Used", "Used")</f>
        <v>Used</v>
      </c>
    </row>
    <row r="94" spans="1:15" x14ac:dyDescent="0.3">
      <c r="A94" s="6" t="s">
        <v>106</v>
      </c>
      <c r="B94" s="2">
        <v>45453</v>
      </c>
      <c r="C94" s="6" t="s">
        <v>1306</v>
      </c>
      <c r="D94" s="6" t="s">
        <v>2407</v>
      </c>
      <c r="E94" s="9">
        <v>4</v>
      </c>
      <c r="F94" s="24">
        <v>48.61</v>
      </c>
      <c r="G94" t="s">
        <v>2496</v>
      </c>
      <c r="H94" s="6" t="s">
        <v>3066</v>
      </c>
      <c r="I94" s="6" t="s">
        <v>3070</v>
      </c>
      <c r="J94" s="6" t="s">
        <v>3167</v>
      </c>
      <c r="K94" s="9">
        <v>7</v>
      </c>
      <c r="L94" s="6" t="s">
        <v>4276</v>
      </c>
      <c r="M94" s="6" t="s">
        <v>4281</v>
      </c>
      <c r="N94" s="24">
        <v>194.44</v>
      </c>
      <c r="O94" s="22" t="str">
        <f>IF(Table2[[#This Row],[CouponCode]]="N/A", "Not Used", "Used")</f>
        <v>Used</v>
      </c>
    </row>
    <row r="95" spans="1:15" x14ac:dyDescent="0.3">
      <c r="A95" s="6" t="s">
        <v>107</v>
      </c>
      <c r="B95" s="2">
        <v>44940</v>
      </c>
      <c r="C95" s="6" t="s">
        <v>1307</v>
      </c>
      <c r="D95" s="6" t="s">
        <v>2409</v>
      </c>
      <c r="E95" s="9">
        <v>4</v>
      </c>
      <c r="F95" s="24">
        <v>431.01</v>
      </c>
      <c r="G95" t="s">
        <v>2497</v>
      </c>
      <c r="H95" s="6" t="s">
        <v>3067</v>
      </c>
      <c r="I95" s="6" t="s">
        <v>3072</v>
      </c>
      <c r="J95" s="6" t="s">
        <v>3168</v>
      </c>
      <c r="K95" s="9">
        <v>7</v>
      </c>
      <c r="L95" s="6" t="s">
        <v>4283</v>
      </c>
      <c r="M95" s="6" t="s">
        <v>4279</v>
      </c>
      <c r="N95" s="24">
        <v>1724.04</v>
      </c>
      <c r="O95" s="22" t="str">
        <f>IF(Table2[[#This Row],[CouponCode]]="N/A", "Not Used", "Used")</f>
        <v>Not Used</v>
      </c>
    </row>
    <row r="96" spans="1:15" x14ac:dyDescent="0.3">
      <c r="A96" s="6" t="s">
        <v>108</v>
      </c>
      <c r="B96" s="2">
        <v>44968</v>
      </c>
      <c r="C96" s="6" t="s">
        <v>1308</v>
      </c>
      <c r="D96" s="6" t="s">
        <v>2406</v>
      </c>
      <c r="E96" s="9">
        <v>1</v>
      </c>
      <c r="F96" s="24">
        <v>531.17999999999995</v>
      </c>
      <c r="G96" t="s">
        <v>2498</v>
      </c>
      <c r="H96" s="6" t="s">
        <v>3068</v>
      </c>
      <c r="I96" s="6" t="s">
        <v>3072</v>
      </c>
      <c r="J96" s="6" t="s">
        <v>3169</v>
      </c>
      <c r="K96" s="9">
        <v>6</v>
      </c>
      <c r="L96" s="6" t="s">
        <v>4277</v>
      </c>
      <c r="M96" s="6" t="s">
        <v>4278</v>
      </c>
      <c r="N96" s="24">
        <v>531.17999999999995</v>
      </c>
      <c r="O96" s="22" t="str">
        <f>IF(Table2[[#This Row],[CouponCode]]="N/A", "Not Used", "Used")</f>
        <v>Used</v>
      </c>
    </row>
    <row r="97" spans="1:15" x14ac:dyDescent="0.3">
      <c r="A97" s="6" t="s">
        <v>109</v>
      </c>
      <c r="B97" s="2">
        <v>45009</v>
      </c>
      <c r="C97" s="6" t="s">
        <v>1309</v>
      </c>
      <c r="D97" s="6" t="s">
        <v>2407</v>
      </c>
      <c r="E97" s="9">
        <v>4</v>
      </c>
      <c r="F97" s="24">
        <v>117.51</v>
      </c>
      <c r="G97" t="s">
        <v>2499</v>
      </c>
      <c r="H97" s="6" t="s">
        <v>3065</v>
      </c>
      <c r="I97" s="6" t="s">
        <v>3072</v>
      </c>
      <c r="J97" s="6" t="s">
        <v>3170</v>
      </c>
      <c r="K97" s="9">
        <v>7</v>
      </c>
      <c r="L97" s="6" t="s">
        <v>4283</v>
      </c>
      <c r="M97" s="6" t="s">
        <v>4279</v>
      </c>
      <c r="N97" s="24">
        <v>470.04</v>
      </c>
      <c r="O97" s="22" t="str">
        <f>IF(Table2[[#This Row],[CouponCode]]="N/A", "Not Used", "Used")</f>
        <v>Not Used</v>
      </c>
    </row>
    <row r="98" spans="1:15" x14ac:dyDescent="0.3">
      <c r="A98" s="6" t="s">
        <v>110</v>
      </c>
      <c r="B98" s="2">
        <v>45444</v>
      </c>
      <c r="C98" s="6" t="s">
        <v>1310</v>
      </c>
      <c r="D98" s="6" t="s">
        <v>2404</v>
      </c>
      <c r="E98" s="9">
        <v>2</v>
      </c>
      <c r="F98" s="24">
        <v>232.83</v>
      </c>
      <c r="G98" t="s">
        <v>2483</v>
      </c>
      <c r="H98" s="6" t="s">
        <v>3068</v>
      </c>
      <c r="I98" s="6" t="s">
        <v>3073</v>
      </c>
      <c r="J98" s="6" t="s">
        <v>3171</v>
      </c>
      <c r="K98" s="9">
        <v>7</v>
      </c>
      <c r="L98" s="6" t="s">
        <v>4283</v>
      </c>
      <c r="M98" s="6" t="s">
        <v>4278</v>
      </c>
      <c r="N98" s="24">
        <v>465.66</v>
      </c>
      <c r="O98" s="22" t="str">
        <f>IF(Table2[[#This Row],[CouponCode]]="N/A", "Not Used", "Used")</f>
        <v>Not Used</v>
      </c>
    </row>
    <row r="99" spans="1:15" x14ac:dyDescent="0.3">
      <c r="A99" s="6" t="s">
        <v>111</v>
      </c>
      <c r="B99" s="2">
        <v>45678</v>
      </c>
      <c r="C99" s="6" t="s">
        <v>1311</v>
      </c>
      <c r="D99" s="6" t="s">
        <v>2405</v>
      </c>
      <c r="E99" s="9">
        <v>5</v>
      </c>
      <c r="F99" s="24">
        <v>619.52</v>
      </c>
      <c r="G99" t="s">
        <v>2500</v>
      </c>
      <c r="H99" s="6" t="s">
        <v>3065</v>
      </c>
      <c r="I99" s="6" t="s">
        <v>3074</v>
      </c>
      <c r="J99" s="6" t="s">
        <v>3172</v>
      </c>
      <c r="K99" s="9">
        <v>9</v>
      </c>
      <c r="L99" s="6" t="s">
        <v>4283</v>
      </c>
      <c r="M99" s="6" t="s">
        <v>4280</v>
      </c>
      <c r="N99" s="24">
        <v>3097.6</v>
      </c>
      <c r="O99" s="22" t="str">
        <f>IF(Table2[[#This Row],[CouponCode]]="N/A", "Not Used", "Used")</f>
        <v>Not Used</v>
      </c>
    </row>
    <row r="100" spans="1:15" x14ac:dyDescent="0.3">
      <c r="A100" s="6" t="s">
        <v>112</v>
      </c>
      <c r="B100" s="2">
        <v>44940</v>
      </c>
      <c r="C100" s="6" t="s">
        <v>1312</v>
      </c>
      <c r="D100" s="6" t="s">
        <v>2407</v>
      </c>
      <c r="E100" s="9">
        <v>2</v>
      </c>
      <c r="F100" s="24">
        <v>228.54</v>
      </c>
      <c r="G100" t="s">
        <v>2501</v>
      </c>
      <c r="H100" s="6" t="s">
        <v>3065</v>
      </c>
      <c r="I100" s="6" t="s">
        <v>3074</v>
      </c>
      <c r="J100" s="6" t="s">
        <v>3173</v>
      </c>
      <c r="K100" s="9">
        <v>3</v>
      </c>
      <c r="L100" s="6" t="s">
        <v>4283</v>
      </c>
      <c r="M100" s="6" t="s">
        <v>4280</v>
      </c>
      <c r="N100" s="24">
        <v>457.08</v>
      </c>
      <c r="O100" s="22" t="str">
        <f>IF(Table2[[#This Row],[CouponCode]]="N/A", "Not Used", "Used")</f>
        <v>Not Used</v>
      </c>
    </row>
    <row r="101" spans="1:15" x14ac:dyDescent="0.3">
      <c r="A101" s="6" t="s">
        <v>113</v>
      </c>
      <c r="B101" s="2">
        <v>45759</v>
      </c>
      <c r="C101" s="6" t="s">
        <v>1313</v>
      </c>
      <c r="D101" s="6" t="s">
        <v>2407</v>
      </c>
      <c r="E101" s="9">
        <v>1</v>
      </c>
      <c r="F101" s="24">
        <v>201.58</v>
      </c>
      <c r="G101" t="s">
        <v>2502</v>
      </c>
      <c r="H101" s="6" t="s">
        <v>3065</v>
      </c>
      <c r="I101" s="6" t="s">
        <v>3071</v>
      </c>
      <c r="J101" s="6" t="s">
        <v>3174</v>
      </c>
      <c r="K101" s="9">
        <v>2</v>
      </c>
      <c r="L101" s="6" t="s">
        <v>4277</v>
      </c>
      <c r="M101" s="6" t="s">
        <v>4280</v>
      </c>
      <c r="N101" s="24">
        <v>201.58</v>
      </c>
      <c r="O101" s="22" t="str">
        <f>IF(Table2[[#This Row],[CouponCode]]="N/A", "Not Used", "Used")</f>
        <v>Used</v>
      </c>
    </row>
    <row r="102" spans="1:15" x14ac:dyDescent="0.3">
      <c r="A102" s="6" t="s">
        <v>114</v>
      </c>
      <c r="B102" s="2">
        <v>44974</v>
      </c>
      <c r="C102" s="6" t="s">
        <v>1314</v>
      </c>
      <c r="D102" s="6" t="s">
        <v>2404</v>
      </c>
      <c r="E102" s="9">
        <v>3</v>
      </c>
      <c r="F102" s="24">
        <v>664.79</v>
      </c>
      <c r="G102" t="s">
        <v>2503</v>
      </c>
      <c r="H102" s="6" t="s">
        <v>3066</v>
      </c>
      <c r="I102" s="6" t="s">
        <v>3073</v>
      </c>
      <c r="J102" s="6" t="s">
        <v>3175</v>
      </c>
      <c r="K102" s="9">
        <v>6</v>
      </c>
      <c r="L102" s="6" t="s">
        <v>4283</v>
      </c>
      <c r="M102" s="6" t="s">
        <v>4281</v>
      </c>
      <c r="N102" s="24">
        <v>1994.37</v>
      </c>
      <c r="O102" s="22" t="str">
        <f>IF(Table2[[#This Row],[CouponCode]]="N/A", "Not Used", "Used")</f>
        <v>Not Used</v>
      </c>
    </row>
    <row r="103" spans="1:15" x14ac:dyDescent="0.3">
      <c r="A103" s="6" t="s">
        <v>115</v>
      </c>
      <c r="B103" s="2">
        <v>45255</v>
      </c>
      <c r="C103" s="6" t="s">
        <v>1315</v>
      </c>
      <c r="D103" s="6" t="s">
        <v>2407</v>
      </c>
      <c r="E103" s="9">
        <v>1</v>
      </c>
      <c r="F103" s="24">
        <v>381.02</v>
      </c>
      <c r="G103" t="s">
        <v>2504</v>
      </c>
      <c r="H103" s="6" t="s">
        <v>3069</v>
      </c>
      <c r="I103" s="6" t="s">
        <v>3070</v>
      </c>
      <c r="J103" s="6" t="s">
        <v>3176</v>
      </c>
      <c r="K103" s="9">
        <v>6</v>
      </c>
      <c r="L103" s="6" t="s">
        <v>4283</v>
      </c>
      <c r="M103" s="6" t="s">
        <v>4282</v>
      </c>
      <c r="N103" s="24">
        <v>381.02</v>
      </c>
      <c r="O103" s="22" t="str">
        <f>IF(Table2[[#This Row],[CouponCode]]="N/A", "Not Used", "Used")</f>
        <v>Not Used</v>
      </c>
    </row>
    <row r="104" spans="1:15" x14ac:dyDescent="0.3">
      <c r="A104" s="6" t="s">
        <v>116</v>
      </c>
      <c r="B104" s="2">
        <v>44993</v>
      </c>
      <c r="C104" s="6" t="s">
        <v>1316</v>
      </c>
      <c r="D104" s="6" t="s">
        <v>2408</v>
      </c>
      <c r="E104" s="9">
        <v>2</v>
      </c>
      <c r="F104" s="24">
        <v>70.34</v>
      </c>
      <c r="G104" t="s">
        <v>2505</v>
      </c>
      <c r="H104" s="6" t="s">
        <v>3068</v>
      </c>
      <c r="I104" s="6" t="s">
        <v>3071</v>
      </c>
      <c r="J104" s="6" t="s">
        <v>3177</v>
      </c>
      <c r="K104" s="9">
        <v>3</v>
      </c>
      <c r="L104" s="6" t="s">
        <v>4276</v>
      </c>
      <c r="M104" s="6" t="s">
        <v>4280</v>
      </c>
      <c r="N104" s="24">
        <v>140.68</v>
      </c>
      <c r="O104" s="22" t="str">
        <f>IF(Table2[[#This Row],[CouponCode]]="N/A", "Not Used", "Used")</f>
        <v>Used</v>
      </c>
    </row>
    <row r="105" spans="1:15" x14ac:dyDescent="0.3">
      <c r="A105" s="6" t="s">
        <v>117</v>
      </c>
      <c r="B105" s="2">
        <v>45682</v>
      </c>
      <c r="C105" s="6" t="s">
        <v>1317</v>
      </c>
      <c r="D105" s="6" t="s">
        <v>2404</v>
      </c>
      <c r="E105" s="9">
        <v>4</v>
      </c>
      <c r="F105" s="24">
        <v>218.43</v>
      </c>
      <c r="G105" t="s">
        <v>2506</v>
      </c>
      <c r="H105" s="6" t="s">
        <v>3067</v>
      </c>
      <c r="I105" s="6" t="s">
        <v>3071</v>
      </c>
      <c r="J105" s="6" t="s">
        <v>3178</v>
      </c>
      <c r="K105" s="9">
        <v>9</v>
      </c>
      <c r="L105" s="6" t="s">
        <v>4275</v>
      </c>
      <c r="M105" s="6" t="s">
        <v>4280</v>
      </c>
      <c r="N105" s="24">
        <v>873.72</v>
      </c>
      <c r="O105" s="22" t="str">
        <f>IF(Table2[[#This Row],[CouponCode]]="N/A", "Not Used", "Used")</f>
        <v>Used</v>
      </c>
    </row>
    <row r="106" spans="1:15" x14ac:dyDescent="0.3">
      <c r="A106" s="6" t="s">
        <v>118</v>
      </c>
      <c r="B106" s="2">
        <v>45503</v>
      </c>
      <c r="C106" s="6" t="s">
        <v>1318</v>
      </c>
      <c r="D106" s="6" t="s">
        <v>2404</v>
      </c>
      <c r="E106" s="9">
        <v>1</v>
      </c>
      <c r="F106" s="24">
        <v>582.04</v>
      </c>
      <c r="G106" t="s">
        <v>2507</v>
      </c>
      <c r="H106" s="6" t="s">
        <v>3068</v>
      </c>
      <c r="I106" s="6" t="s">
        <v>3073</v>
      </c>
      <c r="J106" s="6" t="s">
        <v>3179</v>
      </c>
      <c r="K106" s="9">
        <v>1</v>
      </c>
      <c r="L106" s="6" t="s">
        <v>4276</v>
      </c>
      <c r="M106" s="6" t="s">
        <v>4280</v>
      </c>
      <c r="N106" s="24">
        <v>582.04</v>
      </c>
      <c r="O106" s="22" t="str">
        <f>IF(Table2[[#This Row],[CouponCode]]="N/A", "Not Used", "Used")</f>
        <v>Used</v>
      </c>
    </row>
    <row r="107" spans="1:15" x14ac:dyDescent="0.3">
      <c r="A107" s="6" t="s">
        <v>119</v>
      </c>
      <c r="B107" s="2">
        <v>45589</v>
      </c>
      <c r="C107" s="6" t="s">
        <v>1319</v>
      </c>
      <c r="D107" s="6" t="s">
        <v>2407</v>
      </c>
      <c r="E107" s="9">
        <v>3</v>
      </c>
      <c r="F107" s="24">
        <v>185.4</v>
      </c>
      <c r="G107" t="s">
        <v>2508</v>
      </c>
      <c r="H107" s="6" t="s">
        <v>3068</v>
      </c>
      <c r="I107" s="6" t="s">
        <v>3071</v>
      </c>
      <c r="J107" s="6" t="s">
        <v>3180</v>
      </c>
      <c r="K107" s="9">
        <v>7</v>
      </c>
      <c r="L107" s="6" t="s">
        <v>4283</v>
      </c>
      <c r="M107" s="6" t="s">
        <v>4281</v>
      </c>
      <c r="N107" s="24">
        <v>556.20000000000005</v>
      </c>
      <c r="O107" s="22" t="str">
        <f>IF(Table2[[#This Row],[CouponCode]]="N/A", "Not Used", "Used")</f>
        <v>Not Used</v>
      </c>
    </row>
    <row r="108" spans="1:15" x14ac:dyDescent="0.3">
      <c r="A108" s="6" t="s">
        <v>120</v>
      </c>
      <c r="B108" s="2">
        <v>45177</v>
      </c>
      <c r="C108" s="6" t="s">
        <v>1320</v>
      </c>
      <c r="D108" s="6" t="s">
        <v>2409</v>
      </c>
      <c r="E108" s="9">
        <v>3</v>
      </c>
      <c r="F108" s="24">
        <v>465.05</v>
      </c>
      <c r="G108" t="s">
        <v>2509</v>
      </c>
      <c r="H108" s="6" t="s">
        <v>3067</v>
      </c>
      <c r="I108" s="6" t="s">
        <v>3071</v>
      </c>
      <c r="J108" s="6" t="s">
        <v>3181</v>
      </c>
      <c r="K108" s="9">
        <v>3</v>
      </c>
      <c r="L108" s="6" t="s">
        <v>4275</v>
      </c>
      <c r="M108" s="6" t="s">
        <v>4280</v>
      </c>
      <c r="N108" s="24">
        <v>1395.15</v>
      </c>
      <c r="O108" s="22" t="str">
        <f>IF(Table2[[#This Row],[CouponCode]]="N/A", "Not Used", "Used")</f>
        <v>Used</v>
      </c>
    </row>
    <row r="109" spans="1:15" x14ac:dyDescent="0.3">
      <c r="A109" s="6" t="s">
        <v>121</v>
      </c>
      <c r="B109" s="2">
        <v>45012</v>
      </c>
      <c r="C109" s="6" t="s">
        <v>1321</v>
      </c>
      <c r="D109" s="6" t="s">
        <v>2407</v>
      </c>
      <c r="E109" s="9">
        <v>5</v>
      </c>
      <c r="F109" s="24">
        <v>670.75</v>
      </c>
      <c r="G109" t="s">
        <v>2510</v>
      </c>
      <c r="H109" s="6" t="s">
        <v>3068</v>
      </c>
      <c r="I109" s="6" t="s">
        <v>3070</v>
      </c>
      <c r="J109" s="6" t="s">
        <v>3182</v>
      </c>
      <c r="K109" s="9">
        <v>8</v>
      </c>
      <c r="L109" s="6" t="s">
        <v>4276</v>
      </c>
      <c r="M109" s="6" t="s">
        <v>4278</v>
      </c>
      <c r="N109" s="24">
        <v>3353.75</v>
      </c>
      <c r="O109" s="22" t="str">
        <f>IF(Table2[[#This Row],[CouponCode]]="N/A", "Not Used", "Used")</f>
        <v>Used</v>
      </c>
    </row>
    <row r="110" spans="1:15" x14ac:dyDescent="0.3">
      <c r="A110" s="6" t="s">
        <v>122</v>
      </c>
      <c r="B110" s="2">
        <v>45654</v>
      </c>
      <c r="C110" s="6" t="s">
        <v>1322</v>
      </c>
      <c r="D110" s="6" t="s">
        <v>2408</v>
      </c>
      <c r="E110" s="9">
        <v>5</v>
      </c>
      <c r="F110" s="24">
        <v>48.38</v>
      </c>
      <c r="G110" t="s">
        <v>2511</v>
      </c>
      <c r="H110" s="6" t="s">
        <v>3068</v>
      </c>
      <c r="I110" s="6" t="s">
        <v>3073</v>
      </c>
      <c r="J110" s="6" t="s">
        <v>3183</v>
      </c>
      <c r="K110" s="9">
        <v>9</v>
      </c>
      <c r="L110" s="6" t="s">
        <v>4277</v>
      </c>
      <c r="M110" s="6" t="s">
        <v>4280</v>
      </c>
      <c r="N110" s="24">
        <v>241.9</v>
      </c>
      <c r="O110" s="22" t="str">
        <f>IF(Table2[[#This Row],[CouponCode]]="N/A", "Not Used", "Used")</f>
        <v>Used</v>
      </c>
    </row>
    <row r="111" spans="1:15" x14ac:dyDescent="0.3">
      <c r="A111" s="6" t="s">
        <v>123</v>
      </c>
      <c r="B111" s="2">
        <v>45186</v>
      </c>
      <c r="C111" s="6" t="s">
        <v>1323</v>
      </c>
      <c r="D111" s="6" t="s">
        <v>2409</v>
      </c>
      <c r="E111" s="9">
        <v>3</v>
      </c>
      <c r="F111" s="24">
        <v>592.87</v>
      </c>
      <c r="G111" t="s">
        <v>2512</v>
      </c>
      <c r="H111" s="6" t="s">
        <v>3068</v>
      </c>
      <c r="I111" s="6" t="s">
        <v>3070</v>
      </c>
      <c r="J111" s="6" t="s">
        <v>3184</v>
      </c>
      <c r="K111" s="9">
        <v>3</v>
      </c>
      <c r="L111" s="6" t="s">
        <v>4276</v>
      </c>
      <c r="M111" s="6" t="s">
        <v>4279</v>
      </c>
      <c r="N111" s="24">
        <v>1778.61</v>
      </c>
      <c r="O111" s="22" t="str">
        <f>IF(Table2[[#This Row],[CouponCode]]="N/A", "Not Used", "Used")</f>
        <v>Used</v>
      </c>
    </row>
    <row r="112" spans="1:15" x14ac:dyDescent="0.3">
      <c r="A112" s="6" t="s">
        <v>124</v>
      </c>
      <c r="B112" s="2">
        <v>45403</v>
      </c>
      <c r="C112" s="6" t="s">
        <v>1324</v>
      </c>
      <c r="D112" s="6" t="s">
        <v>2405</v>
      </c>
      <c r="E112" s="9">
        <v>1</v>
      </c>
      <c r="F112" s="24">
        <v>220.77</v>
      </c>
      <c r="G112" t="s">
        <v>2513</v>
      </c>
      <c r="H112" s="6" t="s">
        <v>3068</v>
      </c>
      <c r="I112" s="6" t="s">
        <v>3074</v>
      </c>
      <c r="J112" s="6" t="s">
        <v>3185</v>
      </c>
      <c r="K112" s="9">
        <v>5</v>
      </c>
      <c r="L112" s="6" t="s">
        <v>4276</v>
      </c>
      <c r="M112" s="6" t="s">
        <v>4278</v>
      </c>
      <c r="N112" s="24">
        <v>220.77</v>
      </c>
      <c r="O112" s="22" t="str">
        <f>IF(Table2[[#This Row],[CouponCode]]="N/A", "Not Used", "Used")</f>
        <v>Used</v>
      </c>
    </row>
    <row r="113" spans="1:15" x14ac:dyDescent="0.3">
      <c r="A113" s="6" t="s">
        <v>125</v>
      </c>
      <c r="B113" s="2">
        <v>45784</v>
      </c>
      <c r="C113" s="6" t="s">
        <v>1325</v>
      </c>
      <c r="D113" s="6" t="s">
        <v>2409</v>
      </c>
      <c r="E113" s="9">
        <v>3</v>
      </c>
      <c r="F113" s="24">
        <v>309.22000000000003</v>
      </c>
      <c r="G113" t="s">
        <v>2514</v>
      </c>
      <c r="H113" s="6" t="s">
        <v>3066</v>
      </c>
      <c r="I113" s="6" t="s">
        <v>3071</v>
      </c>
      <c r="J113" s="6" t="s">
        <v>3186</v>
      </c>
      <c r="K113" s="9">
        <v>7</v>
      </c>
      <c r="L113" s="6" t="s">
        <v>4276</v>
      </c>
      <c r="M113" s="6" t="s">
        <v>4282</v>
      </c>
      <c r="N113" s="24">
        <v>927.66000000000008</v>
      </c>
      <c r="O113" s="22" t="str">
        <f>IF(Table2[[#This Row],[CouponCode]]="N/A", "Not Used", "Used")</f>
        <v>Used</v>
      </c>
    </row>
    <row r="114" spans="1:15" x14ac:dyDescent="0.3">
      <c r="A114" s="6" t="s">
        <v>126</v>
      </c>
      <c r="B114" s="2">
        <v>44927</v>
      </c>
      <c r="C114" s="6" t="s">
        <v>1326</v>
      </c>
      <c r="D114" s="6" t="s">
        <v>2403</v>
      </c>
      <c r="E114" s="9">
        <v>1</v>
      </c>
      <c r="F114" s="24">
        <v>410.6</v>
      </c>
      <c r="G114" t="s">
        <v>2515</v>
      </c>
      <c r="H114" s="6" t="s">
        <v>3066</v>
      </c>
      <c r="I114" s="6" t="s">
        <v>3071</v>
      </c>
      <c r="J114" s="6" t="s">
        <v>3187</v>
      </c>
      <c r="K114" s="9">
        <v>2</v>
      </c>
      <c r="L114" s="6" t="s">
        <v>4277</v>
      </c>
      <c r="M114" s="6" t="s">
        <v>4279</v>
      </c>
      <c r="N114" s="24">
        <v>410.6</v>
      </c>
      <c r="O114" s="22" t="str">
        <f>IF(Table2[[#This Row],[CouponCode]]="N/A", "Not Used", "Used")</f>
        <v>Used</v>
      </c>
    </row>
    <row r="115" spans="1:15" x14ac:dyDescent="0.3">
      <c r="A115" s="6" t="s">
        <v>127</v>
      </c>
      <c r="B115" s="2">
        <v>45308</v>
      </c>
      <c r="C115" s="6" t="s">
        <v>1327</v>
      </c>
      <c r="D115" s="6" t="s">
        <v>2408</v>
      </c>
      <c r="E115" s="9">
        <v>5</v>
      </c>
      <c r="F115" s="24">
        <v>190.08</v>
      </c>
      <c r="G115" t="s">
        <v>2516</v>
      </c>
      <c r="H115" s="6" t="s">
        <v>3069</v>
      </c>
      <c r="I115" s="6" t="s">
        <v>3070</v>
      </c>
      <c r="J115" s="6" t="s">
        <v>3188</v>
      </c>
      <c r="K115" s="9">
        <v>9</v>
      </c>
      <c r="L115" s="6" t="s">
        <v>4276</v>
      </c>
      <c r="M115" s="6" t="s">
        <v>4278</v>
      </c>
      <c r="N115" s="24">
        <v>950.40000000000009</v>
      </c>
      <c r="O115" s="22" t="str">
        <f>IF(Table2[[#This Row],[CouponCode]]="N/A", "Not Used", "Used")</f>
        <v>Used</v>
      </c>
    </row>
    <row r="116" spans="1:15" x14ac:dyDescent="0.3">
      <c r="A116" s="6" t="s">
        <v>128</v>
      </c>
      <c r="B116" s="2">
        <v>45684</v>
      </c>
      <c r="C116" s="6" t="s">
        <v>1328</v>
      </c>
      <c r="D116" s="6" t="s">
        <v>2403</v>
      </c>
      <c r="E116" s="9">
        <v>5</v>
      </c>
      <c r="F116" s="24">
        <v>498.48</v>
      </c>
      <c r="G116" t="s">
        <v>2517</v>
      </c>
      <c r="H116" s="6" t="s">
        <v>3066</v>
      </c>
      <c r="I116" s="6" t="s">
        <v>3074</v>
      </c>
      <c r="J116" s="6" t="s">
        <v>3189</v>
      </c>
      <c r="K116" s="9">
        <v>8</v>
      </c>
      <c r="L116" s="6" t="s">
        <v>4275</v>
      </c>
      <c r="M116" s="6" t="s">
        <v>4282</v>
      </c>
      <c r="N116" s="24">
        <v>2492.4</v>
      </c>
      <c r="O116" s="22" t="str">
        <f>IF(Table2[[#This Row],[CouponCode]]="N/A", "Not Used", "Used")</f>
        <v>Used</v>
      </c>
    </row>
    <row r="117" spans="1:15" x14ac:dyDescent="0.3">
      <c r="A117" s="6" t="s">
        <v>129</v>
      </c>
      <c r="B117" s="2">
        <v>45257</v>
      </c>
      <c r="C117" s="6" t="s">
        <v>1329</v>
      </c>
      <c r="D117" s="6" t="s">
        <v>2404</v>
      </c>
      <c r="E117" s="9">
        <v>5</v>
      </c>
      <c r="F117" s="24">
        <v>374.99</v>
      </c>
      <c r="G117" t="s">
        <v>2518</v>
      </c>
      <c r="H117" s="6" t="s">
        <v>3066</v>
      </c>
      <c r="I117" s="6" t="s">
        <v>3070</v>
      </c>
      <c r="J117" s="6" t="s">
        <v>3190</v>
      </c>
      <c r="K117" s="9">
        <v>9</v>
      </c>
      <c r="L117" s="6" t="s">
        <v>4275</v>
      </c>
      <c r="M117" s="6" t="s">
        <v>4281</v>
      </c>
      <c r="N117" s="24">
        <v>1874.95</v>
      </c>
      <c r="O117" s="22" t="str">
        <f>IF(Table2[[#This Row],[CouponCode]]="N/A", "Not Used", "Used")</f>
        <v>Used</v>
      </c>
    </row>
    <row r="118" spans="1:15" x14ac:dyDescent="0.3">
      <c r="A118" s="6" t="s">
        <v>130</v>
      </c>
      <c r="B118" s="2">
        <v>45004</v>
      </c>
      <c r="C118" s="6" t="s">
        <v>1330</v>
      </c>
      <c r="D118" s="6" t="s">
        <v>2407</v>
      </c>
      <c r="E118" s="9">
        <v>4</v>
      </c>
      <c r="F118" s="24">
        <v>291.35000000000002</v>
      </c>
      <c r="G118" t="s">
        <v>2519</v>
      </c>
      <c r="H118" s="6" t="s">
        <v>3067</v>
      </c>
      <c r="I118" s="6" t="s">
        <v>3071</v>
      </c>
      <c r="J118" s="6" t="s">
        <v>3191</v>
      </c>
      <c r="K118" s="9">
        <v>6</v>
      </c>
      <c r="L118" s="6" t="s">
        <v>4277</v>
      </c>
      <c r="M118" s="6" t="s">
        <v>4281</v>
      </c>
      <c r="N118" s="24">
        <v>1165.4000000000001</v>
      </c>
      <c r="O118" s="22" t="str">
        <f>IF(Table2[[#This Row],[CouponCode]]="N/A", "Not Used", "Used")</f>
        <v>Used</v>
      </c>
    </row>
    <row r="119" spans="1:15" x14ac:dyDescent="0.3">
      <c r="A119" s="6" t="s">
        <v>131</v>
      </c>
      <c r="B119" s="2">
        <v>44993</v>
      </c>
      <c r="C119" s="6" t="s">
        <v>1331</v>
      </c>
      <c r="D119" s="6" t="s">
        <v>2405</v>
      </c>
      <c r="E119" s="9">
        <v>1</v>
      </c>
      <c r="F119" s="24">
        <v>535.5</v>
      </c>
      <c r="G119" t="s">
        <v>2520</v>
      </c>
      <c r="H119" s="6" t="s">
        <v>3068</v>
      </c>
      <c r="I119" s="6" t="s">
        <v>3071</v>
      </c>
      <c r="J119" s="6" t="s">
        <v>3192</v>
      </c>
      <c r="K119" s="9">
        <v>5</v>
      </c>
      <c r="L119" s="6" t="s">
        <v>4277</v>
      </c>
      <c r="M119" s="6" t="s">
        <v>4279</v>
      </c>
      <c r="N119" s="24">
        <v>535.5</v>
      </c>
      <c r="O119" s="22" t="str">
        <f>IF(Table2[[#This Row],[CouponCode]]="N/A", "Not Used", "Used")</f>
        <v>Used</v>
      </c>
    </row>
    <row r="120" spans="1:15" x14ac:dyDescent="0.3">
      <c r="A120" s="6" t="s">
        <v>132</v>
      </c>
      <c r="B120" s="2">
        <v>45208</v>
      </c>
      <c r="C120" s="6" t="s">
        <v>1332</v>
      </c>
      <c r="D120" s="6" t="s">
        <v>2407</v>
      </c>
      <c r="E120" s="9">
        <v>5</v>
      </c>
      <c r="F120" s="24">
        <v>502.71</v>
      </c>
      <c r="G120" t="s">
        <v>2521</v>
      </c>
      <c r="H120" s="6" t="s">
        <v>3068</v>
      </c>
      <c r="I120" s="6" t="s">
        <v>3070</v>
      </c>
      <c r="J120" s="6" t="s">
        <v>3193</v>
      </c>
      <c r="K120" s="9">
        <v>7</v>
      </c>
      <c r="L120" s="6" t="s">
        <v>4276</v>
      </c>
      <c r="M120" s="6" t="s">
        <v>4282</v>
      </c>
      <c r="N120" s="24">
        <v>2513.5500000000002</v>
      </c>
      <c r="O120" s="22" t="str">
        <f>IF(Table2[[#This Row],[CouponCode]]="N/A", "Not Used", "Used")</f>
        <v>Used</v>
      </c>
    </row>
    <row r="121" spans="1:15" x14ac:dyDescent="0.3">
      <c r="A121" s="6" t="s">
        <v>133</v>
      </c>
      <c r="B121" s="2">
        <v>45819</v>
      </c>
      <c r="C121" s="6" t="s">
        <v>1333</v>
      </c>
      <c r="D121" s="6" t="s">
        <v>2409</v>
      </c>
      <c r="E121" s="9">
        <v>2</v>
      </c>
      <c r="F121" s="24">
        <v>534.66999999999996</v>
      </c>
      <c r="G121" t="s">
        <v>2522</v>
      </c>
      <c r="H121" s="6" t="s">
        <v>3065</v>
      </c>
      <c r="I121" s="6" t="s">
        <v>3070</v>
      </c>
      <c r="J121" s="6" t="s">
        <v>3194</v>
      </c>
      <c r="K121" s="9">
        <v>7</v>
      </c>
      <c r="L121" s="6" t="s">
        <v>4276</v>
      </c>
      <c r="M121" s="6" t="s">
        <v>4279</v>
      </c>
      <c r="N121" s="24">
        <v>1069.3399999999999</v>
      </c>
      <c r="O121" s="22" t="str">
        <f>IF(Table2[[#This Row],[CouponCode]]="N/A", "Not Used", "Used")</f>
        <v>Used</v>
      </c>
    </row>
    <row r="122" spans="1:15" x14ac:dyDescent="0.3">
      <c r="A122" s="6" t="s">
        <v>134</v>
      </c>
      <c r="B122" s="2">
        <v>45027</v>
      </c>
      <c r="C122" s="6" t="s">
        <v>1334</v>
      </c>
      <c r="D122" s="6" t="s">
        <v>2405</v>
      </c>
      <c r="E122" s="9">
        <v>4</v>
      </c>
      <c r="F122" s="24">
        <v>629.34</v>
      </c>
      <c r="G122" t="s">
        <v>2416</v>
      </c>
      <c r="H122" s="6" t="s">
        <v>3069</v>
      </c>
      <c r="I122" s="6" t="s">
        <v>3071</v>
      </c>
      <c r="J122" s="6" t="s">
        <v>3195</v>
      </c>
      <c r="K122" s="9">
        <v>4</v>
      </c>
      <c r="L122" s="6" t="s">
        <v>4277</v>
      </c>
      <c r="M122" s="6" t="s">
        <v>4278</v>
      </c>
      <c r="N122" s="24">
        <v>2517.36</v>
      </c>
      <c r="O122" s="22" t="str">
        <f>IF(Table2[[#This Row],[CouponCode]]="N/A", "Not Used", "Used")</f>
        <v>Used</v>
      </c>
    </row>
    <row r="123" spans="1:15" x14ac:dyDescent="0.3">
      <c r="A123" s="6" t="s">
        <v>135</v>
      </c>
      <c r="B123" s="2">
        <v>45260</v>
      </c>
      <c r="C123" s="6" t="s">
        <v>1335</v>
      </c>
      <c r="D123" s="6" t="s">
        <v>2409</v>
      </c>
      <c r="E123" s="9">
        <v>1</v>
      </c>
      <c r="F123" s="24">
        <v>410.78</v>
      </c>
      <c r="G123" t="s">
        <v>2523</v>
      </c>
      <c r="H123" s="6" t="s">
        <v>3069</v>
      </c>
      <c r="I123" s="6" t="s">
        <v>3071</v>
      </c>
      <c r="J123" s="6" t="s">
        <v>3196</v>
      </c>
      <c r="K123" s="9">
        <v>1</v>
      </c>
      <c r="L123" s="6" t="s">
        <v>4276</v>
      </c>
      <c r="M123" s="6" t="s">
        <v>4278</v>
      </c>
      <c r="N123" s="24">
        <v>410.78</v>
      </c>
      <c r="O123" s="22" t="str">
        <f>IF(Table2[[#This Row],[CouponCode]]="N/A", "Not Used", "Used")</f>
        <v>Used</v>
      </c>
    </row>
    <row r="124" spans="1:15" x14ac:dyDescent="0.3">
      <c r="A124" s="6" t="s">
        <v>136</v>
      </c>
      <c r="B124" s="2">
        <v>45397</v>
      </c>
      <c r="C124" s="6" t="s">
        <v>1336</v>
      </c>
      <c r="D124" s="6" t="s">
        <v>2408</v>
      </c>
      <c r="E124" s="9">
        <v>2</v>
      </c>
      <c r="F124" s="24">
        <v>533.02</v>
      </c>
      <c r="G124" t="s">
        <v>2524</v>
      </c>
      <c r="H124" s="6" t="s">
        <v>3068</v>
      </c>
      <c r="I124" s="6" t="s">
        <v>3070</v>
      </c>
      <c r="J124" s="6" t="s">
        <v>3197</v>
      </c>
      <c r="K124" s="9">
        <v>2</v>
      </c>
      <c r="L124" s="6" t="s">
        <v>4283</v>
      </c>
      <c r="M124" s="6" t="s">
        <v>4281</v>
      </c>
      <c r="N124" s="24">
        <v>1066.04</v>
      </c>
      <c r="O124" s="22" t="str">
        <f>IF(Table2[[#This Row],[CouponCode]]="N/A", "Not Used", "Used")</f>
        <v>Not Used</v>
      </c>
    </row>
    <row r="125" spans="1:15" x14ac:dyDescent="0.3">
      <c r="A125" s="6" t="s">
        <v>137</v>
      </c>
      <c r="B125" s="2">
        <v>45113</v>
      </c>
      <c r="C125" s="6" t="s">
        <v>1337</v>
      </c>
      <c r="D125" s="6" t="s">
        <v>2409</v>
      </c>
      <c r="E125" s="9">
        <v>3</v>
      </c>
      <c r="F125" s="24">
        <v>278.04000000000002</v>
      </c>
      <c r="G125" t="s">
        <v>2525</v>
      </c>
      <c r="H125" s="6" t="s">
        <v>3066</v>
      </c>
      <c r="I125" s="6" t="s">
        <v>3073</v>
      </c>
      <c r="J125" s="6" t="s">
        <v>3198</v>
      </c>
      <c r="K125" s="9">
        <v>5</v>
      </c>
      <c r="L125" s="6" t="s">
        <v>4283</v>
      </c>
      <c r="M125" s="6" t="s">
        <v>4278</v>
      </c>
      <c r="N125" s="24">
        <v>834.12000000000012</v>
      </c>
      <c r="O125" s="22" t="str">
        <f>IF(Table2[[#This Row],[CouponCode]]="N/A", "Not Used", "Used")</f>
        <v>Not Used</v>
      </c>
    </row>
    <row r="126" spans="1:15" x14ac:dyDescent="0.3">
      <c r="A126" s="6" t="s">
        <v>138</v>
      </c>
      <c r="B126" s="2">
        <v>45501</v>
      </c>
      <c r="C126" s="6" t="s">
        <v>1338</v>
      </c>
      <c r="D126" s="6" t="s">
        <v>2407</v>
      </c>
      <c r="E126" s="9">
        <v>4</v>
      </c>
      <c r="F126" s="24">
        <v>283.79000000000002</v>
      </c>
      <c r="G126" t="s">
        <v>2526</v>
      </c>
      <c r="H126" s="6" t="s">
        <v>3066</v>
      </c>
      <c r="I126" s="6" t="s">
        <v>3074</v>
      </c>
      <c r="J126" s="6" t="s">
        <v>3199</v>
      </c>
      <c r="K126" s="9">
        <v>8</v>
      </c>
      <c r="L126" s="6" t="s">
        <v>4283</v>
      </c>
      <c r="M126" s="6" t="s">
        <v>4282</v>
      </c>
      <c r="N126" s="24">
        <v>1135.1600000000001</v>
      </c>
      <c r="O126" s="22" t="str">
        <f>IF(Table2[[#This Row],[CouponCode]]="N/A", "Not Used", "Used")</f>
        <v>Not Used</v>
      </c>
    </row>
    <row r="127" spans="1:15" x14ac:dyDescent="0.3">
      <c r="A127" s="6" t="s">
        <v>139</v>
      </c>
      <c r="B127" s="2">
        <v>45602</v>
      </c>
      <c r="C127" s="6" t="s">
        <v>1339</v>
      </c>
      <c r="D127" s="6" t="s">
        <v>2404</v>
      </c>
      <c r="E127" s="9">
        <v>2</v>
      </c>
      <c r="F127" s="24">
        <v>512.65</v>
      </c>
      <c r="G127" t="s">
        <v>2527</v>
      </c>
      <c r="H127" s="6" t="s">
        <v>3067</v>
      </c>
      <c r="I127" s="6" t="s">
        <v>3070</v>
      </c>
      <c r="J127" s="6" t="s">
        <v>3200</v>
      </c>
      <c r="K127" s="9">
        <v>5</v>
      </c>
      <c r="L127" s="6" t="s">
        <v>4275</v>
      </c>
      <c r="M127" s="6" t="s">
        <v>4280</v>
      </c>
      <c r="N127" s="24">
        <v>1025.3</v>
      </c>
      <c r="O127" s="22" t="str">
        <f>IF(Table2[[#This Row],[CouponCode]]="N/A", "Not Used", "Used")</f>
        <v>Used</v>
      </c>
    </row>
    <row r="128" spans="1:15" x14ac:dyDescent="0.3">
      <c r="A128" s="6" t="s">
        <v>140</v>
      </c>
      <c r="B128" s="2">
        <v>45780</v>
      </c>
      <c r="C128" s="6" t="s">
        <v>1340</v>
      </c>
      <c r="D128" s="6" t="s">
        <v>2409</v>
      </c>
      <c r="E128" s="9">
        <v>4</v>
      </c>
      <c r="F128" s="24">
        <v>275.5</v>
      </c>
      <c r="G128" t="s">
        <v>2528</v>
      </c>
      <c r="H128" s="6" t="s">
        <v>3068</v>
      </c>
      <c r="I128" s="6" t="s">
        <v>3070</v>
      </c>
      <c r="J128" s="6" t="s">
        <v>3201</v>
      </c>
      <c r="K128" s="9">
        <v>8</v>
      </c>
      <c r="L128" s="6" t="s">
        <v>4276</v>
      </c>
      <c r="M128" s="6" t="s">
        <v>4282</v>
      </c>
      <c r="N128" s="24">
        <v>1102</v>
      </c>
      <c r="O128" s="22" t="str">
        <f>IF(Table2[[#This Row],[CouponCode]]="N/A", "Not Used", "Used")</f>
        <v>Used</v>
      </c>
    </row>
    <row r="129" spans="1:15" x14ac:dyDescent="0.3">
      <c r="A129" s="6" t="s">
        <v>141</v>
      </c>
      <c r="B129" s="2">
        <v>45148</v>
      </c>
      <c r="C129" s="6" t="s">
        <v>1341</v>
      </c>
      <c r="D129" s="6" t="s">
        <v>2409</v>
      </c>
      <c r="E129" s="9">
        <v>3</v>
      </c>
      <c r="F129" s="24">
        <v>469.32</v>
      </c>
      <c r="G129" t="s">
        <v>2529</v>
      </c>
      <c r="H129" s="6" t="s">
        <v>3065</v>
      </c>
      <c r="I129" s="6" t="s">
        <v>3070</v>
      </c>
      <c r="J129" s="6" t="s">
        <v>3202</v>
      </c>
      <c r="K129" s="9">
        <v>3</v>
      </c>
      <c r="L129" s="6" t="s">
        <v>4283</v>
      </c>
      <c r="M129" s="6" t="s">
        <v>4282</v>
      </c>
      <c r="N129" s="24">
        <v>1407.96</v>
      </c>
      <c r="O129" s="22" t="str">
        <f>IF(Table2[[#This Row],[CouponCode]]="N/A", "Not Used", "Used")</f>
        <v>Not Used</v>
      </c>
    </row>
    <row r="130" spans="1:15" x14ac:dyDescent="0.3">
      <c r="A130" s="6" t="s">
        <v>142</v>
      </c>
      <c r="B130" s="2">
        <v>44974</v>
      </c>
      <c r="C130" s="6" t="s">
        <v>1342</v>
      </c>
      <c r="D130" s="6" t="s">
        <v>2405</v>
      </c>
      <c r="E130" s="9">
        <v>4</v>
      </c>
      <c r="F130" s="24">
        <v>21.07</v>
      </c>
      <c r="G130" t="s">
        <v>2530</v>
      </c>
      <c r="H130" s="6" t="s">
        <v>3068</v>
      </c>
      <c r="I130" s="6" t="s">
        <v>3073</v>
      </c>
      <c r="J130" s="6" t="s">
        <v>3203</v>
      </c>
      <c r="K130" s="9">
        <v>4</v>
      </c>
      <c r="L130" s="6" t="s">
        <v>4276</v>
      </c>
      <c r="M130" s="6" t="s">
        <v>4282</v>
      </c>
      <c r="N130" s="24">
        <v>84.28</v>
      </c>
      <c r="O130" s="22" t="str">
        <f>IF(Table2[[#This Row],[CouponCode]]="N/A", "Not Used", "Used")</f>
        <v>Used</v>
      </c>
    </row>
    <row r="131" spans="1:15" x14ac:dyDescent="0.3">
      <c r="A131" s="6" t="s">
        <v>143</v>
      </c>
      <c r="B131" s="2">
        <v>45226</v>
      </c>
      <c r="C131" s="6" t="s">
        <v>1343</v>
      </c>
      <c r="D131" s="6" t="s">
        <v>2408</v>
      </c>
      <c r="E131" s="9">
        <v>4</v>
      </c>
      <c r="F131" s="24">
        <v>263.93</v>
      </c>
      <c r="G131" t="s">
        <v>2531</v>
      </c>
      <c r="H131" s="6" t="s">
        <v>3065</v>
      </c>
      <c r="I131" s="6" t="s">
        <v>3070</v>
      </c>
      <c r="J131" s="6" t="s">
        <v>3204</v>
      </c>
      <c r="K131" s="9">
        <v>4</v>
      </c>
      <c r="L131" s="6" t="s">
        <v>4276</v>
      </c>
      <c r="M131" s="6" t="s">
        <v>4281</v>
      </c>
      <c r="N131" s="24">
        <v>1055.72</v>
      </c>
      <c r="O131" s="22" t="str">
        <f>IF(Table2[[#This Row],[CouponCode]]="N/A", "Not Used", "Used")</f>
        <v>Used</v>
      </c>
    </row>
    <row r="132" spans="1:15" x14ac:dyDescent="0.3">
      <c r="A132" s="6" t="s">
        <v>144</v>
      </c>
      <c r="B132" s="2">
        <v>45679</v>
      </c>
      <c r="C132" s="6" t="s">
        <v>1344</v>
      </c>
      <c r="D132" s="6" t="s">
        <v>2409</v>
      </c>
      <c r="E132" s="9">
        <v>3</v>
      </c>
      <c r="F132" s="24">
        <v>501.3</v>
      </c>
      <c r="G132" t="s">
        <v>2532</v>
      </c>
      <c r="H132" s="6" t="s">
        <v>3066</v>
      </c>
      <c r="I132" s="6" t="s">
        <v>3071</v>
      </c>
      <c r="J132" s="6" t="s">
        <v>3205</v>
      </c>
      <c r="K132" s="9">
        <v>3</v>
      </c>
      <c r="L132" s="6" t="s">
        <v>4277</v>
      </c>
      <c r="M132" s="6" t="s">
        <v>4281</v>
      </c>
      <c r="N132" s="24">
        <v>1503.9</v>
      </c>
      <c r="O132" s="22" t="str">
        <f>IF(Table2[[#This Row],[CouponCode]]="N/A", "Not Used", "Used")</f>
        <v>Used</v>
      </c>
    </row>
    <row r="133" spans="1:15" x14ac:dyDescent="0.3">
      <c r="A133" s="6" t="s">
        <v>145</v>
      </c>
      <c r="B133" s="2">
        <v>44934</v>
      </c>
      <c r="C133" s="6" t="s">
        <v>1345</v>
      </c>
      <c r="D133" s="6" t="s">
        <v>2405</v>
      </c>
      <c r="E133" s="9">
        <v>1</v>
      </c>
      <c r="F133" s="24">
        <v>84.8</v>
      </c>
      <c r="G133" t="s">
        <v>2533</v>
      </c>
      <c r="H133" s="6" t="s">
        <v>3068</v>
      </c>
      <c r="I133" s="6" t="s">
        <v>3074</v>
      </c>
      <c r="J133" s="6" t="s">
        <v>3206</v>
      </c>
      <c r="K133" s="9">
        <v>5</v>
      </c>
      <c r="L133" s="6" t="s">
        <v>4283</v>
      </c>
      <c r="M133" s="6" t="s">
        <v>4278</v>
      </c>
      <c r="N133" s="24">
        <v>84.8</v>
      </c>
      <c r="O133" s="22" t="str">
        <f>IF(Table2[[#This Row],[CouponCode]]="N/A", "Not Used", "Used")</f>
        <v>Not Used</v>
      </c>
    </row>
    <row r="134" spans="1:15" x14ac:dyDescent="0.3">
      <c r="A134" s="6" t="s">
        <v>146</v>
      </c>
      <c r="B134" s="2">
        <v>45013</v>
      </c>
      <c r="C134" s="6" t="s">
        <v>1346</v>
      </c>
      <c r="D134" s="6" t="s">
        <v>2405</v>
      </c>
      <c r="E134" s="9">
        <v>4</v>
      </c>
      <c r="F134" s="24">
        <v>450.75</v>
      </c>
      <c r="G134" t="s">
        <v>2534</v>
      </c>
      <c r="H134" s="6" t="s">
        <v>3067</v>
      </c>
      <c r="I134" s="6" t="s">
        <v>3070</v>
      </c>
      <c r="J134" s="6" t="s">
        <v>3207</v>
      </c>
      <c r="K134" s="9">
        <v>6</v>
      </c>
      <c r="L134" s="6" t="s">
        <v>4277</v>
      </c>
      <c r="M134" s="6" t="s">
        <v>4280</v>
      </c>
      <c r="N134" s="24">
        <v>1803</v>
      </c>
      <c r="O134" s="22" t="str">
        <f>IF(Table2[[#This Row],[CouponCode]]="N/A", "Not Used", "Used")</f>
        <v>Used</v>
      </c>
    </row>
    <row r="135" spans="1:15" x14ac:dyDescent="0.3">
      <c r="A135" s="6" t="s">
        <v>147</v>
      </c>
      <c r="B135" s="2">
        <v>45828</v>
      </c>
      <c r="C135" s="6" t="s">
        <v>1347</v>
      </c>
      <c r="D135" s="6" t="s">
        <v>2406</v>
      </c>
      <c r="E135" s="9">
        <v>4</v>
      </c>
      <c r="F135" s="24">
        <v>302.05</v>
      </c>
      <c r="G135" t="s">
        <v>2535</v>
      </c>
      <c r="H135" s="6" t="s">
        <v>3065</v>
      </c>
      <c r="I135" s="6" t="s">
        <v>3071</v>
      </c>
      <c r="J135" s="6" t="s">
        <v>3208</v>
      </c>
      <c r="K135" s="9">
        <v>6</v>
      </c>
      <c r="L135" s="6" t="s">
        <v>4275</v>
      </c>
      <c r="M135" s="6" t="s">
        <v>4282</v>
      </c>
      <c r="N135" s="24">
        <v>1208.2</v>
      </c>
      <c r="O135" s="22" t="str">
        <f>IF(Table2[[#This Row],[CouponCode]]="N/A", "Not Used", "Used")</f>
        <v>Used</v>
      </c>
    </row>
    <row r="136" spans="1:15" x14ac:dyDescent="0.3">
      <c r="A136" s="6" t="s">
        <v>148</v>
      </c>
      <c r="B136" s="2">
        <v>45831</v>
      </c>
      <c r="C136" s="6" t="s">
        <v>1348</v>
      </c>
      <c r="D136" s="6" t="s">
        <v>2408</v>
      </c>
      <c r="E136" s="9">
        <v>2</v>
      </c>
      <c r="F136" s="24">
        <v>199.7</v>
      </c>
      <c r="G136" t="s">
        <v>2534</v>
      </c>
      <c r="H136" s="6" t="s">
        <v>3069</v>
      </c>
      <c r="I136" s="6" t="s">
        <v>3074</v>
      </c>
      <c r="J136" s="6" t="s">
        <v>3209</v>
      </c>
      <c r="K136" s="9">
        <v>4</v>
      </c>
      <c r="L136" s="6" t="s">
        <v>4283</v>
      </c>
      <c r="M136" s="6" t="s">
        <v>4280</v>
      </c>
      <c r="N136" s="24">
        <v>399.4</v>
      </c>
      <c r="O136" s="22" t="str">
        <f>IF(Table2[[#This Row],[CouponCode]]="N/A", "Not Used", "Used")</f>
        <v>Not Used</v>
      </c>
    </row>
    <row r="137" spans="1:15" x14ac:dyDescent="0.3">
      <c r="A137" s="6" t="s">
        <v>149</v>
      </c>
      <c r="B137" s="2">
        <v>45142</v>
      </c>
      <c r="C137" s="6" t="s">
        <v>1349</v>
      </c>
      <c r="D137" s="6" t="s">
        <v>2407</v>
      </c>
      <c r="E137" s="9">
        <v>2</v>
      </c>
      <c r="F137" s="24">
        <v>68.81</v>
      </c>
      <c r="G137" t="s">
        <v>2536</v>
      </c>
      <c r="H137" s="6" t="s">
        <v>3068</v>
      </c>
      <c r="I137" s="6" t="s">
        <v>3070</v>
      </c>
      <c r="J137" s="6" t="s">
        <v>3210</v>
      </c>
      <c r="K137" s="9">
        <v>5</v>
      </c>
      <c r="L137" s="6" t="s">
        <v>4275</v>
      </c>
      <c r="M137" s="6" t="s">
        <v>4279</v>
      </c>
      <c r="N137" s="24">
        <v>137.62</v>
      </c>
      <c r="O137" s="22" t="str">
        <f>IF(Table2[[#This Row],[CouponCode]]="N/A", "Not Used", "Used")</f>
        <v>Used</v>
      </c>
    </row>
    <row r="138" spans="1:15" x14ac:dyDescent="0.3">
      <c r="A138" s="6" t="s">
        <v>150</v>
      </c>
      <c r="B138" s="2">
        <v>45409</v>
      </c>
      <c r="C138" s="6" t="s">
        <v>1350</v>
      </c>
      <c r="D138" s="6" t="s">
        <v>2408</v>
      </c>
      <c r="E138" s="9">
        <v>1</v>
      </c>
      <c r="F138" s="24">
        <v>44.35</v>
      </c>
      <c r="G138" t="s">
        <v>2537</v>
      </c>
      <c r="H138" s="6" t="s">
        <v>3068</v>
      </c>
      <c r="I138" s="6" t="s">
        <v>3071</v>
      </c>
      <c r="J138" s="6" t="s">
        <v>3211</v>
      </c>
      <c r="K138" s="9">
        <v>1</v>
      </c>
      <c r="L138" s="6" t="s">
        <v>4275</v>
      </c>
      <c r="M138" s="6" t="s">
        <v>4278</v>
      </c>
      <c r="N138" s="24">
        <v>44.35</v>
      </c>
      <c r="O138" s="22" t="str">
        <f>IF(Table2[[#This Row],[CouponCode]]="N/A", "Not Used", "Used")</f>
        <v>Used</v>
      </c>
    </row>
    <row r="139" spans="1:15" x14ac:dyDescent="0.3">
      <c r="A139" s="6" t="s">
        <v>151</v>
      </c>
      <c r="B139" s="2">
        <v>45622</v>
      </c>
      <c r="C139" s="6" t="s">
        <v>1351</v>
      </c>
      <c r="D139" s="6" t="s">
        <v>2403</v>
      </c>
      <c r="E139" s="9">
        <v>2</v>
      </c>
      <c r="F139" s="24">
        <v>250.98</v>
      </c>
      <c r="G139" t="s">
        <v>2538</v>
      </c>
      <c r="H139" s="6" t="s">
        <v>3067</v>
      </c>
      <c r="I139" s="6" t="s">
        <v>3073</v>
      </c>
      <c r="J139" s="6" t="s">
        <v>3212</v>
      </c>
      <c r="K139" s="9">
        <v>5</v>
      </c>
      <c r="L139" s="6" t="s">
        <v>4283</v>
      </c>
      <c r="M139" s="6" t="s">
        <v>4282</v>
      </c>
      <c r="N139" s="24">
        <v>501.96</v>
      </c>
      <c r="O139" s="22" t="str">
        <f>IF(Table2[[#This Row],[CouponCode]]="N/A", "Not Used", "Used")</f>
        <v>Not Used</v>
      </c>
    </row>
    <row r="140" spans="1:15" x14ac:dyDescent="0.3">
      <c r="A140" s="6" t="s">
        <v>152</v>
      </c>
      <c r="B140" s="2">
        <v>45281</v>
      </c>
      <c r="C140" s="6" t="s">
        <v>1352</v>
      </c>
      <c r="D140" s="6" t="s">
        <v>2405</v>
      </c>
      <c r="E140" s="9">
        <v>1</v>
      </c>
      <c r="F140" s="24">
        <v>298.06</v>
      </c>
      <c r="G140" t="s">
        <v>2539</v>
      </c>
      <c r="H140" s="6" t="s">
        <v>3065</v>
      </c>
      <c r="I140" s="6" t="s">
        <v>3074</v>
      </c>
      <c r="J140" s="6" t="s">
        <v>3213</v>
      </c>
      <c r="K140" s="9">
        <v>3</v>
      </c>
      <c r="L140" s="6" t="s">
        <v>4277</v>
      </c>
      <c r="M140" s="6" t="s">
        <v>4282</v>
      </c>
      <c r="N140" s="24">
        <v>298.06</v>
      </c>
      <c r="O140" s="22" t="str">
        <f>IF(Table2[[#This Row],[CouponCode]]="N/A", "Not Used", "Used")</f>
        <v>Used</v>
      </c>
    </row>
    <row r="141" spans="1:15" x14ac:dyDescent="0.3">
      <c r="A141" s="6" t="s">
        <v>153</v>
      </c>
      <c r="B141" s="2">
        <v>45026</v>
      </c>
      <c r="C141" s="6" t="s">
        <v>1353</v>
      </c>
      <c r="D141" s="6" t="s">
        <v>2404</v>
      </c>
      <c r="E141" s="9">
        <v>1</v>
      </c>
      <c r="F141" s="24">
        <v>583.9</v>
      </c>
      <c r="G141" t="s">
        <v>2540</v>
      </c>
      <c r="H141" s="6" t="s">
        <v>3069</v>
      </c>
      <c r="I141" s="6" t="s">
        <v>3072</v>
      </c>
      <c r="J141" s="6" t="s">
        <v>3214</v>
      </c>
      <c r="K141" s="9">
        <v>1</v>
      </c>
      <c r="L141" s="6" t="s">
        <v>4283</v>
      </c>
      <c r="M141" s="6" t="s">
        <v>4280</v>
      </c>
      <c r="N141" s="24">
        <v>583.9</v>
      </c>
      <c r="O141" s="22" t="str">
        <f>IF(Table2[[#This Row],[CouponCode]]="N/A", "Not Used", "Used")</f>
        <v>Not Used</v>
      </c>
    </row>
    <row r="142" spans="1:15" x14ac:dyDescent="0.3">
      <c r="A142" s="6" t="s">
        <v>154</v>
      </c>
      <c r="B142" s="2">
        <v>45808</v>
      </c>
      <c r="C142" s="6" t="s">
        <v>1354</v>
      </c>
      <c r="D142" s="6" t="s">
        <v>2406</v>
      </c>
      <c r="E142" s="9">
        <v>3</v>
      </c>
      <c r="F142" s="24">
        <v>528.14</v>
      </c>
      <c r="G142" t="s">
        <v>2513</v>
      </c>
      <c r="H142" s="6" t="s">
        <v>3066</v>
      </c>
      <c r="I142" s="6" t="s">
        <v>3073</v>
      </c>
      <c r="J142" s="6" t="s">
        <v>3215</v>
      </c>
      <c r="K142" s="9">
        <v>3</v>
      </c>
      <c r="L142" s="6" t="s">
        <v>4276</v>
      </c>
      <c r="M142" s="6" t="s">
        <v>4280</v>
      </c>
      <c r="N142" s="24">
        <v>1584.42</v>
      </c>
      <c r="O142" s="22" t="str">
        <f>IF(Table2[[#This Row],[CouponCode]]="N/A", "Not Used", "Used")</f>
        <v>Used</v>
      </c>
    </row>
    <row r="143" spans="1:15" x14ac:dyDescent="0.3">
      <c r="A143" s="6" t="s">
        <v>155</v>
      </c>
      <c r="B143" s="2">
        <v>45248</v>
      </c>
      <c r="C143" s="6" t="s">
        <v>1355</v>
      </c>
      <c r="D143" s="6" t="s">
        <v>2407</v>
      </c>
      <c r="E143" s="9">
        <v>3</v>
      </c>
      <c r="F143" s="24">
        <v>684.14</v>
      </c>
      <c r="G143" t="s">
        <v>2541</v>
      </c>
      <c r="H143" s="6" t="s">
        <v>3069</v>
      </c>
      <c r="I143" s="6" t="s">
        <v>3071</v>
      </c>
      <c r="J143" s="6" t="s">
        <v>3216</v>
      </c>
      <c r="K143" s="9">
        <v>3</v>
      </c>
      <c r="L143" s="6" t="s">
        <v>4277</v>
      </c>
      <c r="M143" s="6" t="s">
        <v>4278</v>
      </c>
      <c r="N143" s="24">
        <v>2052.42</v>
      </c>
      <c r="O143" s="22" t="str">
        <f>IF(Table2[[#This Row],[CouponCode]]="N/A", "Not Used", "Used")</f>
        <v>Used</v>
      </c>
    </row>
    <row r="144" spans="1:15" x14ac:dyDescent="0.3">
      <c r="A144" s="6" t="s">
        <v>156</v>
      </c>
      <c r="B144" s="2">
        <v>45175</v>
      </c>
      <c r="C144" s="6" t="s">
        <v>1356</v>
      </c>
      <c r="D144" s="6" t="s">
        <v>2409</v>
      </c>
      <c r="E144" s="9">
        <v>5</v>
      </c>
      <c r="F144" s="24">
        <v>272.77</v>
      </c>
      <c r="G144" t="s">
        <v>2542</v>
      </c>
      <c r="H144" s="6" t="s">
        <v>3069</v>
      </c>
      <c r="I144" s="6" t="s">
        <v>3074</v>
      </c>
      <c r="J144" s="6" t="s">
        <v>3217</v>
      </c>
      <c r="K144" s="9">
        <v>7</v>
      </c>
      <c r="L144" s="6" t="s">
        <v>4277</v>
      </c>
      <c r="M144" s="6" t="s">
        <v>4280</v>
      </c>
      <c r="N144" s="24">
        <v>1363.85</v>
      </c>
      <c r="O144" s="22" t="str">
        <f>IF(Table2[[#This Row],[CouponCode]]="N/A", "Not Used", "Used")</f>
        <v>Used</v>
      </c>
    </row>
    <row r="145" spans="1:15" x14ac:dyDescent="0.3">
      <c r="A145" s="6" t="s">
        <v>157</v>
      </c>
      <c r="B145" s="2">
        <v>45456</v>
      </c>
      <c r="C145" s="6" t="s">
        <v>1357</v>
      </c>
      <c r="D145" s="6" t="s">
        <v>2406</v>
      </c>
      <c r="E145" s="9">
        <v>4</v>
      </c>
      <c r="F145" s="24">
        <v>400.07</v>
      </c>
      <c r="G145" t="s">
        <v>2543</v>
      </c>
      <c r="H145" s="6" t="s">
        <v>3066</v>
      </c>
      <c r="I145" s="6" t="s">
        <v>3070</v>
      </c>
      <c r="J145" s="6" t="s">
        <v>3218</v>
      </c>
      <c r="K145" s="9">
        <v>5</v>
      </c>
      <c r="L145" s="6" t="s">
        <v>4283</v>
      </c>
      <c r="M145" s="6" t="s">
        <v>4279</v>
      </c>
      <c r="N145" s="24">
        <v>1600.28</v>
      </c>
      <c r="O145" s="22" t="str">
        <f>IF(Table2[[#This Row],[CouponCode]]="N/A", "Not Used", "Used")</f>
        <v>Not Used</v>
      </c>
    </row>
    <row r="146" spans="1:15" x14ac:dyDescent="0.3">
      <c r="A146" s="6" t="s">
        <v>158</v>
      </c>
      <c r="B146" s="2">
        <v>45142</v>
      </c>
      <c r="C146" s="6" t="s">
        <v>1358</v>
      </c>
      <c r="D146" s="6" t="s">
        <v>2409</v>
      </c>
      <c r="E146" s="9">
        <v>5</v>
      </c>
      <c r="F146" s="24">
        <v>219.78</v>
      </c>
      <c r="G146" t="s">
        <v>2440</v>
      </c>
      <c r="H146" s="6" t="s">
        <v>3067</v>
      </c>
      <c r="I146" s="6" t="s">
        <v>3074</v>
      </c>
      <c r="J146" s="6" t="s">
        <v>3219</v>
      </c>
      <c r="K146" s="9">
        <v>8</v>
      </c>
      <c r="L146" s="6" t="s">
        <v>4283</v>
      </c>
      <c r="M146" s="6" t="s">
        <v>4281</v>
      </c>
      <c r="N146" s="24">
        <v>1098.9000000000001</v>
      </c>
      <c r="O146" s="22" t="str">
        <f>IF(Table2[[#This Row],[CouponCode]]="N/A", "Not Used", "Used")</f>
        <v>Not Used</v>
      </c>
    </row>
    <row r="147" spans="1:15" x14ac:dyDescent="0.3">
      <c r="A147" s="6" t="s">
        <v>159</v>
      </c>
      <c r="B147" s="2">
        <v>45353</v>
      </c>
      <c r="C147" s="6" t="s">
        <v>1359</v>
      </c>
      <c r="D147" s="6" t="s">
        <v>2407</v>
      </c>
      <c r="E147" s="9">
        <v>3</v>
      </c>
      <c r="F147" s="24">
        <v>146.91</v>
      </c>
      <c r="G147" t="s">
        <v>2544</v>
      </c>
      <c r="H147" s="6" t="s">
        <v>3067</v>
      </c>
      <c r="I147" s="6" t="s">
        <v>3073</v>
      </c>
      <c r="J147" s="6" t="s">
        <v>3220</v>
      </c>
      <c r="K147" s="9">
        <v>6</v>
      </c>
      <c r="L147" s="6" t="s">
        <v>4276</v>
      </c>
      <c r="M147" s="6" t="s">
        <v>4282</v>
      </c>
      <c r="N147" s="24">
        <v>440.73</v>
      </c>
      <c r="O147" s="22" t="str">
        <f>IF(Table2[[#This Row],[CouponCode]]="N/A", "Not Used", "Used")</f>
        <v>Used</v>
      </c>
    </row>
    <row r="148" spans="1:15" x14ac:dyDescent="0.3">
      <c r="A148" s="6" t="s">
        <v>160</v>
      </c>
      <c r="B148" s="2">
        <v>45777</v>
      </c>
      <c r="C148" s="6" t="s">
        <v>1360</v>
      </c>
      <c r="D148" s="6" t="s">
        <v>2405</v>
      </c>
      <c r="E148" s="9">
        <v>2</v>
      </c>
      <c r="F148" s="24">
        <v>411.49</v>
      </c>
      <c r="G148" t="s">
        <v>2545</v>
      </c>
      <c r="H148" s="6" t="s">
        <v>3067</v>
      </c>
      <c r="I148" s="6" t="s">
        <v>3072</v>
      </c>
      <c r="J148" s="6" t="s">
        <v>3221</v>
      </c>
      <c r="K148" s="9">
        <v>4</v>
      </c>
      <c r="L148" s="6" t="s">
        <v>4283</v>
      </c>
      <c r="M148" s="6" t="s">
        <v>4278</v>
      </c>
      <c r="N148" s="24">
        <v>822.98</v>
      </c>
      <c r="O148" s="22" t="str">
        <f>IF(Table2[[#This Row],[CouponCode]]="N/A", "Not Used", "Used")</f>
        <v>Not Used</v>
      </c>
    </row>
    <row r="149" spans="1:15" x14ac:dyDescent="0.3">
      <c r="A149" s="6" t="s">
        <v>161</v>
      </c>
      <c r="B149" s="2">
        <v>45783</v>
      </c>
      <c r="C149" s="6" t="s">
        <v>1361</v>
      </c>
      <c r="D149" s="6" t="s">
        <v>2408</v>
      </c>
      <c r="E149" s="9">
        <v>2</v>
      </c>
      <c r="F149" s="24">
        <v>465.18</v>
      </c>
      <c r="G149" t="s">
        <v>2546</v>
      </c>
      <c r="H149" s="6" t="s">
        <v>3067</v>
      </c>
      <c r="I149" s="6" t="s">
        <v>3071</v>
      </c>
      <c r="J149" s="6" t="s">
        <v>3222</v>
      </c>
      <c r="K149" s="9">
        <v>2</v>
      </c>
      <c r="L149" s="6" t="s">
        <v>4275</v>
      </c>
      <c r="M149" s="6" t="s">
        <v>4282</v>
      </c>
      <c r="N149" s="24">
        <v>930.36</v>
      </c>
      <c r="O149" s="22" t="str">
        <f>IF(Table2[[#This Row],[CouponCode]]="N/A", "Not Used", "Used")</f>
        <v>Used</v>
      </c>
    </row>
    <row r="150" spans="1:15" x14ac:dyDescent="0.3">
      <c r="A150" s="6" t="s">
        <v>162</v>
      </c>
      <c r="B150" s="2">
        <v>45641</v>
      </c>
      <c r="C150" s="6" t="s">
        <v>1362</v>
      </c>
      <c r="D150" s="6" t="s">
        <v>2404</v>
      </c>
      <c r="E150" s="9">
        <v>2</v>
      </c>
      <c r="F150" s="24">
        <v>319.91000000000003</v>
      </c>
      <c r="G150" t="s">
        <v>2547</v>
      </c>
      <c r="H150" s="6" t="s">
        <v>3067</v>
      </c>
      <c r="I150" s="6" t="s">
        <v>3071</v>
      </c>
      <c r="J150" s="6" t="s">
        <v>3223</v>
      </c>
      <c r="K150" s="9">
        <v>3</v>
      </c>
      <c r="L150" s="6" t="s">
        <v>4277</v>
      </c>
      <c r="M150" s="6" t="s">
        <v>4282</v>
      </c>
      <c r="N150" s="24">
        <v>639.82000000000005</v>
      </c>
      <c r="O150" s="22" t="str">
        <f>IF(Table2[[#This Row],[CouponCode]]="N/A", "Not Used", "Used")</f>
        <v>Used</v>
      </c>
    </row>
    <row r="151" spans="1:15" x14ac:dyDescent="0.3">
      <c r="A151" s="6" t="s">
        <v>163</v>
      </c>
      <c r="B151" s="2">
        <v>45287</v>
      </c>
      <c r="C151" s="6" t="s">
        <v>1363</v>
      </c>
      <c r="D151" s="6" t="s">
        <v>2408</v>
      </c>
      <c r="E151" s="9">
        <v>1</v>
      </c>
      <c r="F151" s="24">
        <v>217.56</v>
      </c>
      <c r="G151" t="s">
        <v>2548</v>
      </c>
      <c r="H151" s="6" t="s">
        <v>3065</v>
      </c>
      <c r="I151" s="6" t="s">
        <v>3073</v>
      </c>
      <c r="J151" s="6" t="s">
        <v>3224</v>
      </c>
      <c r="K151" s="9">
        <v>3</v>
      </c>
      <c r="L151" s="6" t="s">
        <v>4283</v>
      </c>
      <c r="M151" s="6" t="s">
        <v>4281</v>
      </c>
      <c r="N151" s="24">
        <v>217.56</v>
      </c>
      <c r="O151" s="22" t="str">
        <f>IF(Table2[[#This Row],[CouponCode]]="N/A", "Not Used", "Used")</f>
        <v>Not Used</v>
      </c>
    </row>
    <row r="152" spans="1:15" x14ac:dyDescent="0.3">
      <c r="A152" s="6" t="s">
        <v>164</v>
      </c>
      <c r="B152" s="2">
        <v>45273</v>
      </c>
      <c r="C152" s="6" t="s">
        <v>1364</v>
      </c>
      <c r="D152" s="6" t="s">
        <v>2404</v>
      </c>
      <c r="E152" s="9">
        <v>2</v>
      </c>
      <c r="F152" s="24">
        <v>105.57</v>
      </c>
      <c r="G152" t="s">
        <v>2549</v>
      </c>
      <c r="H152" s="6" t="s">
        <v>3065</v>
      </c>
      <c r="I152" s="6" t="s">
        <v>3072</v>
      </c>
      <c r="J152" s="6" t="s">
        <v>3225</v>
      </c>
      <c r="K152" s="9">
        <v>5</v>
      </c>
      <c r="L152" s="6" t="s">
        <v>4277</v>
      </c>
      <c r="M152" s="6" t="s">
        <v>4282</v>
      </c>
      <c r="N152" s="24">
        <v>211.14</v>
      </c>
      <c r="O152" s="22" t="str">
        <f>IF(Table2[[#This Row],[CouponCode]]="N/A", "Not Used", "Used")</f>
        <v>Used</v>
      </c>
    </row>
    <row r="153" spans="1:15" x14ac:dyDescent="0.3">
      <c r="A153" s="6" t="s">
        <v>165</v>
      </c>
      <c r="B153" s="2">
        <v>45261</v>
      </c>
      <c r="C153" s="6" t="s">
        <v>1365</v>
      </c>
      <c r="D153" s="6" t="s">
        <v>2407</v>
      </c>
      <c r="E153" s="9">
        <v>5</v>
      </c>
      <c r="F153" s="24">
        <v>444.76</v>
      </c>
      <c r="G153" t="s">
        <v>2550</v>
      </c>
      <c r="H153" s="6" t="s">
        <v>3065</v>
      </c>
      <c r="I153" s="6" t="s">
        <v>3072</v>
      </c>
      <c r="J153" s="6" t="s">
        <v>3226</v>
      </c>
      <c r="K153" s="9">
        <v>7</v>
      </c>
      <c r="L153" s="6" t="s">
        <v>4283</v>
      </c>
      <c r="M153" s="6" t="s">
        <v>4280</v>
      </c>
      <c r="N153" s="24">
        <v>2223.8000000000002</v>
      </c>
      <c r="O153" s="22" t="str">
        <f>IF(Table2[[#This Row],[CouponCode]]="N/A", "Not Used", "Used")</f>
        <v>Not Used</v>
      </c>
    </row>
    <row r="154" spans="1:15" x14ac:dyDescent="0.3">
      <c r="A154" s="6" t="s">
        <v>166</v>
      </c>
      <c r="B154" s="2">
        <v>45659</v>
      </c>
      <c r="C154" s="6" t="s">
        <v>1366</v>
      </c>
      <c r="D154" s="6" t="s">
        <v>2406</v>
      </c>
      <c r="E154" s="9">
        <v>2</v>
      </c>
      <c r="F154" s="24">
        <v>399.04</v>
      </c>
      <c r="G154" t="s">
        <v>2551</v>
      </c>
      <c r="H154" s="6" t="s">
        <v>3069</v>
      </c>
      <c r="I154" s="6" t="s">
        <v>3071</v>
      </c>
      <c r="J154" s="6" t="s">
        <v>3227</v>
      </c>
      <c r="K154" s="9">
        <v>3</v>
      </c>
      <c r="L154" s="6" t="s">
        <v>4276</v>
      </c>
      <c r="M154" s="6" t="s">
        <v>4279</v>
      </c>
      <c r="N154" s="24">
        <v>798.08</v>
      </c>
      <c r="O154" s="22" t="str">
        <f>IF(Table2[[#This Row],[CouponCode]]="N/A", "Not Used", "Used")</f>
        <v>Used</v>
      </c>
    </row>
    <row r="155" spans="1:15" x14ac:dyDescent="0.3">
      <c r="A155" s="6" t="s">
        <v>167</v>
      </c>
      <c r="B155" s="2">
        <v>45644</v>
      </c>
      <c r="C155" s="6" t="s">
        <v>1367</v>
      </c>
      <c r="D155" s="6" t="s">
        <v>2406</v>
      </c>
      <c r="E155" s="9">
        <v>4</v>
      </c>
      <c r="F155" s="24">
        <v>534.48</v>
      </c>
      <c r="G155" t="s">
        <v>2552</v>
      </c>
      <c r="H155" s="6" t="s">
        <v>3066</v>
      </c>
      <c r="I155" s="6" t="s">
        <v>3072</v>
      </c>
      <c r="J155" s="6" t="s">
        <v>3228</v>
      </c>
      <c r="K155" s="9">
        <v>9</v>
      </c>
      <c r="L155" s="6" t="s">
        <v>4277</v>
      </c>
      <c r="M155" s="6" t="s">
        <v>4278</v>
      </c>
      <c r="N155" s="24">
        <v>2137.92</v>
      </c>
      <c r="O155" s="22" t="str">
        <f>IF(Table2[[#This Row],[CouponCode]]="N/A", "Not Used", "Used")</f>
        <v>Used</v>
      </c>
    </row>
    <row r="156" spans="1:15" x14ac:dyDescent="0.3">
      <c r="A156" s="6" t="s">
        <v>168</v>
      </c>
      <c r="B156" s="2">
        <v>45127</v>
      </c>
      <c r="C156" s="6" t="s">
        <v>1368</v>
      </c>
      <c r="D156" s="6" t="s">
        <v>2404</v>
      </c>
      <c r="E156" s="9">
        <v>4</v>
      </c>
      <c r="F156" s="24">
        <v>408.21</v>
      </c>
      <c r="G156" t="s">
        <v>2525</v>
      </c>
      <c r="H156" s="6" t="s">
        <v>3067</v>
      </c>
      <c r="I156" s="6" t="s">
        <v>3074</v>
      </c>
      <c r="J156" s="6" t="s">
        <v>3229</v>
      </c>
      <c r="K156" s="9">
        <v>9</v>
      </c>
      <c r="L156" s="6" t="s">
        <v>4283</v>
      </c>
      <c r="M156" s="6" t="s">
        <v>4278</v>
      </c>
      <c r="N156" s="24">
        <v>1632.84</v>
      </c>
      <c r="O156" s="22" t="str">
        <f>IF(Table2[[#This Row],[CouponCode]]="N/A", "Not Used", "Used")</f>
        <v>Not Used</v>
      </c>
    </row>
    <row r="157" spans="1:15" x14ac:dyDescent="0.3">
      <c r="A157" s="6" t="s">
        <v>169</v>
      </c>
      <c r="B157" s="2">
        <v>44984</v>
      </c>
      <c r="C157" s="6" t="s">
        <v>1369</v>
      </c>
      <c r="D157" s="6" t="s">
        <v>2404</v>
      </c>
      <c r="E157" s="9">
        <v>1</v>
      </c>
      <c r="F157" s="24">
        <v>424.4</v>
      </c>
      <c r="G157" t="s">
        <v>2457</v>
      </c>
      <c r="H157" s="6" t="s">
        <v>3066</v>
      </c>
      <c r="I157" s="6" t="s">
        <v>3070</v>
      </c>
      <c r="J157" s="6" t="s">
        <v>3230</v>
      </c>
      <c r="K157" s="9">
        <v>6</v>
      </c>
      <c r="L157" s="6" t="s">
        <v>4277</v>
      </c>
      <c r="M157" s="6" t="s">
        <v>4279</v>
      </c>
      <c r="N157" s="24">
        <v>424.4</v>
      </c>
      <c r="O157" s="22" t="str">
        <f>IF(Table2[[#This Row],[CouponCode]]="N/A", "Not Used", "Used")</f>
        <v>Used</v>
      </c>
    </row>
    <row r="158" spans="1:15" x14ac:dyDescent="0.3">
      <c r="A158" s="6" t="s">
        <v>170</v>
      </c>
      <c r="B158" s="2">
        <v>45604</v>
      </c>
      <c r="C158" s="6" t="s">
        <v>1370</v>
      </c>
      <c r="D158" s="6" t="s">
        <v>2406</v>
      </c>
      <c r="E158" s="9">
        <v>2</v>
      </c>
      <c r="F158" s="24">
        <v>269.83</v>
      </c>
      <c r="G158" t="s">
        <v>2553</v>
      </c>
      <c r="H158" s="6" t="s">
        <v>3066</v>
      </c>
      <c r="I158" s="6" t="s">
        <v>3073</v>
      </c>
      <c r="J158" s="6" t="s">
        <v>3231</v>
      </c>
      <c r="K158" s="9">
        <v>4</v>
      </c>
      <c r="L158" s="6" t="s">
        <v>4275</v>
      </c>
      <c r="M158" s="6" t="s">
        <v>4280</v>
      </c>
      <c r="N158" s="24">
        <v>539.66</v>
      </c>
      <c r="O158" s="22" t="str">
        <f>IF(Table2[[#This Row],[CouponCode]]="N/A", "Not Used", "Used")</f>
        <v>Used</v>
      </c>
    </row>
    <row r="159" spans="1:15" x14ac:dyDescent="0.3">
      <c r="A159" s="6" t="s">
        <v>171</v>
      </c>
      <c r="B159" s="2">
        <v>45709</v>
      </c>
      <c r="C159" s="6" t="s">
        <v>1371</v>
      </c>
      <c r="D159" s="6" t="s">
        <v>2403</v>
      </c>
      <c r="E159" s="9">
        <v>2</v>
      </c>
      <c r="F159" s="24">
        <v>564.58000000000004</v>
      </c>
      <c r="G159" t="s">
        <v>2535</v>
      </c>
      <c r="H159" s="6" t="s">
        <v>3066</v>
      </c>
      <c r="I159" s="6" t="s">
        <v>3072</v>
      </c>
      <c r="J159" s="6" t="s">
        <v>3232</v>
      </c>
      <c r="K159" s="9">
        <v>4</v>
      </c>
      <c r="L159" s="6" t="s">
        <v>4277</v>
      </c>
      <c r="M159" s="6" t="s">
        <v>4281</v>
      </c>
      <c r="N159" s="24">
        <v>1129.1600000000001</v>
      </c>
      <c r="O159" s="22" t="str">
        <f>IF(Table2[[#This Row],[CouponCode]]="N/A", "Not Used", "Used")</f>
        <v>Used</v>
      </c>
    </row>
    <row r="160" spans="1:15" x14ac:dyDescent="0.3">
      <c r="A160" s="6" t="s">
        <v>172</v>
      </c>
      <c r="B160" s="2">
        <v>45428</v>
      </c>
      <c r="C160" s="6" t="s">
        <v>1372</v>
      </c>
      <c r="D160" s="6" t="s">
        <v>2405</v>
      </c>
      <c r="E160" s="9">
        <v>1</v>
      </c>
      <c r="F160" s="24">
        <v>331.06</v>
      </c>
      <c r="G160" t="s">
        <v>2554</v>
      </c>
      <c r="H160" s="6" t="s">
        <v>3067</v>
      </c>
      <c r="I160" s="6" t="s">
        <v>3074</v>
      </c>
      <c r="J160" s="6" t="s">
        <v>3233</v>
      </c>
      <c r="K160" s="9">
        <v>5</v>
      </c>
      <c r="L160" s="6" t="s">
        <v>4277</v>
      </c>
      <c r="M160" s="6" t="s">
        <v>4278</v>
      </c>
      <c r="N160" s="24">
        <v>331.06</v>
      </c>
      <c r="O160" s="22" t="str">
        <f>IF(Table2[[#This Row],[CouponCode]]="N/A", "Not Used", "Used")</f>
        <v>Used</v>
      </c>
    </row>
    <row r="161" spans="1:15" x14ac:dyDescent="0.3">
      <c r="A161" s="6" t="s">
        <v>173</v>
      </c>
      <c r="B161" s="2">
        <v>45230</v>
      </c>
      <c r="C161" s="6" t="s">
        <v>1373</v>
      </c>
      <c r="D161" s="6" t="s">
        <v>2407</v>
      </c>
      <c r="E161" s="9">
        <v>1</v>
      </c>
      <c r="F161" s="24">
        <v>299.35000000000002</v>
      </c>
      <c r="G161" t="s">
        <v>2555</v>
      </c>
      <c r="H161" s="6" t="s">
        <v>3067</v>
      </c>
      <c r="I161" s="6" t="s">
        <v>3071</v>
      </c>
      <c r="J161" s="6" t="s">
        <v>3234</v>
      </c>
      <c r="K161" s="9">
        <v>5</v>
      </c>
      <c r="L161" s="6" t="s">
        <v>4277</v>
      </c>
      <c r="M161" s="6" t="s">
        <v>4280</v>
      </c>
      <c r="N161" s="24">
        <v>299.35000000000002</v>
      </c>
      <c r="O161" s="22" t="str">
        <f>IF(Table2[[#This Row],[CouponCode]]="N/A", "Not Used", "Used")</f>
        <v>Used</v>
      </c>
    </row>
    <row r="162" spans="1:15" x14ac:dyDescent="0.3">
      <c r="A162" s="6" t="s">
        <v>174</v>
      </c>
      <c r="B162" s="2">
        <v>44974</v>
      </c>
      <c r="C162" s="6" t="s">
        <v>1374</v>
      </c>
      <c r="D162" s="6" t="s">
        <v>2403</v>
      </c>
      <c r="E162" s="9">
        <v>4</v>
      </c>
      <c r="F162" s="24">
        <v>101.32</v>
      </c>
      <c r="G162" t="s">
        <v>2556</v>
      </c>
      <c r="H162" s="6" t="s">
        <v>3069</v>
      </c>
      <c r="I162" s="6" t="s">
        <v>3074</v>
      </c>
      <c r="J162" s="6" t="s">
        <v>3235</v>
      </c>
      <c r="K162" s="9">
        <v>7</v>
      </c>
      <c r="L162" s="6" t="s">
        <v>4283</v>
      </c>
      <c r="M162" s="6" t="s">
        <v>4279</v>
      </c>
      <c r="N162" s="24">
        <v>405.28</v>
      </c>
      <c r="O162" s="22" t="str">
        <f>IF(Table2[[#This Row],[CouponCode]]="N/A", "Not Used", "Used")</f>
        <v>Not Used</v>
      </c>
    </row>
    <row r="163" spans="1:15" x14ac:dyDescent="0.3">
      <c r="A163" s="6" t="s">
        <v>175</v>
      </c>
      <c r="B163" s="2">
        <v>45380</v>
      </c>
      <c r="C163" s="6" t="s">
        <v>1375</v>
      </c>
      <c r="D163" s="6" t="s">
        <v>2403</v>
      </c>
      <c r="E163" s="9">
        <v>1</v>
      </c>
      <c r="F163" s="24">
        <v>211.14</v>
      </c>
      <c r="G163" t="s">
        <v>2532</v>
      </c>
      <c r="H163" s="6" t="s">
        <v>3067</v>
      </c>
      <c r="I163" s="6" t="s">
        <v>3071</v>
      </c>
      <c r="J163" s="6" t="s">
        <v>3236</v>
      </c>
      <c r="K163" s="9">
        <v>1</v>
      </c>
      <c r="L163" s="6" t="s">
        <v>4275</v>
      </c>
      <c r="M163" s="6" t="s">
        <v>4281</v>
      </c>
      <c r="N163" s="24">
        <v>211.14</v>
      </c>
      <c r="O163" s="22" t="str">
        <f>IF(Table2[[#This Row],[CouponCode]]="N/A", "Not Used", "Used")</f>
        <v>Used</v>
      </c>
    </row>
    <row r="164" spans="1:15" x14ac:dyDescent="0.3">
      <c r="A164" s="6" t="s">
        <v>176</v>
      </c>
      <c r="B164" s="2">
        <v>45134</v>
      </c>
      <c r="C164" s="6" t="s">
        <v>1376</v>
      </c>
      <c r="D164" s="6" t="s">
        <v>2406</v>
      </c>
      <c r="E164" s="9">
        <v>3</v>
      </c>
      <c r="F164" s="24">
        <v>65.86</v>
      </c>
      <c r="G164" t="s">
        <v>2479</v>
      </c>
      <c r="H164" s="6" t="s">
        <v>3066</v>
      </c>
      <c r="I164" s="6" t="s">
        <v>3074</v>
      </c>
      <c r="J164" s="6" t="s">
        <v>3237</v>
      </c>
      <c r="K164" s="9">
        <v>8</v>
      </c>
      <c r="L164" s="6" t="s">
        <v>4277</v>
      </c>
      <c r="M164" s="6" t="s">
        <v>4282</v>
      </c>
      <c r="N164" s="24">
        <v>197.58</v>
      </c>
      <c r="O164" s="22" t="str">
        <f>IF(Table2[[#This Row],[CouponCode]]="N/A", "Not Used", "Used")</f>
        <v>Used</v>
      </c>
    </row>
    <row r="165" spans="1:15" x14ac:dyDescent="0.3">
      <c r="A165" s="6" t="s">
        <v>177</v>
      </c>
      <c r="B165" s="2">
        <v>45832</v>
      </c>
      <c r="C165" s="6" t="s">
        <v>1377</v>
      </c>
      <c r="D165" s="6" t="s">
        <v>2405</v>
      </c>
      <c r="E165" s="9">
        <v>1</v>
      </c>
      <c r="F165" s="24">
        <v>641.39</v>
      </c>
      <c r="G165" t="s">
        <v>2557</v>
      </c>
      <c r="H165" s="6" t="s">
        <v>3066</v>
      </c>
      <c r="I165" s="6" t="s">
        <v>3071</v>
      </c>
      <c r="J165" s="6" t="s">
        <v>3238</v>
      </c>
      <c r="K165" s="9">
        <v>1</v>
      </c>
      <c r="L165" s="6" t="s">
        <v>4283</v>
      </c>
      <c r="M165" s="6" t="s">
        <v>4279</v>
      </c>
      <c r="N165" s="24">
        <v>641.39</v>
      </c>
      <c r="O165" s="22" t="str">
        <f>IF(Table2[[#This Row],[CouponCode]]="N/A", "Not Used", "Used")</f>
        <v>Not Used</v>
      </c>
    </row>
    <row r="166" spans="1:15" x14ac:dyDescent="0.3">
      <c r="A166" s="6" t="s">
        <v>178</v>
      </c>
      <c r="B166" s="2">
        <v>45288</v>
      </c>
      <c r="C166" s="6" t="s">
        <v>1378</v>
      </c>
      <c r="D166" s="6" t="s">
        <v>2409</v>
      </c>
      <c r="E166" s="9">
        <v>5</v>
      </c>
      <c r="F166" s="24">
        <v>536.58000000000004</v>
      </c>
      <c r="G166" t="s">
        <v>2558</v>
      </c>
      <c r="H166" s="6" t="s">
        <v>3068</v>
      </c>
      <c r="I166" s="6" t="s">
        <v>3074</v>
      </c>
      <c r="J166" s="6" t="s">
        <v>3239</v>
      </c>
      <c r="K166" s="9">
        <v>5</v>
      </c>
      <c r="L166" s="6" t="s">
        <v>4275</v>
      </c>
      <c r="M166" s="6" t="s">
        <v>4282</v>
      </c>
      <c r="N166" s="24">
        <v>2682.9</v>
      </c>
      <c r="O166" s="22" t="str">
        <f>IF(Table2[[#This Row],[CouponCode]]="N/A", "Not Used", "Used")</f>
        <v>Used</v>
      </c>
    </row>
    <row r="167" spans="1:15" x14ac:dyDescent="0.3">
      <c r="A167" s="6" t="s">
        <v>179</v>
      </c>
      <c r="B167" s="2">
        <v>45549</v>
      </c>
      <c r="C167" s="6" t="s">
        <v>1379</v>
      </c>
      <c r="D167" s="6" t="s">
        <v>2403</v>
      </c>
      <c r="E167" s="9">
        <v>2</v>
      </c>
      <c r="F167" s="24">
        <v>500.29</v>
      </c>
      <c r="G167" t="s">
        <v>2559</v>
      </c>
      <c r="H167" s="6" t="s">
        <v>3066</v>
      </c>
      <c r="I167" s="6" t="s">
        <v>3072</v>
      </c>
      <c r="J167" s="6" t="s">
        <v>3240</v>
      </c>
      <c r="K167" s="9">
        <v>7</v>
      </c>
      <c r="L167" s="6" t="s">
        <v>4277</v>
      </c>
      <c r="M167" s="6" t="s">
        <v>4282</v>
      </c>
      <c r="N167" s="24">
        <v>1000.58</v>
      </c>
      <c r="O167" s="22" t="str">
        <f>IF(Table2[[#This Row],[CouponCode]]="N/A", "Not Used", "Used")</f>
        <v>Used</v>
      </c>
    </row>
    <row r="168" spans="1:15" x14ac:dyDescent="0.3">
      <c r="A168" s="6" t="s">
        <v>180</v>
      </c>
      <c r="B168" s="2">
        <v>45720</v>
      </c>
      <c r="C168" s="6" t="s">
        <v>1380</v>
      </c>
      <c r="D168" s="6" t="s">
        <v>2406</v>
      </c>
      <c r="E168" s="9">
        <v>3</v>
      </c>
      <c r="F168" s="24">
        <v>86.29</v>
      </c>
      <c r="G168" t="s">
        <v>2461</v>
      </c>
      <c r="H168" s="6" t="s">
        <v>3069</v>
      </c>
      <c r="I168" s="6" t="s">
        <v>3073</v>
      </c>
      <c r="J168" s="6" t="s">
        <v>3241</v>
      </c>
      <c r="K168" s="9">
        <v>6</v>
      </c>
      <c r="L168" s="6" t="s">
        <v>4277</v>
      </c>
      <c r="M168" s="6" t="s">
        <v>4278</v>
      </c>
      <c r="N168" s="24">
        <v>258.87</v>
      </c>
      <c r="O168" s="22" t="str">
        <f>IF(Table2[[#This Row],[CouponCode]]="N/A", "Not Used", "Used")</f>
        <v>Used</v>
      </c>
    </row>
    <row r="169" spans="1:15" x14ac:dyDescent="0.3">
      <c r="A169" s="6" t="s">
        <v>181</v>
      </c>
      <c r="B169" s="2">
        <v>45073</v>
      </c>
      <c r="C169" s="6" t="s">
        <v>1381</v>
      </c>
      <c r="D169" s="6" t="s">
        <v>2406</v>
      </c>
      <c r="E169" s="9">
        <v>2</v>
      </c>
      <c r="F169" s="24">
        <v>384.14</v>
      </c>
      <c r="G169" t="s">
        <v>2560</v>
      </c>
      <c r="H169" s="6" t="s">
        <v>3066</v>
      </c>
      <c r="I169" s="6" t="s">
        <v>3072</v>
      </c>
      <c r="J169" s="6" t="s">
        <v>3242</v>
      </c>
      <c r="K169" s="9">
        <v>2</v>
      </c>
      <c r="L169" s="6" t="s">
        <v>4277</v>
      </c>
      <c r="M169" s="6" t="s">
        <v>4280</v>
      </c>
      <c r="N169" s="24">
        <v>768.28</v>
      </c>
      <c r="O169" s="22" t="str">
        <f>IF(Table2[[#This Row],[CouponCode]]="N/A", "Not Used", "Used")</f>
        <v>Used</v>
      </c>
    </row>
    <row r="170" spans="1:15" x14ac:dyDescent="0.3">
      <c r="A170" s="6" t="s">
        <v>182</v>
      </c>
      <c r="B170" s="2">
        <v>45661</v>
      </c>
      <c r="C170" s="6" t="s">
        <v>1382</v>
      </c>
      <c r="D170" s="6" t="s">
        <v>2407</v>
      </c>
      <c r="E170" s="9">
        <v>1</v>
      </c>
      <c r="F170" s="24">
        <v>594.96</v>
      </c>
      <c r="G170" t="s">
        <v>2561</v>
      </c>
      <c r="H170" s="6" t="s">
        <v>3069</v>
      </c>
      <c r="I170" s="6" t="s">
        <v>3072</v>
      </c>
      <c r="J170" s="6" t="s">
        <v>3243</v>
      </c>
      <c r="K170" s="9">
        <v>6</v>
      </c>
      <c r="L170" s="6" t="s">
        <v>4283</v>
      </c>
      <c r="M170" s="6" t="s">
        <v>4281</v>
      </c>
      <c r="N170" s="24">
        <v>594.96</v>
      </c>
      <c r="O170" s="22" t="str">
        <f>IF(Table2[[#This Row],[CouponCode]]="N/A", "Not Used", "Used")</f>
        <v>Not Used</v>
      </c>
    </row>
    <row r="171" spans="1:15" x14ac:dyDescent="0.3">
      <c r="A171" s="6" t="s">
        <v>183</v>
      </c>
      <c r="B171" s="2">
        <v>45389</v>
      </c>
      <c r="C171" s="6" t="s">
        <v>1383</v>
      </c>
      <c r="D171" s="6" t="s">
        <v>2407</v>
      </c>
      <c r="E171" s="9">
        <v>1</v>
      </c>
      <c r="F171" s="24">
        <v>427.82</v>
      </c>
      <c r="G171" t="s">
        <v>2562</v>
      </c>
      <c r="H171" s="6" t="s">
        <v>3066</v>
      </c>
      <c r="I171" s="6" t="s">
        <v>3073</v>
      </c>
      <c r="J171" s="6" t="s">
        <v>3244</v>
      </c>
      <c r="K171" s="9">
        <v>2</v>
      </c>
      <c r="L171" s="6" t="s">
        <v>4277</v>
      </c>
      <c r="M171" s="6" t="s">
        <v>4280</v>
      </c>
      <c r="N171" s="24">
        <v>427.82</v>
      </c>
      <c r="O171" s="22" t="str">
        <f>IF(Table2[[#This Row],[CouponCode]]="N/A", "Not Used", "Used")</f>
        <v>Used</v>
      </c>
    </row>
    <row r="172" spans="1:15" x14ac:dyDescent="0.3">
      <c r="A172" s="6" t="s">
        <v>184</v>
      </c>
      <c r="B172" s="2">
        <v>45751</v>
      </c>
      <c r="C172" s="6" t="s">
        <v>1384</v>
      </c>
      <c r="D172" s="6" t="s">
        <v>2409</v>
      </c>
      <c r="E172" s="9">
        <v>4</v>
      </c>
      <c r="F172" s="24">
        <v>662.94</v>
      </c>
      <c r="G172" t="s">
        <v>2563</v>
      </c>
      <c r="H172" s="6" t="s">
        <v>3069</v>
      </c>
      <c r="I172" s="6" t="s">
        <v>3071</v>
      </c>
      <c r="J172" s="6" t="s">
        <v>3245</v>
      </c>
      <c r="K172" s="9">
        <v>8</v>
      </c>
      <c r="L172" s="6" t="s">
        <v>4275</v>
      </c>
      <c r="M172" s="6" t="s">
        <v>4278</v>
      </c>
      <c r="N172" s="24">
        <v>2651.76</v>
      </c>
      <c r="O172" s="22" t="str">
        <f>IF(Table2[[#This Row],[CouponCode]]="N/A", "Not Used", "Used")</f>
        <v>Used</v>
      </c>
    </row>
    <row r="173" spans="1:15" x14ac:dyDescent="0.3">
      <c r="A173" s="6" t="s">
        <v>185</v>
      </c>
      <c r="B173" s="2">
        <v>45153</v>
      </c>
      <c r="C173" s="6" t="s">
        <v>1385</v>
      </c>
      <c r="D173" s="6" t="s">
        <v>2405</v>
      </c>
      <c r="E173" s="9">
        <v>2</v>
      </c>
      <c r="F173" s="24">
        <v>148.22</v>
      </c>
      <c r="G173" t="s">
        <v>2564</v>
      </c>
      <c r="H173" s="6" t="s">
        <v>3067</v>
      </c>
      <c r="I173" s="6" t="s">
        <v>3073</v>
      </c>
      <c r="J173" s="6" t="s">
        <v>3246</v>
      </c>
      <c r="K173" s="9">
        <v>7</v>
      </c>
      <c r="L173" s="6" t="s">
        <v>4277</v>
      </c>
      <c r="M173" s="6" t="s">
        <v>4278</v>
      </c>
      <c r="N173" s="24">
        <v>296.44</v>
      </c>
      <c r="O173" s="22" t="str">
        <f>IF(Table2[[#This Row],[CouponCode]]="N/A", "Not Used", "Used")</f>
        <v>Used</v>
      </c>
    </row>
    <row r="174" spans="1:15" x14ac:dyDescent="0.3">
      <c r="A174" s="6" t="s">
        <v>186</v>
      </c>
      <c r="B174" s="2">
        <v>45753</v>
      </c>
      <c r="C174" s="6" t="s">
        <v>1386</v>
      </c>
      <c r="D174" s="6" t="s">
        <v>2407</v>
      </c>
      <c r="E174" s="9">
        <v>1</v>
      </c>
      <c r="F174" s="24">
        <v>254.12</v>
      </c>
      <c r="G174" t="s">
        <v>2529</v>
      </c>
      <c r="H174" s="6" t="s">
        <v>3066</v>
      </c>
      <c r="I174" s="6" t="s">
        <v>3073</v>
      </c>
      <c r="J174" s="6" t="s">
        <v>3247</v>
      </c>
      <c r="K174" s="9">
        <v>1</v>
      </c>
      <c r="L174" s="6" t="s">
        <v>4277</v>
      </c>
      <c r="M174" s="6" t="s">
        <v>4280</v>
      </c>
      <c r="N174" s="24">
        <v>254.12</v>
      </c>
      <c r="O174" s="22" t="str">
        <f>IF(Table2[[#This Row],[CouponCode]]="N/A", "Not Used", "Used")</f>
        <v>Used</v>
      </c>
    </row>
    <row r="175" spans="1:15" x14ac:dyDescent="0.3">
      <c r="A175" s="6" t="s">
        <v>187</v>
      </c>
      <c r="B175" s="2">
        <v>45375</v>
      </c>
      <c r="C175" s="6" t="s">
        <v>1387</v>
      </c>
      <c r="D175" s="6" t="s">
        <v>2404</v>
      </c>
      <c r="E175" s="9">
        <v>3</v>
      </c>
      <c r="F175" s="24">
        <v>664.46</v>
      </c>
      <c r="G175" t="s">
        <v>2565</v>
      </c>
      <c r="H175" s="6" t="s">
        <v>3066</v>
      </c>
      <c r="I175" s="6" t="s">
        <v>3073</v>
      </c>
      <c r="J175" s="6" t="s">
        <v>3248</v>
      </c>
      <c r="K175" s="9">
        <v>4</v>
      </c>
      <c r="L175" s="6" t="s">
        <v>4276</v>
      </c>
      <c r="M175" s="6" t="s">
        <v>4282</v>
      </c>
      <c r="N175" s="24">
        <v>1993.38</v>
      </c>
      <c r="O175" s="22" t="str">
        <f>IF(Table2[[#This Row],[CouponCode]]="N/A", "Not Used", "Used")</f>
        <v>Used</v>
      </c>
    </row>
    <row r="176" spans="1:15" x14ac:dyDescent="0.3">
      <c r="A176" s="6" t="s">
        <v>188</v>
      </c>
      <c r="B176" s="2">
        <v>45398</v>
      </c>
      <c r="C176" s="6" t="s">
        <v>1388</v>
      </c>
      <c r="D176" s="6" t="s">
        <v>2407</v>
      </c>
      <c r="E176" s="9">
        <v>4</v>
      </c>
      <c r="F176" s="24">
        <v>600.80999999999995</v>
      </c>
      <c r="G176" t="s">
        <v>2566</v>
      </c>
      <c r="H176" s="6" t="s">
        <v>3065</v>
      </c>
      <c r="I176" s="6" t="s">
        <v>3073</v>
      </c>
      <c r="J176" s="6" t="s">
        <v>3249</v>
      </c>
      <c r="K176" s="9">
        <v>9</v>
      </c>
      <c r="L176" s="6" t="s">
        <v>4275</v>
      </c>
      <c r="M176" s="6" t="s">
        <v>4280</v>
      </c>
      <c r="N176" s="24">
        <v>2403.2399999999998</v>
      </c>
      <c r="O176" s="22" t="str">
        <f>IF(Table2[[#This Row],[CouponCode]]="N/A", "Not Used", "Used")</f>
        <v>Used</v>
      </c>
    </row>
    <row r="177" spans="1:15" x14ac:dyDescent="0.3">
      <c r="A177" s="6" t="s">
        <v>189</v>
      </c>
      <c r="B177" s="2">
        <v>45696</v>
      </c>
      <c r="C177" s="6" t="s">
        <v>1389</v>
      </c>
      <c r="D177" s="6" t="s">
        <v>2406</v>
      </c>
      <c r="E177" s="9">
        <v>5</v>
      </c>
      <c r="F177" s="24">
        <v>68.34</v>
      </c>
      <c r="G177" t="s">
        <v>2567</v>
      </c>
      <c r="H177" s="6" t="s">
        <v>3065</v>
      </c>
      <c r="I177" s="6" t="s">
        <v>3074</v>
      </c>
      <c r="J177" s="6" t="s">
        <v>3250</v>
      </c>
      <c r="K177" s="9">
        <v>6</v>
      </c>
      <c r="L177" s="6" t="s">
        <v>4277</v>
      </c>
      <c r="M177" s="6" t="s">
        <v>4279</v>
      </c>
      <c r="N177" s="24">
        <v>341.7</v>
      </c>
      <c r="O177" s="22" t="str">
        <f>IF(Table2[[#This Row],[CouponCode]]="N/A", "Not Used", "Used")</f>
        <v>Used</v>
      </c>
    </row>
    <row r="178" spans="1:15" x14ac:dyDescent="0.3">
      <c r="A178" s="6" t="s">
        <v>190</v>
      </c>
      <c r="B178" s="2">
        <v>45836</v>
      </c>
      <c r="C178" s="6" t="s">
        <v>1390</v>
      </c>
      <c r="D178" s="6" t="s">
        <v>2405</v>
      </c>
      <c r="E178" s="9">
        <v>4</v>
      </c>
      <c r="F178" s="24">
        <v>430.83</v>
      </c>
      <c r="G178" t="s">
        <v>2568</v>
      </c>
      <c r="H178" s="6" t="s">
        <v>3068</v>
      </c>
      <c r="I178" s="6" t="s">
        <v>3074</v>
      </c>
      <c r="J178" s="6" t="s">
        <v>3251</v>
      </c>
      <c r="K178" s="9">
        <v>8</v>
      </c>
      <c r="L178" s="6" t="s">
        <v>4277</v>
      </c>
      <c r="M178" s="6" t="s">
        <v>4279</v>
      </c>
      <c r="N178" s="24">
        <v>1723.32</v>
      </c>
      <c r="O178" s="22" t="str">
        <f>IF(Table2[[#This Row],[CouponCode]]="N/A", "Not Used", "Used")</f>
        <v>Used</v>
      </c>
    </row>
    <row r="179" spans="1:15" x14ac:dyDescent="0.3">
      <c r="A179" s="6" t="s">
        <v>191</v>
      </c>
      <c r="B179" s="2">
        <v>45143</v>
      </c>
      <c r="C179" s="6" t="s">
        <v>1391</v>
      </c>
      <c r="D179" s="6" t="s">
        <v>2406</v>
      </c>
      <c r="E179" s="9">
        <v>5</v>
      </c>
      <c r="F179" s="24">
        <v>431.69</v>
      </c>
      <c r="G179" t="s">
        <v>2569</v>
      </c>
      <c r="H179" s="6" t="s">
        <v>3067</v>
      </c>
      <c r="I179" s="6" t="s">
        <v>3074</v>
      </c>
      <c r="J179" s="6" t="s">
        <v>3252</v>
      </c>
      <c r="K179" s="9">
        <v>10</v>
      </c>
      <c r="L179" s="6" t="s">
        <v>4283</v>
      </c>
      <c r="M179" s="6" t="s">
        <v>4281</v>
      </c>
      <c r="N179" s="24">
        <v>2158.4499999999998</v>
      </c>
      <c r="O179" s="22" t="str">
        <f>IF(Table2[[#This Row],[CouponCode]]="N/A", "Not Used", "Used")</f>
        <v>Not Used</v>
      </c>
    </row>
    <row r="180" spans="1:15" x14ac:dyDescent="0.3">
      <c r="A180" s="6" t="s">
        <v>192</v>
      </c>
      <c r="B180" s="2">
        <v>45393</v>
      </c>
      <c r="C180" s="6" t="s">
        <v>1392</v>
      </c>
      <c r="D180" s="6" t="s">
        <v>2406</v>
      </c>
      <c r="E180" s="9">
        <v>4</v>
      </c>
      <c r="F180" s="24">
        <v>512.05999999999995</v>
      </c>
      <c r="G180" t="s">
        <v>2570</v>
      </c>
      <c r="H180" s="6" t="s">
        <v>3066</v>
      </c>
      <c r="I180" s="6" t="s">
        <v>3073</v>
      </c>
      <c r="J180" s="6" t="s">
        <v>3253</v>
      </c>
      <c r="K180" s="9">
        <v>5</v>
      </c>
      <c r="L180" s="6" t="s">
        <v>4275</v>
      </c>
      <c r="M180" s="6" t="s">
        <v>4282</v>
      </c>
      <c r="N180" s="24">
        <v>2048.2399999999998</v>
      </c>
      <c r="O180" s="22" t="str">
        <f>IF(Table2[[#This Row],[CouponCode]]="N/A", "Not Used", "Used")</f>
        <v>Used</v>
      </c>
    </row>
    <row r="181" spans="1:15" x14ac:dyDescent="0.3">
      <c r="A181" s="6" t="s">
        <v>193</v>
      </c>
      <c r="B181" s="2">
        <v>45620</v>
      </c>
      <c r="C181" s="6" t="s">
        <v>1393</v>
      </c>
      <c r="D181" s="6" t="s">
        <v>2408</v>
      </c>
      <c r="E181" s="9">
        <v>3</v>
      </c>
      <c r="F181" s="24">
        <v>539.91</v>
      </c>
      <c r="G181" t="s">
        <v>2571</v>
      </c>
      <c r="H181" s="6" t="s">
        <v>3067</v>
      </c>
      <c r="I181" s="6" t="s">
        <v>3073</v>
      </c>
      <c r="J181" s="6" t="s">
        <v>3254</v>
      </c>
      <c r="K181" s="9">
        <v>8</v>
      </c>
      <c r="L181" s="6" t="s">
        <v>4283</v>
      </c>
      <c r="M181" s="6" t="s">
        <v>4280</v>
      </c>
      <c r="N181" s="24">
        <v>1619.73</v>
      </c>
      <c r="O181" s="22" t="str">
        <f>IF(Table2[[#This Row],[CouponCode]]="N/A", "Not Used", "Used")</f>
        <v>Not Used</v>
      </c>
    </row>
    <row r="182" spans="1:15" x14ac:dyDescent="0.3">
      <c r="A182" s="6" t="s">
        <v>194</v>
      </c>
      <c r="B182" s="2">
        <v>45003</v>
      </c>
      <c r="C182" s="6" t="s">
        <v>1394</v>
      </c>
      <c r="D182" s="6" t="s">
        <v>2405</v>
      </c>
      <c r="E182" s="9">
        <v>5</v>
      </c>
      <c r="F182" s="24">
        <v>316.07</v>
      </c>
      <c r="G182" t="s">
        <v>2572</v>
      </c>
      <c r="H182" s="6" t="s">
        <v>3069</v>
      </c>
      <c r="I182" s="6" t="s">
        <v>3072</v>
      </c>
      <c r="J182" s="6" t="s">
        <v>3255</v>
      </c>
      <c r="K182" s="9">
        <v>10</v>
      </c>
      <c r="L182" s="6" t="s">
        <v>4283</v>
      </c>
      <c r="M182" s="6" t="s">
        <v>4282</v>
      </c>
      <c r="N182" s="24">
        <v>1580.35</v>
      </c>
      <c r="O182" s="22" t="str">
        <f>IF(Table2[[#This Row],[CouponCode]]="N/A", "Not Used", "Used")</f>
        <v>Not Used</v>
      </c>
    </row>
    <row r="183" spans="1:15" x14ac:dyDescent="0.3">
      <c r="A183" s="6" t="s">
        <v>195</v>
      </c>
      <c r="B183" s="2">
        <v>45535</v>
      </c>
      <c r="C183" s="6" t="s">
        <v>1395</v>
      </c>
      <c r="D183" s="6" t="s">
        <v>2407</v>
      </c>
      <c r="E183" s="9">
        <v>5</v>
      </c>
      <c r="F183" s="24">
        <v>404.39</v>
      </c>
      <c r="G183" t="s">
        <v>2573</v>
      </c>
      <c r="H183" s="6" t="s">
        <v>3066</v>
      </c>
      <c r="I183" s="6" t="s">
        <v>3070</v>
      </c>
      <c r="J183" s="6" t="s">
        <v>3256</v>
      </c>
      <c r="K183" s="9">
        <v>10</v>
      </c>
      <c r="L183" s="6" t="s">
        <v>4283</v>
      </c>
      <c r="M183" s="6" t="s">
        <v>4279</v>
      </c>
      <c r="N183" s="24">
        <v>2021.95</v>
      </c>
      <c r="O183" s="22" t="str">
        <f>IF(Table2[[#This Row],[CouponCode]]="N/A", "Not Used", "Used")</f>
        <v>Not Used</v>
      </c>
    </row>
    <row r="184" spans="1:15" x14ac:dyDescent="0.3">
      <c r="A184" s="6" t="s">
        <v>196</v>
      </c>
      <c r="B184" s="2">
        <v>45735</v>
      </c>
      <c r="C184" s="6" t="s">
        <v>1396</v>
      </c>
      <c r="D184" s="6" t="s">
        <v>2409</v>
      </c>
      <c r="E184" s="9">
        <v>1</v>
      </c>
      <c r="F184" s="24">
        <v>600.54</v>
      </c>
      <c r="G184" t="s">
        <v>2574</v>
      </c>
      <c r="H184" s="6" t="s">
        <v>3065</v>
      </c>
      <c r="I184" s="6" t="s">
        <v>3074</v>
      </c>
      <c r="J184" s="6" t="s">
        <v>3257</v>
      </c>
      <c r="K184" s="9">
        <v>4</v>
      </c>
      <c r="L184" s="6" t="s">
        <v>4277</v>
      </c>
      <c r="M184" s="6" t="s">
        <v>4282</v>
      </c>
      <c r="N184" s="24">
        <v>600.54</v>
      </c>
      <c r="O184" s="22" t="str">
        <f>IF(Table2[[#This Row],[CouponCode]]="N/A", "Not Used", "Used")</f>
        <v>Used</v>
      </c>
    </row>
    <row r="185" spans="1:15" x14ac:dyDescent="0.3">
      <c r="A185" s="6" t="s">
        <v>197</v>
      </c>
      <c r="B185" s="2">
        <v>45400</v>
      </c>
      <c r="C185" s="6" t="s">
        <v>1397</v>
      </c>
      <c r="D185" s="6" t="s">
        <v>2403</v>
      </c>
      <c r="E185" s="9">
        <v>5</v>
      </c>
      <c r="F185" s="24">
        <v>186.28</v>
      </c>
      <c r="G185" t="s">
        <v>2575</v>
      </c>
      <c r="H185" s="6" t="s">
        <v>3065</v>
      </c>
      <c r="I185" s="6" t="s">
        <v>3073</v>
      </c>
      <c r="J185" s="6" t="s">
        <v>3258</v>
      </c>
      <c r="K185" s="9">
        <v>8</v>
      </c>
      <c r="L185" s="6" t="s">
        <v>4275</v>
      </c>
      <c r="M185" s="6" t="s">
        <v>4280</v>
      </c>
      <c r="N185" s="24">
        <v>931.4</v>
      </c>
      <c r="O185" s="22" t="str">
        <f>IF(Table2[[#This Row],[CouponCode]]="N/A", "Not Used", "Used")</f>
        <v>Used</v>
      </c>
    </row>
    <row r="186" spans="1:15" x14ac:dyDescent="0.3">
      <c r="A186" s="6" t="s">
        <v>198</v>
      </c>
      <c r="B186" s="2">
        <v>45386</v>
      </c>
      <c r="C186" s="6" t="s">
        <v>1398</v>
      </c>
      <c r="D186" s="6" t="s">
        <v>2405</v>
      </c>
      <c r="E186" s="9">
        <v>4</v>
      </c>
      <c r="F186" s="24">
        <v>214.54</v>
      </c>
      <c r="G186" t="s">
        <v>2576</v>
      </c>
      <c r="H186" s="6" t="s">
        <v>3068</v>
      </c>
      <c r="I186" s="6" t="s">
        <v>3071</v>
      </c>
      <c r="J186" s="6" t="s">
        <v>3259</v>
      </c>
      <c r="K186" s="9">
        <v>7</v>
      </c>
      <c r="L186" s="6" t="s">
        <v>4283</v>
      </c>
      <c r="M186" s="6" t="s">
        <v>4279</v>
      </c>
      <c r="N186" s="24">
        <v>858.16</v>
      </c>
      <c r="O186" s="22" t="str">
        <f>IF(Table2[[#This Row],[CouponCode]]="N/A", "Not Used", "Used")</f>
        <v>Not Used</v>
      </c>
    </row>
    <row r="187" spans="1:15" x14ac:dyDescent="0.3">
      <c r="A187" s="6" t="s">
        <v>199</v>
      </c>
      <c r="B187" s="2">
        <v>45690</v>
      </c>
      <c r="C187" s="6" t="s">
        <v>1399</v>
      </c>
      <c r="D187" s="6" t="s">
        <v>2408</v>
      </c>
      <c r="E187" s="9">
        <v>1</v>
      </c>
      <c r="F187" s="24">
        <v>210.7</v>
      </c>
      <c r="G187" t="s">
        <v>2577</v>
      </c>
      <c r="H187" s="6" t="s">
        <v>3066</v>
      </c>
      <c r="I187" s="6" t="s">
        <v>3070</v>
      </c>
      <c r="J187" s="6" t="s">
        <v>3260</v>
      </c>
      <c r="K187" s="9">
        <v>2</v>
      </c>
      <c r="L187" s="6" t="s">
        <v>4277</v>
      </c>
      <c r="M187" s="6" t="s">
        <v>4279</v>
      </c>
      <c r="N187" s="24">
        <v>210.7</v>
      </c>
      <c r="O187" s="22" t="str">
        <f>IF(Table2[[#This Row],[CouponCode]]="N/A", "Not Used", "Used")</f>
        <v>Used</v>
      </c>
    </row>
    <row r="188" spans="1:15" x14ac:dyDescent="0.3">
      <c r="A188" s="6" t="s">
        <v>200</v>
      </c>
      <c r="B188" s="2">
        <v>45267</v>
      </c>
      <c r="C188" s="6" t="s">
        <v>1400</v>
      </c>
      <c r="D188" s="6" t="s">
        <v>2404</v>
      </c>
      <c r="E188" s="9">
        <v>2</v>
      </c>
      <c r="F188" s="24">
        <v>133.55000000000001</v>
      </c>
      <c r="G188" t="s">
        <v>2578</v>
      </c>
      <c r="H188" s="6" t="s">
        <v>3069</v>
      </c>
      <c r="I188" s="6" t="s">
        <v>3074</v>
      </c>
      <c r="J188" s="6" t="s">
        <v>3261</v>
      </c>
      <c r="K188" s="9">
        <v>7</v>
      </c>
      <c r="L188" s="6" t="s">
        <v>4276</v>
      </c>
      <c r="M188" s="6" t="s">
        <v>4281</v>
      </c>
      <c r="N188" s="24">
        <v>267.10000000000002</v>
      </c>
      <c r="O188" s="22" t="str">
        <f>IF(Table2[[#This Row],[CouponCode]]="N/A", "Not Used", "Used")</f>
        <v>Used</v>
      </c>
    </row>
    <row r="189" spans="1:15" x14ac:dyDescent="0.3">
      <c r="A189" s="6" t="s">
        <v>201</v>
      </c>
      <c r="B189" s="2">
        <v>44965</v>
      </c>
      <c r="C189" s="6" t="s">
        <v>1401</v>
      </c>
      <c r="D189" s="6" t="s">
        <v>2406</v>
      </c>
      <c r="E189" s="9">
        <v>1</v>
      </c>
      <c r="F189" s="24">
        <v>590.87</v>
      </c>
      <c r="G189" t="s">
        <v>2579</v>
      </c>
      <c r="H189" s="6" t="s">
        <v>3068</v>
      </c>
      <c r="I189" s="6" t="s">
        <v>3072</v>
      </c>
      <c r="J189" s="6" t="s">
        <v>3262</v>
      </c>
      <c r="K189" s="9">
        <v>6</v>
      </c>
      <c r="L189" s="6" t="s">
        <v>4276</v>
      </c>
      <c r="M189" s="6" t="s">
        <v>4279</v>
      </c>
      <c r="N189" s="24">
        <v>590.87</v>
      </c>
      <c r="O189" s="22" t="str">
        <f>IF(Table2[[#This Row],[CouponCode]]="N/A", "Not Used", "Used")</f>
        <v>Used</v>
      </c>
    </row>
    <row r="190" spans="1:15" x14ac:dyDescent="0.3">
      <c r="A190" s="6" t="s">
        <v>202</v>
      </c>
      <c r="B190" s="2">
        <v>45731</v>
      </c>
      <c r="C190" s="6" t="s">
        <v>1402</v>
      </c>
      <c r="D190" s="6" t="s">
        <v>2406</v>
      </c>
      <c r="E190" s="9">
        <v>2</v>
      </c>
      <c r="F190" s="24">
        <v>363.91</v>
      </c>
      <c r="G190" t="s">
        <v>2580</v>
      </c>
      <c r="H190" s="6" t="s">
        <v>3068</v>
      </c>
      <c r="I190" s="6" t="s">
        <v>3070</v>
      </c>
      <c r="J190" s="6" t="s">
        <v>3263</v>
      </c>
      <c r="K190" s="9">
        <v>2</v>
      </c>
      <c r="L190" s="6" t="s">
        <v>4276</v>
      </c>
      <c r="M190" s="6" t="s">
        <v>4279</v>
      </c>
      <c r="N190" s="24">
        <v>727.82</v>
      </c>
      <c r="O190" s="22" t="str">
        <f>IF(Table2[[#This Row],[CouponCode]]="N/A", "Not Used", "Used")</f>
        <v>Used</v>
      </c>
    </row>
    <row r="191" spans="1:15" x14ac:dyDescent="0.3">
      <c r="A191" s="6" t="s">
        <v>203</v>
      </c>
      <c r="B191" s="2">
        <v>45112</v>
      </c>
      <c r="C191" s="6" t="s">
        <v>1403</v>
      </c>
      <c r="D191" s="6" t="s">
        <v>2407</v>
      </c>
      <c r="E191" s="9">
        <v>5</v>
      </c>
      <c r="F191" s="24">
        <v>429.45</v>
      </c>
      <c r="G191" t="s">
        <v>2581</v>
      </c>
      <c r="H191" s="6" t="s">
        <v>3068</v>
      </c>
      <c r="I191" s="6" t="s">
        <v>3071</v>
      </c>
      <c r="J191" s="6" t="s">
        <v>3264</v>
      </c>
      <c r="K191" s="9">
        <v>5</v>
      </c>
      <c r="L191" s="6" t="s">
        <v>4277</v>
      </c>
      <c r="M191" s="6" t="s">
        <v>4280</v>
      </c>
      <c r="N191" s="24">
        <v>2147.25</v>
      </c>
      <c r="O191" s="22" t="str">
        <f>IF(Table2[[#This Row],[CouponCode]]="N/A", "Not Used", "Used")</f>
        <v>Used</v>
      </c>
    </row>
    <row r="192" spans="1:15" x14ac:dyDescent="0.3">
      <c r="A192" s="6" t="s">
        <v>204</v>
      </c>
      <c r="B192" s="2">
        <v>45535</v>
      </c>
      <c r="C192" s="6" t="s">
        <v>1404</v>
      </c>
      <c r="D192" s="6" t="s">
        <v>2407</v>
      </c>
      <c r="E192" s="9">
        <v>3</v>
      </c>
      <c r="F192" s="24">
        <v>223.7</v>
      </c>
      <c r="G192" t="s">
        <v>2582</v>
      </c>
      <c r="H192" s="6" t="s">
        <v>3069</v>
      </c>
      <c r="I192" s="6" t="s">
        <v>3072</v>
      </c>
      <c r="J192" s="6" t="s">
        <v>3265</v>
      </c>
      <c r="K192" s="9">
        <v>3</v>
      </c>
      <c r="L192" s="6" t="s">
        <v>4275</v>
      </c>
      <c r="M192" s="6" t="s">
        <v>4280</v>
      </c>
      <c r="N192" s="24">
        <v>671.09999999999991</v>
      </c>
      <c r="O192" s="22" t="str">
        <f>IF(Table2[[#This Row],[CouponCode]]="N/A", "Not Used", "Used")</f>
        <v>Used</v>
      </c>
    </row>
    <row r="193" spans="1:15" x14ac:dyDescent="0.3">
      <c r="A193" s="6" t="s">
        <v>205</v>
      </c>
      <c r="B193" s="2">
        <v>45724</v>
      </c>
      <c r="C193" s="6" t="s">
        <v>1405</v>
      </c>
      <c r="D193" s="6" t="s">
        <v>2408</v>
      </c>
      <c r="E193" s="9">
        <v>2</v>
      </c>
      <c r="F193" s="24">
        <v>488.87</v>
      </c>
      <c r="G193" t="s">
        <v>2583</v>
      </c>
      <c r="H193" s="6" t="s">
        <v>3066</v>
      </c>
      <c r="I193" s="6" t="s">
        <v>3071</v>
      </c>
      <c r="J193" s="6" t="s">
        <v>3266</v>
      </c>
      <c r="K193" s="9">
        <v>4</v>
      </c>
      <c r="L193" s="6" t="s">
        <v>4276</v>
      </c>
      <c r="M193" s="6" t="s">
        <v>4282</v>
      </c>
      <c r="N193" s="24">
        <v>977.74</v>
      </c>
      <c r="O193" s="22" t="str">
        <f>IF(Table2[[#This Row],[CouponCode]]="N/A", "Not Used", "Used")</f>
        <v>Used</v>
      </c>
    </row>
    <row r="194" spans="1:15" x14ac:dyDescent="0.3">
      <c r="A194" s="6" t="s">
        <v>206</v>
      </c>
      <c r="B194" s="2">
        <v>45149</v>
      </c>
      <c r="C194" s="6" t="s">
        <v>1406</v>
      </c>
      <c r="D194" s="6" t="s">
        <v>2409</v>
      </c>
      <c r="E194" s="9">
        <v>1</v>
      </c>
      <c r="F194" s="24">
        <v>645.46</v>
      </c>
      <c r="G194" t="s">
        <v>2541</v>
      </c>
      <c r="H194" s="6" t="s">
        <v>3068</v>
      </c>
      <c r="I194" s="6" t="s">
        <v>3071</v>
      </c>
      <c r="J194" s="6" t="s">
        <v>3267</v>
      </c>
      <c r="K194" s="9">
        <v>5</v>
      </c>
      <c r="L194" s="6" t="s">
        <v>4275</v>
      </c>
      <c r="M194" s="6" t="s">
        <v>4282</v>
      </c>
      <c r="N194" s="24">
        <v>645.46</v>
      </c>
      <c r="O194" s="22" t="str">
        <f>IF(Table2[[#This Row],[CouponCode]]="N/A", "Not Used", "Used")</f>
        <v>Used</v>
      </c>
    </row>
    <row r="195" spans="1:15" x14ac:dyDescent="0.3">
      <c r="A195" s="6" t="s">
        <v>207</v>
      </c>
      <c r="B195" s="2">
        <v>45128</v>
      </c>
      <c r="C195" s="6" t="s">
        <v>1407</v>
      </c>
      <c r="D195" s="6" t="s">
        <v>2407</v>
      </c>
      <c r="E195" s="9">
        <v>1</v>
      </c>
      <c r="F195" s="24">
        <v>46.66</v>
      </c>
      <c r="G195" t="s">
        <v>2584</v>
      </c>
      <c r="H195" s="6" t="s">
        <v>3069</v>
      </c>
      <c r="I195" s="6" t="s">
        <v>3071</v>
      </c>
      <c r="J195" s="6" t="s">
        <v>3268</v>
      </c>
      <c r="K195" s="9">
        <v>6</v>
      </c>
      <c r="L195" s="6" t="s">
        <v>4283</v>
      </c>
      <c r="M195" s="6" t="s">
        <v>4282</v>
      </c>
      <c r="N195" s="24">
        <v>46.66</v>
      </c>
      <c r="O195" s="22" t="str">
        <f>IF(Table2[[#This Row],[CouponCode]]="N/A", "Not Used", "Used")</f>
        <v>Not Used</v>
      </c>
    </row>
    <row r="196" spans="1:15" x14ac:dyDescent="0.3">
      <c r="A196" s="6" t="s">
        <v>208</v>
      </c>
      <c r="B196" s="2">
        <v>45451</v>
      </c>
      <c r="C196" s="6" t="s">
        <v>1408</v>
      </c>
      <c r="D196" s="6" t="s">
        <v>2403</v>
      </c>
      <c r="E196" s="9">
        <v>1</v>
      </c>
      <c r="F196" s="24">
        <v>249.57</v>
      </c>
      <c r="G196" t="s">
        <v>2585</v>
      </c>
      <c r="H196" s="6" t="s">
        <v>3069</v>
      </c>
      <c r="I196" s="6" t="s">
        <v>3070</v>
      </c>
      <c r="J196" s="6" t="s">
        <v>3269</v>
      </c>
      <c r="K196" s="9">
        <v>3</v>
      </c>
      <c r="L196" s="6" t="s">
        <v>4276</v>
      </c>
      <c r="M196" s="6" t="s">
        <v>4282</v>
      </c>
      <c r="N196" s="24">
        <v>249.57</v>
      </c>
      <c r="O196" s="22" t="str">
        <f>IF(Table2[[#This Row],[CouponCode]]="N/A", "Not Used", "Used")</f>
        <v>Used</v>
      </c>
    </row>
    <row r="197" spans="1:15" x14ac:dyDescent="0.3">
      <c r="A197" s="6" t="s">
        <v>209</v>
      </c>
      <c r="B197" s="2">
        <v>45404</v>
      </c>
      <c r="C197" s="6" t="s">
        <v>1409</v>
      </c>
      <c r="D197" s="6" t="s">
        <v>2406</v>
      </c>
      <c r="E197" s="9">
        <v>3</v>
      </c>
      <c r="F197" s="24">
        <v>619.21</v>
      </c>
      <c r="G197" t="s">
        <v>2586</v>
      </c>
      <c r="H197" s="6" t="s">
        <v>3065</v>
      </c>
      <c r="I197" s="6" t="s">
        <v>3071</v>
      </c>
      <c r="J197" s="6" t="s">
        <v>3270</v>
      </c>
      <c r="K197" s="9">
        <v>6</v>
      </c>
      <c r="L197" s="6" t="s">
        <v>4283</v>
      </c>
      <c r="M197" s="6" t="s">
        <v>4280</v>
      </c>
      <c r="N197" s="24">
        <v>1857.63</v>
      </c>
      <c r="O197" s="22" t="str">
        <f>IF(Table2[[#This Row],[CouponCode]]="N/A", "Not Used", "Used")</f>
        <v>Not Used</v>
      </c>
    </row>
    <row r="198" spans="1:15" x14ac:dyDescent="0.3">
      <c r="A198" s="6" t="s">
        <v>210</v>
      </c>
      <c r="B198" s="2">
        <v>45681</v>
      </c>
      <c r="C198" s="6" t="s">
        <v>1410</v>
      </c>
      <c r="D198" s="6" t="s">
        <v>2409</v>
      </c>
      <c r="E198" s="9">
        <v>4</v>
      </c>
      <c r="F198" s="24">
        <v>217.13</v>
      </c>
      <c r="G198" t="s">
        <v>2587</v>
      </c>
      <c r="H198" s="6" t="s">
        <v>3069</v>
      </c>
      <c r="I198" s="6" t="s">
        <v>3073</v>
      </c>
      <c r="J198" s="6" t="s">
        <v>3271</v>
      </c>
      <c r="K198" s="9">
        <v>8</v>
      </c>
      <c r="L198" s="6" t="s">
        <v>4277</v>
      </c>
      <c r="M198" s="6" t="s">
        <v>4280</v>
      </c>
      <c r="N198" s="24">
        <v>868.52</v>
      </c>
      <c r="O198" s="22" t="str">
        <f>IF(Table2[[#This Row],[CouponCode]]="N/A", "Not Used", "Used")</f>
        <v>Used</v>
      </c>
    </row>
    <row r="199" spans="1:15" x14ac:dyDescent="0.3">
      <c r="A199" s="6" t="s">
        <v>211</v>
      </c>
      <c r="B199" s="2">
        <v>45165</v>
      </c>
      <c r="C199" s="6" t="s">
        <v>1411</v>
      </c>
      <c r="D199" s="6" t="s">
        <v>2408</v>
      </c>
      <c r="E199" s="9">
        <v>5</v>
      </c>
      <c r="F199" s="24">
        <v>221.51</v>
      </c>
      <c r="G199" t="s">
        <v>2588</v>
      </c>
      <c r="H199" s="6" t="s">
        <v>3069</v>
      </c>
      <c r="I199" s="6" t="s">
        <v>3072</v>
      </c>
      <c r="J199" s="6" t="s">
        <v>3272</v>
      </c>
      <c r="K199" s="9">
        <v>5</v>
      </c>
      <c r="L199" s="6" t="s">
        <v>4277</v>
      </c>
      <c r="M199" s="6" t="s">
        <v>4279</v>
      </c>
      <c r="N199" s="24">
        <v>1107.55</v>
      </c>
      <c r="O199" s="22" t="str">
        <f>IF(Table2[[#This Row],[CouponCode]]="N/A", "Not Used", "Used")</f>
        <v>Used</v>
      </c>
    </row>
    <row r="200" spans="1:15" x14ac:dyDescent="0.3">
      <c r="A200" s="6" t="s">
        <v>212</v>
      </c>
      <c r="B200" s="2">
        <v>45454</v>
      </c>
      <c r="C200" s="6" t="s">
        <v>1412</v>
      </c>
      <c r="D200" s="6" t="s">
        <v>2408</v>
      </c>
      <c r="E200" s="9">
        <v>4</v>
      </c>
      <c r="F200" s="24">
        <v>340.3</v>
      </c>
      <c r="G200" t="s">
        <v>2444</v>
      </c>
      <c r="H200" s="6" t="s">
        <v>3069</v>
      </c>
      <c r="I200" s="6" t="s">
        <v>3071</v>
      </c>
      <c r="J200" s="6" t="s">
        <v>3273</v>
      </c>
      <c r="K200" s="9">
        <v>8</v>
      </c>
      <c r="L200" s="6" t="s">
        <v>4275</v>
      </c>
      <c r="M200" s="6" t="s">
        <v>4279</v>
      </c>
      <c r="N200" s="24">
        <v>1361.2</v>
      </c>
      <c r="O200" s="22" t="str">
        <f>IF(Table2[[#This Row],[CouponCode]]="N/A", "Not Used", "Used")</f>
        <v>Used</v>
      </c>
    </row>
    <row r="201" spans="1:15" x14ac:dyDescent="0.3">
      <c r="A201" s="6" t="s">
        <v>213</v>
      </c>
      <c r="B201" s="2">
        <v>45680</v>
      </c>
      <c r="C201" s="6" t="s">
        <v>1413</v>
      </c>
      <c r="D201" s="6" t="s">
        <v>2404</v>
      </c>
      <c r="E201" s="9">
        <v>1</v>
      </c>
      <c r="F201" s="24">
        <v>625</v>
      </c>
      <c r="G201" t="s">
        <v>2589</v>
      </c>
      <c r="H201" s="6" t="s">
        <v>3066</v>
      </c>
      <c r="I201" s="6" t="s">
        <v>3072</v>
      </c>
      <c r="J201" s="6" t="s">
        <v>3274</v>
      </c>
      <c r="K201" s="9">
        <v>5</v>
      </c>
      <c r="L201" s="6" t="s">
        <v>4277</v>
      </c>
      <c r="M201" s="6" t="s">
        <v>4282</v>
      </c>
      <c r="N201" s="24">
        <v>625</v>
      </c>
      <c r="O201" s="22" t="str">
        <f>IF(Table2[[#This Row],[CouponCode]]="N/A", "Not Used", "Used")</f>
        <v>Used</v>
      </c>
    </row>
    <row r="202" spans="1:15" x14ac:dyDescent="0.3">
      <c r="A202" s="6" t="s">
        <v>214</v>
      </c>
      <c r="B202" s="2">
        <v>45815</v>
      </c>
      <c r="C202" s="6" t="s">
        <v>1414</v>
      </c>
      <c r="D202" s="6" t="s">
        <v>2405</v>
      </c>
      <c r="E202" s="9">
        <v>5</v>
      </c>
      <c r="F202" s="24">
        <v>433.26</v>
      </c>
      <c r="G202" t="s">
        <v>2440</v>
      </c>
      <c r="H202" s="6" t="s">
        <v>3067</v>
      </c>
      <c r="I202" s="6" t="s">
        <v>3073</v>
      </c>
      <c r="J202" s="6" t="s">
        <v>3275</v>
      </c>
      <c r="K202" s="9">
        <v>9</v>
      </c>
      <c r="L202" s="6" t="s">
        <v>4275</v>
      </c>
      <c r="M202" s="6" t="s">
        <v>4282</v>
      </c>
      <c r="N202" s="24">
        <v>2166.3000000000002</v>
      </c>
      <c r="O202" s="22" t="str">
        <f>IF(Table2[[#This Row],[CouponCode]]="N/A", "Not Used", "Used")</f>
        <v>Used</v>
      </c>
    </row>
    <row r="203" spans="1:15" x14ac:dyDescent="0.3">
      <c r="A203" s="6" t="s">
        <v>215</v>
      </c>
      <c r="B203" s="2">
        <v>45095</v>
      </c>
      <c r="C203" s="6" t="s">
        <v>1415</v>
      </c>
      <c r="D203" s="6" t="s">
        <v>2403</v>
      </c>
      <c r="E203" s="9">
        <v>2</v>
      </c>
      <c r="F203" s="24">
        <v>674.9</v>
      </c>
      <c r="G203" t="s">
        <v>2482</v>
      </c>
      <c r="H203" s="6" t="s">
        <v>3066</v>
      </c>
      <c r="I203" s="6" t="s">
        <v>3070</v>
      </c>
      <c r="J203" s="6" t="s">
        <v>3276</v>
      </c>
      <c r="K203" s="9">
        <v>4</v>
      </c>
      <c r="L203" s="6" t="s">
        <v>4275</v>
      </c>
      <c r="M203" s="6" t="s">
        <v>4281</v>
      </c>
      <c r="N203" s="24">
        <v>1349.8</v>
      </c>
      <c r="O203" s="22" t="str">
        <f>IF(Table2[[#This Row],[CouponCode]]="N/A", "Not Used", "Used")</f>
        <v>Used</v>
      </c>
    </row>
    <row r="204" spans="1:15" x14ac:dyDescent="0.3">
      <c r="A204" s="6" t="s">
        <v>216</v>
      </c>
      <c r="B204" s="2">
        <v>45694</v>
      </c>
      <c r="C204" s="6" t="s">
        <v>1416</v>
      </c>
      <c r="D204" s="6" t="s">
        <v>2403</v>
      </c>
      <c r="E204" s="9">
        <v>3</v>
      </c>
      <c r="F204" s="24">
        <v>253.98</v>
      </c>
      <c r="G204" t="s">
        <v>2535</v>
      </c>
      <c r="H204" s="6" t="s">
        <v>3067</v>
      </c>
      <c r="I204" s="6" t="s">
        <v>3071</v>
      </c>
      <c r="J204" s="6" t="s">
        <v>3277</v>
      </c>
      <c r="K204" s="9">
        <v>3</v>
      </c>
      <c r="L204" s="6" t="s">
        <v>4276</v>
      </c>
      <c r="M204" s="6" t="s">
        <v>4280</v>
      </c>
      <c r="N204" s="24">
        <v>761.93999999999994</v>
      </c>
      <c r="O204" s="22" t="str">
        <f>IF(Table2[[#This Row],[CouponCode]]="N/A", "Not Used", "Used")</f>
        <v>Used</v>
      </c>
    </row>
    <row r="205" spans="1:15" x14ac:dyDescent="0.3">
      <c r="A205" s="6" t="s">
        <v>217</v>
      </c>
      <c r="B205" s="2">
        <v>45678</v>
      </c>
      <c r="C205" s="6" t="s">
        <v>1417</v>
      </c>
      <c r="D205" s="6" t="s">
        <v>2407</v>
      </c>
      <c r="E205" s="9">
        <v>3</v>
      </c>
      <c r="F205" s="24">
        <v>356.84</v>
      </c>
      <c r="G205" t="s">
        <v>2590</v>
      </c>
      <c r="H205" s="6" t="s">
        <v>3066</v>
      </c>
      <c r="I205" s="6" t="s">
        <v>3070</v>
      </c>
      <c r="J205" s="6" t="s">
        <v>3278</v>
      </c>
      <c r="K205" s="9">
        <v>5</v>
      </c>
      <c r="L205" s="6" t="s">
        <v>4275</v>
      </c>
      <c r="M205" s="6" t="s">
        <v>4278</v>
      </c>
      <c r="N205" s="24">
        <v>1070.52</v>
      </c>
      <c r="O205" s="22" t="str">
        <f>IF(Table2[[#This Row],[CouponCode]]="N/A", "Not Used", "Used")</f>
        <v>Used</v>
      </c>
    </row>
    <row r="206" spans="1:15" x14ac:dyDescent="0.3">
      <c r="A206" s="6" t="s">
        <v>218</v>
      </c>
      <c r="B206" s="2">
        <v>45174</v>
      </c>
      <c r="C206" s="6" t="s">
        <v>1418</v>
      </c>
      <c r="D206" s="6" t="s">
        <v>2408</v>
      </c>
      <c r="E206" s="9">
        <v>4</v>
      </c>
      <c r="F206" s="24">
        <v>413.71</v>
      </c>
      <c r="G206" t="s">
        <v>2539</v>
      </c>
      <c r="H206" s="6" t="s">
        <v>3068</v>
      </c>
      <c r="I206" s="6" t="s">
        <v>3071</v>
      </c>
      <c r="J206" s="6" t="s">
        <v>3279</v>
      </c>
      <c r="K206" s="9">
        <v>9</v>
      </c>
      <c r="L206" s="6" t="s">
        <v>4276</v>
      </c>
      <c r="M206" s="6" t="s">
        <v>4281</v>
      </c>
      <c r="N206" s="24">
        <v>1654.84</v>
      </c>
      <c r="O206" s="22" t="str">
        <f>IF(Table2[[#This Row],[CouponCode]]="N/A", "Not Used", "Used")</f>
        <v>Used</v>
      </c>
    </row>
    <row r="207" spans="1:15" x14ac:dyDescent="0.3">
      <c r="A207" s="6" t="s">
        <v>219</v>
      </c>
      <c r="B207" s="2">
        <v>44989</v>
      </c>
      <c r="C207" s="6" t="s">
        <v>1419</v>
      </c>
      <c r="D207" s="6" t="s">
        <v>2409</v>
      </c>
      <c r="E207" s="9">
        <v>3</v>
      </c>
      <c r="F207" s="24">
        <v>147.38999999999999</v>
      </c>
      <c r="G207" t="s">
        <v>2591</v>
      </c>
      <c r="H207" s="6" t="s">
        <v>3065</v>
      </c>
      <c r="I207" s="6" t="s">
        <v>3072</v>
      </c>
      <c r="J207" s="6" t="s">
        <v>3280</v>
      </c>
      <c r="K207" s="9">
        <v>3</v>
      </c>
      <c r="L207" s="6" t="s">
        <v>4283</v>
      </c>
      <c r="M207" s="6" t="s">
        <v>4280</v>
      </c>
      <c r="N207" s="24">
        <v>442.17</v>
      </c>
      <c r="O207" s="22" t="str">
        <f>IF(Table2[[#This Row],[CouponCode]]="N/A", "Not Used", "Used")</f>
        <v>Not Used</v>
      </c>
    </row>
    <row r="208" spans="1:15" x14ac:dyDescent="0.3">
      <c r="A208" s="6" t="s">
        <v>220</v>
      </c>
      <c r="B208" s="2">
        <v>45398</v>
      </c>
      <c r="C208" s="6" t="s">
        <v>1420</v>
      </c>
      <c r="D208" s="6" t="s">
        <v>2408</v>
      </c>
      <c r="E208" s="9">
        <v>4</v>
      </c>
      <c r="F208" s="24">
        <v>229.1</v>
      </c>
      <c r="G208" t="s">
        <v>2592</v>
      </c>
      <c r="H208" s="6" t="s">
        <v>3068</v>
      </c>
      <c r="I208" s="6" t="s">
        <v>3072</v>
      </c>
      <c r="J208" s="6" t="s">
        <v>3281</v>
      </c>
      <c r="K208" s="9">
        <v>8</v>
      </c>
      <c r="L208" s="6" t="s">
        <v>4277</v>
      </c>
      <c r="M208" s="6" t="s">
        <v>4280</v>
      </c>
      <c r="N208" s="24">
        <v>916.4</v>
      </c>
      <c r="O208" s="22" t="str">
        <f>IF(Table2[[#This Row],[CouponCode]]="N/A", "Not Used", "Used")</f>
        <v>Used</v>
      </c>
    </row>
    <row r="209" spans="1:15" x14ac:dyDescent="0.3">
      <c r="A209" s="6" t="s">
        <v>221</v>
      </c>
      <c r="B209" s="2">
        <v>45734</v>
      </c>
      <c r="C209" s="6" t="s">
        <v>1421</v>
      </c>
      <c r="D209" s="6" t="s">
        <v>2404</v>
      </c>
      <c r="E209" s="9">
        <v>1</v>
      </c>
      <c r="F209" s="24">
        <v>121.96</v>
      </c>
      <c r="G209" t="s">
        <v>2593</v>
      </c>
      <c r="H209" s="6" t="s">
        <v>3065</v>
      </c>
      <c r="I209" s="6" t="s">
        <v>3073</v>
      </c>
      <c r="J209" s="6" t="s">
        <v>3282</v>
      </c>
      <c r="K209" s="9">
        <v>3</v>
      </c>
      <c r="L209" s="6" t="s">
        <v>4283</v>
      </c>
      <c r="M209" s="6" t="s">
        <v>4282</v>
      </c>
      <c r="N209" s="24">
        <v>121.96</v>
      </c>
      <c r="O209" s="22" t="str">
        <f>IF(Table2[[#This Row],[CouponCode]]="N/A", "Not Used", "Used")</f>
        <v>Not Used</v>
      </c>
    </row>
    <row r="210" spans="1:15" x14ac:dyDescent="0.3">
      <c r="A210" s="6" t="s">
        <v>222</v>
      </c>
      <c r="B210" s="2">
        <v>45573</v>
      </c>
      <c r="C210" s="6" t="s">
        <v>1422</v>
      </c>
      <c r="D210" s="6" t="s">
        <v>2409</v>
      </c>
      <c r="E210" s="9">
        <v>2</v>
      </c>
      <c r="F210" s="24">
        <v>408.32</v>
      </c>
      <c r="G210" t="s">
        <v>2581</v>
      </c>
      <c r="H210" s="6" t="s">
        <v>3066</v>
      </c>
      <c r="I210" s="6" t="s">
        <v>3070</v>
      </c>
      <c r="J210" s="6" t="s">
        <v>3283</v>
      </c>
      <c r="K210" s="9">
        <v>3</v>
      </c>
      <c r="L210" s="6" t="s">
        <v>4276</v>
      </c>
      <c r="M210" s="6" t="s">
        <v>4281</v>
      </c>
      <c r="N210" s="24">
        <v>816.64</v>
      </c>
      <c r="O210" s="22" t="str">
        <f>IF(Table2[[#This Row],[CouponCode]]="N/A", "Not Used", "Used")</f>
        <v>Used</v>
      </c>
    </row>
    <row r="211" spans="1:15" x14ac:dyDescent="0.3">
      <c r="A211" s="6" t="s">
        <v>223</v>
      </c>
      <c r="B211" s="2">
        <v>45167</v>
      </c>
      <c r="C211" s="6" t="s">
        <v>1423</v>
      </c>
      <c r="D211" s="6" t="s">
        <v>2405</v>
      </c>
      <c r="E211" s="9">
        <v>5</v>
      </c>
      <c r="F211" s="24">
        <v>187.97</v>
      </c>
      <c r="G211" t="s">
        <v>2417</v>
      </c>
      <c r="H211" s="6" t="s">
        <v>3069</v>
      </c>
      <c r="I211" s="6" t="s">
        <v>3072</v>
      </c>
      <c r="J211" s="6" t="s">
        <v>3284</v>
      </c>
      <c r="K211" s="9">
        <v>9</v>
      </c>
      <c r="L211" s="6" t="s">
        <v>4275</v>
      </c>
      <c r="M211" s="6" t="s">
        <v>4282</v>
      </c>
      <c r="N211" s="24">
        <v>939.85</v>
      </c>
      <c r="O211" s="22" t="str">
        <f>IF(Table2[[#This Row],[CouponCode]]="N/A", "Not Used", "Used")</f>
        <v>Used</v>
      </c>
    </row>
    <row r="212" spans="1:15" x14ac:dyDescent="0.3">
      <c r="A212" s="6" t="s">
        <v>224</v>
      </c>
      <c r="B212" s="2">
        <v>45631</v>
      </c>
      <c r="C212" s="6" t="s">
        <v>1424</v>
      </c>
      <c r="D212" s="6" t="s">
        <v>2406</v>
      </c>
      <c r="E212" s="9">
        <v>3</v>
      </c>
      <c r="F212" s="24">
        <v>358.48</v>
      </c>
      <c r="G212" t="s">
        <v>2532</v>
      </c>
      <c r="H212" s="6" t="s">
        <v>3068</v>
      </c>
      <c r="I212" s="6" t="s">
        <v>3073</v>
      </c>
      <c r="J212" s="6" t="s">
        <v>3285</v>
      </c>
      <c r="K212" s="9">
        <v>7</v>
      </c>
      <c r="L212" s="6" t="s">
        <v>4276</v>
      </c>
      <c r="M212" s="6" t="s">
        <v>4281</v>
      </c>
      <c r="N212" s="24">
        <v>1075.44</v>
      </c>
      <c r="O212" s="22" t="str">
        <f>IF(Table2[[#This Row],[CouponCode]]="N/A", "Not Used", "Used")</f>
        <v>Used</v>
      </c>
    </row>
    <row r="213" spans="1:15" x14ac:dyDescent="0.3">
      <c r="A213" s="6" t="s">
        <v>225</v>
      </c>
      <c r="B213" s="2">
        <v>45660</v>
      </c>
      <c r="C213" s="6" t="s">
        <v>1425</v>
      </c>
      <c r="D213" s="6" t="s">
        <v>2407</v>
      </c>
      <c r="E213" s="9">
        <v>3</v>
      </c>
      <c r="F213" s="24">
        <v>193.58</v>
      </c>
      <c r="G213" t="s">
        <v>2594</v>
      </c>
      <c r="H213" s="6" t="s">
        <v>3068</v>
      </c>
      <c r="I213" s="6" t="s">
        <v>3074</v>
      </c>
      <c r="J213" s="6" t="s">
        <v>3286</v>
      </c>
      <c r="K213" s="9">
        <v>7</v>
      </c>
      <c r="L213" s="6" t="s">
        <v>4276</v>
      </c>
      <c r="M213" s="6" t="s">
        <v>4280</v>
      </c>
      <c r="N213" s="24">
        <v>580.74</v>
      </c>
      <c r="O213" s="22" t="str">
        <f>IF(Table2[[#This Row],[CouponCode]]="N/A", "Not Used", "Used")</f>
        <v>Used</v>
      </c>
    </row>
    <row r="214" spans="1:15" x14ac:dyDescent="0.3">
      <c r="A214" s="6" t="s">
        <v>226</v>
      </c>
      <c r="B214" s="2">
        <v>45097</v>
      </c>
      <c r="C214" s="6" t="s">
        <v>1426</v>
      </c>
      <c r="D214" s="6" t="s">
        <v>2403</v>
      </c>
      <c r="E214" s="9">
        <v>1</v>
      </c>
      <c r="F214" s="24">
        <v>265.38</v>
      </c>
      <c r="G214" t="s">
        <v>2595</v>
      </c>
      <c r="H214" s="6" t="s">
        <v>3067</v>
      </c>
      <c r="I214" s="6" t="s">
        <v>3071</v>
      </c>
      <c r="J214" s="6" t="s">
        <v>3287</v>
      </c>
      <c r="K214" s="9">
        <v>6</v>
      </c>
      <c r="L214" s="6" t="s">
        <v>4277</v>
      </c>
      <c r="M214" s="6" t="s">
        <v>4280</v>
      </c>
      <c r="N214" s="24">
        <v>265.38</v>
      </c>
      <c r="O214" s="22" t="str">
        <f>IF(Table2[[#This Row],[CouponCode]]="N/A", "Not Used", "Used")</f>
        <v>Used</v>
      </c>
    </row>
    <row r="215" spans="1:15" x14ac:dyDescent="0.3">
      <c r="A215" s="6" t="s">
        <v>227</v>
      </c>
      <c r="B215" s="2">
        <v>45036</v>
      </c>
      <c r="C215" s="6" t="s">
        <v>1427</v>
      </c>
      <c r="D215" s="6" t="s">
        <v>2408</v>
      </c>
      <c r="E215" s="9">
        <v>1</v>
      </c>
      <c r="F215" s="24">
        <v>634.4</v>
      </c>
      <c r="G215" t="s">
        <v>2596</v>
      </c>
      <c r="H215" s="6" t="s">
        <v>3069</v>
      </c>
      <c r="I215" s="6" t="s">
        <v>3071</v>
      </c>
      <c r="J215" s="6" t="s">
        <v>3288</v>
      </c>
      <c r="K215" s="9">
        <v>6</v>
      </c>
      <c r="L215" s="6" t="s">
        <v>4275</v>
      </c>
      <c r="M215" s="6" t="s">
        <v>4280</v>
      </c>
      <c r="N215" s="24">
        <v>634.4</v>
      </c>
      <c r="O215" s="22" t="str">
        <f>IF(Table2[[#This Row],[CouponCode]]="N/A", "Not Used", "Used")</f>
        <v>Used</v>
      </c>
    </row>
    <row r="216" spans="1:15" x14ac:dyDescent="0.3">
      <c r="A216" s="6" t="s">
        <v>228</v>
      </c>
      <c r="B216" s="2">
        <v>45525</v>
      </c>
      <c r="C216" s="6" t="s">
        <v>1428</v>
      </c>
      <c r="D216" s="6" t="s">
        <v>2409</v>
      </c>
      <c r="E216" s="9">
        <v>4</v>
      </c>
      <c r="F216" s="24">
        <v>305.72000000000003</v>
      </c>
      <c r="G216" t="s">
        <v>2523</v>
      </c>
      <c r="H216" s="6" t="s">
        <v>3066</v>
      </c>
      <c r="I216" s="6" t="s">
        <v>3073</v>
      </c>
      <c r="J216" s="6" t="s">
        <v>3289</v>
      </c>
      <c r="K216" s="9">
        <v>5</v>
      </c>
      <c r="L216" s="6" t="s">
        <v>4283</v>
      </c>
      <c r="M216" s="6" t="s">
        <v>4281</v>
      </c>
      <c r="N216" s="24">
        <v>1222.8800000000001</v>
      </c>
      <c r="O216" s="22" t="str">
        <f>IF(Table2[[#This Row],[CouponCode]]="N/A", "Not Used", "Used")</f>
        <v>Not Used</v>
      </c>
    </row>
    <row r="217" spans="1:15" x14ac:dyDescent="0.3">
      <c r="A217" s="6" t="s">
        <v>229</v>
      </c>
      <c r="B217" s="2">
        <v>45148</v>
      </c>
      <c r="C217" s="6" t="s">
        <v>1429</v>
      </c>
      <c r="D217" s="6" t="s">
        <v>2407</v>
      </c>
      <c r="E217" s="9">
        <v>1</v>
      </c>
      <c r="F217" s="24">
        <v>303.60000000000002</v>
      </c>
      <c r="G217" t="s">
        <v>2597</v>
      </c>
      <c r="H217" s="6" t="s">
        <v>3069</v>
      </c>
      <c r="I217" s="6" t="s">
        <v>3070</v>
      </c>
      <c r="J217" s="6" t="s">
        <v>3290</v>
      </c>
      <c r="K217" s="9">
        <v>5</v>
      </c>
      <c r="L217" s="6" t="s">
        <v>4276</v>
      </c>
      <c r="M217" s="6" t="s">
        <v>4281</v>
      </c>
      <c r="N217" s="24">
        <v>303.60000000000002</v>
      </c>
      <c r="O217" s="22" t="str">
        <f>IF(Table2[[#This Row],[CouponCode]]="N/A", "Not Used", "Used")</f>
        <v>Used</v>
      </c>
    </row>
    <row r="218" spans="1:15" x14ac:dyDescent="0.3">
      <c r="A218" s="6" t="s">
        <v>230</v>
      </c>
      <c r="B218" s="2">
        <v>45762</v>
      </c>
      <c r="C218" s="6" t="s">
        <v>1430</v>
      </c>
      <c r="D218" s="6" t="s">
        <v>2403</v>
      </c>
      <c r="E218" s="9">
        <v>4</v>
      </c>
      <c r="F218" s="24">
        <v>496</v>
      </c>
      <c r="G218" t="s">
        <v>2465</v>
      </c>
      <c r="H218" s="6" t="s">
        <v>3066</v>
      </c>
      <c r="I218" s="6" t="s">
        <v>3071</v>
      </c>
      <c r="J218" s="6" t="s">
        <v>3291</v>
      </c>
      <c r="K218" s="9">
        <v>8</v>
      </c>
      <c r="L218" s="6" t="s">
        <v>4277</v>
      </c>
      <c r="M218" s="6" t="s">
        <v>4282</v>
      </c>
      <c r="N218" s="24">
        <v>1984</v>
      </c>
      <c r="O218" s="22" t="str">
        <f>IF(Table2[[#This Row],[CouponCode]]="N/A", "Not Used", "Used")</f>
        <v>Used</v>
      </c>
    </row>
    <row r="219" spans="1:15" x14ac:dyDescent="0.3">
      <c r="A219" s="6" t="s">
        <v>231</v>
      </c>
      <c r="B219" s="2">
        <v>45432</v>
      </c>
      <c r="C219" s="6" t="s">
        <v>1431</v>
      </c>
      <c r="D219" s="6" t="s">
        <v>2409</v>
      </c>
      <c r="E219" s="9">
        <v>4</v>
      </c>
      <c r="F219" s="24">
        <v>321.51</v>
      </c>
      <c r="G219" t="s">
        <v>2598</v>
      </c>
      <c r="H219" s="6" t="s">
        <v>3069</v>
      </c>
      <c r="I219" s="6" t="s">
        <v>3072</v>
      </c>
      <c r="J219" s="6" t="s">
        <v>3292</v>
      </c>
      <c r="K219" s="9">
        <v>9</v>
      </c>
      <c r="L219" s="6" t="s">
        <v>4283</v>
      </c>
      <c r="M219" s="6" t="s">
        <v>4282</v>
      </c>
      <c r="N219" s="24">
        <v>1286.04</v>
      </c>
      <c r="O219" s="22" t="str">
        <f>IF(Table2[[#This Row],[CouponCode]]="N/A", "Not Used", "Used")</f>
        <v>Not Used</v>
      </c>
    </row>
    <row r="220" spans="1:15" x14ac:dyDescent="0.3">
      <c r="A220" s="6" t="s">
        <v>232</v>
      </c>
      <c r="B220" s="2">
        <v>45044</v>
      </c>
      <c r="C220" s="6" t="s">
        <v>1432</v>
      </c>
      <c r="D220" s="6" t="s">
        <v>2405</v>
      </c>
      <c r="E220" s="9">
        <v>3</v>
      </c>
      <c r="F220" s="24">
        <v>112.46</v>
      </c>
      <c r="G220" t="s">
        <v>2599</v>
      </c>
      <c r="H220" s="6" t="s">
        <v>3068</v>
      </c>
      <c r="I220" s="6" t="s">
        <v>3070</v>
      </c>
      <c r="J220" s="6" t="s">
        <v>3293</v>
      </c>
      <c r="K220" s="9">
        <v>6</v>
      </c>
      <c r="L220" s="6" t="s">
        <v>4275</v>
      </c>
      <c r="M220" s="6" t="s">
        <v>4278</v>
      </c>
      <c r="N220" s="24">
        <v>337.38</v>
      </c>
      <c r="O220" s="22" t="str">
        <f>IF(Table2[[#This Row],[CouponCode]]="N/A", "Not Used", "Used")</f>
        <v>Used</v>
      </c>
    </row>
    <row r="221" spans="1:15" x14ac:dyDescent="0.3">
      <c r="A221" s="6" t="s">
        <v>233</v>
      </c>
      <c r="B221" s="2">
        <v>45779</v>
      </c>
      <c r="C221" s="6" t="s">
        <v>1433</v>
      </c>
      <c r="D221" s="6" t="s">
        <v>2408</v>
      </c>
      <c r="E221" s="9">
        <v>5</v>
      </c>
      <c r="F221" s="24">
        <v>61.97</v>
      </c>
      <c r="G221" t="s">
        <v>2600</v>
      </c>
      <c r="H221" s="6" t="s">
        <v>3069</v>
      </c>
      <c r="I221" s="6" t="s">
        <v>3073</v>
      </c>
      <c r="J221" s="6" t="s">
        <v>3294</v>
      </c>
      <c r="K221" s="9">
        <v>6</v>
      </c>
      <c r="L221" s="6" t="s">
        <v>4275</v>
      </c>
      <c r="M221" s="6" t="s">
        <v>4280</v>
      </c>
      <c r="N221" s="24">
        <v>309.85000000000002</v>
      </c>
      <c r="O221" s="22" t="str">
        <f>IF(Table2[[#This Row],[CouponCode]]="N/A", "Not Used", "Used")</f>
        <v>Used</v>
      </c>
    </row>
    <row r="222" spans="1:15" x14ac:dyDescent="0.3">
      <c r="A222" s="6" t="s">
        <v>234</v>
      </c>
      <c r="B222" s="2">
        <v>45125</v>
      </c>
      <c r="C222" s="6" t="s">
        <v>1434</v>
      </c>
      <c r="D222" s="6" t="s">
        <v>2408</v>
      </c>
      <c r="E222" s="9">
        <v>2</v>
      </c>
      <c r="F222" s="24">
        <v>373.17</v>
      </c>
      <c r="G222" t="s">
        <v>2601</v>
      </c>
      <c r="H222" s="6" t="s">
        <v>3067</v>
      </c>
      <c r="I222" s="6" t="s">
        <v>3074</v>
      </c>
      <c r="J222" s="6" t="s">
        <v>3295</v>
      </c>
      <c r="K222" s="9">
        <v>6</v>
      </c>
      <c r="L222" s="6" t="s">
        <v>4275</v>
      </c>
      <c r="M222" s="6" t="s">
        <v>4279</v>
      </c>
      <c r="N222" s="24">
        <v>746.34</v>
      </c>
      <c r="O222" s="22" t="str">
        <f>IF(Table2[[#This Row],[CouponCode]]="N/A", "Not Used", "Used")</f>
        <v>Used</v>
      </c>
    </row>
    <row r="223" spans="1:15" x14ac:dyDescent="0.3">
      <c r="A223" s="6" t="s">
        <v>235</v>
      </c>
      <c r="B223" s="2">
        <v>45345</v>
      </c>
      <c r="C223" s="6" t="s">
        <v>1435</v>
      </c>
      <c r="D223" s="6" t="s">
        <v>2405</v>
      </c>
      <c r="E223" s="9">
        <v>5</v>
      </c>
      <c r="F223" s="24">
        <v>639.37</v>
      </c>
      <c r="G223" t="s">
        <v>2474</v>
      </c>
      <c r="H223" s="6" t="s">
        <v>3065</v>
      </c>
      <c r="I223" s="6" t="s">
        <v>3074</v>
      </c>
      <c r="J223" s="6" t="s">
        <v>3296</v>
      </c>
      <c r="K223" s="9">
        <v>6</v>
      </c>
      <c r="L223" s="6" t="s">
        <v>4275</v>
      </c>
      <c r="M223" s="6" t="s">
        <v>4282</v>
      </c>
      <c r="N223" s="24">
        <v>3196.85</v>
      </c>
      <c r="O223" s="22" t="str">
        <f>IF(Table2[[#This Row],[CouponCode]]="N/A", "Not Used", "Used")</f>
        <v>Used</v>
      </c>
    </row>
    <row r="224" spans="1:15" x14ac:dyDescent="0.3">
      <c r="A224" s="6" t="s">
        <v>236</v>
      </c>
      <c r="B224" s="2">
        <v>45050</v>
      </c>
      <c r="C224" s="6" t="s">
        <v>1436</v>
      </c>
      <c r="D224" s="6" t="s">
        <v>2406</v>
      </c>
      <c r="E224" s="9">
        <v>4</v>
      </c>
      <c r="F224" s="24">
        <v>693.36</v>
      </c>
      <c r="G224" t="s">
        <v>2602</v>
      </c>
      <c r="H224" s="6" t="s">
        <v>3066</v>
      </c>
      <c r="I224" s="6" t="s">
        <v>3070</v>
      </c>
      <c r="J224" s="6" t="s">
        <v>3297</v>
      </c>
      <c r="K224" s="9">
        <v>8</v>
      </c>
      <c r="L224" s="6" t="s">
        <v>4283</v>
      </c>
      <c r="M224" s="6" t="s">
        <v>4278</v>
      </c>
      <c r="N224" s="24">
        <v>2773.44</v>
      </c>
      <c r="O224" s="22" t="str">
        <f>IF(Table2[[#This Row],[CouponCode]]="N/A", "Not Used", "Used")</f>
        <v>Not Used</v>
      </c>
    </row>
    <row r="225" spans="1:15" x14ac:dyDescent="0.3">
      <c r="A225" s="6" t="s">
        <v>237</v>
      </c>
      <c r="B225" s="2">
        <v>45546</v>
      </c>
      <c r="C225" s="6" t="s">
        <v>1437</v>
      </c>
      <c r="D225" s="6" t="s">
        <v>2404</v>
      </c>
      <c r="E225" s="9">
        <v>4</v>
      </c>
      <c r="F225" s="24">
        <v>692.91</v>
      </c>
      <c r="G225" t="s">
        <v>2523</v>
      </c>
      <c r="H225" s="6" t="s">
        <v>3067</v>
      </c>
      <c r="I225" s="6" t="s">
        <v>3074</v>
      </c>
      <c r="J225" s="6" t="s">
        <v>3298</v>
      </c>
      <c r="K225" s="9">
        <v>9</v>
      </c>
      <c r="L225" s="6" t="s">
        <v>4275</v>
      </c>
      <c r="M225" s="6" t="s">
        <v>4278</v>
      </c>
      <c r="N225" s="24">
        <v>2771.64</v>
      </c>
      <c r="O225" s="22" t="str">
        <f>IF(Table2[[#This Row],[CouponCode]]="N/A", "Not Used", "Used")</f>
        <v>Used</v>
      </c>
    </row>
    <row r="226" spans="1:15" x14ac:dyDescent="0.3">
      <c r="A226" s="6" t="s">
        <v>238</v>
      </c>
      <c r="B226" s="2">
        <v>45192</v>
      </c>
      <c r="C226" s="6" t="s">
        <v>1438</v>
      </c>
      <c r="D226" s="6" t="s">
        <v>2407</v>
      </c>
      <c r="E226" s="9">
        <v>4</v>
      </c>
      <c r="F226" s="24">
        <v>91.46</v>
      </c>
      <c r="G226" t="s">
        <v>2603</v>
      </c>
      <c r="H226" s="6" t="s">
        <v>3069</v>
      </c>
      <c r="I226" s="6" t="s">
        <v>3071</v>
      </c>
      <c r="J226" s="6" t="s">
        <v>3299</v>
      </c>
      <c r="K226" s="9">
        <v>9</v>
      </c>
      <c r="L226" s="6" t="s">
        <v>4275</v>
      </c>
      <c r="M226" s="6" t="s">
        <v>4279</v>
      </c>
      <c r="N226" s="24">
        <v>365.84</v>
      </c>
      <c r="O226" s="22" t="str">
        <f>IF(Table2[[#This Row],[CouponCode]]="N/A", "Not Used", "Used")</f>
        <v>Used</v>
      </c>
    </row>
    <row r="227" spans="1:15" x14ac:dyDescent="0.3">
      <c r="A227" s="6" t="s">
        <v>239</v>
      </c>
      <c r="B227" s="2">
        <v>45364</v>
      </c>
      <c r="C227" s="6" t="s">
        <v>1439</v>
      </c>
      <c r="D227" s="6" t="s">
        <v>2404</v>
      </c>
      <c r="E227" s="9">
        <v>3</v>
      </c>
      <c r="F227" s="24">
        <v>273.95999999999998</v>
      </c>
      <c r="G227" t="s">
        <v>2604</v>
      </c>
      <c r="H227" s="6" t="s">
        <v>3065</v>
      </c>
      <c r="I227" s="6" t="s">
        <v>3072</v>
      </c>
      <c r="J227" s="6" t="s">
        <v>3300</v>
      </c>
      <c r="K227" s="9">
        <v>8</v>
      </c>
      <c r="L227" s="6" t="s">
        <v>4275</v>
      </c>
      <c r="M227" s="6" t="s">
        <v>4282</v>
      </c>
      <c r="N227" s="24">
        <v>821.87999999999988</v>
      </c>
      <c r="O227" s="22" t="str">
        <f>IF(Table2[[#This Row],[CouponCode]]="N/A", "Not Used", "Used")</f>
        <v>Used</v>
      </c>
    </row>
    <row r="228" spans="1:15" x14ac:dyDescent="0.3">
      <c r="A228" s="6" t="s">
        <v>240</v>
      </c>
      <c r="B228" s="2">
        <v>45835</v>
      </c>
      <c r="C228" s="6" t="s">
        <v>1440</v>
      </c>
      <c r="D228" s="6" t="s">
        <v>2409</v>
      </c>
      <c r="E228" s="9">
        <v>3</v>
      </c>
      <c r="F228" s="24">
        <v>588.04999999999995</v>
      </c>
      <c r="G228" t="s">
        <v>2605</v>
      </c>
      <c r="H228" s="6" t="s">
        <v>3068</v>
      </c>
      <c r="I228" s="6" t="s">
        <v>3073</v>
      </c>
      <c r="J228" s="6" t="s">
        <v>3301</v>
      </c>
      <c r="K228" s="9">
        <v>8</v>
      </c>
      <c r="L228" s="6" t="s">
        <v>4283</v>
      </c>
      <c r="M228" s="6" t="s">
        <v>4278</v>
      </c>
      <c r="N228" s="24">
        <v>1764.15</v>
      </c>
      <c r="O228" s="22" t="str">
        <f>IF(Table2[[#This Row],[CouponCode]]="N/A", "Not Used", "Used")</f>
        <v>Not Used</v>
      </c>
    </row>
    <row r="229" spans="1:15" x14ac:dyDescent="0.3">
      <c r="A229" s="6" t="s">
        <v>241</v>
      </c>
      <c r="B229" s="2">
        <v>45232</v>
      </c>
      <c r="C229" s="6" t="s">
        <v>1441</v>
      </c>
      <c r="D229" s="6" t="s">
        <v>2403</v>
      </c>
      <c r="E229" s="9">
        <v>2</v>
      </c>
      <c r="F229" s="24">
        <v>365.17</v>
      </c>
      <c r="G229" t="s">
        <v>2528</v>
      </c>
      <c r="H229" s="6" t="s">
        <v>3066</v>
      </c>
      <c r="I229" s="6" t="s">
        <v>3071</v>
      </c>
      <c r="J229" s="6" t="s">
        <v>3302</v>
      </c>
      <c r="K229" s="9">
        <v>4</v>
      </c>
      <c r="L229" s="6" t="s">
        <v>4276</v>
      </c>
      <c r="M229" s="6" t="s">
        <v>4281</v>
      </c>
      <c r="N229" s="24">
        <v>730.34</v>
      </c>
      <c r="O229" s="22" t="str">
        <f>IF(Table2[[#This Row],[CouponCode]]="N/A", "Not Used", "Used")</f>
        <v>Used</v>
      </c>
    </row>
    <row r="230" spans="1:15" x14ac:dyDescent="0.3">
      <c r="A230" s="6" t="s">
        <v>242</v>
      </c>
      <c r="B230" s="2">
        <v>45063</v>
      </c>
      <c r="C230" s="6" t="s">
        <v>1442</v>
      </c>
      <c r="D230" s="6" t="s">
        <v>2406</v>
      </c>
      <c r="E230" s="9">
        <v>4</v>
      </c>
      <c r="F230" s="24">
        <v>385.92</v>
      </c>
      <c r="G230" t="s">
        <v>2606</v>
      </c>
      <c r="H230" s="6" t="s">
        <v>3067</v>
      </c>
      <c r="I230" s="6" t="s">
        <v>3071</v>
      </c>
      <c r="J230" s="6" t="s">
        <v>3303</v>
      </c>
      <c r="K230" s="9">
        <v>8</v>
      </c>
      <c r="L230" s="6" t="s">
        <v>4283</v>
      </c>
      <c r="M230" s="6" t="s">
        <v>4278</v>
      </c>
      <c r="N230" s="24">
        <v>1543.68</v>
      </c>
      <c r="O230" s="22" t="str">
        <f>IF(Table2[[#This Row],[CouponCode]]="N/A", "Not Used", "Used")</f>
        <v>Not Used</v>
      </c>
    </row>
    <row r="231" spans="1:15" x14ac:dyDescent="0.3">
      <c r="A231" s="6" t="s">
        <v>243</v>
      </c>
      <c r="B231" s="2">
        <v>45744</v>
      </c>
      <c r="C231" s="6" t="s">
        <v>1443</v>
      </c>
      <c r="D231" s="6" t="s">
        <v>2405</v>
      </c>
      <c r="E231" s="9">
        <v>1</v>
      </c>
      <c r="F231" s="24">
        <v>562.61</v>
      </c>
      <c r="G231" t="s">
        <v>2607</v>
      </c>
      <c r="H231" s="6" t="s">
        <v>3067</v>
      </c>
      <c r="I231" s="6" t="s">
        <v>3073</v>
      </c>
      <c r="J231" s="6" t="s">
        <v>3304</v>
      </c>
      <c r="K231" s="9">
        <v>3</v>
      </c>
      <c r="L231" s="6" t="s">
        <v>4277</v>
      </c>
      <c r="M231" s="6" t="s">
        <v>4281</v>
      </c>
      <c r="N231" s="24">
        <v>562.61</v>
      </c>
      <c r="O231" s="22" t="str">
        <f>IF(Table2[[#This Row],[CouponCode]]="N/A", "Not Used", "Used")</f>
        <v>Used</v>
      </c>
    </row>
    <row r="232" spans="1:15" x14ac:dyDescent="0.3">
      <c r="A232" s="6" t="s">
        <v>244</v>
      </c>
      <c r="B232" s="2">
        <v>45276</v>
      </c>
      <c r="C232" s="6" t="s">
        <v>1444</v>
      </c>
      <c r="D232" s="6" t="s">
        <v>2409</v>
      </c>
      <c r="E232" s="9">
        <v>4</v>
      </c>
      <c r="F232" s="24">
        <v>61.91</v>
      </c>
      <c r="G232" t="s">
        <v>2608</v>
      </c>
      <c r="H232" s="6" t="s">
        <v>3068</v>
      </c>
      <c r="I232" s="6" t="s">
        <v>3073</v>
      </c>
      <c r="J232" s="6" t="s">
        <v>3305</v>
      </c>
      <c r="K232" s="9">
        <v>6</v>
      </c>
      <c r="L232" s="6" t="s">
        <v>4277</v>
      </c>
      <c r="M232" s="6" t="s">
        <v>4280</v>
      </c>
      <c r="N232" s="24">
        <v>247.64</v>
      </c>
      <c r="O232" s="22" t="str">
        <f>IF(Table2[[#This Row],[CouponCode]]="N/A", "Not Used", "Used")</f>
        <v>Used</v>
      </c>
    </row>
    <row r="233" spans="1:15" x14ac:dyDescent="0.3">
      <c r="A233" s="6" t="s">
        <v>245</v>
      </c>
      <c r="B233" s="2">
        <v>45235</v>
      </c>
      <c r="C233" s="6" t="s">
        <v>1445</v>
      </c>
      <c r="D233" s="6" t="s">
        <v>2404</v>
      </c>
      <c r="E233" s="9">
        <v>4</v>
      </c>
      <c r="F233" s="24">
        <v>41.9</v>
      </c>
      <c r="G233" t="s">
        <v>2609</v>
      </c>
      <c r="H233" s="6" t="s">
        <v>3068</v>
      </c>
      <c r="I233" s="6" t="s">
        <v>3074</v>
      </c>
      <c r="J233" s="6" t="s">
        <v>3306</v>
      </c>
      <c r="K233" s="9">
        <v>9</v>
      </c>
      <c r="L233" s="6" t="s">
        <v>4276</v>
      </c>
      <c r="M233" s="6" t="s">
        <v>4278</v>
      </c>
      <c r="N233" s="24">
        <v>167.6</v>
      </c>
      <c r="O233" s="22" t="str">
        <f>IF(Table2[[#This Row],[CouponCode]]="N/A", "Not Used", "Used")</f>
        <v>Used</v>
      </c>
    </row>
    <row r="234" spans="1:15" x14ac:dyDescent="0.3">
      <c r="A234" s="6" t="s">
        <v>246</v>
      </c>
      <c r="B234" s="2">
        <v>45065</v>
      </c>
      <c r="C234" s="6" t="s">
        <v>1446</v>
      </c>
      <c r="D234" s="6" t="s">
        <v>2407</v>
      </c>
      <c r="E234" s="9">
        <v>4</v>
      </c>
      <c r="F234" s="24">
        <v>444.44</v>
      </c>
      <c r="G234" t="s">
        <v>2610</v>
      </c>
      <c r="H234" s="6" t="s">
        <v>3065</v>
      </c>
      <c r="I234" s="6" t="s">
        <v>3071</v>
      </c>
      <c r="J234" s="6" t="s">
        <v>3307</v>
      </c>
      <c r="K234" s="9">
        <v>8</v>
      </c>
      <c r="L234" s="6" t="s">
        <v>4277</v>
      </c>
      <c r="M234" s="6" t="s">
        <v>4282</v>
      </c>
      <c r="N234" s="24">
        <v>1777.76</v>
      </c>
      <c r="O234" s="22" t="str">
        <f>IF(Table2[[#This Row],[CouponCode]]="N/A", "Not Used", "Used")</f>
        <v>Used</v>
      </c>
    </row>
    <row r="235" spans="1:15" x14ac:dyDescent="0.3">
      <c r="A235" s="6" t="s">
        <v>247</v>
      </c>
      <c r="B235" s="2">
        <v>45528</v>
      </c>
      <c r="C235" s="6" t="s">
        <v>1447</v>
      </c>
      <c r="D235" s="6" t="s">
        <v>2404</v>
      </c>
      <c r="E235" s="9">
        <v>3</v>
      </c>
      <c r="F235" s="24">
        <v>311.33</v>
      </c>
      <c r="G235" t="s">
        <v>2482</v>
      </c>
      <c r="H235" s="6" t="s">
        <v>3069</v>
      </c>
      <c r="I235" s="6" t="s">
        <v>3071</v>
      </c>
      <c r="J235" s="6" t="s">
        <v>3308</v>
      </c>
      <c r="K235" s="9">
        <v>3</v>
      </c>
      <c r="L235" s="6" t="s">
        <v>4277</v>
      </c>
      <c r="M235" s="6" t="s">
        <v>4278</v>
      </c>
      <c r="N235" s="24">
        <v>933.99</v>
      </c>
      <c r="O235" s="22" t="str">
        <f>IF(Table2[[#This Row],[CouponCode]]="N/A", "Not Used", "Used")</f>
        <v>Used</v>
      </c>
    </row>
    <row r="236" spans="1:15" x14ac:dyDescent="0.3">
      <c r="A236" s="6" t="s">
        <v>248</v>
      </c>
      <c r="B236" s="2">
        <v>45622</v>
      </c>
      <c r="C236" s="6" t="s">
        <v>1448</v>
      </c>
      <c r="D236" s="6" t="s">
        <v>2407</v>
      </c>
      <c r="E236" s="9">
        <v>4</v>
      </c>
      <c r="F236" s="24">
        <v>236.41</v>
      </c>
      <c r="G236" t="s">
        <v>2611</v>
      </c>
      <c r="H236" s="6" t="s">
        <v>3065</v>
      </c>
      <c r="I236" s="6" t="s">
        <v>3074</v>
      </c>
      <c r="J236" s="6" t="s">
        <v>3309</v>
      </c>
      <c r="K236" s="9">
        <v>7</v>
      </c>
      <c r="L236" s="6" t="s">
        <v>4275</v>
      </c>
      <c r="M236" s="6" t="s">
        <v>4282</v>
      </c>
      <c r="N236" s="24">
        <v>945.64</v>
      </c>
      <c r="O236" s="22" t="str">
        <f>IF(Table2[[#This Row],[CouponCode]]="N/A", "Not Used", "Used")</f>
        <v>Used</v>
      </c>
    </row>
    <row r="237" spans="1:15" x14ac:dyDescent="0.3">
      <c r="A237" s="6" t="s">
        <v>249</v>
      </c>
      <c r="B237" s="2">
        <v>44977</v>
      </c>
      <c r="C237" s="6" t="s">
        <v>1449</v>
      </c>
      <c r="D237" s="6" t="s">
        <v>2409</v>
      </c>
      <c r="E237" s="9">
        <v>1</v>
      </c>
      <c r="F237" s="24">
        <v>65.45</v>
      </c>
      <c r="G237" t="s">
        <v>2612</v>
      </c>
      <c r="H237" s="6" t="s">
        <v>3069</v>
      </c>
      <c r="I237" s="6" t="s">
        <v>3074</v>
      </c>
      <c r="J237" s="6" t="s">
        <v>3310</v>
      </c>
      <c r="K237" s="9">
        <v>2</v>
      </c>
      <c r="L237" s="6" t="s">
        <v>4277</v>
      </c>
      <c r="M237" s="6" t="s">
        <v>4282</v>
      </c>
      <c r="N237" s="24">
        <v>65.45</v>
      </c>
      <c r="O237" s="22" t="str">
        <f>IF(Table2[[#This Row],[CouponCode]]="N/A", "Not Used", "Used")</f>
        <v>Used</v>
      </c>
    </row>
    <row r="238" spans="1:15" x14ac:dyDescent="0.3">
      <c r="A238" s="6" t="s">
        <v>250</v>
      </c>
      <c r="B238" s="2">
        <v>44927</v>
      </c>
      <c r="C238" s="6" t="s">
        <v>1450</v>
      </c>
      <c r="D238" s="6" t="s">
        <v>2403</v>
      </c>
      <c r="E238" s="9">
        <v>1</v>
      </c>
      <c r="F238" s="24">
        <v>318.81</v>
      </c>
      <c r="G238" t="s">
        <v>2613</v>
      </c>
      <c r="H238" s="6" t="s">
        <v>3065</v>
      </c>
      <c r="I238" s="6" t="s">
        <v>3074</v>
      </c>
      <c r="J238" s="6" t="s">
        <v>3311</v>
      </c>
      <c r="K238" s="9">
        <v>3</v>
      </c>
      <c r="L238" s="6" t="s">
        <v>4277</v>
      </c>
      <c r="M238" s="6" t="s">
        <v>4280</v>
      </c>
      <c r="N238" s="24">
        <v>318.81</v>
      </c>
      <c r="O238" s="22" t="str">
        <f>IF(Table2[[#This Row],[CouponCode]]="N/A", "Not Used", "Used")</f>
        <v>Used</v>
      </c>
    </row>
    <row r="239" spans="1:15" x14ac:dyDescent="0.3">
      <c r="A239" s="6" t="s">
        <v>251</v>
      </c>
      <c r="B239" s="2">
        <v>45365</v>
      </c>
      <c r="C239" s="6" t="s">
        <v>1451</v>
      </c>
      <c r="D239" s="6" t="s">
        <v>2403</v>
      </c>
      <c r="E239" s="9">
        <v>3</v>
      </c>
      <c r="F239" s="24">
        <v>583.72</v>
      </c>
      <c r="G239" t="s">
        <v>2614</v>
      </c>
      <c r="H239" s="6" t="s">
        <v>3067</v>
      </c>
      <c r="I239" s="6" t="s">
        <v>3070</v>
      </c>
      <c r="J239" s="6" t="s">
        <v>3312</v>
      </c>
      <c r="K239" s="9">
        <v>5</v>
      </c>
      <c r="L239" s="6" t="s">
        <v>4276</v>
      </c>
      <c r="M239" s="6" t="s">
        <v>4281</v>
      </c>
      <c r="N239" s="24">
        <v>1751.16</v>
      </c>
      <c r="O239" s="22" t="str">
        <f>IF(Table2[[#This Row],[CouponCode]]="N/A", "Not Used", "Used")</f>
        <v>Used</v>
      </c>
    </row>
    <row r="240" spans="1:15" x14ac:dyDescent="0.3">
      <c r="A240" s="6" t="s">
        <v>252</v>
      </c>
      <c r="B240" s="2">
        <v>45639</v>
      </c>
      <c r="C240" s="6" t="s">
        <v>1452</v>
      </c>
      <c r="D240" s="6" t="s">
        <v>2409</v>
      </c>
      <c r="E240" s="9">
        <v>4</v>
      </c>
      <c r="F240" s="24">
        <v>384.32</v>
      </c>
      <c r="G240" t="s">
        <v>2615</v>
      </c>
      <c r="H240" s="6" t="s">
        <v>3067</v>
      </c>
      <c r="I240" s="6" t="s">
        <v>3074</v>
      </c>
      <c r="J240" s="6" t="s">
        <v>3313</v>
      </c>
      <c r="K240" s="9">
        <v>6</v>
      </c>
      <c r="L240" s="6" t="s">
        <v>4277</v>
      </c>
      <c r="M240" s="6" t="s">
        <v>4282</v>
      </c>
      <c r="N240" s="24">
        <v>1537.28</v>
      </c>
      <c r="O240" s="22" t="str">
        <f>IF(Table2[[#This Row],[CouponCode]]="N/A", "Not Used", "Used")</f>
        <v>Used</v>
      </c>
    </row>
    <row r="241" spans="1:15" x14ac:dyDescent="0.3">
      <c r="A241" s="6" t="s">
        <v>253</v>
      </c>
      <c r="B241" s="2">
        <v>45637</v>
      </c>
      <c r="C241" s="6" t="s">
        <v>1453</v>
      </c>
      <c r="D241" s="6" t="s">
        <v>2405</v>
      </c>
      <c r="E241" s="9">
        <v>3</v>
      </c>
      <c r="F241" s="24">
        <v>538.74</v>
      </c>
      <c r="G241" t="s">
        <v>2616</v>
      </c>
      <c r="H241" s="6" t="s">
        <v>3066</v>
      </c>
      <c r="I241" s="6" t="s">
        <v>3070</v>
      </c>
      <c r="J241" s="6" t="s">
        <v>3314</v>
      </c>
      <c r="K241" s="9">
        <v>6</v>
      </c>
      <c r="L241" s="6" t="s">
        <v>4276</v>
      </c>
      <c r="M241" s="6" t="s">
        <v>4280</v>
      </c>
      <c r="N241" s="24">
        <v>1616.22</v>
      </c>
      <c r="O241" s="22" t="str">
        <f>IF(Table2[[#This Row],[CouponCode]]="N/A", "Not Used", "Used")</f>
        <v>Used</v>
      </c>
    </row>
    <row r="242" spans="1:15" x14ac:dyDescent="0.3">
      <c r="A242" s="6" t="s">
        <v>254</v>
      </c>
      <c r="B242" s="2">
        <v>45119</v>
      </c>
      <c r="C242" s="6" t="s">
        <v>1454</v>
      </c>
      <c r="D242" s="6" t="s">
        <v>2405</v>
      </c>
      <c r="E242" s="9">
        <v>1</v>
      </c>
      <c r="F242" s="24">
        <v>17.239999999999998</v>
      </c>
      <c r="G242" t="s">
        <v>2617</v>
      </c>
      <c r="H242" s="6" t="s">
        <v>3066</v>
      </c>
      <c r="I242" s="6" t="s">
        <v>3074</v>
      </c>
      <c r="J242" s="6" t="s">
        <v>3315</v>
      </c>
      <c r="K242" s="9">
        <v>2</v>
      </c>
      <c r="L242" s="6" t="s">
        <v>4276</v>
      </c>
      <c r="M242" s="6" t="s">
        <v>4278</v>
      </c>
      <c r="N242" s="24">
        <v>17.239999999999998</v>
      </c>
      <c r="O242" s="22" t="str">
        <f>IF(Table2[[#This Row],[CouponCode]]="N/A", "Not Used", "Used")</f>
        <v>Used</v>
      </c>
    </row>
    <row r="243" spans="1:15" x14ac:dyDescent="0.3">
      <c r="A243" s="6" t="s">
        <v>255</v>
      </c>
      <c r="B243" s="2">
        <v>45062</v>
      </c>
      <c r="C243" s="6" t="s">
        <v>1455</v>
      </c>
      <c r="D243" s="6" t="s">
        <v>2406</v>
      </c>
      <c r="E243" s="9">
        <v>5</v>
      </c>
      <c r="F243" s="24">
        <v>615.66999999999996</v>
      </c>
      <c r="G243" t="s">
        <v>2618</v>
      </c>
      <c r="H243" s="6" t="s">
        <v>3066</v>
      </c>
      <c r="I243" s="6" t="s">
        <v>3074</v>
      </c>
      <c r="J243" s="6" t="s">
        <v>3316</v>
      </c>
      <c r="K243" s="9">
        <v>6</v>
      </c>
      <c r="L243" s="6" t="s">
        <v>4275</v>
      </c>
      <c r="M243" s="6" t="s">
        <v>4280</v>
      </c>
      <c r="N243" s="24">
        <v>3078.35</v>
      </c>
      <c r="O243" s="22" t="str">
        <f>IF(Table2[[#This Row],[CouponCode]]="N/A", "Not Used", "Used")</f>
        <v>Used</v>
      </c>
    </row>
    <row r="244" spans="1:15" x14ac:dyDescent="0.3">
      <c r="A244" s="6" t="s">
        <v>256</v>
      </c>
      <c r="B244" s="2">
        <v>45055</v>
      </c>
      <c r="C244" s="6" t="s">
        <v>1456</v>
      </c>
      <c r="D244" s="6" t="s">
        <v>2407</v>
      </c>
      <c r="E244" s="9">
        <v>2</v>
      </c>
      <c r="F244" s="24">
        <v>219.1</v>
      </c>
      <c r="G244" t="s">
        <v>2619</v>
      </c>
      <c r="H244" s="6" t="s">
        <v>3066</v>
      </c>
      <c r="I244" s="6" t="s">
        <v>3074</v>
      </c>
      <c r="J244" s="6" t="s">
        <v>3317</v>
      </c>
      <c r="K244" s="9">
        <v>4</v>
      </c>
      <c r="L244" s="6" t="s">
        <v>4275</v>
      </c>
      <c r="M244" s="6" t="s">
        <v>4279</v>
      </c>
      <c r="N244" s="24">
        <v>438.2</v>
      </c>
      <c r="O244" s="22" t="str">
        <f>IF(Table2[[#This Row],[CouponCode]]="N/A", "Not Used", "Used")</f>
        <v>Used</v>
      </c>
    </row>
    <row r="245" spans="1:15" x14ac:dyDescent="0.3">
      <c r="A245" s="6" t="s">
        <v>257</v>
      </c>
      <c r="B245" s="2">
        <v>45786</v>
      </c>
      <c r="C245" s="6" t="s">
        <v>1457</v>
      </c>
      <c r="D245" s="6" t="s">
        <v>2406</v>
      </c>
      <c r="E245" s="9">
        <v>2</v>
      </c>
      <c r="F245" s="24">
        <v>144.66</v>
      </c>
      <c r="G245" t="s">
        <v>2620</v>
      </c>
      <c r="H245" s="6" t="s">
        <v>3066</v>
      </c>
      <c r="I245" s="6" t="s">
        <v>3071</v>
      </c>
      <c r="J245" s="6" t="s">
        <v>3318</v>
      </c>
      <c r="K245" s="9">
        <v>7</v>
      </c>
      <c r="L245" s="6" t="s">
        <v>4276</v>
      </c>
      <c r="M245" s="6" t="s">
        <v>4282</v>
      </c>
      <c r="N245" s="24">
        <v>289.32</v>
      </c>
      <c r="O245" s="22" t="str">
        <f>IF(Table2[[#This Row],[CouponCode]]="N/A", "Not Used", "Used")</f>
        <v>Used</v>
      </c>
    </row>
    <row r="246" spans="1:15" x14ac:dyDescent="0.3">
      <c r="A246" s="6" t="s">
        <v>258</v>
      </c>
      <c r="B246" s="2">
        <v>44973</v>
      </c>
      <c r="C246" s="6" t="s">
        <v>1458</v>
      </c>
      <c r="D246" s="6" t="s">
        <v>2409</v>
      </c>
      <c r="E246" s="9">
        <v>2</v>
      </c>
      <c r="F246" s="24">
        <v>317.77</v>
      </c>
      <c r="G246" t="s">
        <v>2621</v>
      </c>
      <c r="H246" s="6" t="s">
        <v>3065</v>
      </c>
      <c r="I246" s="6" t="s">
        <v>3071</v>
      </c>
      <c r="J246" s="6" t="s">
        <v>3319</v>
      </c>
      <c r="K246" s="9">
        <v>4</v>
      </c>
      <c r="L246" s="6" t="s">
        <v>4277</v>
      </c>
      <c r="M246" s="6" t="s">
        <v>4281</v>
      </c>
      <c r="N246" s="24">
        <v>635.54</v>
      </c>
      <c r="O246" s="22" t="str">
        <f>IF(Table2[[#This Row],[CouponCode]]="N/A", "Not Used", "Used")</f>
        <v>Used</v>
      </c>
    </row>
    <row r="247" spans="1:15" x14ac:dyDescent="0.3">
      <c r="A247" s="6" t="s">
        <v>259</v>
      </c>
      <c r="B247" s="2">
        <v>45767</v>
      </c>
      <c r="C247" s="6" t="s">
        <v>1459</v>
      </c>
      <c r="D247" s="6" t="s">
        <v>2408</v>
      </c>
      <c r="E247" s="9">
        <v>1</v>
      </c>
      <c r="F247" s="24">
        <v>223.3</v>
      </c>
      <c r="G247" t="s">
        <v>2622</v>
      </c>
      <c r="H247" s="6" t="s">
        <v>3066</v>
      </c>
      <c r="I247" s="6" t="s">
        <v>3072</v>
      </c>
      <c r="J247" s="6" t="s">
        <v>3320</v>
      </c>
      <c r="K247" s="9">
        <v>1</v>
      </c>
      <c r="L247" s="6" t="s">
        <v>4283</v>
      </c>
      <c r="M247" s="6" t="s">
        <v>4281</v>
      </c>
      <c r="N247" s="24">
        <v>223.3</v>
      </c>
      <c r="O247" s="22" t="str">
        <f>IF(Table2[[#This Row],[CouponCode]]="N/A", "Not Used", "Used")</f>
        <v>Not Used</v>
      </c>
    </row>
    <row r="248" spans="1:15" x14ac:dyDescent="0.3">
      <c r="A248" s="6" t="s">
        <v>260</v>
      </c>
      <c r="B248" s="2">
        <v>45534</v>
      </c>
      <c r="C248" s="6" t="s">
        <v>1460</v>
      </c>
      <c r="D248" s="6" t="s">
        <v>2409</v>
      </c>
      <c r="E248" s="9">
        <v>2</v>
      </c>
      <c r="F248" s="24">
        <v>342.11</v>
      </c>
      <c r="G248" t="s">
        <v>2623</v>
      </c>
      <c r="H248" s="6" t="s">
        <v>3068</v>
      </c>
      <c r="I248" s="6" t="s">
        <v>3070</v>
      </c>
      <c r="J248" s="6" t="s">
        <v>3321</v>
      </c>
      <c r="K248" s="9">
        <v>2</v>
      </c>
      <c r="L248" s="6" t="s">
        <v>4277</v>
      </c>
      <c r="M248" s="6" t="s">
        <v>4278</v>
      </c>
      <c r="N248" s="24">
        <v>684.22</v>
      </c>
      <c r="O248" s="22" t="str">
        <f>IF(Table2[[#This Row],[CouponCode]]="N/A", "Not Used", "Used")</f>
        <v>Used</v>
      </c>
    </row>
    <row r="249" spans="1:15" x14ac:dyDescent="0.3">
      <c r="A249" s="6" t="s">
        <v>261</v>
      </c>
      <c r="B249" s="2">
        <v>45127</v>
      </c>
      <c r="C249" s="6" t="s">
        <v>1461</v>
      </c>
      <c r="D249" s="6" t="s">
        <v>2407</v>
      </c>
      <c r="E249" s="9">
        <v>2</v>
      </c>
      <c r="F249" s="24">
        <v>220.9</v>
      </c>
      <c r="G249" t="s">
        <v>2624</v>
      </c>
      <c r="H249" s="6" t="s">
        <v>3068</v>
      </c>
      <c r="I249" s="6" t="s">
        <v>3070</v>
      </c>
      <c r="J249" s="6" t="s">
        <v>3322</v>
      </c>
      <c r="K249" s="9">
        <v>4</v>
      </c>
      <c r="L249" s="6" t="s">
        <v>4283</v>
      </c>
      <c r="M249" s="6" t="s">
        <v>4280</v>
      </c>
      <c r="N249" s="24">
        <v>441.8</v>
      </c>
      <c r="O249" s="22" t="str">
        <f>IF(Table2[[#This Row],[CouponCode]]="N/A", "Not Used", "Used")</f>
        <v>Not Used</v>
      </c>
    </row>
    <row r="250" spans="1:15" x14ac:dyDescent="0.3">
      <c r="A250" s="6" t="s">
        <v>262</v>
      </c>
      <c r="B250" s="2">
        <v>45109</v>
      </c>
      <c r="C250" s="6" t="s">
        <v>1462</v>
      </c>
      <c r="D250" s="6" t="s">
        <v>2408</v>
      </c>
      <c r="E250" s="9">
        <v>1</v>
      </c>
      <c r="F250" s="24">
        <v>670.54</v>
      </c>
      <c r="G250" t="s">
        <v>2625</v>
      </c>
      <c r="H250" s="6" t="s">
        <v>3069</v>
      </c>
      <c r="I250" s="6" t="s">
        <v>3070</v>
      </c>
      <c r="J250" s="6" t="s">
        <v>3323</v>
      </c>
      <c r="K250" s="9">
        <v>6</v>
      </c>
      <c r="L250" s="6" t="s">
        <v>4276</v>
      </c>
      <c r="M250" s="6" t="s">
        <v>4279</v>
      </c>
      <c r="N250" s="24">
        <v>670.54</v>
      </c>
      <c r="O250" s="22" t="str">
        <f>IF(Table2[[#This Row],[CouponCode]]="N/A", "Not Used", "Used")</f>
        <v>Used</v>
      </c>
    </row>
    <row r="251" spans="1:15" x14ac:dyDescent="0.3">
      <c r="A251" s="6" t="s">
        <v>263</v>
      </c>
      <c r="B251" s="2">
        <v>45329</v>
      </c>
      <c r="C251" s="6" t="s">
        <v>1463</v>
      </c>
      <c r="D251" s="6" t="s">
        <v>2407</v>
      </c>
      <c r="E251" s="9">
        <v>1</v>
      </c>
      <c r="F251" s="24">
        <v>546.19000000000005</v>
      </c>
      <c r="G251" t="s">
        <v>2626</v>
      </c>
      <c r="H251" s="6" t="s">
        <v>3069</v>
      </c>
      <c r="I251" s="6" t="s">
        <v>3074</v>
      </c>
      <c r="J251" s="6" t="s">
        <v>3324</v>
      </c>
      <c r="K251" s="9">
        <v>5</v>
      </c>
      <c r="L251" s="6" t="s">
        <v>4276</v>
      </c>
      <c r="M251" s="6" t="s">
        <v>4279</v>
      </c>
      <c r="N251" s="24">
        <v>546.19000000000005</v>
      </c>
      <c r="O251" s="22" t="str">
        <f>IF(Table2[[#This Row],[CouponCode]]="N/A", "Not Used", "Used")</f>
        <v>Used</v>
      </c>
    </row>
    <row r="252" spans="1:15" x14ac:dyDescent="0.3">
      <c r="A252" s="6" t="s">
        <v>264</v>
      </c>
      <c r="B252" s="2">
        <v>45021</v>
      </c>
      <c r="C252" s="6" t="s">
        <v>1464</v>
      </c>
      <c r="D252" s="6" t="s">
        <v>2409</v>
      </c>
      <c r="E252" s="9">
        <v>3</v>
      </c>
      <c r="F252" s="24">
        <v>42.95</v>
      </c>
      <c r="G252" t="s">
        <v>2492</v>
      </c>
      <c r="H252" s="6" t="s">
        <v>3068</v>
      </c>
      <c r="I252" s="6" t="s">
        <v>3072</v>
      </c>
      <c r="J252" s="6" t="s">
        <v>3325</v>
      </c>
      <c r="K252" s="9">
        <v>8</v>
      </c>
      <c r="L252" s="6" t="s">
        <v>4275</v>
      </c>
      <c r="M252" s="6" t="s">
        <v>4280</v>
      </c>
      <c r="N252" s="24">
        <v>128.85</v>
      </c>
      <c r="O252" s="22" t="str">
        <f>IF(Table2[[#This Row],[CouponCode]]="N/A", "Not Used", "Used")</f>
        <v>Used</v>
      </c>
    </row>
    <row r="253" spans="1:15" x14ac:dyDescent="0.3">
      <c r="A253" s="6" t="s">
        <v>265</v>
      </c>
      <c r="B253" s="2">
        <v>45792</v>
      </c>
      <c r="C253" s="6" t="s">
        <v>1465</v>
      </c>
      <c r="D253" s="6" t="s">
        <v>2403</v>
      </c>
      <c r="E253" s="9">
        <v>4</v>
      </c>
      <c r="F253" s="24">
        <v>14.69</v>
      </c>
      <c r="G253" t="s">
        <v>2627</v>
      </c>
      <c r="H253" s="6" t="s">
        <v>3069</v>
      </c>
      <c r="I253" s="6" t="s">
        <v>3071</v>
      </c>
      <c r="J253" s="6" t="s">
        <v>3326</v>
      </c>
      <c r="K253" s="9">
        <v>9</v>
      </c>
      <c r="L253" s="6" t="s">
        <v>4283</v>
      </c>
      <c r="M253" s="6" t="s">
        <v>4280</v>
      </c>
      <c r="N253" s="24">
        <v>58.76</v>
      </c>
      <c r="O253" s="22" t="str">
        <f>IF(Table2[[#This Row],[CouponCode]]="N/A", "Not Used", "Used")</f>
        <v>Not Used</v>
      </c>
    </row>
    <row r="254" spans="1:15" x14ac:dyDescent="0.3">
      <c r="A254" s="6" t="s">
        <v>266</v>
      </c>
      <c r="B254" s="2">
        <v>45555</v>
      </c>
      <c r="C254" s="6" t="s">
        <v>1466</v>
      </c>
      <c r="D254" s="6" t="s">
        <v>2404</v>
      </c>
      <c r="E254" s="9">
        <v>4</v>
      </c>
      <c r="F254" s="24">
        <v>668.36</v>
      </c>
      <c r="G254" t="s">
        <v>2628</v>
      </c>
      <c r="H254" s="6" t="s">
        <v>3068</v>
      </c>
      <c r="I254" s="6" t="s">
        <v>3071</v>
      </c>
      <c r="J254" s="6" t="s">
        <v>3327</v>
      </c>
      <c r="K254" s="9">
        <v>5</v>
      </c>
      <c r="L254" s="6" t="s">
        <v>4276</v>
      </c>
      <c r="M254" s="6" t="s">
        <v>4281</v>
      </c>
      <c r="N254" s="24">
        <v>2673.44</v>
      </c>
      <c r="O254" s="22" t="str">
        <f>IF(Table2[[#This Row],[CouponCode]]="N/A", "Not Used", "Used")</f>
        <v>Used</v>
      </c>
    </row>
    <row r="255" spans="1:15" x14ac:dyDescent="0.3">
      <c r="A255" s="6" t="s">
        <v>267</v>
      </c>
      <c r="B255" s="2">
        <v>45374</v>
      </c>
      <c r="C255" s="6" t="s">
        <v>1467</v>
      </c>
      <c r="D255" s="6" t="s">
        <v>2406</v>
      </c>
      <c r="E255" s="9">
        <v>4</v>
      </c>
      <c r="F255" s="24">
        <v>413.74</v>
      </c>
      <c r="G255" t="s">
        <v>2503</v>
      </c>
      <c r="H255" s="6" t="s">
        <v>3068</v>
      </c>
      <c r="I255" s="6" t="s">
        <v>3072</v>
      </c>
      <c r="J255" s="6" t="s">
        <v>3328</v>
      </c>
      <c r="K255" s="9">
        <v>7</v>
      </c>
      <c r="L255" s="6" t="s">
        <v>4276</v>
      </c>
      <c r="M255" s="6" t="s">
        <v>4278</v>
      </c>
      <c r="N255" s="24">
        <v>1654.96</v>
      </c>
      <c r="O255" s="22" t="str">
        <f>IF(Table2[[#This Row],[CouponCode]]="N/A", "Not Used", "Used")</f>
        <v>Used</v>
      </c>
    </row>
    <row r="256" spans="1:15" x14ac:dyDescent="0.3">
      <c r="A256" s="6" t="s">
        <v>268</v>
      </c>
      <c r="B256" s="2">
        <v>45286</v>
      </c>
      <c r="C256" s="6" t="s">
        <v>1468</v>
      </c>
      <c r="D256" s="6" t="s">
        <v>2403</v>
      </c>
      <c r="E256" s="9">
        <v>3</v>
      </c>
      <c r="F256" s="24">
        <v>263.19</v>
      </c>
      <c r="G256" t="s">
        <v>2615</v>
      </c>
      <c r="H256" s="6" t="s">
        <v>3066</v>
      </c>
      <c r="I256" s="6" t="s">
        <v>3073</v>
      </c>
      <c r="J256" s="6" t="s">
        <v>3329</v>
      </c>
      <c r="K256" s="9">
        <v>5</v>
      </c>
      <c r="L256" s="6" t="s">
        <v>4283</v>
      </c>
      <c r="M256" s="6" t="s">
        <v>4278</v>
      </c>
      <c r="N256" s="24">
        <v>789.56999999999994</v>
      </c>
      <c r="O256" s="22" t="str">
        <f>IF(Table2[[#This Row],[CouponCode]]="N/A", "Not Used", "Used")</f>
        <v>Not Used</v>
      </c>
    </row>
    <row r="257" spans="1:15" x14ac:dyDescent="0.3">
      <c r="A257" s="6" t="s">
        <v>269</v>
      </c>
      <c r="B257" s="2">
        <v>45425</v>
      </c>
      <c r="C257" s="6" t="s">
        <v>1469</v>
      </c>
      <c r="D257" s="6" t="s">
        <v>2403</v>
      </c>
      <c r="E257" s="9">
        <v>1</v>
      </c>
      <c r="F257" s="24">
        <v>263.95999999999998</v>
      </c>
      <c r="G257" t="s">
        <v>2565</v>
      </c>
      <c r="H257" s="6" t="s">
        <v>3068</v>
      </c>
      <c r="I257" s="6" t="s">
        <v>3072</v>
      </c>
      <c r="J257" s="6" t="s">
        <v>3330</v>
      </c>
      <c r="K257" s="9">
        <v>2</v>
      </c>
      <c r="L257" s="6" t="s">
        <v>4275</v>
      </c>
      <c r="M257" s="6" t="s">
        <v>4282</v>
      </c>
      <c r="N257" s="24">
        <v>263.95999999999998</v>
      </c>
      <c r="O257" s="22" t="str">
        <f>IF(Table2[[#This Row],[CouponCode]]="N/A", "Not Used", "Used")</f>
        <v>Used</v>
      </c>
    </row>
    <row r="258" spans="1:15" x14ac:dyDescent="0.3">
      <c r="A258" s="6" t="s">
        <v>270</v>
      </c>
      <c r="B258" s="2">
        <v>45838</v>
      </c>
      <c r="C258" s="6" t="s">
        <v>1470</v>
      </c>
      <c r="D258" s="6" t="s">
        <v>2406</v>
      </c>
      <c r="E258" s="9">
        <v>5</v>
      </c>
      <c r="F258" s="24">
        <v>75.81</v>
      </c>
      <c r="G258" t="s">
        <v>2629</v>
      </c>
      <c r="H258" s="6" t="s">
        <v>3068</v>
      </c>
      <c r="I258" s="6" t="s">
        <v>3072</v>
      </c>
      <c r="J258" s="6" t="s">
        <v>3331</v>
      </c>
      <c r="K258" s="9">
        <v>10</v>
      </c>
      <c r="L258" s="6" t="s">
        <v>4277</v>
      </c>
      <c r="M258" s="6" t="s">
        <v>4278</v>
      </c>
      <c r="N258" s="24">
        <v>379.05</v>
      </c>
      <c r="O258" s="22" t="str">
        <f>IF(Table2[[#This Row],[CouponCode]]="N/A", "Not Used", "Used")</f>
        <v>Used</v>
      </c>
    </row>
    <row r="259" spans="1:15" x14ac:dyDescent="0.3">
      <c r="A259" s="6" t="s">
        <v>271</v>
      </c>
      <c r="B259" s="2">
        <v>45405</v>
      </c>
      <c r="C259" s="6" t="s">
        <v>1471</v>
      </c>
      <c r="D259" s="6" t="s">
        <v>2404</v>
      </c>
      <c r="E259" s="9">
        <v>1</v>
      </c>
      <c r="F259" s="24">
        <v>406.22</v>
      </c>
      <c r="G259" t="s">
        <v>2630</v>
      </c>
      <c r="H259" s="6" t="s">
        <v>3067</v>
      </c>
      <c r="I259" s="6" t="s">
        <v>3071</v>
      </c>
      <c r="J259" s="6" t="s">
        <v>3332</v>
      </c>
      <c r="K259" s="9">
        <v>5</v>
      </c>
      <c r="L259" s="6" t="s">
        <v>4275</v>
      </c>
      <c r="M259" s="6" t="s">
        <v>4279</v>
      </c>
      <c r="N259" s="24">
        <v>406.22</v>
      </c>
      <c r="O259" s="22" t="str">
        <f>IF(Table2[[#This Row],[CouponCode]]="N/A", "Not Used", "Used")</f>
        <v>Used</v>
      </c>
    </row>
    <row r="260" spans="1:15" x14ac:dyDescent="0.3">
      <c r="A260" s="6" t="s">
        <v>272</v>
      </c>
      <c r="B260" s="2">
        <v>45348</v>
      </c>
      <c r="C260" s="6" t="s">
        <v>1472</v>
      </c>
      <c r="D260" s="6" t="s">
        <v>2405</v>
      </c>
      <c r="E260" s="9">
        <v>2</v>
      </c>
      <c r="F260" s="24">
        <v>103.41</v>
      </c>
      <c r="G260" t="s">
        <v>2631</v>
      </c>
      <c r="H260" s="6" t="s">
        <v>3066</v>
      </c>
      <c r="I260" s="6" t="s">
        <v>3070</v>
      </c>
      <c r="J260" s="6" t="s">
        <v>3333</v>
      </c>
      <c r="K260" s="9">
        <v>2</v>
      </c>
      <c r="L260" s="6" t="s">
        <v>4276</v>
      </c>
      <c r="M260" s="6" t="s">
        <v>4279</v>
      </c>
      <c r="N260" s="24">
        <v>206.82</v>
      </c>
      <c r="O260" s="22" t="str">
        <f>IF(Table2[[#This Row],[CouponCode]]="N/A", "Not Used", "Used")</f>
        <v>Used</v>
      </c>
    </row>
    <row r="261" spans="1:15" x14ac:dyDescent="0.3">
      <c r="A261" s="6" t="s">
        <v>273</v>
      </c>
      <c r="B261" s="2">
        <v>45088</v>
      </c>
      <c r="C261" s="6" t="s">
        <v>1473</v>
      </c>
      <c r="D261" s="6" t="s">
        <v>2406</v>
      </c>
      <c r="E261" s="9">
        <v>4</v>
      </c>
      <c r="F261" s="24">
        <v>435.12</v>
      </c>
      <c r="G261" t="s">
        <v>2535</v>
      </c>
      <c r="H261" s="6" t="s">
        <v>3067</v>
      </c>
      <c r="I261" s="6" t="s">
        <v>3073</v>
      </c>
      <c r="J261" s="6" t="s">
        <v>3334</v>
      </c>
      <c r="K261" s="9">
        <v>9</v>
      </c>
      <c r="L261" s="6" t="s">
        <v>4275</v>
      </c>
      <c r="M261" s="6" t="s">
        <v>4278</v>
      </c>
      <c r="N261" s="24">
        <v>1740.48</v>
      </c>
      <c r="O261" s="22" t="str">
        <f>IF(Table2[[#This Row],[CouponCode]]="N/A", "Not Used", "Used")</f>
        <v>Used</v>
      </c>
    </row>
    <row r="262" spans="1:15" x14ac:dyDescent="0.3">
      <c r="A262" s="6" t="s">
        <v>274</v>
      </c>
      <c r="B262" s="2">
        <v>45063</v>
      </c>
      <c r="C262" s="6" t="s">
        <v>1474</v>
      </c>
      <c r="D262" s="6" t="s">
        <v>2403</v>
      </c>
      <c r="E262" s="9">
        <v>2</v>
      </c>
      <c r="F262" s="24">
        <v>407.79</v>
      </c>
      <c r="G262" t="s">
        <v>2632</v>
      </c>
      <c r="H262" s="6" t="s">
        <v>3065</v>
      </c>
      <c r="I262" s="6" t="s">
        <v>3070</v>
      </c>
      <c r="J262" s="6" t="s">
        <v>3335</v>
      </c>
      <c r="K262" s="9">
        <v>3</v>
      </c>
      <c r="L262" s="6" t="s">
        <v>4283</v>
      </c>
      <c r="M262" s="6" t="s">
        <v>4282</v>
      </c>
      <c r="N262" s="24">
        <v>815.58</v>
      </c>
      <c r="O262" s="22" t="str">
        <f>IF(Table2[[#This Row],[CouponCode]]="N/A", "Not Used", "Used")</f>
        <v>Not Used</v>
      </c>
    </row>
    <row r="263" spans="1:15" x14ac:dyDescent="0.3">
      <c r="A263" s="6" t="s">
        <v>275</v>
      </c>
      <c r="B263" s="2">
        <v>45805</v>
      </c>
      <c r="C263" s="6" t="s">
        <v>1475</v>
      </c>
      <c r="D263" s="6" t="s">
        <v>2404</v>
      </c>
      <c r="E263" s="9">
        <v>5</v>
      </c>
      <c r="F263" s="24">
        <v>173.65</v>
      </c>
      <c r="G263" t="s">
        <v>2633</v>
      </c>
      <c r="H263" s="6" t="s">
        <v>3068</v>
      </c>
      <c r="I263" s="6" t="s">
        <v>3073</v>
      </c>
      <c r="J263" s="6" t="s">
        <v>3336</v>
      </c>
      <c r="K263" s="9">
        <v>9</v>
      </c>
      <c r="L263" s="6" t="s">
        <v>4275</v>
      </c>
      <c r="M263" s="6" t="s">
        <v>4280</v>
      </c>
      <c r="N263" s="24">
        <v>868.25</v>
      </c>
      <c r="O263" s="22" t="str">
        <f>IF(Table2[[#This Row],[CouponCode]]="N/A", "Not Used", "Used")</f>
        <v>Used</v>
      </c>
    </row>
    <row r="264" spans="1:15" x14ac:dyDescent="0.3">
      <c r="A264" s="6" t="s">
        <v>276</v>
      </c>
      <c r="B264" s="2">
        <v>44936</v>
      </c>
      <c r="C264" s="6" t="s">
        <v>1476</v>
      </c>
      <c r="D264" s="6" t="s">
        <v>2404</v>
      </c>
      <c r="E264" s="9">
        <v>4</v>
      </c>
      <c r="F264" s="24">
        <v>249.07</v>
      </c>
      <c r="G264" t="s">
        <v>2536</v>
      </c>
      <c r="H264" s="6" t="s">
        <v>3067</v>
      </c>
      <c r="I264" s="6" t="s">
        <v>3072</v>
      </c>
      <c r="J264" s="6" t="s">
        <v>3337</v>
      </c>
      <c r="K264" s="9">
        <v>5</v>
      </c>
      <c r="L264" s="6" t="s">
        <v>4277</v>
      </c>
      <c r="M264" s="6" t="s">
        <v>4279</v>
      </c>
      <c r="N264" s="24">
        <v>996.28</v>
      </c>
      <c r="O264" s="22" t="str">
        <f>IF(Table2[[#This Row],[CouponCode]]="N/A", "Not Used", "Used")</f>
        <v>Used</v>
      </c>
    </row>
    <row r="265" spans="1:15" x14ac:dyDescent="0.3">
      <c r="A265" s="6" t="s">
        <v>277</v>
      </c>
      <c r="B265" s="2">
        <v>45010</v>
      </c>
      <c r="C265" s="6" t="s">
        <v>1477</v>
      </c>
      <c r="D265" s="6" t="s">
        <v>2404</v>
      </c>
      <c r="E265" s="9">
        <v>4</v>
      </c>
      <c r="F265" s="24">
        <v>434.85</v>
      </c>
      <c r="G265" t="s">
        <v>2634</v>
      </c>
      <c r="H265" s="6" t="s">
        <v>3067</v>
      </c>
      <c r="I265" s="6" t="s">
        <v>3074</v>
      </c>
      <c r="J265" s="6" t="s">
        <v>3338</v>
      </c>
      <c r="K265" s="9">
        <v>4</v>
      </c>
      <c r="L265" s="6" t="s">
        <v>4277</v>
      </c>
      <c r="M265" s="6" t="s">
        <v>4282</v>
      </c>
      <c r="N265" s="24">
        <v>1739.4</v>
      </c>
      <c r="O265" s="22" t="str">
        <f>IF(Table2[[#This Row],[CouponCode]]="N/A", "Not Used", "Used")</f>
        <v>Used</v>
      </c>
    </row>
    <row r="266" spans="1:15" x14ac:dyDescent="0.3">
      <c r="A266" s="6" t="s">
        <v>278</v>
      </c>
      <c r="B266" s="2">
        <v>45507</v>
      </c>
      <c r="C266" s="6" t="s">
        <v>1478</v>
      </c>
      <c r="D266" s="6" t="s">
        <v>2405</v>
      </c>
      <c r="E266" s="9">
        <v>1</v>
      </c>
      <c r="F266" s="24">
        <v>436.77</v>
      </c>
      <c r="G266" t="s">
        <v>2635</v>
      </c>
      <c r="H266" s="6" t="s">
        <v>3069</v>
      </c>
      <c r="I266" s="6" t="s">
        <v>3072</v>
      </c>
      <c r="J266" s="6" t="s">
        <v>3339</v>
      </c>
      <c r="K266" s="9">
        <v>5</v>
      </c>
      <c r="L266" s="6" t="s">
        <v>4276</v>
      </c>
      <c r="M266" s="6" t="s">
        <v>4282</v>
      </c>
      <c r="N266" s="24">
        <v>436.77</v>
      </c>
      <c r="O266" s="22" t="str">
        <f>IF(Table2[[#This Row],[CouponCode]]="N/A", "Not Used", "Used")</f>
        <v>Used</v>
      </c>
    </row>
    <row r="267" spans="1:15" x14ac:dyDescent="0.3">
      <c r="A267" s="6" t="s">
        <v>279</v>
      </c>
      <c r="B267" s="2">
        <v>45282</v>
      </c>
      <c r="C267" s="6" t="s">
        <v>1479</v>
      </c>
      <c r="D267" s="6" t="s">
        <v>2407</v>
      </c>
      <c r="E267" s="9">
        <v>1</v>
      </c>
      <c r="F267" s="24">
        <v>572.13</v>
      </c>
      <c r="G267" t="s">
        <v>2636</v>
      </c>
      <c r="H267" s="6" t="s">
        <v>3065</v>
      </c>
      <c r="I267" s="6" t="s">
        <v>3071</v>
      </c>
      <c r="J267" s="6" t="s">
        <v>3340</v>
      </c>
      <c r="K267" s="9">
        <v>4</v>
      </c>
      <c r="L267" s="6" t="s">
        <v>4275</v>
      </c>
      <c r="M267" s="6" t="s">
        <v>4282</v>
      </c>
      <c r="N267" s="24">
        <v>572.13</v>
      </c>
      <c r="O267" s="22" t="str">
        <f>IF(Table2[[#This Row],[CouponCode]]="N/A", "Not Used", "Used")</f>
        <v>Used</v>
      </c>
    </row>
    <row r="268" spans="1:15" x14ac:dyDescent="0.3">
      <c r="A268" s="6" t="s">
        <v>280</v>
      </c>
      <c r="B268" s="2">
        <v>45451</v>
      </c>
      <c r="C268" s="6" t="s">
        <v>1480</v>
      </c>
      <c r="D268" s="6" t="s">
        <v>2406</v>
      </c>
      <c r="E268" s="9">
        <v>4</v>
      </c>
      <c r="F268" s="24">
        <v>583.07000000000005</v>
      </c>
      <c r="G268" t="s">
        <v>2637</v>
      </c>
      <c r="H268" s="6" t="s">
        <v>3067</v>
      </c>
      <c r="I268" s="6" t="s">
        <v>3071</v>
      </c>
      <c r="J268" s="6" t="s">
        <v>3341</v>
      </c>
      <c r="K268" s="9">
        <v>6</v>
      </c>
      <c r="L268" s="6" t="s">
        <v>4276</v>
      </c>
      <c r="M268" s="6" t="s">
        <v>4279</v>
      </c>
      <c r="N268" s="24">
        <v>2332.2800000000002</v>
      </c>
      <c r="O268" s="22" t="str">
        <f>IF(Table2[[#This Row],[CouponCode]]="N/A", "Not Used", "Used")</f>
        <v>Used</v>
      </c>
    </row>
    <row r="269" spans="1:15" x14ac:dyDescent="0.3">
      <c r="A269" s="6" t="s">
        <v>281</v>
      </c>
      <c r="B269" s="2">
        <v>45764</v>
      </c>
      <c r="C269" s="6" t="s">
        <v>1481</v>
      </c>
      <c r="D269" s="6" t="s">
        <v>2406</v>
      </c>
      <c r="E269" s="9">
        <v>5</v>
      </c>
      <c r="F269" s="24">
        <v>468.51</v>
      </c>
      <c r="G269" t="s">
        <v>2638</v>
      </c>
      <c r="H269" s="6" t="s">
        <v>3065</v>
      </c>
      <c r="I269" s="6" t="s">
        <v>3073</v>
      </c>
      <c r="J269" s="6" t="s">
        <v>3342</v>
      </c>
      <c r="K269" s="9">
        <v>9</v>
      </c>
      <c r="L269" s="6" t="s">
        <v>4283</v>
      </c>
      <c r="M269" s="6" t="s">
        <v>4281</v>
      </c>
      <c r="N269" s="24">
        <v>2342.5500000000002</v>
      </c>
      <c r="O269" s="22" t="str">
        <f>IF(Table2[[#This Row],[CouponCode]]="N/A", "Not Used", "Used")</f>
        <v>Not Used</v>
      </c>
    </row>
    <row r="270" spans="1:15" x14ac:dyDescent="0.3">
      <c r="A270" s="6" t="s">
        <v>282</v>
      </c>
      <c r="B270" s="2">
        <v>45149</v>
      </c>
      <c r="C270" s="6" t="s">
        <v>1482</v>
      </c>
      <c r="D270" s="6" t="s">
        <v>2404</v>
      </c>
      <c r="E270" s="9">
        <v>2</v>
      </c>
      <c r="F270" s="24">
        <v>423.88</v>
      </c>
      <c r="G270" t="s">
        <v>2639</v>
      </c>
      <c r="H270" s="6" t="s">
        <v>3065</v>
      </c>
      <c r="I270" s="6" t="s">
        <v>3073</v>
      </c>
      <c r="J270" s="6" t="s">
        <v>3343</v>
      </c>
      <c r="K270" s="9">
        <v>7</v>
      </c>
      <c r="L270" s="6" t="s">
        <v>4275</v>
      </c>
      <c r="M270" s="6" t="s">
        <v>4279</v>
      </c>
      <c r="N270" s="24">
        <v>847.76</v>
      </c>
      <c r="O270" s="22" t="str">
        <f>IF(Table2[[#This Row],[CouponCode]]="N/A", "Not Used", "Used")</f>
        <v>Used</v>
      </c>
    </row>
    <row r="271" spans="1:15" x14ac:dyDescent="0.3">
      <c r="A271" s="6" t="s">
        <v>283</v>
      </c>
      <c r="B271" s="2">
        <v>45255</v>
      </c>
      <c r="C271" s="6" t="s">
        <v>1483</v>
      </c>
      <c r="D271" s="6" t="s">
        <v>2405</v>
      </c>
      <c r="E271" s="9">
        <v>4</v>
      </c>
      <c r="F271" s="24">
        <v>663.67</v>
      </c>
      <c r="G271" t="s">
        <v>2477</v>
      </c>
      <c r="H271" s="6" t="s">
        <v>3067</v>
      </c>
      <c r="I271" s="6" t="s">
        <v>3074</v>
      </c>
      <c r="J271" s="6" t="s">
        <v>3344</v>
      </c>
      <c r="K271" s="9">
        <v>7</v>
      </c>
      <c r="L271" s="6" t="s">
        <v>4276</v>
      </c>
      <c r="M271" s="6" t="s">
        <v>4282</v>
      </c>
      <c r="N271" s="24">
        <v>2654.68</v>
      </c>
      <c r="O271" s="22" t="str">
        <f>IF(Table2[[#This Row],[CouponCode]]="N/A", "Not Used", "Used")</f>
        <v>Used</v>
      </c>
    </row>
    <row r="272" spans="1:15" x14ac:dyDescent="0.3">
      <c r="A272" s="6" t="s">
        <v>284</v>
      </c>
      <c r="B272" s="2">
        <v>45081</v>
      </c>
      <c r="C272" s="6" t="s">
        <v>1484</v>
      </c>
      <c r="D272" s="6" t="s">
        <v>2407</v>
      </c>
      <c r="E272" s="9">
        <v>4</v>
      </c>
      <c r="F272" s="24">
        <v>309.91000000000003</v>
      </c>
      <c r="G272" t="s">
        <v>2640</v>
      </c>
      <c r="H272" s="6" t="s">
        <v>3065</v>
      </c>
      <c r="I272" s="6" t="s">
        <v>3070</v>
      </c>
      <c r="J272" s="6" t="s">
        <v>3345</v>
      </c>
      <c r="K272" s="9">
        <v>5</v>
      </c>
      <c r="L272" s="6" t="s">
        <v>4277</v>
      </c>
      <c r="M272" s="6" t="s">
        <v>4282</v>
      </c>
      <c r="N272" s="24">
        <v>1239.6400000000001</v>
      </c>
      <c r="O272" s="22" t="str">
        <f>IF(Table2[[#This Row],[CouponCode]]="N/A", "Not Used", "Used")</f>
        <v>Used</v>
      </c>
    </row>
    <row r="273" spans="1:15" x14ac:dyDescent="0.3">
      <c r="A273" s="6" t="s">
        <v>285</v>
      </c>
      <c r="B273" s="2">
        <v>45013</v>
      </c>
      <c r="C273" s="6" t="s">
        <v>1485</v>
      </c>
      <c r="D273" s="6" t="s">
        <v>2403</v>
      </c>
      <c r="E273" s="9">
        <v>1</v>
      </c>
      <c r="F273" s="24">
        <v>542.07000000000005</v>
      </c>
      <c r="G273" t="s">
        <v>2641</v>
      </c>
      <c r="H273" s="6" t="s">
        <v>3069</v>
      </c>
      <c r="I273" s="6" t="s">
        <v>3070</v>
      </c>
      <c r="J273" s="6" t="s">
        <v>3346</v>
      </c>
      <c r="K273" s="9">
        <v>6</v>
      </c>
      <c r="L273" s="6" t="s">
        <v>4277</v>
      </c>
      <c r="M273" s="6" t="s">
        <v>4279</v>
      </c>
      <c r="N273" s="24">
        <v>542.07000000000005</v>
      </c>
      <c r="O273" s="22" t="str">
        <f>IF(Table2[[#This Row],[CouponCode]]="N/A", "Not Used", "Used")</f>
        <v>Used</v>
      </c>
    </row>
    <row r="274" spans="1:15" x14ac:dyDescent="0.3">
      <c r="A274" s="6" t="s">
        <v>286</v>
      </c>
      <c r="B274" s="2">
        <v>45188</v>
      </c>
      <c r="C274" s="6" t="s">
        <v>1486</v>
      </c>
      <c r="D274" s="6" t="s">
        <v>2406</v>
      </c>
      <c r="E274" s="9">
        <v>2</v>
      </c>
      <c r="F274" s="24">
        <v>399.32</v>
      </c>
      <c r="G274" t="s">
        <v>2642</v>
      </c>
      <c r="H274" s="6" t="s">
        <v>3066</v>
      </c>
      <c r="I274" s="6" t="s">
        <v>3074</v>
      </c>
      <c r="J274" s="6" t="s">
        <v>3347</v>
      </c>
      <c r="K274" s="9">
        <v>6</v>
      </c>
      <c r="L274" s="6" t="s">
        <v>4277</v>
      </c>
      <c r="M274" s="6" t="s">
        <v>4278</v>
      </c>
      <c r="N274" s="24">
        <v>798.64</v>
      </c>
      <c r="O274" s="22" t="str">
        <f>IF(Table2[[#This Row],[CouponCode]]="N/A", "Not Used", "Used")</f>
        <v>Used</v>
      </c>
    </row>
    <row r="275" spans="1:15" x14ac:dyDescent="0.3">
      <c r="A275" s="6" t="s">
        <v>287</v>
      </c>
      <c r="B275" s="2">
        <v>45592</v>
      </c>
      <c r="C275" s="6" t="s">
        <v>1487</v>
      </c>
      <c r="D275" s="6" t="s">
        <v>2405</v>
      </c>
      <c r="E275" s="9">
        <v>2</v>
      </c>
      <c r="F275" s="24">
        <v>238.25</v>
      </c>
      <c r="G275" t="s">
        <v>2643</v>
      </c>
      <c r="H275" s="6" t="s">
        <v>3066</v>
      </c>
      <c r="I275" s="6" t="s">
        <v>3071</v>
      </c>
      <c r="J275" s="6" t="s">
        <v>3348</v>
      </c>
      <c r="K275" s="9">
        <v>7</v>
      </c>
      <c r="L275" s="6" t="s">
        <v>4276</v>
      </c>
      <c r="M275" s="6" t="s">
        <v>4280</v>
      </c>
      <c r="N275" s="24">
        <v>476.5</v>
      </c>
      <c r="O275" s="22" t="str">
        <f>IF(Table2[[#This Row],[CouponCode]]="N/A", "Not Used", "Used")</f>
        <v>Used</v>
      </c>
    </row>
    <row r="276" spans="1:15" x14ac:dyDescent="0.3">
      <c r="A276" s="6" t="s">
        <v>288</v>
      </c>
      <c r="B276" s="2">
        <v>44961</v>
      </c>
      <c r="C276" s="6" t="s">
        <v>1488</v>
      </c>
      <c r="D276" s="6" t="s">
        <v>2404</v>
      </c>
      <c r="E276" s="9">
        <v>2</v>
      </c>
      <c r="F276" s="24">
        <v>182.4</v>
      </c>
      <c r="G276" t="s">
        <v>2644</v>
      </c>
      <c r="H276" s="6" t="s">
        <v>3068</v>
      </c>
      <c r="I276" s="6" t="s">
        <v>3071</v>
      </c>
      <c r="J276" s="6" t="s">
        <v>3349</v>
      </c>
      <c r="K276" s="9">
        <v>5</v>
      </c>
      <c r="L276" s="6" t="s">
        <v>4275</v>
      </c>
      <c r="M276" s="6" t="s">
        <v>4279</v>
      </c>
      <c r="N276" s="24">
        <v>364.8</v>
      </c>
      <c r="O276" s="22" t="str">
        <f>IF(Table2[[#This Row],[CouponCode]]="N/A", "Not Used", "Used")</f>
        <v>Used</v>
      </c>
    </row>
    <row r="277" spans="1:15" x14ac:dyDescent="0.3">
      <c r="A277" s="6" t="s">
        <v>289</v>
      </c>
      <c r="B277" s="2">
        <v>45234</v>
      </c>
      <c r="C277" s="6" t="s">
        <v>1489</v>
      </c>
      <c r="D277" s="6" t="s">
        <v>2406</v>
      </c>
      <c r="E277" s="9">
        <v>2</v>
      </c>
      <c r="F277" s="24">
        <v>65.069999999999993</v>
      </c>
      <c r="G277" t="s">
        <v>2645</v>
      </c>
      <c r="H277" s="6" t="s">
        <v>3067</v>
      </c>
      <c r="I277" s="6" t="s">
        <v>3071</v>
      </c>
      <c r="J277" s="6" t="s">
        <v>3350</v>
      </c>
      <c r="K277" s="9">
        <v>4</v>
      </c>
      <c r="L277" s="6" t="s">
        <v>4275</v>
      </c>
      <c r="M277" s="6" t="s">
        <v>4282</v>
      </c>
      <c r="N277" s="24">
        <v>130.13999999999999</v>
      </c>
      <c r="O277" s="22" t="str">
        <f>IF(Table2[[#This Row],[CouponCode]]="N/A", "Not Used", "Used")</f>
        <v>Used</v>
      </c>
    </row>
    <row r="278" spans="1:15" x14ac:dyDescent="0.3">
      <c r="A278" s="6" t="s">
        <v>290</v>
      </c>
      <c r="B278" s="2">
        <v>45745</v>
      </c>
      <c r="C278" s="6" t="s">
        <v>1490</v>
      </c>
      <c r="D278" s="6" t="s">
        <v>2407</v>
      </c>
      <c r="E278" s="9">
        <v>2</v>
      </c>
      <c r="F278" s="24">
        <v>600.57000000000005</v>
      </c>
      <c r="G278" t="s">
        <v>2646</v>
      </c>
      <c r="H278" s="6" t="s">
        <v>3065</v>
      </c>
      <c r="I278" s="6" t="s">
        <v>3072</v>
      </c>
      <c r="J278" s="6" t="s">
        <v>3351</v>
      </c>
      <c r="K278" s="9">
        <v>3</v>
      </c>
      <c r="L278" s="6" t="s">
        <v>4277</v>
      </c>
      <c r="M278" s="6" t="s">
        <v>4278</v>
      </c>
      <c r="N278" s="24">
        <v>1201.1400000000001</v>
      </c>
      <c r="O278" s="22" t="str">
        <f>IF(Table2[[#This Row],[CouponCode]]="N/A", "Not Used", "Used")</f>
        <v>Used</v>
      </c>
    </row>
    <row r="279" spans="1:15" x14ac:dyDescent="0.3">
      <c r="A279" s="6" t="s">
        <v>291</v>
      </c>
      <c r="B279" s="2">
        <v>45544</v>
      </c>
      <c r="C279" s="6" t="s">
        <v>1491</v>
      </c>
      <c r="D279" s="6" t="s">
        <v>2406</v>
      </c>
      <c r="E279" s="9">
        <v>5</v>
      </c>
      <c r="F279" s="24">
        <v>90.92</v>
      </c>
      <c r="G279" t="s">
        <v>2647</v>
      </c>
      <c r="H279" s="6" t="s">
        <v>3067</v>
      </c>
      <c r="I279" s="6" t="s">
        <v>3073</v>
      </c>
      <c r="J279" s="6" t="s">
        <v>3352</v>
      </c>
      <c r="K279" s="9">
        <v>9</v>
      </c>
      <c r="L279" s="6" t="s">
        <v>4275</v>
      </c>
      <c r="M279" s="6" t="s">
        <v>4281</v>
      </c>
      <c r="N279" s="24">
        <v>454.6</v>
      </c>
      <c r="O279" s="22" t="str">
        <f>IF(Table2[[#This Row],[CouponCode]]="N/A", "Not Used", "Used")</f>
        <v>Used</v>
      </c>
    </row>
    <row r="280" spans="1:15" x14ac:dyDescent="0.3">
      <c r="A280" s="6" t="s">
        <v>292</v>
      </c>
      <c r="B280" s="2">
        <v>45614</v>
      </c>
      <c r="C280" s="6" t="s">
        <v>1492</v>
      </c>
      <c r="D280" s="6" t="s">
        <v>2408</v>
      </c>
      <c r="E280" s="9">
        <v>5</v>
      </c>
      <c r="F280" s="24">
        <v>362.46</v>
      </c>
      <c r="G280" t="s">
        <v>2648</v>
      </c>
      <c r="H280" s="6" t="s">
        <v>3069</v>
      </c>
      <c r="I280" s="6" t="s">
        <v>3073</v>
      </c>
      <c r="J280" s="6" t="s">
        <v>3353</v>
      </c>
      <c r="K280" s="9">
        <v>6</v>
      </c>
      <c r="L280" s="6" t="s">
        <v>4276</v>
      </c>
      <c r="M280" s="6" t="s">
        <v>4278</v>
      </c>
      <c r="N280" s="24">
        <v>1812.3</v>
      </c>
      <c r="O280" s="22" t="str">
        <f>IF(Table2[[#This Row],[CouponCode]]="N/A", "Not Used", "Used")</f>
        <v>Used</v>
      </c>
    </row>
    <row r="281" spans="1:15" x14ac:dyDescent="0.3">
      <c r="A281" s="6" t="s">
        <v>293</v>
      </c>
      <c r="B281" s="2">
        <v>45219</v>
      </c>
      <c r="C281" s="6" t="s">
        <v>1493</v>
      </c>
      <c r="D281" s="6" t="s">
        <v>2406</v>
      </c>
      <c r="E281" s="9">
        <v>3</v>
      </c>
      <c r="F281" s="24">
        <v>55.01</v>
      </c>
      <c r="G281" t="s">
        <v>2649</v>
      </c>
      <c r="H281" s="6" t="s">
        <v>3066</v>
      </c>
      <c r="I281" s="6" t="s">
        <v>3074</v>
      </c>
      <c r="J281" s="6" t="s">
        <v>3354</v>
      </c>
      <c r="K281" s="9">
        <v>7</v>
      </c>
      <c r="L281" s="6" t="s">
        <v>4277</v>
      </c>
      <c r="M281" s="6" t="s">
        <v>4280</v>
      </c>
      <c r="N281" s="24">
        <v>165.03</v>
      </c>
      <c r="O281" s="22" t="str">
        <f>IF(Table2[[#This Row],[CouponCode]]="N/A", "Not Used", "Used")</f>
        <v>Used</v>
      </c>
    </row>
    <row r="282" spans="1:15" x14ac:dyDescent="0.3">
      <c r="A282" s="6" t="s">
        <v>294</v>
      </c>
      <c r="B282" s="2">
        <v>45012</v>
      </c>
      <c r="C282" s="6" t="s">
        <v>1494</v>
      </c>
      <c r="D282" s="6" t="s">
        <v>2405</v>
      </c>
      <c r="E282" s="9">
        <v>3</v>
      </c>
      <c r="F282" s="24">
        <v>404.62</v>
      </c>
      <c r="G282" t="s">
        <v>2650</v>
      </c>
      <c r="H282" s="6" t="s">
        <v>3068</v>
      </c>
      <c r="I282" s="6" t="s">
        <v>3073</v>
      </c>
      <c r="J282" s="6" t="s">
        <v>3355</v>
      </c>
      <c r="K282" s="9">
        <v>6</v>
      </c>
      <c r="L282" s="6" t="s">
        <v>4276</v>
      </c>
      <c r="M282" s="6" t="s">
        <v>4278</v>
      </c>
      <c r="N282" s="24">
        <v>1213.8599999999999</v>
      </c>
      <c r="O282" s="22" t="str">
        <f>IF(Table2[[#This Row],[CouponCode]]="N/A", "Not Used", "Used")</f>
        <v>Used</v>
      </c>
    </row>
    <row r="283" spans="1:15" x14ac:dyDescent="0.3">
      <c r="A283" s="6" t="s">
        <v>295</v>
      </c>
      <c r="B283" s="2">
        <v>45134</v>
      </c>
      <c r="C283" s="6" t="s">
        <v>1495</v>
      </c>
      <c r="D283" s="6" t="s">
        <v>2409</v>
      </c>
      <c r="E283" s="9">
        <v>4</v>
      </c>
      <c r="F283" s="24">
        <v>654.79</v>
      </c>
      <c r="G283" t="s">
        <v>2651</v>
      </c>
      <c r="H283" s="6" t="s">
        <v>3069</v>
      </c>
      <c r="I283" s="6" t="s">
        <v>3074</v>
      </c>
      <c r="J283" s="6" t="s">
        <v>3356</v>
      </c>
      <c r="K283" s="9">
        <v>9</v>
      </c>
      <c r="L283" s="6" t="s">
        <v>4283</v>
      </c>
      <c r="M283" s="6" t="s">
        <v>4279</v>
      </c>
      <c r="N283" s="24">
        <v>2619.16</v>
      </c>
      <c r="O283" s="22" t="str">
        <f>IF(Table2[[#This Row],[CouponCode]]="N/A", "Not Used", "Used")</f>
        <v>Not Used</v>
      </c>
    </row>
    <row r="284" spans="1:15" x14ac:dyDescent="0.3">
      <c r="A284" s="6" t="s">
        <v>296</v>
      </c>
      <c r="B284" s="2">
        <v>45769</v>
      </c>
      <c r="C284" s="6" t="s">
        <v>1496</v>
      </c>
      <c r="D284" s="6" t="s">
        <v>2407</v>
      </c>
      <c r="E284" s="9">
        <v>4</v>
      </c>
      <c r="F284" s="24">
        <v>637.79</v>
      </c>
      <c r="G284" t="s">
        <v>2652</v>
      </c>
      <c r="H284" s="6" t="s">
        <v>3068</v>
      </c>
      <c r="I284" s="6" t="s">
        <v>3071</v>
      </c>
      <c r="J284" s="6" t="s">
        <v>3357</v>
      </c>
      <c r="K284" s="9">
        <v>9</v>
      </c>
      <c r="L284" s="6" t="s">
        <v>4276</v>
      </c>
      <c r="M284" s="6" t="s">
        <v>4282</v>
      </c>
      <c r="N284" s="24">
        <v>2551.16</v>
      </c>
      <c r="O284" s="22" t="str">
        <f>IF(Table2[[#This Row],[CouponCode]]="N/A", "Not Used", "Used")</f>
        <v>Used</v>
      </c>
    </row>
    <row r="285" spans="1:15" x14ac:dyDescent="0.3">
      <c r="A285" s="6" t="s">
        <v>297</v>
      </c>
      <c r="B285" s="2">
        <v>45716</v>
      </c>
      <c r="C285" s="6" t="s">
        <v>1497</v>
      </c>
      <c r="D285" s="6" t="s">
        <v>2408</v>
      </c>
      <c r="E285" s="9">
        <v>4</v>
      </c>
      <c r="F285" s="24">
        <v>540.33000000000004</v>
      </c>
      <c r="G285" t="s">
        <v>2653</v>
      </c>
      <c r="H285" s="6" t="s">
        <v>3069</v>
      </c>
      <c r="I285" s="6" t="s">
        <v>3070</v>
      </c>
      <c r="J285" s="6" t="s">
        <v>3358</v>
      </c>
      <c r="K285" s="9">
        <v>6</v>
      </c>
      <c r="L285" s="6" t="s">
        <v>4283</v>
      </c>
      <c r="M285" s="6" t="s">
        <v>4282</v>
      </c>
      <c r="N285" s="24">
        <v>2161.3200000000002</v>
      </c>
      <c r="O285" s="22" t="str">
        <f>IF(Table2[[#This Row],[CouponCode]]="N/A", "Not Used", "Used")</f>
        <v>Not Used</v>
      </c>
    </row>
    <row r="286" spans="1:15" x14ac:dyDescent="0.3">
      <c r="A286" s="6" t="s">
        <v>298</v>
      </c>
      <c r="B286" s="2">
        <v>44973</v>
      </c>
      <c r="C286" s="6" t="s">
        <v>1498</v>
      </c>
      <c r="D286" s="6" t="s">
        <v>2408</v>
      </c>
      <c r="E286" s="9">
        <v>5</v>
      </c>
      <c r="F286" s="24">
        <v>208.17</v>
      </c>
      <c r="G286" t="s">
        <v>2654</v>
      </c>
      <c r="H286" s="6" t="s">
        <v>3067</v>
      </c>
      <c r="I286" s="6" t="s">
        <v>3072</v>
      </c>
      <c r="J286" s="6" t="s">
        <v>3359</v>
      </c>
      <c r="K286" s="9">
        <v>6</v>
      </c>
      <c r="L286" s="6" t="s">
        <v>4275</v>
      </c>
      <c r="M286" s="6" t="s">
        <v>4281</v>
      </c>
      <c r="N286" s="24">
        <v>1040.8499999999999</v>
      </c>
      <c r="O286" s="22" t="str">
        <f>IF(Table2[[#This Row],[CouponCode]]="N/A", "Not Used", "Used")</f>
        <v>Used</v>
      </c>
    </row>
    <row r="287" spans="1:15" x14ac:dyDescent="0.3">
      <c r="A287" s="6" t="s">
        <v>299</v>
      </c>
      <c r="B287" s="2">
        <v>45818</v>
      </c>
      <c r="C287" s="6" t="s">
        <v>1499</v>
      </c>
      <c r="D287" s="6" t="s">
        <v>2404</v>
      </c>
      <c r="E287" s="9">
        <v>1</v>
      </c>
      <c r="F287" s="24">
        <v>338.31</v>
      </c>
      <c r="G287" t="s">
        <v>2643</v>
      </c>
      <c r="H287" s="6" t="s">
        <v>3066</v>
      </c>
      <c r="I287" s="6" t="s">
        <v>3073</v>
      </c>
      <c r="J287" s="6" t="s">
        <v>3360</v>
      </c>
      <c r="K287" s="9">
        <v>3</v>
      </c>
      <c r="L287" s="6" t="s">
        <v>4283</v>
      </c>
      <c r="M287" s="6" t="s">
        <v>4282</v>
      </c>
      <c r="N287" s="24">
        <v>338.31</v>
      </c>
      <c r="O287" s="22" t="str">
        <f>IF(Table2[[#This Row],[CouponCode]]="N/A", "Not Used", "Used")</f>
        <v>Not Used</v>
      </c>
    </row>
    <row r="288" spans="1:15" x14ac:dyDescent="0.3">
      <c r="A288" s="6" t="s">
        <v>300</v>
      </c>
      <c r="B288" s="2">
        <v>45754</v>
      </c>
      <c r="C288" s="6" t="s">
        <v>1500</v>
      </c>
      <c r="D288" s="6" t="s">
        <v>2403</v>
      </c>
      <c r="E288" s="9">
        <v>3</v>
      </c>
      <c r="F288" s="24">
        <v>139.44999999999999</v>
      </c>
      <c r="G288" t="s">
        <v>2522</v>
      </c>
      <c r="H288" s="6" t="s">
        <v>3068</v>
      </c>
      <c r="I288" s="6" t="s">
        <v>3072</v>
      </c>
      <c r="J288" s="6" t="s">
        <v>3361</v>
      </c>
      <c r="K288" s="9">
        <v>8</v>
      </c>
      <c r="L288" s="6" t="s">
        <v>4277</v>
      </c>
      <c r="M288" s="6" t="s">
        <v>4282</v>
      </c>
      <c r="N288" s="24">
        <v>418.35</v>
      </c>
      <c r="O288" s="22" t="str">
        <f>IF(Table2[[#This Row],[CouponCode]]="N/A", "Not Used", "Used")</f>
        <v>Used</v>
      </c>
    </row>
    <row r="289" spans="1:15" x14ac:dyDescent="0.3">
      <c r="A289" s="6" t="s">
        <v>301</v>
      </c>
      <c r="B289" s="2">
        <v>45254</v>
      </c>
      <c r="C289" s="6" t="s">
        <v>1501</v>
      </c>
      <c r="D289" s="6" t="s">
        <v>2406</v>
      </c>
      <c r="E289" s="9">
        <v>4</v>
      </c>
      <c r="F289" s="24">
        <v>655.17999999999995</v>
      </c>
      <c r="G289" t="s">
        <v>2655</v>
      </c>
      <c r="H289" s="6" t="s">
        <v>3066</v>
      </c>
      <c r="I289" s="6" t="s">
        <v>3070</v>
      </c>
      <c r="J289" s="6" t="s">
        <v>3362</v>
      </c>
      <c r="K289" s="9">
        <v>5</v>
      </c>
      <c r="L289" s="6" t="s">
        <v>4283</v>
      </c>
      <c r="M289" s="6" t="s">
        <v>4281</v>
      </c>
      <c r="N289" s="24">
        <v>2620.7199999999998</v>
      </c>
      <c r="O289" s="22" t="str">
        <f>IF(Table2[[#This Row],[CouponCode]]="N/A", "Not Used", "Used")</f>
        <v>Not Used</v>
      </c>
    </row>
    <row r="290" spans="1:15" x14ac:dyDescent="0.3">
      <c r="A290" s="6" t="s">
        <v>302</v>
      </c>
      <c r="B290" s="2">
        <v>44997</v>
      </c>
      <c r="C290" s="6" t="s">
        <v>1502</v>
      </c>
      <c r="D290" s="6" t="s">
        <v>2408</v>
      </c>
      <c r="E290" s="9">
        <v>4</v>
      </c>
      <c r="F290" s="24">
        <v>512.75</v>
      </c>
      <c r="G290" t="s">
        <v>2656</v>
      </c>
      <c r="H290" s="6" t="s">
        <v>3065</v>
      </c>
      <c r="I290" s="6" t="s">
        <v>3072</v>
      </c>
      <c r="J290" s="6" t="s">
        <v>3363</v>
      </c>
      <c r="K290" s="9">
        <v>8</v>
      </c>
      <c r="L290" s="6" t="s">
        <v>4277</v>
      </c>
      <c r="M290" s="6" t="s">
        <v>4282</v>
      </c>
      <c r="N290" s="24">
        <v>2051</v>
      </c>
      <c r="O290" s="22" t="str">
        <f>IF(Table2[[#This Row],[CouponCode]]="N/A", "Not Used", "Used")</f>
        <v>Used</v>
      </c>
    </row>
    <row r="291" spans="1:15" x14ac:dyDescent="0.3">
      <c r="A291" s="6" t="s">
        <v>303</v>
      </c>
      <c r="B291" s="2">
        <v>45133</v>
      </c>
      <c r="C291" s="6" t="s">
        <v>1503</v>
      </c>
      <c r="D291" s="6" t="s">
        <v>2406</v>
      </c>
      <c r="E291" s="9">
        <v>4</v>
      </c>
      <c r="F291" s="24">
        <v>160.49</v>
      </c>
      <c r="G291" t="s">
        <v>2420</v>
      </c>
      <c r="H291" s="6" t="s">
        <v>3067</v>
      </c>
      <c r="I291" s="6" t="s">
        <v>3070</v>
      </c>
      <c r="J291" s="6" t="s">
        <v>3364</v>
      </c>
      <c r="K291" s="9">
        <v>8</v>
      </c>
      <c r="L291" s="6" t="s">
        <v>4277</v>
      </c>
      <c r="M291" s="6" t="s">
        <v>4279</v>
      </c>
      <c r="N291" s="24">
        <v>641.96</v>
      </c>
      <c r="O291" s="22" t="str">
        <f>IF(Table2[[#This Row],[CouponCode]]="N/A", "Not Used", "Used")</f>
        <v>Used</v>
      </c>
    </row>
    <row r="292" spans="1:15" x14ac:dyDescent="0.3">
      <c r="A292" s="6" t="s">
        <v>304</v>
      </c>
      <c r="B292" s="2">
        <v>45051</v>
      </c>
      <c r="C292" s="6" t="s">
        <v>1504</v>
      </c>
      <c r="D292" s="6" t="s">
        <v>2406</v>
      </c>
      <c r="E292" s="9">
        <v>3</v>
      </c>
      <c r="F292" s="24">
        <v>99.9</v>
      </c>
      <c r="G292" t="s">
        <v>2575</v>
      </c>
      <c r="H292" s="6" t="s">
        <v>3069</v>
      </c>
      <c r="I292" s="6" t="s">
        <v>3073</v>
      </c>
      <c r="J292" s="6" t="s">
        <v>3365</v>
      </c>
      <c r="K292" s="9">
        <v>8</v>
      </c>
      <c r="L292" s="6" t="s">
        <v>4276</v>
      </c>
      <c r="M292" s="6" t="s">
        <v>4281</v>
      </c>
      <c r="N292" s="24">
        <v>299.7</v>
      </c>
      <c r="O292" s="22" t="str">
        <f>IF(Table2[[#This Row],[CouponCode]]="N/A", "Not Used", "Used")</f>
        <v>Used</v>
      </c>
    </row>
    <row r="293" spans="1:15" x14ac:dyDescent="0.3">
      <c r="A293" s="6" t="s">
        <v>305</v>
      </c>
      <c r="B293" s="2">
        <v>45424</v>
      </c>
      <c r="C293" s="6" t="s">
        <v>1505</v>
      </c>
      <c r="D293" s="6" t="s">
        <v>2404</v>
      </c>
      <c r="E293" s="9">
        <v>2</v>
      </c>
      <c r="F293" s="24">
        <v>345.01</v>
      </c>
      <c r="G293" t="s">
        <v>2657</v>
      </c>
      <c r="H293" s="6" t="s">
        <v>3067</v>
      </c>
      <c r="I293" s="6" t="s">
        <v>3073</v>
      </c>
      <c r="J293" s="6" t="s">
        <v>3366</v>
      </c>
      <c r="K293" s="9">
        <v>6</v>
      </c>
      <c r="L293" s="6" t="s">
        <v>4276</v>
      </c>
      <c r="M293" s="6" t="s">
        <v>4282</v>
      </c>
      <c r="N293" s="24">
        <v>690.02</v>
      </c>
      <c r="O293" s="22" t="str">
        <f>IF(Table2[[#This Row],[CouponCode]]="N/A", "Not Used", "Used")</f>
        <v>Used</v>
      </c>
    </row>
    <row r="294" spans="1:15" x14ac:dyDescent="0.3">
      <c r="A294" s="6" t="s">
        <v>306</v>
      </c>
      <c r="B294" s="2">
        <v>45672</v>
      </c>
      <c r="C294" s="6" t="s">
        <v>1506</v>
      </c>
      <c r="D294" s="6" t="s">
        <v>2403</v>
      </c>
      <c r="E294" s="9">
        <v>1</v>
      </c>
      <c r="F294" s="24">
        <v>65.95</v>
      </c>
      <c r="G294" t="s">
        <v>2594</v>
      </c>
      <c r="H294" s="6" t="s">
        <v>3067</v>
      </c>
      <c r="I294" s="6" t="s">
        <v>3073</v>
      </c>
      <c r="J294" s="6" t="s">
        <v>3367</v>
      </c>
      <c r="K294" s="9">
        <v>5</v>
      </c>
      <c r="L294" s="6" t="s">
        <v>4283</v>
      </c>
      <c r="M294" s="6" t="s">
        <v>4281</v>
      </c>
      <c r="N294" s="24">
        <v>65.95</v>
      </c>
      <c r="O294" s="22" t="str">
        <f>IF(Table2[[#This Row],[CouponCode]]="N/A", "Not Used", "Used")</f>
        <v>Not Used</v>
      </c>
    </row>
    <row r="295" spans="1:15" x14ac:dyDescent="0.3">
      <c r="A295" s="6" t="s">
        <v>307</v>
      </c>
      <c r="B295" s="2">
        <v>44973</v>
      </c>
      <c r="C295" s="6" t="s">
        <v>1507</v>
      </c>
      <c r="D295" s="6" t="s">
        <v>2405</v>
      </c>
      <c r="E295" s="9">
        <v>4</v>
      </c>
      <c r="F295" s="24">
        <v>463.04</v>
      </c>
      <c r="G295" t="s">
        <v>2658</v>
      </c>
      <c r="H295" s="6" t="s">
        <v>3068</v>
      </c>
      <c r="I295" s="6" t="s">
        <v>3072</v>
      </c>
      <c r="J295" s="6" t="s">
        <v>3368</v>
      </c>
      <c r="K295" s="9">
        <v>9</v>
      </c>
      <c r="L295" s="6" t="s">
        <v>4283</v>
      </c>
      <c r="M295" s="6" t="s">
        <v>4278</v>
      </c>
      <c r="N295" s="24">
        <v>1852.16</v>
      </c>
      <c r="O295" s="22" t="str">
        <f>IF(Table2[[#This Row],[CouponCode]]="N/A", "Not Used", "Used")</f>
        <v>Not Used</v>
      </c>
    </row>
    <row r="296" spans="1:15" x14ac:dyDescent="0.3">
      <c r="A296" s="6" t="s">
        <v>308</v>
      </c>
      <c r="B296" s="2">
        <v>45748</v>
      </c>
      <c r="C296" s="6" t="s">
        <v>1508</v>
      </c>
      <c r="D296" s="6" t="s">
        <v>2404</v>
      </c>
      <c r="E296" s="9">
        <v>2</v>
      </c>
      <c r="F296" s="24">
        <v>297.70999999999998</v>
      </c>
      <c r="G296" t="s">
        <v>2659</v>
      </c>
      <c r="H296" s="6" t="s">
        <v>3066</v>
      </c>
      <c r="I296" s="6" t="s">
        <v>3070</v>
      </c>
      <c r="J296" s="6" t="s">
        <v>3369</v>
      </c>
      <c r="K296" s="9">
        <v>7</v>
      </c>
      <c r="L296" s="6" t="s">
        <v>4275</v>
      </c>
      <c r="M296" s="6" t="s">
        <v>4279</v>
      </c>
      <c r="N296" s="24">
        <v>595.41999999999996</v>
      </c>
      <c r="O296" s="22" t="str">
        <f>IF(Table2[[#This Row],[CouponCode]]="N/A", "Not Used", "Used")</f>
        <v>Used</v>
      </c>
    </row>
    <row r="297" spans="1:15" x14ac:dyDescent="0.3">
      <c r="A297" s="6" t="s">
        <v>309</v>
      </c>
      <c r="B297" s="2">
        <v>44951</v>
      </c>
      <c r="C297" s="6" t="s">
        <v>1509</v>
      </c>
      <c r="D297" s="6" t="s">
        <v>2407</v>
      </c>
      <c r="E297" s="9">
        <v>5</v>
      </c>
      <c r="F297" s="24">
        <v>107.48</v>
      </c>
      <c r="G297" t="s">
        <v>2660</v>
      </c>
      <c r="H297" s="6" t="s">
        <v>3065</v>
      </c>
      <c r="I297" s="6" t="s">
        <v>3071</v>
      </c>
      <c r="J297" s="6" t="s">
        <v>3370</v>
      </c>
      <c r="K297" s="9">
        <v>9</v>
      </c>
      <c r="L297" s="6" t="s">
        <v>4276</v>
      </c>
      <c r="M297" s="6" t="s">
        <v>4280</v>
      </c>
      <c r="N297" s="24">
        <v>537.4</v>
      </c>
      <c r="O297" s="22" t="str">
        <f>IF(Table2[[#This Row],[CouponCode]]="N/A", "Not Used", "Used")</f>
        <v>Used</v>
      </c>
    </row>
    <row r="298" spans="1:15" x14ac:dyDescent="0.3">
      <c r="A298" s="6" t="s">
        <v>310</v>
      </c>
      <c r="B298" s="2">
        <v>45462</v>
      </c>
      <c r="C298" s="6" t="s">
        <v>1510</v>
      </c>
      <c r="D298" s="6" t="s">
        <v>2409</v>
      </c>
      <c r="E298" s="9">
        <v>5</v>
      </c>
      <c r="F298" s="24">
        <v>638.79999999999995</v>
      </c>
      <c r="G298" t="s">
        <v>2458</v>
      </c>
      <c r="H298" s="6" t="s">
        <v>3065</v>
      </c>
      <c r="I298" s="6" t="s">
        <v>3071</v>
      </c>
      <c r="J298" s="6" t="s">
        <v>3371</v>
      </c>
      <c r="K298" s="9">
        <v>10</v>
      </c>
      <c r="L298" s="6" t="s">
        <v>4277</v>
      </c>
      <c r="M298" s="6" t="s">
        <v>4279</v>
      </c>
      <c r="N298" s="24">
        <v>3194</v>
      </c>
      <c r="O298" s="22" t="str">
        <f>IF(Table2[[#This Row],[CouponCode]]="N/A", "Not Used", "Used")</f>
        <v>Used</v>
      </c>
    </row>
    <row r="299" spans="1:15" x14ac:dyDescent="0.3">
      <c r="A299" s="6" t="s">
        <v>311</v>
      </c>
      <c r="B299" s="2">
        <v>44979</v>
      </c>
      <c r="C299" s="6" t="s">
        <v>1511</v>
      </c>
      <c r="D299" s="6" t="s">
        <v>2409</v>
      </c>
      <c r="E299" s="9">
        <v>2</v>
      </c>
      <c r="F299" s="24">
        <v>493.88</v>
      </c>
      <c r="G299" t="s">
        <v>2661</v>
      </c>
      <c r="H299" s="6" t="s">
        <v>3067</v>
      </c>
      <c r="I299" s="6" t="s">
        <v>3072</v>
      </c>
      <c r="J299" s="6" t="s">
        <v>3372</v>
      </c>
      <c r="K299" s="9">
        <v>7</v>
      </c>
      <c r="L299" s="6" t="s">
        <v>4275</v>
      </c>
      <c r="M299" s="6" t="s">
        <v>4278</v>
      </c>
      <c r="N299" s="24">
        <v>987.76</v>
      </c>
      <c r="O299" s="22" t="str">
        <f>IF(Table2[[#This Row],[CouponCode]]="N/A", "Not Used", "Used")</f>
        <v>Used</v>
      </c>
    </row>
    <row r="300" spans="1:15" x14ac:dyDescent="0.3">
      <c r="A300" s="6" t="s">
        <v>312</v>
      </c>
      <c r="B300" s="2">
        <v>45279</v>
      </c>
      <c r="C300" s="6" t="s">
        <v>1512</v>
      </c>
      <c r="D300" s="6" t="s">
        <v>2407</v>
      </c>
      <c r="E300" s="9">
        <v>4</v>
      </c>
      <c r="F300" s="24">
        <v>301.17</v>
      </c>
      <c r="G300" t="s">
        <v>2450</v>
      </c>
      <c r="H300" s="6" t="s">
        <v>3066</v>
      </c>
      <c r="I300" s="6" t="s">
        <v>3071</v>
      </c>
      <c r="J300" s="6" t="s">
        <v>3373</v>
      </c>
      <c r="K300" s="9">
        <v>6</v>
      </c>
      <c r="L300" s="6" t="s">
        <v>4283</v>
      </c>
      <c r="M300" s="6" t="s">
        <v>4280</v>
      </c>
      <c r="N300" s="24">
        <v>1204.68</v>
      </c>
      <c r="O300" s="22" t="str">
        <f>IF(Table2[[#This Row],[CouponCode]]="N/A", "Not Used", "Used")</f>
        <v>Not Used</v>
      </c>
    </row>
    <row r="301" spans="1:15" x14ac:dyDescent="0.3">
      <c r="A301" s="6" t="s">
        <v>313</v>
      </c>
      <c r="B301" s="2">
        <v>45311</v>
      </c>
      <c r="C301" s="6" t="s">
        <v>1513</v>
      </c>
      <c r="D301" s="6" t="s">
        <v>2403</v>
      </c>
      <c r="E301" s="9">
        <v>1</v>
      </c>
      <c r="F301" s="24">
        <v>278.66000000000003</v>
      </c>
      <c r="G301" t="s">
        <v>2662</v>
      </c>
      <c r="H301" s="6" t="s">
        <v>3068</v>
      </c>
      <c r="I301" s="6" t="s">
        <v>3071</v>
      </c>
      <c r="J301" s="6" t="s">
        <v>3374</v>
      </c>
      <c r="K301" s="9">
        <v>2</v>
      </c>
      <c r="L301" s="6" t="s">
        <v>4276</v>
      </c>
      <c r="M301" s="6" t="s">
        <v>4278</v>
      </c>
      <c r="N301" s="24">
        <v>278.66000000000003</v>
      </c>
      <c r="O301" s="22" t="str">
        <f>IF(Table2[[#This Row],[CouponCode]]="N/A", "Not Used", "Used")</f>
        <v>Used</v>
      </c>
    </row>
    <row r="302" spans="1:15" x14ac:dyDescent="0.3">
      <c r="A302" s="6" t="s">
        <v>314</v>
      </c>
      <c r="B302" s="2">
        <v>45537</v>
      </c>
      <c r="C302" s="6" t="s">
        <v>1514</v>
      </c>
      <c r="D302" s="6" t="s">
        <v>2404</v>
      </c>
      <c r="E302" s="9">
        <v>1</v>
      </c>
      <c r="F302" s="24">
        <v>287.45999999999998</v>
      </c>
      <c r="G302" t="s">
        <v>2663</v>
      </c>
      <c r="H302" s="6" t="s">
        <v>3065</v>
      </c>
      <c r="I302" s="6" t="s">
        <v>3072</v>
      </c>
      <c r="J302" s="6" t="s">
        <v>3375</v>
      </c>
      <c r="K302" s="9">
        <v>3</v>
      </c>
      <c r="L302" s="6" t="s">
        <v>4276</v>
      </c>
      <c r="M302" s="6" t="s">
        <v>4281</v>
      </c>
      <c r="N302" s="24">
        <v>287.45999999999998</v>
      </c>
      <c r="O302" s="22" t="str">
        <f>IF(Table2[[#This Row],[CouponCode]]="N/A", "Not Used", "Used")</f>
        <v>Used</v>
      </c>
    </row>
    <row r="303" spans="1:15" x14ac:dyDescent="0.3">
      <c r="A303" s="6" t="s">
        <v>315</v>
      </c>
      <c r="B303" s="2">
        <v>45057</v>
      </c>
      <c r="C303" s="6" t="s">
        <v>1515</v>
      </c>
      <c r="D303" s="6" t="s">
        <v>2406</v>
      </c>
      <c r="E303" s="9">
        <v>1</v>
      </c>
      <c r="F303" s="24">
        <v>583.99</v>
      </c>
      <c r="G303" t="s">
        <v>2664</v>
      </c>
      <c r="H303" s="6" t="s">
        <v>3069</v>
      </c>
      <c r="I303" s="6" t="s">
        <v>3071</v>
      </c>
      <c r="J303" s="6" t="s">
        <v>3376</v>
      </c>
      <c r="K303" s="9">
        <v>2</v>
      </c>
      <c r="L303" s="6" t="s">
        <v>4275</v>
      </c>
      <c r="M303" s="6" t="s">
        <v>4280</v>
      </c>
      <c r="N303" s="24">
        <v>583.99</v>
      </c>
      <c r="O303" s="22" t="str">
        <f>IF(Table2[[#This Row],[CouponCode]]="N/A", "Not Used", "Used")</f>
        <v>Used</v>
      </c>
    </row>
    <row r="304" spans="1:15" x14ac:dyDescent="0.3">
      <c r="A304" s="6" t="s">
        <v>316</v>
      </c>
      <c r="B304" s="2">
        <v>45062</v>
      </c>
      <c r="C304" s="6" t="s">
        <v>1516</v>
      </c>
      <c r="D304" s="6" t="s">
        <v>2406</v>
      </c>
      <c r="E304" s="9">
        <v>3</v>
      </c>
      <c r="F304" s="24">
        <v>468.74</v>
      </c>
      <c r="G304" t="s">
        <v>2665</v>
      </c>
      <c r="H304" s="6" t="s">
        <v>3069</v>
      </c>
      <c r="I304" s="6" t="s">
        <v>3074</v>
      </c>
      <c r="J304" s="6" t="s">
        <v>3377</v>
      </c>
      <c r="K304" s="9">
        <v>4</v>
      </c>
      <c r="L304" s="6" t="s">
        <v>4276</v>
      </c>
      <c r="M304" s="6" t="s">
        <v>4278</v>
      </c>
      <c r="N304" s="24">
        <v>1406.22</v>
      </c>
      <c r="O304" s="22" t="str">
        <f>IF(Table2[[#This Row],[CouponCode]]="N/A", "Not Used", "Used")</f>
        <v>Used</v>
      </c>
    </row>
    <row r="305" spans="1:15" x14ac:dyDescent="0.3">
      <c r="A305" s="6" t="s">
        <v>317</v>
      </c>
      <c r="B305" s="2">
        <v>45633</v>
      </c>
      <c r="C305" s="6" t="s">
        <v>1517</v>
      </c>
      <c r="D305" s="6" t="s">
        <v>2405</v>
      </c>
      <c r="E305" s="9">
        <v>1</v>
      </c>
      <c r="F305" s="24">
        <v>30.54</v>
      </c>
      <c r="G305" t="s">
        <v>2666</v>
      </c>
      <c r="H305" s="6" t="s">
        <v>3065</v>
      </c>
      <c r="I305" s="6" t="s">
        <v>3072</v>
      </c>
      <c r="J305" s="6" t="s">
        <v>3378</v>
      </c>
      <c r="K305" s="9">
        <v>1</v>
      </c>
      <c r="L305" s="6" t="s">
        <v>4283</v>
      </c>
      <c r="M305" s="6" t="s">
        <v>4282</v>
      </c>
      <c r="N305" s="24">
        <v>30.54</v>
      </c>
      <c r="O305" s="22" t="str">
        <f>IF(Table2[[#This Row],[CouponCode]]="N/A", "Not Used", "Used")</f>
        <v>Not Used</v>
      </c>
    </row>
    <row r="306" spans="1:15" x14ac:dyDescent="0.3">
      <c r="A306" s="6" t="s">
        <v>318</v>
      </c>
      <c r="B306" s="2">
        <v>45583</v>
      </c>
      <c r="C306" s="6" t="s">
        <v>1518</v>
      </c>
      <c r="D306" s="6" t="s">
        <v>2403</v>
      </c>
      <c r="E306" s="9">
        <v>5</v>
      </c>
      <c r="F306" s="24">
        <v>408.73</v>
      </c>
      <c r="G306" t="s">
        <v>2667</v>
      </c>
      <c r="H306" s="6" t="s">
        <v>3068</v>
      </c>
      <c r="I306" s="6" t="s">
        <v>3073</v>
      </c>
      <c r="J306" s="6" t="s">
        <v>3379</v>
      </c>
      <c r="K306" s="9">
        <v>10</v>
      </c>
      <c r="L306" s="6" t="s">
        <v>4276</v>
      </c>
      <c r="M306" s="6" t="s">
        <v>4278</v>
      </c>
      <c r="N306" s="24">
        <v>2043.65</v>
      </c>
      <c r="O306" s="22" t="str">
        <f>IF(Table2[[#This Row],[CouponCode]]="N/A", "Not Used", "Used")</f>
        <v>Used</v>
      </c>
    </row>
    <row r="307" spans="1:15" x14ac:dyDescent="0.3">
      <c r="A307" s="6" t="s">
        <v>319</v>
      </c>
      <c r="B307" s="2">
        <v>45255</v>
      </c>
      <c r="C307" s="6" t="s">
        <v>1519</v>
      </c>
      <c r="D307" s="6" t="s">
        <v>2408</v>
      </c>
      <c r="E307" s="9">
        <v>4</v>
      </c>
      <c r="F307" s="24">
        <v>126.89</v>
      </c>
      <c r="G307" t="s">
        <v>2668</v>
      </c>
      <c r="H307" s="6" t="s">
        <v>3069</v>
      </c>
      <c r="I307" s="6" t="s">
        <v>3074</v>
      </c>
      <c r="J307" s="6" t="s">
        <v>3380</v>
      </c>
      <c r="K307" s="9">
        <v>9</v>
      </c>
      <c r="L307" s="6" t="s">
        <v>4276</v>
      </c>
      <c r="M307" s="6" t="s">
        <v>4278</v>
      </c>
      <c r="N307" s="24">
        <v>507.56</v>
      </c>
      <c r="O307" s="22" t="str">
        <f>IF(Table2[[#This Row],[CouponCode]]="N/A", "Not Used", "Used")</f>
        <v>Used</v>
      </c>
    </row>
    <row r="308" spans="1:15" x14ac:dyDescent="0.3">
      <c r="A308" s="6" t="s">
        <v>320</v>
      </c>
      <c r="B308" s="2">
        <v>45450</v>
      </c>
      <c r="C308" s="6" t="s">
        <v>1520</v>
      </c>
      <c r="D308" s="6" t="s">
        <v>2407</v>
      </c>
      <c r="E308" s="9">
        <v>2</v>
      </c>
      <c r="F308" s="24">
        <v>57.07</v>
      </c>
      <c r="G308" t="s">
        <v>2669</v>
      </c>
      <c r="H308" s="6" t="s">
        <v>3065</v>
      </c>
      <c r="I308" s="6" t="s">
        <v>3072</v>
      </c>
      <c r="J308" s="6" t="s">
        <v>3381</v>
      </c>
      <c r="K308" s="9">
        <v>3</v>
      </c>
      <c r="L308" s="6" t="s">
        <v>4275</v>
      </c>
      <c r="M308" s="6" t="s">
        <v>4278</v>
      </c>
      <c r="N308" s="24">
        <v>114.14</v>
      </c>
      <c r="O308" s="22" t="str">
        <f>IF(Table2[[#This Row],[CouponCode]]="N/A", "Not Used", "Used")</f>
        <v>Used</v>
      </c>
    </row>
    <row r="309" spans="1:15" x14ac:dyDescent="0.3">
      <c r="A309" s="6" t="s">
        <v>321</v>
      </c>
      <c r="B309" s="2">
        <v>45108</v>
      </c>
      <c r="C309" s="6" t="s">
        <v>1521</v>
      </c>
      <c r="D309" s="6" t="s">
        <v>2408</v>
      </c>
      <c r="E309" s="9">
        <v>3</v>
      </c>
      <c r="F309" s="24">
        <v>557.41</v>
      </c>
      <c r="G309" t="s">
        <v>2670</v>
      </c>
      <c r="H309" s="6" t="s">
        <v>3066</v>
      </c>
      <c r="I309" s="6" t="s">
        <v>3073</v>
      </c>
      <c r="J309" s="6" t="s">
        <v>3382</v>
      </c>
      <c r="K309" s="9">
        <v>4</v>
      </c>
      <c r="L309" s="6" t="s">
        <v>4283</v>
      </c>
      <c r="M309" s="6" t="s">
        <v>4280</v>
      </c>
      <c r="N309" s="24">
        <v>1672.23</v>
      </c>
      <c r="O309" s="22" t="str">
        <f>IF(Table2[[#This Row],[CouponCode]]="N/A", "Not Used", "Used")</f>
        <v>Not Used</v>
      </c>
    </row>
    <row r="310" spans="1:15" x14ac:dyDescent="0.3">
      <c r="A310" s="6" t="s">
        <v>322</v>
      </c>
      <c r="B310" s="2">
        <v>45271</v>
      </c>
      <c r="C310" s="6" t="s">
        <v>1522</v>
      </c>
      <c r="D310" s="6" t="s">
        <v>2407</v>
      </c>
      <c r="E310" s="9">
        <v>3</v>
      </c>
      <c r="F310" s="24">
        <v>448.9</v>
      </c>
      <c r="G310" t="s">
        <v>2566</v>
      </c>
      <c r="H310" s="6" t="s">
        <v>3065</v>
      </c>
      <c r="I310" s="6" t="s">
        <v>3072</v>
      </c>
      <c r="J310" s="6" t="s">
        <v>3383</v>
      </c>
      <c r="K310" s="9">
        <v>7</v>
      </c>
      <c r="L310" s="6" t="s">
        <v>4275</v>
      </c>
      <c r="M310" s="6" t="s">
        <v>4278</v>
      </c>
      <c r="N310" s="24">
        <v>1346.7</v>
      </c>
      <c r="O310" s="22" t="str">
        <f>IF(Table2[[#This Row],[CouponCode]]="N/A", "Not Used", "Used")</f>
        <v>Used</v>
      </c>
    </row>
    <row r="311" spans="1:15" x14ac:dyDescent="0.3">
      <c r="A311" s="6" t="s">
        <v>323</v>
      </c>
      <c r="B311" s="2">
        <v>45202</v>
      </c>
      <c r="C311" s="6" t="s">
        <v>1523</v>
      </c>
      <c r="D311" s="6" t="s">
        <v>2406</v>
      </c>
      <c r="E311" s="9">
        <v>4</v>
      </c>
      <c r="F311" s="24">
        <v>549.76</v>
      </c>
      <c r="G311" t="s">
        <v>2671</v>
      </c>
      <c r="H311" s="6" t="s">
        <v>3065</v>
      </c>
      <c r="I311" s="6" t="s">
        <v>3073</v>
      </c>
      <c r="J311" s="6" t="s">
        <v>3384</v>
      </c>
      <c r="K311" s="9">
        <v>4</v>
      </c>
      <c r="L311" s="6" t="s">
        <v>4276</v>
      </c>
      <c r="M311" s="6" t="s">
        <v>4281</v>
      </c>
      <c r="N311" s="24">
        <v>2199.04</v>
      </c>
      <c r="O311" s="22" t="str">
        <f>IF(Table2[[#This Row],[CouponCode]]="N/A", "Not Used", "Used")</f>
        <v>Used</v>
      </c>
    </row>
    <row r="312" spans="1:15" x14ac:dyDescent="0.3">
      <c r="A312" s="6" t="s">
        <v>324</v>
      </c>
      <c r="B312" s="2">
        <v>45346</v>
      </c>
      <c r="C312" s="6" t="s">
        <v>1524</v>
      </c>
      <c r="D312" s="6" t="s">
        <v>2407</v>
      </c>
      <c r="E312" s="9">
        <v>3</v>
      </c>
      <c r="F312" s="24">
        <v>132.47999999999999</v>
      </c>
      <c r="G312" t="s">
        <v>2672</v>
      </c>
      <c r="H312" s="6" t="s">
        <v>3066</v>
      </c>
      <c r="I312" s="6" t="s">
        <v>3070</v>
      </c>
      <c r="J312" s="6" t="s">
        <v>3385</v>
      </c>
      <c r="K312" s="9">
        <v>4</v>
      </c>
      <c r="L312" s="6" t="s">
        <v>4283</v>
      </c>
      <c r="M312" s="6" t="s">
        <v>4279</v>
      </c>
      <c r="N312" s="24">
        <v>397.43999999999988</v>
      </c>
      <c r="O312" s="22" t="str">
        <f>IF(Table2[[#This Row],[CouponCode]]="N/A", "Not Used", "Used")</f>
        <v>Not Used</v>
      </c>
    </row>
    <row r="313" spans="1:15" x14ac:dyDescent="0.3">
      <c r="A313" s="6" t="s">
        <v>325</v>
      </c>
      <c r="B313" s="2">
        <v>45794</v>
      </c>
      <c r="C313" s="6" t="s">
        <v>1525</v>
      </c>
      <c r="D313" s="6" t="s">
        <v>2409</v>
      </c>
      <c r="E313" s="9">
        <v>5</v>
      </c>
      <c r="F313" s="24">
        <v>489.37</v>
      </c>
      <c r="G313" t="s">
        <v>2673</v>
      </c>
      <c r="H313" s="6" t="s">
        <v>3066</v>
      </c>
      <c r="I313" s="6" t="s">
        <v>3072</v>
      </c>
      <c r="J313" s="6" t="s">
        <v>3386</v>
      </c>
      <c r="K313" s="9">
        <v>8</v>
      </c>
      <c r="L313" s="6" t="s">
        <v>4283</v>
      </c>
      <c r="M313" s="6" t="s">
        <v>4278</v>
      </c>
      <c r="N313" s="24">
        <v>2446.85</v>
      </c>
      <c r="O313" s="22" t="str">
        <f>IF(Table2[[#This Row],[CouponCode]]="N/A", "Not Used", "Used")</f>
        <v>Not Used</v>
      </c>
    </row>
    <row r="314" spans="1:15" x14ac:dyDescent="0.3">
      <c r="A314" s="6" t="s">
        <v>326</v>
      </c>
      <c r="B314" s="2">
        <v>45801</v>
      </c>
      <c r="C314" s="6" t="s">
        <v>1526</v>
      </c>
      <c r="D314" s="6" t="s">
        <v>2407</v>
      </c>
      <c r="E314" s="9">
        <v>5</v>
      </c>
      <c r="F314" s="24">
        <v>66.31</v>
      </c>
      <c r="G314" t="s">
        <v>2606</v>
      </c>
      <c r="H314" s="6" t="s">
        <v>3068</v>
      </c>
      <c r="I314" s="6" t="s">
        <v>3074</v>
      </c>
      <c r="J314" s="6" t="s">
        <v>3387</v>
      </c>
      <c r="K314" s="9">
        <v>7</v>
      </c>
      <c r="L314" s="6" t="s">
        <v>4276</v>
      </c>
      <c r="M314" s="6" t="s">
        <v>4279</v>
      </c>
      <c r="N314" s="24">
        <v>331.55</v>
      </c>
      <c r="O314" s="22" t="str">
        <f>IF(Table2[[#This Row],[CouponCode]]="N/A", "Not Used", "Used")</f>
        <v>Used</v>
      </c>
    </row>
    <row r="315" spans="1:15" x14ac:dyDescent="0.3">
      <c r="A315" s="6" t="s">
        <v>327</v>
      </c>
      <c r="B315" s="2">
        <v>45116</v>
      </c>
      <c r="C315" s="6" t="s">
        <v>1527</v>
      </c>
      <c r="D315" s="6" t="s">
        <v>2406</v>
      </c>
      <c r="E315" s="9">
        <v>2</v>
      </c>
      <c r="F315" s="24">
        <v>434.3</v>
      </c>
      <c r="G315" t="s">
        <v>2674</v>
      </c>
      <c r="H315" s="6" t="s">
        <v>3069</v>
      </c>
      <c r="I315" s="6" t="s">
        <v>3073</v>
      </c>
      <c r="J315" s="6" t="s">
        <v>3388</v>
      </c>
      <c r="K315" s="9">
        <v>7</v>
      </c>
      <c r="L315" s="6" t="s">
        <v>4275</v>
      </c>
      <c r="M315" s="6" t="s">
        <v>4278</v>
      </c>
      <c r="N315" s="24">
        <v>868.6</v>
      </c>
      <c r="O315" s="22" t="str">
        <f>IF(Table2[[#This Row],[CouponCode]]="N/A", "Not Used", "Used")</f>
        <v>Used</v>
      </c>
    </row>
    <row r="316" spans="1:15" x14ac:dyDescent="0.3">
      <c r="A316" s="6" t="s">
        <v>328</v>
      </c>
      <c r="B316" s="2">
        <v>45203</v>
      </c>
      <c r="C316" s="6" t="s">
        <v>1528</v>
      </c>
      <c r="D316" s="6" t="s">
        <v>2409</v>
      </c>
      <c r="E316" s="9">
        <v>4</v>
      </c>
      <c r="F316" s="24">
        <v>153.09</v>
      </c>
      <c r="G316" t="s">
        <v>2675</v>
      </c>
      <c r="H316" s="6" t="s">
        <v>3066</v>
      </c>
      <c r="I316" s="6" t="s">
        <v>3073</v>
      </c>
      <c r="J316" s="6" t="s">
        <v>3389</v>
      </c>
      <c r="K316" s="9">
        <v>4</v>
      </c>
      <c r="L316" s="6" t="s">
        <v>4276</v>
      </c>
      <c r="M316" s="6" t="s">
        <v>4279</v>
      </c>
      <c r="N316" s="24">
        <v>612.36</v>
      </c>
      <c r="O316" s="22" t="str">
        <f>IF(Table2[[#This Row],[CouponCode]]="N/A", "Not Used", "Used")</f>
        <v>Used</v>
      </c>
    </row>
    <row r="317" spans="1:15" x14ac:dyDescent="0.3">
      <c r="A317" s="6" t="s">
        <v>329</v>
      </c>
      <c r="B317" s="2">
        <v>45789</v>
      </c>
      <c r="C317" s="6" t="s">
        <v>1529</v>
      </c>
      <c r="D317" s="6" t="s">
        <v>2405</v>
      </c>
      <c r="E317" s="9">
        <v>5</v>
      </c>
      <c r="F317" s="24">
        <v>91.67</v>
      </c>
      <c r="G317" t="s">
        <v>2676</v>
      </c>
      <c r="H317" s="6" t="s">
        <v>3066</v>
      </c>
      <c r="I317" s="6" t="s">
        <v>3071</v>
      </c>
      <c r="J317" s="6" t="s">
        <v>3390</v>
      </c>
      <c r="K317" s="9">
        <v>9</v>
      </c>
      <c r="L317" s="6" t="s">
        <v>4276</v>
      </c>
      <c r="M317" s="6" t="s">
        <v>4280</v>
      </c>
      <c r="N317" s="24">
        <v>458.35</v>
      </c>
      <c r="O317" s="22" t="str">
        <f>IF(Table2[[#This Row],[CouponCode]]="N/A", "Not Used", "Used")</f>
        <v>Used</v>
      </c>
    </row>
    <row r="318" spans="1:15" x14ac:dyDescent="0.3">
      <c r="A318" s="6" t="s">
        <v>330</v>
      </c>
      <c r="B318" s="2">
        <v>45201</v>
      </c>
      <c r="C318" s="6" t="s">
        <v>1530</v>
      </c>
      <c r="D318" s="6" t="s">
        <v>2409</v>
      </c>
      <c r="E318" s="9">
        <v>4</v>
      </c>
      <c r="F318" s="24">
        <v>275.27999999999997</v>
      </c>
      <c r="G318" t="s">
        <v>2677</v>
      </c>
      <c r="H318" s="6" t="s">
        <v>3068</v>
      </c>
      <c r="I318" s="6" t="s">
        <v>3070</v>
      </c>
      <c r="J318" s="6" t="s">
        <v>3391</v>
      </c>
      <c r="K318" s="9">
        <v>9</v>
      </c>
      <c r="L318" s="6" t="s">
        <v>4277</v>
      </c>
      <c r="M318" s="6" t="s">
        <v>4281</v>
      </c>
      <c r="N318" s="24">
        <v>1101.1199999999999</v>
      </c>
      <c r="O318" s="22" t="str">
        <f>IF(Table2[[#This Row],[CouponCode]]="N/A", "Not Used", "Used")</f>
        <v>Used</v>
      </c>
    </row>
    <row r="319" spans="1:15" x14ac:dyDescent="0.3">
      <c r="A319" s="6" t="s">
        <v>331</v>
      </c>
      <c r="B319" s="2">
        <v>45026</v>
      </c>
      <c r="C319" s="6" t="s">
        <v>1531</v>
      </c>
      <c r="D319" s="6" t="s">
        <v>2403</v>
      </c>
      <c r="E319" s="9">
        <v>2</v>
      </c>
      <c r="F319" s="24">
        <v>139.94999999999999</v>
      </c>
      <c r="G319" t="s">
        <v>2678</v>
      </c>
      <c r="H319" s="6" t="s">
        <v>3066</v>
      </c>
      <c r="I319" s="6" t="s">
        <v>3072</v>
      </c>
      <c r="J319" s="6" t="s">
        <v>3392</v>
      </c>
      <c r="K319" s="9">
        <v>5</v>
      </c>
      <c r="L319" s="6" t="s">
        <v>4283</v>
      </c>
      <c r="M319" s="6" t="s">
        <v>4278</v>
      </c>
      <c r="N319" s="24">
        <v>279.89999999999998</v>
      </c>
      <c r="O319" s="22" t="str">
        <f>IF(Table2[[#This Row],[CouponCode]]="N/A", "Not Used", "Used")</f>
        <v>Not Used</v>
      </c>
    </row>
    <row r="320" spans="1:15" x14ac:dyDescent="0.3">
      <c r="A320" s="6" t="s">
        <v>332</v>
      </c>
      <c r="B320" s="2">
        <v>45500</v>
      </c>
      <c r="C320" s="6" t="s">
        <v>1532</v>
      </c>
      <c r="D320" s="6" t="s">
        <v>2406</v>
      </c>
      <c r="E320" s="9">
        <v>3</v>
      </c>
      <c r="F320" s="24">
        <v>148.72</v>
      </c>
      <c r="G320" t="s">
        <v>2596</v>
      </c>
      <c r="H320" s="6" t="s">
        <v>3065</v>
      </c>
      <c r="I320" s="6" t="s">
        <v>3071</v>
      </c>
      <c r="J320" s="6" t="s">
        <v>3393</v>
      </c>
      <c r="K320" s="9">
        <v>7</v>
      </c>
      <c r="L320" s="6" t="s">
        <v>4275</v>
      </c>
      <c r="M320" s="6" t="s">
        <v>4282</v>
      </c>
      <c r="N320" s="24">
        <v>446.16</v>
      </c>
      <c r="O320" s="22" t="str">
        <f>IF(Table2[[#This Row],[CouponCode]]="N/A", "Not Used", "Used")</f>
        <v>Used</v>
      </c>
    </row>
    <row r="321" spans="1:15" x14ac:dyDescent="0.3">
      <c r="A321" s="6" t="s">
        <v>333</v>
      </c>
      <c r="B321" s="2">
        <v>45262</v>
      </c>
      <c r="C321" s="6" t="s">
        <v>1533</v>
      </c>
      <c r="D321" s="6" t="s">
        <v>2408</v>
      </c>
      <c r="E321" s="9">
        <v>2</v>
      </c>
      <c r="F321" s="24">
        <v>563.05999999999995</v>
      </c>
      <c r="G321" t="s">
        <v>2679</v>
      </c>
      <c r="H321" s="6" t="s">
        <v>3069</v>
      </c>
      <c r="I321" s="6" t="s">
        <v>3072</v>
      </c>
      <c r="J321" s="6" t="s">
        <v>3394</v>
      </c>
      <c r="K321" s="9">
        <v>6</v>
      </c>
      <c r="L321" s="6" t="s">
        <v>4283</v>
      </c>
      <c r="M321" s="6" t="s">
        <v>4278</v>
      </c>
      <c r="N321" s="24">
        <v>1126.1199999999999</v>
      </c>
      <c r="O321" s="22" t="str">
        <f>IF(Table2[[#This Row],[CouponCode]]="N/A", "Not Used", "Used")</f>
        <v>Not Used</v>
      </c>
    </row>
    <row r="322" spans="1:15" x14ac:dyDescent="0.3">
      <c r="A322" s="6" t="s">
        <v>334</v>
      </c>
      <c r="B322" s="2">
        <v>45645</v>
      </c>
      <c r="C322" s="6" t="s">
        <v>1534</v>
      </c>
      <c r="D322" s="6" t="s">
        <v>2407</v>
      </c>
      <c r="E322" s="9">
        <v>1</v>
      </c>
      <c r="F322" s="24">
        <v>625.51</v>
      </c>
      <c r="G322" t="s">
        <v>2680</v>
      </c>
      <c r="H322" s="6" t="s">
        <v>3067</v>
      </c>
      <c r="I322" s="6" t="s">
        <v>3070</v>
      </c>
      <c r="J322" s="6" t="s">
        <v>3395</v>
      </c>
      <c r="K322" s="9">
        <v>1</v>
      </c>
      <c r="L322" s="6" t="s">
        <v>4276</v>
      </c>
      <c r="M322" s="6" t="s">
        <v>4281</v>
      </c>
      <c r="N322" s="24">
        <v>625.51</v>
      </c>
      <c r="O322" s="22" t="str">
        <f>IF(Table2[[#This Row],[CouponCode]]="N/A", "Not Used", "Used")</f>
        <v>Used</v>
      </c>
    </row>
    <row r="323" spans="1:15" x14ac:dyDescent="0.3">
      <c r="A323" s="6" t="s">
        <v>335</v>
      </c>
      <c r="B323" s="2">
        <v>45147</v>
      </c>
      <c r="C323" s="6" t="s">
        <v>1535</v>
      </c>
      <c r="D323" s="6" t="s">
        <v>2404</v>
      </c>
      <c r="E323" s="9">
        <v>4</v>
      </c>
      <c r="F323" s="24">
        <v>152.29</v>
      </c>
      <c r="G323" t="s">
        <v>2670</v>
      </c>
      <c r="H323" s="6" t="s">
        <v>3065</v>
      </c>
      <c r="I323" s="6" t="s">
        <v>3071</v>
      </c>
      <c r="J323" s="6" t="s">
        <v>3396</v>
      </c>
      <c r="K323" s="9">
        <v>6</v>
      </c>
      <c r="L323" s="6" t="s">
        <v>4277</v>
      </c>
      <c r="M323" s="6" t="s">
        <v>4282</v>
      </c>
      <c r="N323" s="24">
        <v>609.16</v>
      </c>
      <c r="O323" s="22" t="str">
        <f>IF(Table2[[#This Row],[CouponCode]]="N/A", "Not Used", "Used")</f>
        <v>Used</v>
      </c>
    </row>
    <row r="324" spans="1:15" x14ac:dyDescent="0.3">
      <c r="A324" s="6" t="s">
        <v>336</v>
      </c>
      <c r="B324" s="2">
        <v>45457</v>
      </c>
      <c r="C324" s="6" t="s">
        <v>1536</v>
      </c>
      <c r="D324" s="6" t="s">
        <v>2404</v>
      </c>
      <c r="E324" s="9">
        <v>5</v>
      </c>
      <c r="F324" s="24">
        <v>231.82</v>
      </c>
      <c r="G324" t="s">
        <v>2678</v>
      </c>
      <c r="H324" s="6" t="s">
        <v>3065</v>
      </c>
      <c r="I324" s="6" t="s">
        <v>3073</v>
      </c>
      <c r="J324" s="6" t="s">
        <v>3397</v>
      </c>
      <c r="K324" s="9">
        <v>6</v>
      </c>
      <c r="L324" s="6" t="s">
        <v>4275</v>
      </c>
      <c r="M324" s="6" t="s">
        <v>4281</v>
      </c>
      <c r="N324" s="24">
        <v>1159.0999999999999</v>
      </c>
      <c r="O324" s="22" t="str">
        <f>IF(Table2[[#This Row],[CouponCode]]="N/A", "Not Used", "Used")</f>
        <v>Used</v>
      </c>
    </row>
    <row r="325" spans="1:15" x14ac:dyDescent="0.3">
      <c r="A325" s="6" t="s">
        <v>337</v>
      </c>
      <c r="B325" s="2">
        <v>45683</v>
      </c>
      <c r="C325" s="6" t="s">
        <v>1537</v>
      </c>
      <c r="D325" s="6" t="s">
        <v>2408</v>
      </c>
      <c r="E325" s="9">
        <v>1</v>
      </c>
      <c r="F325" s="24">
        <v>150.16999999999999</v>
      </c>
      <c r="G325" t="s">
        <v>2681</v>
      </c>
      <c r="H325" s="6" t="s">
        <v>3065</v>
      </c>
      <c r="I325" s="6" t="s">
        <v>3072</v>
      </c>
      <c r="J325" s="6" t="s">
        <v>3398</v>
      </c>
      <c r="K325" s="9">
        <v>1</v>
      </c>
      <c r="L325" s="6" t="s">
        <v>4275</v>
      </c>
      <c r="M325" s="6" t="s">
        <v>4279</v>
      </c>
      <c r="N325" s="24">
        <v>150.16999999999999</v>
      </c>
      <c r="O325" s="22" t="str">
        <f>IF(Table2[[#This Row],[CouponCode]]="N/A", "Not Used", "Used")</f>
        <v>Used</v>
      </c>
    </row>
    <row r="326" spans="1:15" x14ac:dyDescent="0.3">
      <c r="A326" s="6" t="s">
        <v>338</v>
      </c>
      <c r="B326" s="2">
        <v>45456</v>
      </c>
      <c r="C326" s="6" t="s">
        <v>1538</v>
      </c>
      <c r="D326" s="6" t="s">
        <v>2405</v>
      </c>
      <c r="E326" s="9">
        <v>3</v>
      </c>
      <c r="F326" s="24">
        <v>70.930000000000007</v>
      </c>
      <c r="G326" t="s">
        <v>2682</v>
      </c>
      <c r="H326" s="6" t="s">
        <v>3065</v>
      </c>
      <c r="I326" s="6" t="s">
        <v>3072</v>
      </c>
      <c r="J326" s="6" t="s">
        <v>3399</v>
      </c>
      <c r="K326" s="9">
        <v>5</v>
      </c>
      <c r="L326" s="6" t="s">
        <v>4283</v>
      </c>
      <c r="M326" s="6" t="s">
        <v>4279</v>
      </c>
      <c r="N326" s="24">
        <v>212.79</v>
      </c>
      <c r="O326" s="22" t="str">
        <f>IF(Table2[[#This Row],[CouponCode]]="N/A", "Not Used", "Used")</f>
        <v>Not Used</v>
      </c>
    </row>
    <row r="327" spans="1:15" x14ac:dyDescent="0.3">
      <c r="A327" s="6" t="s">
        <v>339</v>
      </c>
      <c r="B327" s="2">
        <v>45106</v>
      </c>
      <c r="C327" s="6" t="s">
        <v>1539</v>
      </c>
      <c r="D327" s="6" t="s">
        <v>2409</v>
      </c>
      <c r="E327" s="9">
        <v>3</v>
      </c>
      <c r="F327" s="24">
        <v>361.39</v>
      </c>
      <c r="G327" t="s">
        <v>2683</v>
      </c>
      <c r="H327" s="6" t="s">
        <v>3067</v>
      </c>
      <c r="I327" s="6" t="s">
        <v>3070</v>
      </c>
      <c r="J327" s="6" t="s">
        <v>3400</v>
      </c>
      <c r="K327" s="9">
        <v>8</v>
      </c>
      <c r="L327" s="6" t="s">
        <v>4283</v>
      </c>
      <c r="M327" s="6" t="s">
        <v>4279</v>
      </c>
      <c r="N327" s="24">
        <v>1084.17</v>
      </c>
      <c r="O327" s="22" t="str">
        <f>IF(Table2[[#This Row],[CouponCode]]="N/A", "Not Used", "Used")</f>
        <v>Not Used</v>
      </c>
    </row>
    <row r="328" spans="1:15" x14ac:dyDescent="0.3">
      <c r="A328" s="6" t="s">
        <v>340</v>
      </c>
      <c r="B328" s="2">
        <v>45474</v>
      </c>
      <c r="C328" s="6" t="s">
        <v>1540</v>
      </c>
      <c r="D328" s="6" t="s">
        <v>2408</v>
      </c>
      <c r="E328" s="9">
        <v>5</v>
      </c>
      <c r="F328" s="24">
        <v>670.48</v>
      </c>
      <c r="G328" t="s">
        <v>2429</v>
      </c>
      <c r="H328" s="6" t="s">
        <v>3068</v>
      </c>
      <c r="I328" s="6" t="s">
        <v>3072</v>
      </c>
      <c r="J328" s="6" t="s">
        <v>3401</v>
      </c>
      <c r="K328" s="9">
        <v>5</v>
      </c>
      <c r="L328" s="6" t="s">
        <v>4275</v>
      </c>
      <c r="M328" s="6" t="s">
        <v>4281</v>
      </c>
      <c r="N328" s="24">
        <v>3352.4</v>
      </c>
      <c r="O328" s="22" t="str">
        <f>IF(Table2[[#This Row],[CouponCode]]="N/A", "Not Used", "Used")</f>
        <v>Used</v>
      </c>
    </row>
    <row r="329" spans="1:15" x14ac:dyDescent="0.3">
      <c r="A329" s="6" t="s">
        <v>341</v>
      </c>
      <c r="B329" s="2">
        <v>45132</v>
      </c>
      <c r="C329" s="6" t="s">
        <v>1541</v>
      </c>
      <c r="D329" s="6" t="s">
        <v>2404</v>
      </c>
      <c r="E329" s="9">
        <v>1</v>
      </c>
      <c r="F329" s="24">
        <v>359.99</v>
      </c>
      <c r="G329" t="s">
        <v>2471</v>
      </c>
      <c r="H329" s="6" t="s">
        <v>3068</v>
      </c>
      <c r="I329" s="6" t="s">
        <v>3071</v>
      </c>
      <c r="J329" s="6" t="s">
        <v>3402</v>
      </c>
      <c r="K329" s="9">
        <v>5</v>
      </c>
      <c r="L329" s="6" t="s">
        <v>4275</v>
      </c>
      <c r="M329" s="6" t="s">
        <v>4280</v>
      </c>
      <c r="N329" s="24">
        <v>359.99</v>
      </c>
      <c r="O329" s="22" t="str">
        <f>IF(Table2[[#This Row],[CouponCode]]="N/A", "Not Used", "Used")</f>
        <v>Used</v>
      </c>
    </row>
    <row r="330" spans="1:15" x14ac:dyDescent="0.3">
      <c r="A330" s="6" t="s">
        <v>342</v>
      </c>
      <c r="B330" s="2">
        <v>44985</v>
      </c>
      <c r="C330" s="6" t="s">
        <v>1542</v>
      </c>
      <c r="D330" s="6" t="s">
        <v>2405</v>
      </c>
      <c r="E330" s="9">
        <v>5</v>
      </c>
      <c r="F330" s="24">
        <v>674.04</v>
      </c>
      <c r="G330" t="s">
        <v>2684</v>
      </c>
      <c r="H330" s="6" t="s">
        <v>3066</v>
      </c>
      <c r="I330" s="6" t="s">
        <v>3071</v>
      </c>
      <c r="J330" s="6" t="s">
        <v>3403</v>
      </c>
      <c r="K330" s="9">
        <v>7</v>
      </c>
      <c r="L330" s="6" t="s">
        <v>4275</v>
      </c>
      <c r="M330" s="6" t="s">
        <v>4282</v>
      </c>
      <c r="N330" s="24">
        <v>3370.2</v>
      </c>
      <c r="O330" s="22" t="str">
        <f>IF(Table2[[#This Row],[CouponCode]]="N/A", "Not Used", "Used")</f>
        <v>Used</v>
      </c>
    </row>
    <row r="331" spans="1:15" x14ac:dyDescent="0.3">
      <c r="A331" s="6" t="s">
        <v>343</v>
      </c>
      <c r="B331" s="2">
        <v>45651</v>
      </c>
      <c r="C331" s="6" t="s">
        <v>1543</v>
      </c>
      <c r="D331" s="6" t="s">
        <v>2406</v>
      </c>
      <c r="E331" s="9">
        <v>4</v>
      </c>
      <c r="F331" s="24">
        <v>283.16000000000003</v>
      </c>
      <c r="G331" t="s">
        <v>2622</v>
      </c>
      <c r="H331" s="6" t="s">
        <v>3067</v>
      </c>
      <c r="I331" s="6" t="s">
        <v>3070</v>
      </c>
      <c r="J331" s="6" t="s">
        <v>3404</v>
      </c>
      <c r="K331" s="9">
        <v>6</v>
      </c>
      <c r="L331" s="6" t="s">
        <v>4283</v>
      </c>
      <c r="M331" s="6" t="s">
        <v>4282</v>
      </c>
      <c r="N331" s="24">
        <v>1132.6400000000001</v>
      </c>
      <c r="O331" s="22" t="str">
        <f>IF(Table2[[#This Row],[CouponCode]]="N/A", "Not Used", "Used")</f>
        <v>Not Used</v>
      </c>
    </row>
    <row r="332" spans="1:15" x14ac:dyDescent="0.3">
      <c r="A332" s="6" t="s">
        <v>344</v>
      </c>
      <c r="B332" s="2">
        <v>45445</v>
      </c>
      <c r="C332" s="6" t="s">
        <v>1544</v>
      </c>
      <c r="D332" s="6" t="s">
        <v>2409</v>
      </c>
      <c r="E332" s="9">
        <v>5</v>
      </c>
      <c r="F332" s="24">
        <v>260.52999999999997</v>
      </c>
      <c r="G332" t="s">
        <v>2685</v>
      </c>
      <c r="H332" s="6" t="s">
        <v>3068</v>
      </c>
      <c r="I332" s="6" t="s">
        <v>3074</v>
      </c>
      <c r="J332" s="6" t="s">
        <v>3405</v>
      </c>
      <c r="K332" s="9">
        <v>5</v>
      </c>
      <c r="L332" s="6" t="s">
        <v>4275</v>
      </c>
      <c r="M332" s="6" t="s">
        <v>4278</v>
      </c>
      <c r="N332" s="24">
        <v>1302.6500000000001</v>
      </c>
      <c r="O332" s="22" t="str">
        <f>IF(Table2[[#This Row],[CouponCode]]="N/A", "Not Used", "Used")</f>
        <v>Used</v>
      </c>
    </row>
    <row r="333" spans="1:15" x14ac:dyDescent="0.3">
      <c r="A333" s="6" t="s">
        <v>345</v>
      </c>
      <c r="B333" s="2">
        <v>45031</v>
      </c>
      <c r="C333" s="6" t="s">
        <v>1545</v>
      </c>
      <c r="D333" s="6" t="s">
        <v>2407</v>
      </c>
      <c r="E333" s="9">
        <v>3</v>
      </c>
      <c r="F333" s="24">
        <v>422.13</v>
      </c>
      <c r="G333" t="s">
        <v>2522</v>
      </c>
      <c r="H333" s="6" t="s">
        <v>3066</v>
      </c>
      <c r="I333" s="6" t="s">
        <v>3073</v>
      </c>
      <c r="J333" s="6" t="s">
        <v>3406</v>
      </c>
      <c r="K333" s="9">
        <v>7</v>
      </c>
      <c r="L333" s="6" t="s">
        <v>4275</v>
      </c>
      <c r="M333" s="6" t="s">
        <v>4281</v>
      </c>
      <c r="N333" s="24">
        <v>1266.3900000000001</v>
      </c>
      <c r="O333" s="22" t="str">
        <f>IF(Table2[[#This Row],[CouponCode]]="N/A", "Not Used", "Used")</f>
        <v>Used</v>
      </c>
    </row>
    <row r="334" spans="1:15" x14ac:dyDescent="0.3">
      <c r="A334" s="6" t="s">
        <v>346</v>
      </c>
      <c r="B334" s="2">
        <v>45476</v>
      </c>
      <c r="C334" s="6" t="s">
        <v>1546</v>
      </c>
      <c r="D334" s="6" t="s">
        <v>2409</v>
      </c>
      <c r="E334" s="9">
        <v>5</v>
      </c>
      <c r="F334" s="24">
        <v>125.02</v>
      </c>
      <c r="G334" t="s">
        <v>2686</v>
      </c>
      <c r="H334" s="6" t="s">
        <v>3065</v>
      </c>
      <c r="I334" s="6" t="s">
        <v>3074</v>
      </c>
      <c r="J334" s="6" t="s">
        <v>3407</v>
      </c>
      <c r="K334" s="9">
        <v>9</v>
      </c>
      <c r="L334" s="6" t="s">
        <v>4275</v>
      </c>
      <c r="M334" s="6" t="s">
        <v>4282</v>
      </c>
      <c r="N334" s="24">
        <v>625.1</v>
      </c>
      <c r="O334" s="22" t="str">
        <f>IF(Table2[[#This Row],[CouponCode]]="N/A", "Not Used", "Used")</f>
        <v>Used</v>
      </c>
    </row>
    <row r="335" spans="1:15" x14ac:dyDescent="0.3">
      <c r="A335" s="6" t="s">
        <v>347</v>
      </c>
      <c r="B335" s="2">
        <v>45398</v>
      </c>
      <c r="C335" s="6" t="s">
        <v>1547</v>
      </c>
      <c r="D335" s="6" t="s">
        <v>2404</v>
      </c>
      <c r="E335" s="9">
        <v>1</v>
      </c>
      <c r="F335" s="24">
        <v>198.51</v>
      </c>
      <c r="G335" t="s">
        <v>2687</v>
      </c>
      <c r="H335" s="6" t="s">
        <v>3067</v>
      </c>
      <c r="I335" s="6" t="s">
        <v>3072</v>
      </c>
      <c r="J335" s="6" t="s">
        <v>3408</v>
      </c>
      <c r="K335" s="9">
        <v>5</v>
      </c>
      <c r="L335" s="6" t="s">
        <v>4277</v>
      </c>
      <c r="M335" s="6" t="s">
        <v>4278</v>
      </c>
      <c r="N335" s="24">
        <v>198.51</v>
      </c>
      <c r="O335" s="22" t="str">
        <f>IF(Table2[[#This Row],[CouponCode]]="N/A", "Not Used", "Used")</f>
        <v>Used</v>
      </c>
    </row>
    <row r="336" spans="1:15" x14ac:dyDescent="0.3">
      <c r="A336" s="6" t="s">
        <v>348</v>
      </c>
      <c r="B336" s="2">
        <v>45377</v>
      </c>
      <c r="C336" s="6" t="s">
        <v>1548</v>
      </c>
      <c r="D336" s="6" t="s">
        <v>2406</v>
      </c>
      <c r="E336" s="9">
        <v>4</v>
      </c>
      <c r="F336" s="24">
        <v>224.75</v>
      </c>
      <c r="G336" t="s">
        <v>2688</v>
      </c>
      <c r="H336" s="6" t="s">
        <v>3066</v>
      </c>
      <c r="I336" s="6" t="s">
        <v>3073</v>
      </c>
      <c r="J336" s="6" t="s">
        <v>3409</v>
      </c>
      <c r="K336" s="9">
        <v>7</v>
      </c>
      <c r="L336" s="6" t="s">
        <v>4277</v>
      </c>
      <c r="M336" s="6" t="s">
        <v>4281</v>
      </c>
      <c r="N336" s="24">
        <v>899</v>
      </c>
      <c r="O336" s="22" t="str">
        <f>IF(Table2[[#This Row],[CouponCode]]="N/A", "Not Used", "Used")</f>
        <v>Used</v>
      </c>
    </row>
    <row r="337" spans="1:15" x14ac:dyDescent="0.3">
      <c r="A337" s="6" t="s">
        <v>349</v>
      </c>
      <c r="B337" s="2">
        <v>45719</v>
      </c>
      <c r="C337" s="6" t="s">
        <v>1549</v>
      </c>
      <c r="D337" s="6" t="s">
        <v>2405</v>
      </c>
      <c r="E337" s="9">
        <v>3</v>
      </c>
      <c r="F337" s="24">
        <v>205.86</v>
      </c>
      <c r="G337" t="s">
        <v>2674</v>
      </c>
      <c r="H337" s="6" t="s">
        <v>3068</v>
      </c>
      <c r="I337" s="6" t="s">
        <v>3070</v>
      </c>
      <c r="J337" s="6" t="s">
        <v>3410</v>
      </c>
      <c r="K337" s="9">
        <v>4</v>
      </c>
      <c r="L337" s="6" t="s">
        <v>4283</v>
      </c>
      <c r="M337" s="6" t="s">
        <v>4280</v>
      </c>
      <c r="N337" s="24">
        <v>617.58000000000004</v>
      </c>
      <c r="O337" s="22" t="str">
        <f>IF(Table2[[#This Row],[CouponCode]]="N/A", "Not Used", "Used")</f>
        <v>Not Used</v>
      </c>
    </row>
    <row r="338" spans="1:15" x14ac:dyDescent="0.3">
      <c r="A338" s="6" t="s">
        <v>350</v>
      </c>
      <c r="B338" s="2">
        <v>45289</v>
      </c>
      <c r="C338" s="6" t="s">
        <v>1550</v>
      </c>
      <c r="D338" s="6" t="s">
        <v>2408</v>
      </c>
      <c r="E338" s="9">
        <v>1</v>
      </c>
      <c r="F338" s="24">
        <v>18.2</v>
      </c>
      <c r="G338" t="s">
        <v>2689</v>
      </c>
      <c r="H338" s="6" t="s">
        <v>3065</v>
      </c>
      <c r="I338" s="6" t="s">
        <v>3074</v>
      </c>
      <c r="J338" s="6" t="s">
        <v>3411</v>
      </c>
      <c r="K338" s="9">
        <v>4</v>
      </c>
      <c r="L338" s="6" t="s">
        <v>4275</v>
      </c>
      <c r="M338" s="6" t="s">
        <v>4278</v>
      </c>
      <c r="N338" s="24">
        <v>18.2</v>
      </c>
      <c r="O338" s="22" t="str">
        <f>IF(Table2[[#This Row],[CouponCode]]="N/A", "Not Used", "Used")</f>
        <v>Used</v>
      </c>
    </row>
    <row r="339" spans="1:15" x14ac:dyDescent="0.3">
      <c r="A339" s="6" t="s">
        <v>351</v>
      </c>
      <c r="B339" s="2">
        <v>45075</v>
      </c>
      <c r="C339" s="6" t="s">
        <v>1551</v>
      </c>
      <c r="D339" s="6" t="s">
        <v>2405</v>
      </c>
      <c r="E339" s="9">
        <v>3</v>
      </c>
      <c r="F339" s="24">
        <v>502.77</v>
      </c>
      <c r="G339" t="s">
        <v>2690</v>
      </c>
      <c r="H339" s="6" t="s">
        <v>3065</v>
      </c>
      <c r="I339" s="6" t="s">
        <v>3072</v>
      </c>
      <c r="J339" s="6" t="s">
        <v>3412</v>
      </c>
      <c r="K339" s="9">
        <v>8</v>
      </c>
      <c r="L339" s="6" t="s">
        <v>4277</v>
      </c>
      <c r="M339" s="6" t="s">
        <v>4280</v>
      </c>
      <c r="N339" s="24">
        <v>1508.31</v>
      </c>
      <c r="O339" s="22" t="str">
        <f>IF(Table2[[#This Row],[CouponCode]]="N/A", "Not Used", "Used")</f>
        <v>Used</v>
      </c>
    </row>
    <row r="340" spans="1:15" x14ac:dyDescent="0.3">
      <c r="A340" s="6" t="s">
        <v>352</v>
      </c>
      <c r="B340" s="2">
        <v>45238</v>
      </c>
      <c r="C340" s="6" t="s">
        <v>1552</v>
      </c>
      <c r="D340" s="6" t="s">
        <v>2404</v>
      </c>
      <c r="E340" s="9">
        <v>5</v>
      </c>
      <c r="F340" s="24">
        <v>305.49</v>
      </c>
      <c r="G340" t="s">
        <v>2691</v>
      </c>
      <c r="H340" s="6" t="s">
        <v>3065</v>
      </c>
      <c r="I340" s="6" t="s">
        <v>3070</v>
      </c>
      <c r="J340" s="6" t="s">
        <v>3413</v>
      </c>
      <c r="K340" s="9">
        <v>10</v>
      </c>
      <c r="L340" s="6" t="s">
        <v>4283</v>
      </c>
      <c r="M340" s="6" t="s">
        <v>4279</v>
      </c>
      <c r="N340" s="24">
        <v>1527.45</v>
      </c>
      <c r="O340" s="22" t="str">
        <f>IF(Table2[[#This Row],[CouponCode]]="N/A", "Not Used", "Used")</f>
        <v>Not Used</v>
      </c>
    </row>
    <row r="341" spans="1:15" x14ac:dyDescent="0.3">
      <c r="A341" s="6" t="s">
        <v>353</v>
      </c>
      <c r="B341" s="2">
        <v>45392</v>
      </c>
      <c r="C341" s="6" t="s">
        <v>1553</v>
      </c>
      <c r="D341" s="6" t="s">
        <v>2407</v>
      </c>
      <c r="E341" s="9">
        <v>2</v>
      </c>
      <c r="F341" s="24">
        <v>236.33</v>
      </c>
      <c r="G341" t="s">
        <v>2692</v>
      </c>
      <c r="H341" s="6" t="s">
        <v>3066</v>
      </c>
      <c r="I341" s="6" t="s">
        <v>3074</v>
      </c>
      <c r="J341" s="6" t="s">
        <v>3414</v>
      </c>
      <c r="K341" s="9">
        <v>3</v>
      </c>
      <c r="L341" s="6" t="s">
        <v>4275</v>
      </c>
      <c r="M341" s="6" t="s">
        <v>4278</v>
      </c>
      <c r="N341" s="24">
        <v>472.66</v>
      </c>
      <c r="O341" s="22" t="str">
        <f>IF(Table2[[#This Row],[CouponCode]]="N/A", "Not Used", "Used")</f>
        <v>Used</v>
      </c>
    </row>
    <row r="342" spans="1:15" x14ac:dyDescent="0.3">
      <c r="A342" s="6" t="s">
        <v>354</v>
      </c>
      <c r="B342" s="2">
        <v>45039</v>
      </c>
      <c r="C342" s="6" t="s">
        <v>1554</v>
      </c>
      <c r="D342" s="6" t="s">
        <v>2408</v>
      </c>
      <c r="E342" s="9">
        <v>5</v>
      </c>
      <c r="F342" s="24">
        <v>521.25</v>
      </c>
      <c r="G342" t="s">
        <v>2693</v>
      </c>
      <c r="H342" s="6" t="s">
        <v>3069</v>
      </c>
      <c r="I342" s="6" t="s">
        <v>3071</v>
      </c>
      <c r="J342" s="6" t="s">
        <v>3415</v>
      </c>
      <c r="K342" s="9">
        <v>8</v>
      </c>
      <c r="L342" s="6" t="s">
        <v>4283</v>
      </c>
      <c r="M342" s="6" t="s">
        <v>4280</v>
      </c>
      <c r="N342" s="24">
        <v>2606.25</v>
      </c>
      <c r="O342" s="22" t="str">
        <f>IF(Table2[[#This Row],[CouponCode]]="N/A", "Not Used", "Used")</f>
        <v>Not Used</v>
      </c>
    </row>
    <row r="343" spans="1:15" x14ac:dyDescent="0.3">
      <c r="A343" s="6" t="s">
        <v>355</v>
      </c>
      <c r="B343" s="2">
        <v>45558</v>
      </c>
      <c r="C343" s="6" t="s">
        <v>1555</v>
      </c>
      <c r="D343" s="6" t="s">
        <v>2405</v>
      </c>
      <c r="E343" s="9">
        <v>1</v>
      </c>
      <c r="F343" s="24">
        <v>167.15</v>
      </c>
      <c r="G343" t="s">
        <v>2694</v>
      </c>
      <c r="H343" s="6" t="s">
        <v>3068</v>
      </c>
      <c r="I343" s="6" t="s">
        <v>3070</v>
      </c>
      <c r="J343" s="6" t="s">
        <v>3416</v>
      </c>
      <c r="K343" s="9">
        <v>5</v>
      </c>
      <c r="L343" s="6" t="s">
        <v>4277</v>
      </c>
      <c r="M343" s="6" t="s">
        <v>4280</v>
      </c>
      <c r="N343" s="24">
        <v>167.15</v>
      </c>
      <c r="O343" s="22" t="str">
        <f>IF(Table2[[#This Row],[CouponCode]]="N/A", "Not Used", "Used")</f>
        <v>Used</v>
      </c>
    </row>
    <row r="344" spans="1:15" x14ac:dyDescent="0.3">
      <c r="A344" s="6" t="s">
        <v>356</v>
      </c>
      <c r="B344" s="2">
        <v>45832</v>
      </c>
      <c r="C344" s="6" t="s">
        <v>1556</v>
      </c>
      <c r="D344" s="6" t="s">
        <v>2403</v>
      </c>
      <c r="E344" s="9">
        <v>5</v>
      </c>
      <c r="F344" s="24">
        <v>466.42</v>
      </c>
      <c r="G344" t="s">
        <v>2695</v>
      </c>
      <c r="H344" s="6" t="s">
        <v>3068</v>
      </c>
      <c r="I344" s="6" t="s">
        <v>3072</v>
      </c>
      <c r="J344" s="6" t="s">
        <v>3417</v>
      </c>
      <c r="K344" s="9">
        <v>5</v>
      </c>
      <c r="L344" s="6" t="s">
        <v>4283</v>
      </c>
      <c r="M344" s="6" t="s">
        <v>4279</v>
      </c>
      <c r="N344" s="24">
        <v>2332.1</v>
      </c>
      <c r="O344" s="22" t="str">
        <f>IF(Table2[[#This Row],[CouponCode]]="N/A", "Not Used", "Used")</f>
        <v>Not Used</v>
      </c>
    </row>
    <row r="345" spans="1:15" x14ac:dyDescent="0.3">
      <c r="A345" s="6" t="s">
        <v>357</v>
      </c>
      <c r="B345" s="2">
        <v>44983</v>
      </c>
      <c r="C345" s="6" t="s">
        <v>1557</v>
      </c>
      <c r="D345" s="6" t="s">
        <v>2407</v>
      </c>
      <c r="E345" s="9">
        <v>1</v>
      </c>
      <c r="F345" s="24">
        <v>527.57000000000005</v>
      </c>
      <c r="G345" t="s">
        <v>2696</v>
      </c>
      <c r="H345" s="6" t="s">
        <v>3065</v>
      </c>
      <c r="I345" s="6" t="s">
        <v>3074</v>
      </c>
      <c r="J345" s="6" t="s">
        <v>3418</v>
      </c>
      <c r="K345" s="9">
        <v>3</v>
      </c>
      <c r="L345" s="6" t="s">
        <v>4276</v>
      </c>
      <c r="M345" s="6" t="s">
        <v>4281</v>
      </c>
      <c r="N345" s="24">
        <v>527.57000000000005</v>
      </c>
      <c r="O345" s="22" t="str">
        <f>IF(Table2[[#This Row],[CouponCode]]="N/A", "Not Used", "Used")</f>
        <v>Used</v>
      </c>
    </row>
    <row r="346" spans="1:15" x14ac:dyDescent="0.3">
      <c r="A346" s="6" t="s">
        <v>358</v>
      </c>
      <c r="B346" s="2">
        <v>45722</v>
      </c>
      <c r="C346" s="6" t="s">
        <v>1558</v>
      </c>
      <c r="D346" s="6" t="s">
        <v>2405</v>
      </c>
      <c r="E346" s="9">
        <v>3</v>
      </c>
      <c r="F346" s="24">
        <v>623.34</v>
      </c>
      <c r="G346" t="s">
        <v>2697</v>
      </c>
      <c r="H346" s="6" t="s">
        <v>3066</v>
      </c>
      <c r="I346" s="6" t="s">
        <v>3071</v>
      </c>
      <c r="J346" s="6" t="s">
        <v>3419</v>
      </c>
      <c r="K346" s="9">
        <v>3</v>
      </c>
      <c r="L346" s="6" t="s">
        <v>4275</v>
      </c>
      <c r="M346" s="6" t="s">
        <v>4278</v>
      </c>
      <c r="N346" s="24">
        <v>1870.02</v>
      </c>
      <c r="O346" s="22" t="str">
        <f>IF(Table2[[#This Row],[CouponCode]]="N/A", "Not Used", "Used")</f>
        <v>Used</v>
      </c>
    </row>
    <row r="347" spans="1:15" x14ac:dyDescent="0.3">
      <c r="A347" s="6" t="s">
        <v>359</v>
      </c>
      <c r="B347" s="2">
        <v>45267</v>
      </c>
      <c r="C347" s="6" t="s">
        <v>1559</v>
      </c>
      <c r="D347" s="6" t="s">
        <v>2405</v>
      </c>
      <c r="E347" s="9">
        <v>5</v>
      </c>
      <c r="F347" s="24">
        <v>501.26</v>
      </c>
      <c r="G347" t="s">
        <v>2698</v>
      </c>
      <c r="H347" s="6" t="s">
        <v>3068</v>
      </c>
      <c r="I347" s="6" t="s">
        <v>3070</v>
      </c>
      <c r="J347" s="6" t="s">
        <v>3420</v>
      </c>
      <c r="K347" s="9">
        <v>10</v>
      </c>
      <c r="L347" s="6" t="s">
        <v>4276</v>
      </c>
      <c r="M347" s="6" t="s">
        <v>4279</v>
      </c>
      <c r="N347" s="24">
        <v>2506.3000000000002</v>
      </c>
      <c r="O347" s="22" t="str">
        <f>IF(Table2[[#This Row],[CouponCode]]="N/A", "Not Used", "Used")</f>
        <v>Used</v>
      </c>
    </row>
    <row r="348" spans="1:15" x14ac:dyDescent="0.3">
      <c r="A348" s="6" t="s">
        <v>360</v>
      </c>
      <c r="B348" s="2">
        <v>45632</v>
      </c>
      <c r="C348" s="6" t="s">
        <v>1560</v>
      </c>
      <c r="D348" s="6" t="s">
        <v>2405</v>
      </c>
      <c r="E348" s="9">
        <v>1</v>
      </c>
      <c r="F348" s="24">
        <v>655.09</v>
      </c>
      <c r="G348" t="s">
        <v>2699</v>
      </c>
      <c r="H348" s="6" t="s">
        <v>3069</v>
      </c>
      <c r="I348" s="6" t="s">
        <v>3074</v>
      </c>
      <c r="J348" s="6" t="s">
        <v>3421</v>
      </c>
      <c r="K348" s="9">
        <v>6</v>
      </c>
      <c r="L348" s="6" t="s">
        <v>4283</v>
      </c>
      <c r="M348" s="6" t="s">
        <v>4279</v>
      </c>
      <c r="N348" s="24">
        <v>655.09</v>
      </c>
      <c r="O348" s="22" t="str">
        <f>IF(Table2[[#This Row],[CouponCode]]="N/A", "Not Used", "Used")</f>
        <v>Not Used</v>
      </c>
    </row>
    <row r="349" spans="1:15" x14ac:dyDescent="0.3">
      <c r="A349" s="6" t="s">
        <v>361</v>
      </c>
      <c r="B349" s="2">
        <v>45325</v>
      </c>
      <c r="C349" s="6" t="s">
        <v>1561</v>
      </c>
      <c r="D349" s="6" t="s">
        <v>2407</v>
      </c>
      <c r="E349" s="9">
        <v>4</v>
      </c>
      <c r="F349" s="24">
        <v>264.79000000000002</v>
      </c>
      <c r="G349" t="s">
        <v>2700</v>
      </c>
      <c r="H349" s="6" t="s">
        <v>3067</v>
      </c>
      <c r="I349" s="6" t="s">
        <v>3074</v>
      </c>
      <c r="J349" s="6" t="s">
        <v>3422</v>
      </c>
      <c r="K349" s="9">
        <v>5</v>
      </c>
      <c r="L349" s="6" t="s">
        <v>4275</v>
      </c>
      <c r="M349" s="6" t="s">
        <v>4282</v>
      </c>
      <c r="N349" s="24">
        <v>1059.1600000000001</v>
      </c>
      <c r="O349" s="22" t="str">
        <f>IF(Table2[[#This Row],[CouponCode]]="N/A", "Not Used", "Used")</f>
        <v>Used</v>
      </c>
    </row>
    <row r="350" spans="1:15" x14ac:dyDescent="0.3">
      <c r="A350" s="6" t="s">
        <v>362</v>
      </c>
      <c r="B350" s="2">
        <v>45364</v>
      </c>
      <c r="C350" s="6" t="s">
        <v>1562</v>
      </c>
      <c r="D350" s="6" t="s">
        <v>2408</v>
      </c>
      <c r="E350" s="9">
        <v>3</v>
      </c>
      <c r="F350" s="24">
        <v>359.73</v>
      </c>
      <c r="G350" t="s">
        <v>2701</v>
      </c>
      <c r="H350" s="6" t="s">
        <v>3065</v>
      </c>
      <c r="I350" s="6" t="s">
        <v>3072</v>
      </c>
      <c r="J350" s="6" t="s">
        <v>3423</v>
      </c>
      <c r="K350" s="9">
        <v>7</v>
      </c>
      <c r="L350" s="6" t="s">
        <v>4276</v>
      </c>
      <c r="M350" s="6" t="s">
        <v>4280</v>
      </c>
      <c r="N350" s="24">
        <v>1079.19</v>
      </c>
      <c r="O350" s="22" t="str">
        <f>IF(Table2[[#This Row],[CouponCode]]="N/A", "Not Used", "Used")</f>
        <v>Used</v>
      </c>
    </row>
    <row r="351" spans="1:15" x14ac:dyDescent="0.3">
      <c r="A351" s="6" t="s">
        <v>363</v>
      </c>
      <c r="B351" s="2">
        <v>45260</v>
      </c>
      <c r="C351" s="6" t="s">
        <v>1563</v>
      </c>
      <c r="D351" s="6" t="s">
        <v>2406</v>
      </c>
      <c r="E351" s="9">
        <v>1</v>
      </c>
      <c r="F351" s="24">
        <v>465.33</v>
      </c>
      <c r="G351" t="s">
        <v>2702</v>
      </c>
      <c r="H351" s="6" t="s">
        <v>3068</v>
      </c>
      <c r="I351" s="6" t="s">
        <v>3073</v>
      </c>
      <c r="J351" s="6" t="s">
        <v>3424</v>
      </c>
      <c r="K351" s="9">
        <v>2</v>
      </c>
      <c r="L351" s="6" t="s">
        <v>4276</v>
      </c>
      <c r="M351" s="6" t="s">
        <v>4282</v>
      </c>
      <c r="N351" s="24">
        <v>465.33</v>
      </c>
      <c r="O351" s="22" t="str">
        <f>IF(Table2[[#This Row],[CouponCode]]="N/A", "Not Used", "Used")</f>
        <v>Used</v>
      </c>
    </row>
    <row r="352" spans="1:15" x14ac:dyDescent="0.3">
      <c r="A352" s="6" t="s">
        <v>364</v>
      </c>
      <c r="B352" s="2">
        <v>45080</v>
      </c>
      <c r="C352" s="6" t="s">
        <v>1564</v>
      </c>
      <c r="D352" s="6" t="s">
        <v>2406</v>
      </c>
      <c r="E352" s="9">
        <v>2</v>
      </c>
      <c r="F352" s="24">
        <v>54.41</v>
      </c>
      <c r="G352" t="s">
        <v>2703</v>
      </c>
      <c r="H352" s="6" t="s">
        <v>3066</v>
      </c>
      <c r="I352" s="6" t="s">
        <v>3070</v>
      </c>
      <c r="J352" s="6" t="s">
        <v>3425</v>
      </c>
      <c r="K352" s="9">
        <v>6</v>
      </c>
      <c r="L352" s="6" t="s">
        <v>4283</v>
      </c>
      <c r="M352" s="6" t="s">
        <v>4278</v>
      </c>
      <c r="N352" s="24">
        <v>108.82</v>
      </c>
      <c r="O352" s="22" t="str">
        <f>IF(Table2[[#This Row],[CouponCode]]="N/A", "Not Used", "Used")</f>
        <v>Not Used</v>
      </c>
    </row>
    <row r="353" spans="1:15" x14ac:dyDescent="0.3">
      <c r="A353" s="6" t="s">
        <v>365</v>
      </c>
      <c r="B353" s="2">
        <v>45703</v>
      </c>
      <c r="C353" s="6" t="s">
        <v>1565</v>
      </c>
      <c r="D353" s="6" t="s">
        <v>2408</v>
      </c>
      <c r="E353" s="9">
        <v>1</v>
      </c>
      <c r="F353" s="24">
        <v>64.66</v>
      </c>
      <c r="G353" t="s">
        <v>2704</v>
      </c>
      <c r="H353" s="6" t="s">
        <v>3065</v>
      </c>
      <c r="I353" s="6" t="s">
        <v>3073</v>
      </c>
      <c r="J353" s="6" t="s">
        <v>3426</v>
      </c>
      <c r="K353" s="9">
        <v>4</v>
      </c>
      <c r="L353" s="6" t="s">
        <v>4283</v>
      </c>
      <c r="M353" s="6" t="s">
        <v>4278</v>
      </c>
      <c r="N353" s="24">
        <v>64.66</v>
      </c>
      <c r="O353" s="22" t="str">
        <f>IF(Table2[[#This Row],[CouponCode]]="N/A", "Not Used", "Used")</f>
        <v>Not Used</v>
      </c>
    </row>
    <row r="354" spans="1:15" x14ac:dyDescent="0.3">
      <c r="A354" s="6" t="s">
        <v>366</v>
      </c>
      <c r="B354" s="2">
        <v>45169</v>
      </c>
      <c r="C354" s="6" t="s">
        <v>1566</v>
      </c>
      <c r="D354" s="6" t="s">
        <v>2406</v>
      </c>
      <c r="E354" s="9">
        <v>5</v>
      </c>
      <c r="F354" s="24">
        <v>173.96</v>
      </c>
      <c r="G354" t="s">
        <v>2705</v>
      </c>
      <c r="H354" s="6" t="s">
        <v>3065</v>
      </c>
      <c r="I354" s="6" t="s">
        <v>3074</v>
      </c>
      <c r="J354" s="6" t="s">
        <v>3427</v>
      </c>
      <c r="K354" s="9">
        <v>8</v>
      </c>
      <c r="L354" s="6" t="s">
        <v>4277</v>
      </c>
      <c r="M354" s="6" t="s">
        <v>4278</v>
      </c>
      <c r="N354" s="24">
        <v>869.80000000000007</v>
      </c>
      <c r="O354" s="22" t="str">
        <f>IF(Table2[[#This Row],[CouponCode]]="N/A", "Not Used", "Used")</f>
        <v>Used</v>
      </c>
    </row>
    <row r="355" spans="1:15" x14ac:dyDescent="0.3">
      <c r="A355" s="6" t="s">
        <v>367</v>
      </c>
      <c r="B355" s="2">
        <v>45744</v>
      </c>
      <c r="C355" s="6" t="s">
        <v>1567</v>
      </c>
      <c r="D355" s="6" t="s">
        <v>2405</v>
      </c>
      <c r="E355" s="9">
        <v>1</v>
      </c>
      <c r="F355" s="24">
        <v>630.82000000000005</v>
      </c>
      <c r="G355" t="s">
        <v>2706</v>
      </c>
      <c r="H355" s="6" t="s">
        <v>3066</v>
      </c>
      <c r="I355" s="6" t="s">
        <v>3073</v>
      </c>
      <c r="J355" s="6" t="s">
        <v>3428</v>
      </c>
      <c r="K355" s="9">
        <v>5</v>
      </c>
      <c r="L355" s="6" t="s">
        <v>4276</v>
      </c>
      <c r="M355" s="6" t="s">
        <v>4282</v>
      </c>
      <c r="N355" s="24">
        <v>630.82000000000005</v>
      </c>
      <c r="O355" s="22" t="str">
        <f>IF(Table2[[#This Row],[CouponCode]]="N/A", "Not Used", "Used")</f>
        <v>Used</v>
      </c>
    </row>
    <row r="356" spans="1:15" x14ac:dyDescent="0.3">
      <c r="A356" s="6" t="s">
        <v>368</v>
      </c>
      <c r="B356" s="2">
        <v>45118</v>
      </c>
      <c r="C356" s="6" t="s">
        <v>1568</v>
      </c>
      <c r="D356" s="6" t="s">
        <v>2404</v>
      </c>
      <c r="E356" s="9">
        <v>1</v>
      </c>
      <c r="F356" s="24">
        <v>693.41</v>
      </c>
      <c r="G356" t="s">
        <v>2707</v>
      </c>
      <c r="H356" s="6" t="s">
        <v>3065</v>
      </c>
      <c r="I356" s="6" t="s">
        <v>3070</v>
      </c>
      <c r="J356" s="6" t="s">
        <v>3429</v>
      </c>
      <c r="K356" s="9">
        <v>4</v>
      </c>
      <c r="L356" s="6" t="s">
        <v>4283</v>
      </c>
      <c r="M356" s="6" t="s">
        <v>4278</v>
      </c>
      <c r="N356" s="24">
        <v>693.41</v>
      </c>
      <c r="O356" s="22" t="str">
        <f>IF(Table2[[#This Row],[CouponCode]]="N/A", "Not Used", "Used")</f>
        <v>Not Used</v>
      </c>
    </row>
    <row r="357" spans="1:15" x14ac:dyDescent="0.3">
      <c r="A357" s="6" t="s">
        <v>369</v>
      </c>
      <c r="B357" s="2">
        <v>45811</v>
      </c>
      <c r="C357" s="6" t="s">
        <v>1569</v>
      </c>
      <c r="D357" s="6" t="s">
        <v>2405</v>
      </c>
      <c r="E357" s="9">
        <v>3</v>
      </c>
      <c r="F357" s="24">
        <v>433.33</v>
      </c>
      <c r="G357" t="s">
        <v>2708</v>
      </c>
      <c r="H357" s="6" t="s">
        <v>3067</v>
      </c>
      <c r="I357" s="6" t="s">
        <v>3071</v>
      </c>
      <c r="J357" s="6" t="s">
        <v>3430</v>
      </c>
      <c r="K357" s="9">
        <v>4</v>
      </c>
      <c r="L357" s="6" t="s">
        <v>4276</v>
      </c>
      <c r="M357" s="6" t="s">
        <v>4279</v>
      </c>
      <c r="N357" s="24">
        <v>1299.99</v>
      </c>
      <c r="O357" s="22" t="str">
        <f>IF(Table2[[#This Row],[CouponCode]]="N/A", "Not Used", "Used")</f>
        <v>Used</v>
      </c>
    </row>
    <row r="358" spans="1:15" x14ac:dyDescent="0.3">
      <c r="A358" s="6" t="s">
        <v>370</v>
      </c>
      <c r="B358" s="2">
        <v>45052</v>
      </c>
      <c r="C358" s="6" t="s">
        <v>1570</v>
      </c>
      <c r="D358" s="6" t="s">
        <v>2407</v>
      </c>
      <c r="E358" s="9">
        <v>5</v>
      </c>
      <c r="F358" s="24">
        <v>374.58</v>
      </c>
      <c r="G358" t="s">
        <v>2709</v>
      </c>
      <c r="H358" s="6" t="s">
        <v>3068</v>
      </c>
      <c r="I358" s="6" t="s">
        <v>3071</v>
      </c>
      <c r="J358" s="6" t="s">
        <v>3431</v>
      </c>
      <c r="K358" s="9">
        <v>10</v>
      </c>
      <c r="L358" s="6" t="s">
        <v>4276</v>
      </c>
      <c r="M358" s="6" t="s">
        <v>4278</v>
      </c>
      <c r="N358" s="24">
        <v>1872.9</v>
      </c>
      <c r="O358" s="22" t="str">
        <f>IF(Table2[[#This Row],[CouponCode]]="N/A", "Not Used", "Used")</f>
        <v>Used</v>
      </c>
    </row>
    <row r="359" spans="1:15" x14ac:dyDescent="0.3">
      <c r="A359" s="6" t="s">
        <v>371</v>
      </c>
      <c r="B359" s="2">
        <v>45115</v>
      </c>
      <c r="C359" s="6" t="s">
        <v>1571</v>
      </c>
      <c r="D359" s="6" t="s">
        <v>2408</v>
      </c>
      <c r="E359" s="9">
        <v>5</v>
      </c>
      <c r="F359" s="24">
        <v>408.56</v>
      </c>
      <c r="G359" t="s">
        <v>2692</v>
      </c>
      <c r="H359" s="6" t="s">
        <v>3065</v>
      </c>
      <c r="I359" s="6" t="s">
        <v>3073</v>
      </c>
      <c r="J359" s="6" t="s">
        <v>3432</v>
      </c>
      <c r="K359" s="9">
        <v>8</v>
      </c>
      <c r="L359" s="6" t="s">
        <v>4276</v>
      </c>
      <c r="M359" s="6" t="s">
        <v>4278</v>
      </c>
      <c r="N359" s="24">
        <v>2042.8</v>
      </c>
      <c r="O359" s="22" t="str">
        <f>IF(Table2[[#This Row],[CouponCode]]="N/A", "Not Used", "Used")</f>
        <v>Used</v>
      </c>
    </row>
    <row r="360" spans="1:15" x14ac:dyDescent="0.3">
      <c r="A360" s="6" t="s">
        <v>372</v>
      </c>
      <c r="B360" s="2">
        <v>45389</v>
      </c>
      <c r="C360" s="6" t="s">
        <v>1572</v>
      </c>
      <c r="D360" s="6" t="s">
        <v>2405</v>
      </c>
      <c r="E360" s="9">
        <v>2</v>
      </c>
      <c r="F360" s="24">
        <v>183.67</v>
      </c>
      <c r="G360" t="s">
        <v>2710</v>
      </c>
      <c r="H360" s="6" t="s">
        <v>3066</v>
      </c>
      <c r="I360" s="6" t="s">
        <v>3071</v>
      </c>
      <c r="J360" s="6" t="s">
        <v>3433</v>
      </c>
      <c r="K360" s="9">
        <v>3</v>
      </c>
      <c r="L360" s="6" t="s">
        <v>4275</v>
      </c>
      <c r="M360" s="6" t="s">
        <v>4282</v>
      </c>
      <c r="N360" s="24">
        <v>367.34</v>
      </c>
      <c r="O360" s="22" t="str">
        <f>IF(Table2[[#This Row],[CouponCode]]="N/A", "Not Used", "Used")</f>
        <v>Used</v>
      </c>
    </row>
    <row r="361" spans="1:15" x14ac:dyDescent="0.3">
      <c r="A361" s="6" t="s">
        <v>373</v>
      </c>
      <c r="B361" s="2">
        <v>45086</v>
      </c>
      <c r="C361" s="6" t="s">
        <v>1573</v>
      </c>
      <c r="D361" s="6" t="s">
        <v>2409</v>
      </c>
      <c r="E361" s="9">
        <v>4</v>
      </c>
      <c r="F361" s="24">
        <v>606.57000000000005</v>
      </c>
      <c r="G361" t="s">
        <v>2711</v>
      </c>
      <c r="H361" s="6" t="s">
        <v>3065</v>
      </c>
      <c r="I361" s="6" t="s">
        <v>3073</v>
      </c>
      <c r="J361" s="6" t="s">
        <v>3434</v>
      </c>
      <c r="K361" s="9">
        <v>5</v>
      </c>
      <c r="L361" s="6" t="s">
        <v>4277</v>
      </c>
      <c r="M361" s="6" t="s">
        <v>4279</v>
      </c>
      <c r="N361" s="24">
        <v>2426.2800000000002</v>
      </c>
      <c r="O361" s="22" t="str">
        <f>IF(Table2[[#This Row],[CouponCode]]="N/A", "Not Used", "Used")</f>
        <v>Used</v>
      </c>
    </row>
    <row r="362" spans="1:15" x14ac:dyDescent="0.3">
      <c r="A362" s="6" t="s">
        <v>374</v>
      </c>
      <c r="B362" s="2">
        <v>45449</v>
      </c>
      <c r="C362" s="6" t="s">
        <v>1574</v>
      </c>
      <c r="D362" s="6" t="s">
        <v>2404</v>
      </c>
      <c r="E362" s="9">
        <v>4</v>
      </c>
      <c r="F362" s="24">
        <v>589.57000000000005</v>
      </c>
      <c r="G362" t="s">
        <v>2712</v>
      </c>
      <c r="H362" s="6" t="s">
        <v>3069</v>
      </c>
      <c r="I362" s="6" t="s">
        <v>3074</v>
      </c>
      <c r="J362" s="6" t="s">
        <v>3435</v>
      </c>
      <c r="K362" s="9">
        <v>8</v>
      </c>
      <c r="L362" s="6" t="s">
        <v>4283</v>
      </c>
      <c r="M362" s="6" t="s">
        <v>4278</v>
      </c>
      <c r="N362" s="24">
        <v>2358.2800000000002</v>
      </c>
      <c r="O362" s="22" t="str">
        <f>IF(Table2[[#This Row],[CouponCode]]="N/A", "Not Used", "Used")</f>
        <v>Not Used</v>
      </c>
    </row>
    <row r="363" spans="1:15" x14ac:dyDescent="0.3">
      <c r="A363" s="6" t="s">
        <v>375</v>
      </c>
      <c r="B363" s="2">
        <v>45472</v>
      </c>
      <c r="C363" s="6" t="s">
        <v>1575</v>
      </c>
      <c r="D363" s="6" t="s">
        <v>2407</v>
      </c>
      <c r="E363" s="9">
        <v>5</v>
      </c>
      <c r="F363" s="24">
        <v>659.85</v>
      </c>
      <c r="G363" t="s">
        <v>2713</v>
      </c>
      <c r="H363" s="6" t="s">
        <v>3067</v>
      </c>
      <c r="I363" s="6" t="s">
        <v>3073</v>
      </c>
      <c r="J363" s="6" t="s">
        <v>3436</v>
      </c>
      <c r="K363" s="9">
        <v>9</v>
      </c>
      <c r="L363" s="6" t="s">
        <v>4275</v>
      </c>
      <c r="M363" s="6" t="s">
        <v>4281</v>
      </c>
      <c r="N363" s="24">
        <v>3299.25</v>
      </c>
      <c r="O363" s="22" t="str">
        <f>IF(Table2[[#This Row],[CouponCode]]="N/A", "Not Used", "Used")</f>
        <v>Used</v>
      </c>
    </row>
    <row r="364" spans="1:15" x14ac:dyDescent="0.3">
      <c r="A364" s="6" t="s">
        <v>376</v>
      </c>
      <c r="B364" s="2">
        <v>45104</v>
      </c>
      <c r="C364" s="6" t="s">
        <v>1576</v>
      </c>
      <c r="D364" s="6" t="s">
        <v>2403</v>
      </c>
      <c r="E364" s="9">
        <v>4</v>
      </c>
      <c r="F364" s="24">
        <v>206.84</v>
      </c>
      <c r="G364" t="s">
        <v>2714</v>
      </c>
      <c r="H364" s="6" t="s">
        <v>3069</v>
      </c>
      <c r="I364" s="6" t="s">
        <v>3071</v>
      </c>
      <c r="J364" s="6" t="s">
        <v>3437</v>
      </c>
      <c r="K364" s="9">
        <v>5</v>
      </c>
      <c r="L364" s="6" t="s">
        <v>4277</v>
      </c>
      <c r="M364" s="6" t="s">
        <v>4278</v>
      </c>
      <c r="N364" s="24">
        <v>827.36</v>
      </c>
      <c r="O364" s="22" t="str">
        <f>IF(Table2[[#This Row],[CouponCode]]="N/A", "Not Used", "Used")</f>
        <v>Used</v>
      </c>
    </row>
    <row r="365" spans="1:15" x14ac:dyDescent="0.3">
      <c r="A365" s="6" t="s">
        <v>377</v>
      </c>
      <c r="B365" s="2">
        <v>45436</v>
      </c>
      <c r="C365" s="6" t="s">
        <v>1577</v>
      </c>
      <c r="D365" s="6" t="s">
        <v>2408</v>
      </c>
      <c r="E365" s="9">
        <v>5</v>
      </c>
      <c r="F365" s="24">
        <v>113.87</v>
      </c>
      <c r="G365" t="s">
        <v>2452</v>
      </c>
      <c r="H365" s="6" t="s">
        <v>3067</v>
      </c>
      <c r="I365" s="6" t="s">
        <v>3074</v>
      </c>
      <c r="J365" s="6" t="s">
        <v>3438</v>
      </c>
      <c r="K365" s="9">
        <v>6</v>
      </c>
      <c r="L365" s="6" t="s">
        <v>4275</v>
      </c>
      <c r="M365" s="6" t="s">
        <v>4280</v>
      </c>
      <c r="N365" s="24">
        <v>569.35</v>
      </c>
      <c r="O365" s="22" t="str">
        <f>IF(Table2[[#This Row],[CouponCode]]="N/A", "Not Used", "Used")</f>
        <v>Used</v>
      </c>
    </row>
    <row r="366" spans="1:15" x14ac:dyDescent="0.3">
      <c r="A366" s="6" t="s">
        <v>378</v>
      </c>
      <c r="B366" s="2">
        <v>45254</v>
      </c>
      <c r="C366" s="6" t="s">
        <v>1578</v>
      </c>
      <c r="D366" s="6" t="s">
        <v>2404</v>
      </c>
      <c r="E366" s="9">
        <v>5</v>
      </c>
      <c r="F366" s="24">
        <v>628.74</v>
      </c>
      <c r="G366" t="s">
        <v>2650</v>
      </c>
      <c r="H366" s="6" t="s">
        <v>3069</v>
      </c>
      <c r="I366" s="6" t="s">
        <v>3071</v>
      </c>
      <c r="J366" s="6" t="s">
        <v>3439</v>
      </c>
      <c r="K366" s="9">
        <v>9</v>
      </c>
      <c r="L366" s="6" t="s">
        <v>4276</v>
      </c>
      <c r="M366" s="6" t="s">
        <v>4281</v>
      </c>
      <c r="N366" s="24">
        <v>3143.7</v>
      </c>
      <c r="O366" s="22" t="str">
        <f>IF(Table2[[#This Row],[CouponCode]]="N/A", "Not Used", "Used")</f>
        <v>Used</v>
      </c>
    </row>
    <row r="367" spans="1:15" x14ac:dyDescent="0.3">
      <c r="A367" s="6" t="s">
        <v>379</v>
      </c>
      <c r="B367" s="2">
        <v>45702</v>
      </c>
      <c r="C367" s="6" t="s">
        <v>1579</v>
      </c>
      <c r="D367" s="6" t="s">
        <v>2404</v>
      </c>
      <c r="E367" s="9">
        <v>1</v>
      </c>
      <c r="F367" s="24">
        <v>678.38</v>
      </c>
      <c r="G367" t="s">
        <v>2686</v>
      </c>
      <c r="H367" s="6" t="s">
        <v>3067</v>
      </c>
      <c r="I367" s="6" t="s">
        <v>3071</v>
      </c>
      <c r="J367" s="6" t="s">
        <v>3440</v>
      </c>
      <c r="K367" s="9">
        <v>4</v>
      </c>
      <c r="L367" s="6" t="s">
        <v>4275</v>
      </c>
      <c r="M367" s="6" t="s">
        <v>4279</v>
      </c>
      <c r="N367" s="24">
        <v>678.38</v>
      </c>
      <c r="O367" s="22" t="str">
        <f>IF(Table2[[#This Row],[CouponCode]]="N/A", "Not Used", "Used")</f>
        <v>Used</v>
      </c>
    </row>
    <row r="368" spans="1:15" x14ac:dyDescent="0.3">
      <c r="A368" s="6" t="s">
        <v>380</v>
      </c>
      <c r="B368" s="2">
        <v>44967</v>
      </c>
      <c r="C368" s="6" t="s">
        <v>1580</v>
      </c>
      <c r="D368" s="6" t="s">
        <v>2407</v>
      </c>
      <c r="E368" s="9">
        <v>3</v>
      </c>
      <c r="F368" s="24">
        <v>602.24</v>
      </c>
      <c r="G368" t="s">
        <v>2715</v>
      </c>
      <c r="H368" s="6" t="s">
        <v>3065</v>
      </c>
      <c r="I368" s="6" t="s">
        <v>3074</v>
      </c>
      <c r="J368" s="6" t="s">
        <v>3441</v>
      </c>
      <c r="K368" s="9">
        <v>8</v>
      </c>
      <c r="L368" s="6" t="s">
        <v>4283</v>
      </c>
      <c r="M368" s="6" t="s">
        <v>4279</v>
      </c>
      <c r="N368" s="24">
        <v>1806.72</v>
      </c>
      <c r="O368" s="22" t="str">
        <f>IF(Table2[[#This Row],[CouponCode]]="N/A", "Not Used", "Used")</f>
        <v>Not Used</v>
      </c>
    </row>
    <row r="369" spans="1:15" x14ac:dyDescent="0.3">
      <c r="A369" s="6" t="s">
        <v>381</v>
      </c>
      <c r="B369" s="2">
        <v>45407</v>
      </c>
      <c r="C369" s="6" t="s">
        <v>1581</v>
      </c>
      <c r="D369" s="6" t="s">
        <v>2408</v>
      </c>
      <c r="E369" s="9">
        <v>5</v>
      </c>
      <c r="F369" s="24">
        <v>658.77</v>
      </c>
      <c r="G369" t="s">
        <v>2630</v>
      </c>
      <c r="H369" s="6" t="s">
        <v>3068</v>
      </c>
      <c r="I369" s="6" t="s">
        <v>3074</v>
      </c>
      <c r="J369" s="6" t="s">
        <v>3442</v>
      </c>
      <c r="K369" s="9">
        <v>10</v>
      </c>
      <c r="L369" s="6" t="s">
        <v>4276</v>
      </c>
      <c r="M369" s="6" t="s">
        <v>4278</v>
      </c>
      <c r="N369" s="24">
        <v>3293.85</v>
      </c>
      <c r="O369" s="22" t="str">
        <f>IF(Table2[[#This Row],[CouponCode]]="N/A", "Not Used", "Used")</f>
        <v>Used</v>
      </c>
    </row>
    <row r="370" spans="1:15" x14ac:dyDescent="0.3">
      <c r="A370" s="6" t="s">
        <v>382</v>
      </c>
      <c r="B370" s="2">
        <v>45047</v>
      </c>
      <c r="C370" s="6" t="s">
        <v>1582</v>
      </c>
      <c r="D370" s="6" t="s">
        <v>2403</v>
      </c>
      <c r="E370" s="9">
        <v>3</v>
      </c>
      <c r="F370" s="24">
        <v>271.02</v>
      </c>
      <c r="G370" t="s">
        <v>2716</v>
      </c>
      <c r="H370" s="6" t="s">
        <v>3067</v>
      </c>
      <c r="I370" s="6" t="s">
        <v>3071</v>
      </c>
      <c r="J370" s="6" t="s">
        <v>3443</v>
      </c>
      <c r="K370" s="9">
        <v>6</v>
      </c>
      <c r="L370" s="6" t="s">
        <v>4283</v>
      </c>
      <c r="M370" s="6" t="s">
        <v>4282</v>
      </c>
      <c r="N370" s="24">
        <v>813.06</v>
      </c>
      <c r="O370" s="22" t="str">
        <f>IF(Table2[[#This Row],[CouponCode]]="N/A", "Not Used", "Used")</f>
        <v>Not Used</v>
      </c>
    </row>
    <row r="371" spans="1:15" x14ac:dyDescent="0.3">
      <c r="A371" s="6" t="s">
        <v>383</v>
      </c>
      <c r="B371" s="2">
        <v>45648</v>
      </c>
      <c r="C371" s="6" t="s">
        <v>1583</v>
      </c>
      <c r="D371" s="6" t="s">
        <v>2403</v>
      </c>
      <c r="E371" s="9">
        <v>5</v>
      </c>
      <c r="F371" s="24">
        <v>375.25</v>
      </c>
      <c r="G371" t="s">
        <v>2717</v>
      </c>
      <c r="H371" s="6" t="s">
        <v>3068</v>
      </c>
      <c r="I371" s="6" t="s">
        <v>3074</v>
      </c>
      <c r="J371" s="6" t="s">
        <v>3444</v>
      </c>
      <c r="K371" s="9">
        <v>9</v>
      </c>
      <c r="L371" s="6" t="s">
        <v>4275</v>
      </c>
      <c r="M371" s="6" t="s">
        <v>4280</v>
      </c>
      <c r="N371" s="24">
        <v>1876.25</v>
      </c>
      <c r="O371" s="22" t="str">
        <f>IF(Table2[[#This Row],[CouponCode]]="N/A", "Not Used", "Used")</f>
        <v>Used</v>
      </c>
    </row>
    <row r="372" spans="1:15" x14ac:dyDescent="0.3">
      <c r="A372" s="6" t="s">
        <v>384</v>
      </c>
      <c r="B372" s="2">
        <v>45780</v>
      </c>
      <c r="C372" s="6" t="s">
        <v>1584</v>
      </c>
      <c r="D372" s="6" t="s">
        <v>2404</v>
      </c>
      <c r="E372" s="9">
        <v>1</v>
      </c>
      <c r="F372" s="24">
        <v>312.11</v>
      </c>
      <c r="G372" t="s">
        <v>2718</v>
      </c>
      <c r="H372" s="6" t="s">
        <v>3066</v>
      </c>
      <c r="I372" s="6" t="s">
        <v>3071</v>
      </c>
      <c r="J372" s="6" t="s">
        <v>3445</v>
      </c>
      <c r="K372" s="9">
        <v>4</v>
      </c>
      <c r="L372" s="6" t="s">
        <v>4277</v>
      </c>
      <c r="M372" s="6" t="s">
        <v>4281</v>
      </c>
      <c r="N372" s="24">
        <v>312.11</v>
      </c>
      <c r="O372" s="22" t="str">
        <f>IF(Table2[[#This Row],[CouponCode]]="N/A", "Not Used", "Used")</f>
        <v>Used</v>
      </c>
    </row>
    <row r="373" spans="1:15" x14ac:dyDescent="0.3">
      <c r="A373" s="6" t="s">
        <v>385</v>
      </c>
      <c r="B373" s="2">
        <v>44931</v>
      </c>
      <c r="C373" s="6" t="s">
        <v>1585</v>
      </c>
      <c r="D373" s="6" t="s">
        <v>2404</v>
      </c>
      <c r="E373" s="9">
        <v>5</v>
      </c>
      <c r="F373" s="24">
        <v>307.76</v>
      </c>
      <c r="G373" t="s">
        <v>2422</v>
      </c>
      <c r="H373" s="6" t="s">
        <v>3068</v>
      </c>
      <c r="I373" s="6" t="s">
        <v>3074</v>
      </c>
      <c r="J373" s="6" t="s">
        <v>3446</v>
      </c>
      <c r="K373" s="9">
        <v>9</v>
      </c>
      <c r="L373" s="6" t="s">
        <v>4276</v>
      </c>
      <c r="M373" s="6" t="s">
        <v>4282</v>
      </c>
      <c r="N373" s="24">
        <v>1538.8</v>
      </c>
      <c r="O373" s="22" t="str">
        <f>IF(Table2[[#This Row],[CouponCode]]="N/A", "Not Used", "Used")</f>
        <v>Used</v>
      </c>
    </row>
    <row r="374" spans="1:15" x14ac:dyDescent="0.3">
      <c r="A374" s="6" t="s">
        <v>386</v>
      </c>
      <c r="B374" s="2">
        <v>45702</v>
      </c>
      <c r="C374" s="6" t="s">
        <v>1586</v>
      </c>
      <c r="D374" s="6" t="s">
        <v>2406</v>
      </c>
      <c r="E374" s="9">
        <v>3</v>
      </c>
      <c r="F374" s="24">
        <v>483.53</v>
      </c>
      <c r="G374" t="s">
        <v>2719</v>
      </c>
      <c r="H374" s="6" t="s">
        <v>3069</v>
      </c>
      <c r="I374" s="6" t="s">
        <v>3072</v>
      </c>
      <c r="J374" s="6" t="s">
        <v>3447</v>
      </c>
      <c r="K374" s="9">
        <v>4</v>
      </c>
      <c r="L374" s="6" t="s">
        <v>4283</v>
      </c>
      <c r="M374" s="6" t="s">
        <v>4279</v>
      </c>
      <c r="N374" s="24">
        <v>1450.59</v>
      </c>
      <c r="O374" s="22" t="str">
        <f>IF(Table2[[#This Row],[CouponCode]]="N/A", "Not Used", "Used")</f>
        <v>Not Used</v>
      </c>
    </row>
    <row r="375" spans="1:15" x14ac:dyDescent="0.3">
      <c r="A375" s="6" t="s">
        <v>387</v>
      </c>
      <c r="B375" s="2">
        <v>44928</v>
      </c>
      <c r="C375" s="6" t="s">
        <v>1587</v>
      </c>
      <c r="D375" s="6" t="s">
        <v>2408</v>
      </c>
      <c r="E375" s="9">
        <v>3</v>
      </c>
      <c r="F375" s="24">
        <v>341.15</v>
      </c>
      <c r="G375" t="s">
        <v>2720</v>
      </c>
      <c r="H375" s="6" t="s">
        <v>3069</v>
      </c>
      <c r="I375" s="6" t="s">
        <v>3074</v>
      </c>
      <c r="J375" s="6" t="s">
        <v>3448</v>
      </c>
      <c r="K375" s="9">
        <v>4</v>
      </c>
      <c r="L375" s="6" t="s">
        <v>4276</v>
      </c>
      <c r="M375" s="6" t="s">
        <v>4278</v>
      </c>
      <c r="N375" s="24">
        <v>1023.45</v>
      </c>
      <c r="O375" s="22" t="str">
        <f>IF(Table2[[#This Row],[CouponCode]]="N/A", "Not Used", "Used")</f>
        <v>Used</v>
      </c>
    </row>
    <row r="376" spans="1:15" x14ac:dyDescent="0.3">
      <c r="A376" s="6" t="s">
        <v>388</v>
      </c>
      <c r="B376" s="2">
        <v>45551</v>
      </c>
      <c r="C376" s="6" t="s">
        <v>1588</v>
      </c>
      <c r="D376" s="6" t="s">
        <v>2403</v>
      </c>
      <c r="E376" s="9">
        <v>1</v>
      </c>
      <c r="F376" s="24">
        <v>571.9</v>
      </c>
      <c r="G376" t="s">
        <v>2477</v>
      </c>
      <c r="H376" s="6" t="s">
        <v>3068</v>
      </c>
      <c r="I376" s="6" t="s">
        <v>3074</v>
      </c>
      <c r="J376" s="6" t="s">
        <v>3449</v>
      </c>
      <c r="K376" s="9">
        <v>1</v>
      </c>
      <c r="L376" s="6" t="s">
        <v>4277</v>
      </c>
      <c r="M376" s="6" t="s">
        <v>4278</v>
      </c>
      <c r="N376" s="24">
        <v>571.9</v>
      </c>
      <c r="O376" s="22" t="str">
        <f>IF(Table2[[#This Row],[CouponCode]]="N/A", "Not Used", "Used")</f>
        <v>Used</v>
      </c>
    </row>
    <row r="377" spans="1:15" x14ac:dyDescent="0.3">
      <c r="A377" s="6" t="s">
        <v>389</v>
      </c>
      <c r="B377" s="2">
        <v>45673</v>
      </c>
      <c r="C377" s="6" t="s">
        <v>1589</v>
      </c>
      <c r="D377" s="6" t="s">
        <v>2403</v>
      </c>
      <c r="E377" s="9">
        <v>4</v>
      </c>
      <c r="F377" s="24">
        <v>95.03</v>
      </c>
      <c r="G377" t="s">
        <v>2721</v>
      </c>
      <c r="H377" s="6" t="s">
        <v>3066</v>
      </c>
      <c r="I377" s="6" t="s">
        <v>3070</v>
      </c>
      <c r="J377" s="6" t="s">
        <v>3450</v>
      </c>
      <c r="K377" s="9">
        <v>8</v>
      </c>
      <c r="L377" s="6" t="s">
        <v>4276</v>
      </c>
      <c r="M377" s="6" t="s">
        <v>4281</v>
      </c>
      <c r="N377" s="24">
        <v>380.12</v>
      </c>
      <c r="O377" s="22" t="str">
        <f>IF(Table2[[#This Row],[CouponCode]]="N/A", "Not Used", "Used")</f>
        <v>Used</v>
      </c>
    </row>
    <row r="378" spans="1:15" x14ac:dyDescent="0.3">
      <c r="A378" s="6" t="s">
        <v>390</v>
      </c>
      <c r="B378" s="2">
        <v>45162</v>
      </c>
      <c r="C378" s="6" t="s">
        <v>1590</v>
      </c>
      <c r="D378" s="6" t="s">
        <v>2403</v>
      </c>
      <c r="E378" s="9">
        <v>5</v>
      </c>
      <c r="F378" s="24">
        <v>201.22</v>
      </c>
      <c r="G378" t="s">
        <v>2722</v>
      </c>
      <c r="H378" s="6" t="s">
        <v>3065</v>
      </c>
      <c r="I378" s="6" t="s">
        <v>3074</v>
      </c>
      <c r="J378" s="6" t="s">
        <v>3451</v>
      </c>
      <c r="K378" s="9">
        <v>6</v>
      </c>
      <c r="L378" s="6" t="s">
        <v>4276</v>
      </c>
      <c r="M378" s="6" t="s">
        <v>4281</v>
      </c>
      <c r="N378" s="24">
        <v>1006.1</v>
      </c>
      <c r="O378" s="22" t="str">
        <f>IF(Table2[[#This Row],[CouponCode]]="N/A", "Not Used", "Used")</f>
        <v>Used</v>
      </c>
    </row>
    <row r="379" spans="1:15" x14ac:dyDescent="0.3">
      <c r="A379" s="6" t="s">
        <v>391</v>
      </c>
      <c r="B379" s="2">
        <v>45495</v>
      </c>
      <c r="C379" s="6" t="s">
        <v>1591</v>
      </c>
      <c r="D379" s="6" t="s">
        <v>2403</v>
      </c>
      <c r="E379" s="9">
        <v>1</v>
      </c>
      <c r="F379" s="24">
        <v>260.26</v>
      </c>
      <c r="G379" t="s">
        <v>2671</v>
      </c>
      <c r="H379" s="6" t="s">
        <v>3066</v>
      </c>
      <c r="I379" s="6" t="s">
        <v>3074</v>
      </c>
      <c r="J379" s="6" t="s">
        <v>3452</v>
      </c>
      <c r="K379" s="9">
        <v>5</v>
      </c>
      <c r="L379" s="6" t="s">
        <v>4277</v>
      </c>
      <c r="M379" s="6" t="s">
        <v>4278</v>
      </c>
      <c r="N379" s="24">
        <v>260.26</v>
      </c>
      <c r="O379" s="22" t="str">
        <f>IF(Table2[[#This Row],[CouponCode]]="N/A", "Not Used", "Used")</f>
        <v>Used</v>
      </c>
    </row>
    <row r="380" spans="1:15" x14ac:dyDescent="0.3">
      <c r="A380" s="6" t="s">
        <v>392</v>
      </c>
      <c r="B380" s="2">
        <v>45323</v>
      </c>
      <c r="C380" s="6" t="s">
        <v>1592</v>
      </c>
      <c r="D380" s="6" t="s">
        <v>2406</v>
      </c>
      <c r="E380" s="9">
        <v>5</v>
      </c>
      <c r="F380" s="24">
        <v>64.5</v>
      </c>
      <c r="G380" t="s">
        <v>2723</v>
      </c>
      <c r="H380" s="6" t="s">
        <v>3067</v>
      </c>
      <c r="I380" s="6" t="s">
        <v>3074</v>
      </c>
      <c r="J380" s="6" t="s">
        <v>3453</v>
      </c>
      <c r="K380" s="9">
        <v>8</v>
      </c>
      <c r="L380" s="6" t="s">
        <v>4277</v>
      </c>
      <c r="M380" s="6" t="s">
        <v>4278</v>
      </c>
      <c r="N380" s="24">
        <v>322.5</v>
      </c>
      <c r="O380" s="22" t="str">
        <f>IF(Table2[[#This Row],[CouponCode]]="N/A", "Not Used", "Used")</f>
        <v>Used</v>
      </c>
    </row>
    <row r="381" spans="1:15" x14ac:dyDescent="0.3">
      <c r="A381" s="6" t="s">
        <v>393</v>
      </c>
      <c r="B381" s="2">
        <v>45556</v>
      </c>
      <c r="C381" s="6" t="s">
        <v>1593</v>
      </c>
      <c r="D381" s="6" t="s">
        <v>2404</v>
      </c>
      <c r="E381" s="9">
        <v>3</v>
      </c>
      <c r="F381" s="24">
        <v>297.67</v>
      </c>
      <c r="G381" t="s">
        <v>2571</v>
      </c>
      <c r="H381" s="6" t="s">
        <v>3066</v>
      </c>
      <c r="I381" s="6" t="s">
        <v>3070</v>
      </c>
      <c r="J381" s="6" t="s">
        <v>3454</v>
      </c>
      <c r="K381" s="9">
        <v>6</v>
      </c>
      <c r="L381" s="6" t="s">
        <v>4283</v>
      </c>
      <c r="M381" s="6" t="s">
        <v>4282</v>
      </c>
      <c r="N381" s="24">
        <v>893.01</v>
      </c>
      <c r="O381" s="22" t="str">
        <f>IF(Table2[[#This Row],[CouponCode]]="N/A", "Not Used", "Used")</f>
        <v>Not Used</v>
      </c>
    </row>
    <row r="382" spans="1:15" x14ac:dyDescent="0.3">
      <c r="A382" s="6" t="s">
        <v>394</v>
      </c>
      <c r="B382" s="2">
        <v>45402</v>
      </c>
      <c r="C382" s="6" t="s">
        <v>1594</v>
      </c>
      <c r="D382" s="6" t="s">
        <v>2407</v>
      </c>
      <c r="E382" s="9">
        <v>4</v>
      </c>
      <c r="F382" s="24">
        <v>331.9</v>
      </c>
      <c r="G382" t="s">
        <v>2640</v>
      </c>
      <c r="H382" s="6" t="s">
        <v>3069</v>
      </c>
      <c r="I382" s="6" t="s">
        <v>3074</v>
      </c>
      <c r="J382" s="6" t="s">
        <v>3455</v>
      </c>
      <c r="K382" s="9">
        <v>5</v>
      </c>
      <c r="L382" s="6" t="s">
        <v>4275</v>
      </c>
      <c r="M382" s="6" t="s">
        <v>4278</v>
      </c>
      <c r="N382" s="24">
        <v>1327.6</v>
      </c>
      <c r="O382" s="22" t="str">
        <f>IF(Table2[[#This Row],[CouponCode]]="N/A", "Not Used", "Used")</f>
        <v>Used</v>
      </c>
    </row>
    <row r="383" spans="1:15" x14ac:dyDescent="0.3">
      <c r="A383" s="6" t="s">
        <v>395</v>
      </c>
      <c r="B383" s="2">
        <v>45084</v>
      </c>
      <c r="C383" s="6" t="s">
        <v>1595</v>
      </c>
      <c r="D383" s="6" t="s">
        <v>2406</v>
      </c>
      <c r="E383" s="9">
        <v>1</v>
      </c>
      <c r="F383" s="24">
        <v>191.76</v>
      </c>
      <c r="G383" t="s">
        <v>2454</v>
      </c>
      <c r="H383" s="6" t="s">
        <v>3067</v>
      </c>
      <c r="I383" s="6" t="s">
        <v>3072</v>
      </c>
      <c r="J383" s="6" t="s">
        <v>3456</v>
      </c>
      <c r="K383" s="9">
        <v>1</v>
      </c>
      <c r="L383" s="6" t="s">
        <v>4276</v>
      </c>
      <c r="M383" s="6" t="s">
        <v>4278</v>
      </c>
      <c r="N383" s="24">
        <v>191.76</v>
      </c>
      <c r="O383" s="22" t="str">
        <f>IF(Table2[[#This Row],[CouponCode]]="N/A", "Not Used", "Used")</f>
        <v>Used</v>
      </c>
    </row>
    <row r="384" spans="1:15" x14ac:dyDescent="0.3">
      <c r="A384" s="6" t="s">
        <v>396</v>
      </c>
      <c r="B384" s="2">
        <v>45687</v>
      </c>
      <c r="C384" s="6" t="s">
        <v>1596</v>
      </c>
      <c r="D384" s="6" t="s">
        <v>2407</v>
      </c>
      <c r="E384" s="9">
        <v>4</v>
      </c>
      <c r="F384" s="24">
        <v>263.08999999999997</v>
      </c>
      <c r="G384" t="s">
        <v>2724</v>
      </c>
      <c r="H384" s="6" t="s">
        <v>3065</v>
      </c>
      <c r="I384" s="6" t="s">
        <v>3070</v>
      </c>
      <c r="J384" s="6" t="s">
        <v>3457</v>
      </c>
      <c r="K384" s="9">
        <v>8</v>
      </c>
      <c r="L384" s="6" t="s">
        <v>4275</v>
      </c>
      <c r="M384" s="6" t="s">
        <v>4282</v>
      </c>
      <c r="N384" s="24">
        <v>1052.3599999999999</v>
      </c>
      <c r="O384" s="22" t="str">
        <f>IF(Table2[[#This Row],[CouponCode]]="N/A", "Not Used", "Used")</f>
        <v>Used</v>
      </c>
    </row>
    <row r="385" spans="1:15" x14ac:dyDescent="0.3">
      <c r="A385" s="6" t="s">
        <v>397</v>
      </c>
      <c r="B385" s="2">
        <v>44946</v>
      </c>
      <c r="C385" s="6" t="s">
        <v>1597</v>
      </c>
      <c r="D385" s="6" t="s">
        <v>2406</v>
      </c>
      <c r="E385" s="9">
        <v>4</v>
      </c>
      <c r="F385" s="24">
        <v>393.8</v>
      </c>
      <c r="G385" t="s">
        <v>2497</v>
      </c>
      <c r="H385" s="6" t="s">
        <v>3067</v>
      </c>
      <c r="I385" s="6" t="s">
        <v>3074</v>
      </c>
      <c r="J385" s="6" t="s">
        <v>3458</v>
      </c>
      <c r="K385" s="9">
        <v>7</v>
      </c>
      <c r="L385" s="6" t="s">
        <v>4275</v>
      </c>
      <c r="M385" s="6" t="s">
        <v>4280</v>
      </c>
      <c r="N385" s="24">
        <v>1575.2</v>
      </c>
      <c r="O385" s="22" t="str">
        <f>IF(Table2[[#This Row],[CouponCode]]="N/A", "Not Used", "Used")</f>
        <v>Used</v>
      </c>
    </row>
    <row r="386" spans="1:15" x14ac:dyDescent="0.3">
      <c r="A386" s="6" t="s">
        <v>398</v>
      </c>
      <c r="B386" s="2">
        <v>45620</v>
      </c>
      <c r="C386" s="6" t="s">
        <v>1598</v>
      </c>
      <c r="D386" s="6" t="s">
        <v>2406</v>
      </c>
      <c r="E386" s="9">
        <v>3</v>
      </c>
      <c r="F386" s="24">
        <v>553.57000000000005</v>
      </c>
      <c r="G386" t="s">
        <v>2725</v>
      </c>
      <c r="H386" s="6" t="s">
        <v>3067</v>
      </c>
      <c r="I386" s="6" t="s">
        <v>3072</v>
      </c>
      <c r="J386" s="6" t="s">
        <v>3459</v>
      </c>
      <c r="K386" s="9">
        <v>4</v>
      </c>
      <c r="L386" s="6" t="s">
        <v>4276</v>
      </c>
      <c r="M386" s="6" t="s">
        <v>4281</v>
      </c>
      <c r="N386" s="24">
        <v>1660.71</v>
      </c>
      <c r="O386" s="22" t="str">
        <f>IF(Table2[[#This Row],[CouponCode]]="N/A", "Not Used", "Used")</f>
        <v>Used</v>
      </c>
    </row>
    <row r="387" spans="1:15" x14ac:dyDescent="0.3">
      <c r="A387" s="6" t="s">
        <v>399</v>
      </c>
      <c r="B387" s="2">
        <v>45230</v>
      </c>
      <c r="C387" s="6" t="s">
        <v>1599</v>
      </c>
      <c r="D387" s="6" t="s">
        <v>2406</v>
      </c>
      <c r="E387" s="9">
        <v>5</v>
      </c>
      <c r="F387" s="24">
        <v>191.63</v>
      </c>
      <c r="G387" t="s">
        <v>2470</v>
      </c>
      <c r="H387" s="6" t="s">
        <v>3068</v>
      </c>
      <c r="I387" s="6" t="s">
        <v>3073</v>
      </c>
      <c r="J387" s="6" t="s">
        <v>3460</v>
      </c>
      <c r="K387" s="9">
        <v>6</v>
      </c>
      <c r="L387" s="6" t="s">
        <v>4276</v>
      </c>
      <c r="M387" s="6" t="s">
        <v>4281</v>
      </c>
      <c r="N387" s="24">
        <v>958.15</v>
      </c>
      <c r="O387" s="22" t="str">
        <f>IF(Table2[[#This Row],[CouponCode]]="N/A", "Not Used", "Used")</f>
        <v>Used</v>
      </c>
    </row>
    <row r="388" spans="1:15" x14ac:dyDescent="0.3">
      <c r="A388" s="6" t="s">
        <v>400</v>
      </c>
      <c r="B388" s="2">
        <v>45044</v>
      </c>
      <c r="C388" s="6" t="s">
        <v>1600</v>
      </c>
      <c r="D388" s="6" t="s">
        <v>2405</v>
      </c>
      <c r="E388" s="9">
        <v>1</v>
      </c>
      <c r="F388" s="24">
        <v>93.02</v>
      </c>
      <c r="G388" t="s">
        <v>2726</v>
      </c>
      <c r="H388" s="6" t="s">
        <v>3066</v>
      </c>
      <c r="I388" s="6" t="s">
        <v>3072</v>
      </c>
      <c r="J388" s="6" t="s">
        <v>3461</v>
      </c>
      <c r="K388" s="9">
        <v>4</v>
      </c>
      <c r="L388" s="6" t="s">
        <v>4283</v>
      </c>
      <c r="M388" s="6" t="s">
        <v>4280</v>
      </c>
      <c r="N388" s="24">
        <v>93.02</v>
      </c>
      <c r="O388" s="22" t="str">
        <f>IF(Table2[[#This Row],[CouponCode]]="N/A", "Not Used", "Used")</f>
        <v>Not Used</v>
      </c>
    </row>
    <row r="389" spans="1:15" x14ac:dyDescent="0.3">
      <c r="A389" s="6" t="s">
        <v>401</v>
      </c>
      <c r="B389" s="2">
        <v>45470</v>
      </c>
      <c r="C389" s="6" t="s">
        <v>1601</v>
      </c>
      <c r="D389" s="6" t="s">
        <v>2407</v>
      </c>
      <c r="E389" s="9">
        <v>2</v>
      </c>
      <c r="F389" s="24">
        <v>39.53</v>
      </c>
      <c r="G389" t="s">
        <v>2418</v>
      </c>
      <c r="H389" s="6" t="s">
        <v>3067</v>
      </c>
      <c r="I389" s="6" t="s">
        <v>3070</v>
      </c>
      <c r="J389" s="6" t="s">
        <v>3462</v>
      </c>
      <c r="K389" s="9">
        <v>3</v>
      </c>
      <c r="L389" s="6" t="s">
        <v>4277</v>
      </c>
      <c r="M389" s="6" t="s">
        <v>4282</v>
      </c>
      <c r="N389" s="24">
        <v>79.06</v>
      </c>
      <c r="O389" s="22" t="str">
        <f>IF(Table2[[#This Row],[CouponCode]]="N/A", "Not Used", "Used")</f>
        <v>Used</v>
      </c>
    </row>
    <row r="390" spans="1:15" x14ac:dyDescent="0.3">
      <c r="A390" s="6" t="s">
        <v>402</v>
      </c>
      <c r="B390" s="2">
        <v>45288</v>
      </c>
      <c r="C390" s="6" t="s">
        <v>1602</v>
      </c>
      <c r="D390" s="6" t="s">
        <v>2407</v>
      </c>
      <c r="E390" s="9">
        <v>3</v>
      </c>
      <c r="F390" s="24">
        <v>633.97</v>
      </c>
      <c r="G390" t="s">
        <v>2504</v>
      </c>
      <c r="H390" s="6" t="s">
        <v>3069</v>
      </c>
      <c r="I390" s="6" t="s">
        <v>3074</v>
      </c>
      <c r="J390" s="6" t="s">
        <v>3463</v>
      </c>
      <c r="K390" s="9">
        <v>7</v>
      </c>
      <c r="L390" s="6" t="s">
        <v>4277</v>
      </c>
      <c r="M390" s="6" t="s">
        <v>4281</v>
      </c>
      <c r="N390" s="24">
        <v>1901.91</v>
      </c>
      <c r="O390" s="22" t="str">
        <f>IF(Table2[[#This Row],[CouponCode]]="N/A", "Not Used", "Used")</f>
        <v>Used</v>
      </c>
    </row>
    <row r="391" spans="1:15" x14ac:dyDescent="0.3">
      <c r="A391" s="6" t="s">
        <v>403</v>
      </c>
      <c r="B391" s="2">
        <v>45277</v>
      </c>
      <c r="C391" s="6" t="s">
        <v>1603</v>
      </c>
      <c r="D391" s="6" t="s">
        <v>2409</v>
      </c>
      <c r="E391" s="9">
        <v>4</v>
      </c>
      <c r="F391" s="24">
        <v>697.5</v>
      </c>
      <c r="G391" t="s">
        <v>2727</v>
      </c>
      <c r="H391" s="6" t="s">
        <v>3069</v>
      </c>
      <c r="I391" s="6" t="s">
        <v>3070</v>
      </c>
      <c r="J391" s="6" t="s">
        <v>3464</v>
      </c>
      <c r="K391" s="9">
        <v>7</v>
      </c>
      <c r="L391" s="6" t="s">
        <v>4276</v>
      </c>
      <c r="M391" s="6" t="s">
        <v>4279</v>
      </c>
      <c r="N391" s="24">
        <v>2790</v>
      </c>
      <c r="O391" s="22" t="str">
        <f>IF(Table2[[#This Row],[CouponCode]]="N/A", "Not Used", "Used")</f>
        <v>Used</v>
      </c>
    </row>
    <row r="392" spans="1:15" x14ac:dyDescent="0.3">
      <c r="A392" s="6" t="s">
        <v>404</v>
      </c>
      <c r="B392" s="2">
        <v>45121</v>
      </c>
      <c r="C392" s="6" t="s">
        <v>1604</v>
      </c>
      <c r="D392" s="6" t="s">
        <v>2407</v>
      </c>
      <c r="E392" s="9">
        <v>5</v>
      </c>
      <c r="F392" s="24">
        <v>508.69</v>
      </c>
      <c r="G392" t="s">
        <v>2701</v>
      </c>
      <c r="H392" s="6" t="s">
        <v>3069</v>
      </c>
      <c r="I392" s="6" t="s">
        <v>3073</v>
      </c>
      <c r="J392" s="6" t="s">
        <v>3465</v>
      </c>
      <c r="K392" s="9">
        <v>10</v>
      </c>
      <c r="L392" s="6" t="s">
        <v>4276</v>
      </c>
      <c r="M392" s="6" t="s">
        <v>4282</v>
      </c>
      <c r="N392" s="24">
        <v>2543.4499999999998</v>
      </c>
      <c r="O392" s="22" t="str">
        <f>IF(Table2[[#This Row],[CouponCode]]="N/A", "Not Used", "Used")</f>
        <v>Used</v>
      </c>
    </row>
    <row r="393" spans="1:15" x14ac:dyDescent="0.3">
      <c r="A393" s="6" t="s">
        <v>405</v>
      </c>
      <c r="B393" s="2">
        <v>45673</v>
      </c>
      <c r="C393" s="6" t="s">
        <v>1605</v>
      </c>
      <c r="D393" s="6" t="s">
        <v>2408</v>
      </c>
      <c r="E393" s="9">
        <v>2</v>
      </c>
      <c r="F393" s="24">
        <v>527.46</v>
      </c>
      <c r="G393" t="s">
        <v>2654</v>
      </c>
      <c r="H393" s="6" t="s">
        <v>3065</v>
      </c>
      <c r="I393" s="6" t="s">
        <v>3071</v>
      </c>
      <c r="J393" s="6" t="s">
        <v>3466</v>
      </c>
      <c r="K393" s="9">
        <v>3</v>
      </c>
      <c r="L393" s="6" t="s">
        <v>4276</v>
      </c>
      <c r="M393" s="6" t="s">
        <v>4279</v>
      </c>
      <c r="N393" s="24">
        <v>1054.92</v>
      </c>
      <c r="O393" s="22" t="str">
        <f>IF(Table2[[#This Row],[CouponCode]]="N/A", "Not Used", "Used")</f>
        <v>Used</v>
      </c>
    </row>
    <row r="394" spans="1:15" x14ac:dyDescent="0.3">
      <c r="A394" s="6" t="s">
        <v>406</v>
      </c>
      <c r="B394" s="2">
        <v>45350</v>
      </c>
      <c r="C394" s="6" t="s">
        <v>1606</v>
      </c>
      <c r="D394" s="6" t="s">
        <v>2404</v>
      </c>
      <c r="E394" s="9">
        <v>1</v>
      </c>
      <c r="F394" s="24">
        <v>627.20000000000005</v>
      </c>
      <c r="G394" t="s">
        <v>2713</v>
      </c>
      <c r="H394" s="6" t="s">
        <v>3066</v>
      </c>
      <c r="I394" s="6" t="s">
        <v>3073</v>
      </c>
      <c r="J394" s="6" t="s">
        <v>3467</v>
      </c>
      <c r="K394" s="9">
        <v>1</v>
      </c>
      <c r="L394" s="6" t="s">
        <v>4277</v>
      </c>
      <c r="M394" s="6" t="s">
        <v>4280</v>
      </c>
      <c r="N394" s="24">
        <v>627.20000000000005</v>
      </c>
      <c r="O394" s="22" t="str">
        <f>IF(Table2[[#This Row],[CouponCode]]="N/A", "Not Used", "Used")</f>
        <v>Used</v>
      </c>
    </row>
    <row r="395" spans="1:15" x14ac:dyDescent="0.3">
      <c r="A395" s="6" t="s">
        <v>407</v>
      </c>
      <c r="B395" s="2">
        <v>45487</v>
      </c>
      <c r="C395" s="6" t="s">
        <v>1607</v>
      </c>
      <c r="D395" s="6" t="s">
        <v>2407</v>
      </c>
      <c r="E395" s="9">
        <v>1</v>
      </c>
      <c r="F395" s="24">
        <v>75.010000000000005</v>
      </c>
      <c r="G395" t="s">
        <v>2728</v>
      </c>
      <c r="H395" s="6" t="s">
        <v>3067</v>
      </c>
      <c r="I395" s="6" t="s">
        <v>3072</v>
      </c>
      <c r="J395" s="6" t="s">
        <v>3468</v>
      </c>
      <c r="K395" s="9">
        <v>3</v>
      </c>
      <c r="L395" s="6" t="s">
        <v>4283</v>
      </c>
      <c r="M395" s="6" t="s">
        <v>4282</v>
      </c>
      <c r="N395" s="24">
        <v>75.010000000000005</v>
      </c>
      <c r="O395" s="22" t="str">
        <f>IF(Table2[[#This Row],[CouponCode]]="N/A", "Not Used", "Used")</f>
        <v>Not Used</v>
      </c>
    </row>
    <row r="396" spans="1:15" x14ac:dyDescent="0.3">
      <c r="A396" s="6" t="s">
        <v>408</v>
      </c>
      <c r="B396" s="2">
        <v>45112</v>
      </c>
      <c r="C396" s="6" t="s">
        <v>1608</v>
      </c>
      <c r="D396" s="6" t="s">
        <v>2409</v>
      </c>
      <c r="E396" s="9">
        <v>5</v>
      </c>
      <c r="F396" s="24">
        <v>529.54999999999995</v>
      </c>
      <c r="G396" t="s">
        <v>2729</v>
      </c>
      <c r="H396" s="6" t="s">
        <v>3068</v>
      </c>
      <c r="I396" s="6" t="s">
        <v>3070</v>
      </c>
      <c r="J396" s="6" t="s">
        <v>3469</v>
      </c>
      <c r="K396" s="9">
        <v>10</v>
      </c>
      <c r="L396" s="6" t="s">
        <v>4283</v>
      </c>
      <c r="M396" s="6" t="s">
        <v>4281</v>
      </c>
      <c r="N396" s="24">
        <v>2647.75</v>
      </c>
      <c r="O396" s="22" t="str">
        <f>IF(Table2[[#This Row],[CouponCode]]="N/A", "Not Used", "Used")</f>
        <v>Not Used</v>
      </c>
    </row>
    <row r="397" spans="1:15" x14ac:dyDescent="0.3">
      <c r="A397" s="6" t="s">
        <v>409</v>
      </c>
      <c r="B397" s="2">
        <v>45772</v>
      </c>
      <c r="C397" s="6" t="s">
        <v>1609</v>
      </c>
      <c r="D397" s="6" t="s">
        <v>2404</v>
      </c>
      <c r="E397" s="9">
        <v>3</v>
      </c>
      <c r="F397" s="24">
        <v>127.41</v>
      </c>
      <c r="G397" t="s">
        <v>2442</v>
      </c>
      <c r="H397" s="6" t="s">
        <v>3068</v>
      </c>
      <c r="I397" s="6" t="s">
        <v>3073</v>
      </c>
      <c r="J397" s="6" t="s">
        <v>3470</v>
      </c>
      <c r="K397" s="9">
        <v>7</v>
      </c>
      <c r="L397" s="6" t="s">
        <v>4275</v>
      </c>
      <c r="M397" s="6" t="s">
        <v>4279</v>
      </c>
      <c r="N397" s="24">
        <v>382.23</v>
      </c>
      <c r="O397" s="22" t="str">
        <f>IF(Table2[[#This Row],[CouponCode]]="N/A", "Not Used", "Used")</f>
        <v>Used</v>
      </c>
    </row>
    <row r="398" spans="1:15" x14ac:dyDescent="0.3">
      <c r="A398" s="6" t="s">
        <v>410</v>
      </c>
      <c r="B398" s="2">
        <v>45261</v>
      </c>
      <c r="C398" s="6" t="s">
        <v>1610</v>
      </c>
      <c r="D398" s="6" t="s">
        <v>2405</v>
      </c>
      <c r="E398" s="9">
        <v>5</v>
      </c>
      <c r="F398" s="24">
        <v>287.13</v>
      </c>
      <c r="G398" t="s">
        <v>2730</v>
      </c>
      <c r="H398" s="6" t="s">
        <v>3066</v>
      </c>
      <c r="I398" s="6" t="s">
        <v>3070</v>
      </c>
      <c r="J398" s="6" t="s">
        <v>3471</v>
      </c>
      <c r="K398" s="9">
        <v>10</v>
      </c>
      <c r="L398" s="6" t="s">
        <v>4275</v>
      </c>
      <c r="M398" s="6" t="s">
        <v>4280</v>
      </c>
      <c r="N398" s="24">
        <v>1435.65</v>
      </c>
      <c r="O398" s="22" t="str">
        <f>IF(Table2[[#This Row],[CouponCode]]="N/A", "Not Used", "Used")</f>
        <v>Used</v>
      </c>
    </row>
    <row r="399" spans="1:15" x14ac:dyDescent="0.3">
      <c r="A399" s="6" t="s">
        <v>411</v>
      </c>
      <c r="B399" s="2">
        <v>45197</v>
      </c>
      <c r="C399" s="6" t="s">
        <v>1611</v>
      </c>
      <c r="D399" s="6" t="s">
        <v>2403</v>
      </c>
      <c r="E399" s="9">
        <v>1</v>
      </c>
      <c r="F399" s="24">
        <v>427.06</v>
      </c>
      <c r="G399" t="s">
        <v>2731</v>
      </c>
      <c r="H399" s="6" t="s">
        <v>3066</v>
      </c>
      <c r="I399" s="6" t="s">
        <v>3071</v>
      </c>
      <c r="J399" s="6" t="s">
        <v>3472</v>
      </c>
      <c r="K399" s="9">
        <v>1</v>
      </c>
      <c r="L399" s="6" t="s">
        <v>4277</v>
      </c>
      <c r="M399" s="6" t="s">
        <v>4279</v>
      </c>
      <c r="N399" s="24">
        <v>427.06</v>
      </c>
      <c r="O399" s="22" t="str">
        <f>IF(Table2[[#This Row],[CouponCode]]="N/A", "Not Used", "Used")</f>
        <v>Used</v>
      </c>
    </row>
    <row r="400" spans="1:15" x14ac:dyDescent="0.3">
      <c r="A400" s="6" t="s">
        <v>412</v>
      </c>
      <c r="B400" s="2">
        <v>45539</v>
      </c>
      <c r="C400" s="6" t="s">
        <v>1612</v>
      </c>
      <c r="D400" s="6" t="s">
        <v>2404</v>
      </c>
      <c r="E400" s="9">
        <v>5</v>
      </c>
      <c r="F400" s="24">
        <v>53.93</v>
      </c>
      <c r="G400" t="s">
        <v>2592</v>
      </c>
      <c r="H400" s="6" t="s">
        <v>3068</v>
      </c>
      <c r="I400" s="6" t="s">
        <v>3070</v>
      </c>
      <c r="J400" s="6" t="s">
        <v>3473</v>
      </c>
      <c r="K400" s="9">
        <v>7</v>
      </c>
      <c r="L400" s="6" t="s">
        <v>4275</v>
      </c>
      <c r="M400" s="6" t="s">
        <v>4278</v>
      </c>
      <c r="N400" s="24">
        <v>269.64999999999998</v>
      </c>
      <c r="O400" s="22" t="str">
        <f>IF(Table2[[#This Row],[CouponCode]]="N/A", "Not Used", "Used")</f>
        <v>Used</v>
      </c>
    </row>
    <row r="401" spans="1:15" x14ac:dyDescent="0.3">
      <c r="A401" s="6" t="s">
        <v>413</v>
      </c>
      <c r="B401" s="2">
        <v>45298</v>
      </c>
      <c r="C401" s="6" t="s">
        <v>1613</v>
      </c>
      <c r="D401" s="6" t="s">
        <v>2405</v>
      </c>
      <c r="E401" s="9">
        <v>5</v>
      </c>
      <c r="F401" s="24">
        <v>423.93</v>
      </c>
      <c r="G401" t="s">
        <v>2732</v>
      </c>
      <c r="H401" s="6" t="s">
        <v>3065</v>
      </c>
      <c r="I401" s="6" t="s">
        <v>3072</v>
      </c>
      <c r="J401" s="6" t="s">
        <v>3474</v>
      </c>
      <c r="K401" s="9">
        <v>5</v>
      </c>
      <c r="L401" s="6" t="s">
        <v>4276</v>
      </c>
      <c r="M401" s="6" t="s">
        <v>4281</v>
      </c>
      <c r="N401" s="24">
        <v>2119.65</v>
      </c>
      <c r="O401" s="22" t="str">
        <f>IF(Table2[[#This Row],[CouponCode]]="N/A", "Not Used", "Used")</f>
        <v>Used</v>
      </c>
    </row>
    <row r="402" spans="1:15" x14ac:dyDescent="0.3">
      <c r="A402" s="6" t="s">
        <v>414</v>
      </c>
      <c r="B402" s="2">
        <v>45563</v>
      </c>
      <c r="C402" s="6" t="s">
        <v>1614</v>
      </c>
      <c r="D402" s="6" t="s">
        <v>2409</v>
      </c>
      <c r="E402" s="9">
        <v>4</v>
      </c>
      <c r="F402" s="24">
        <v>160.22</v>
      </c>
      <c r="G402" t="s">
        <v>2733</v>
      </c>
      <c r="H402" s="6" t="s">
        <v>3065</v>
      </c>
      <c r="I402" s="6" t="s">
        <v>3072</v>
      </c>
      <c r="J402" s="6" t="s">
        <v>3475</v>
      </c>
      <c r="K402" s="9">
        <v>9</v>
      </c>
      <c r="L402" s="6" t="s">
        <v>4277</v>
      </c>
      <c r="M402" s="6" t="s">
        <v>4278</v>
      </c>
      <c r="N402" s="24">
        <v>640.88</v>
      </c>
      <c r="O402" s="22" t="str">
        <f>IF(Table2[[#This Row],[CouponCode]]="N/A", "Not Used", "Used")</f>
        <v>Used</v>
      </c>
    </row>
    <row r="403" spans="1:15" x14ac:dyDescent="0.3">
      <c r="A403" s="6" t="s">
        <v>415</v>
      </c>
      <c r="B403" s="2">
        <v>45756</v>
      </c>
      <c r="C403" s="6" t="s">
        <v>1615</v>
      </c>
      <c r="D403" s="6" t="s">
        <v>2407</v>
      </c>
      <c r="E403" s="9">
        <v>1</v>
      </c>
      <c r="F403" s="24">
        <v>538.67999999999995</v>
      </c>
      <c r="G403" t="s">
        <v>2713</v>
      </c>
      <c r="H403" s="6" t="s">
        <v>3065</v>
      </c>
      <c r="I403" s="6" t="s">
        <v>3072</v>
      </c>
      <c r="J403" s="6" t="s">
        <v>3476</v>
      </c>
      <c r="K403" s="9">
        <v>6</v>
      </c>
      <c r="L403" s="6" t="s">
        <v>4283</v>
      </c>
      <c r="M403" s="6" t="s">
        <v>4279</v>
      </c>
      <c r="N403" s="24">
        <v>538.67999999999995</v>
      </c>
      <c r="O403" s="22" t="str">
        <f>IF(Table2[[#This Row],[CouponCode]]="N/A", "Not Used", "Used")</f>
        <v>Not Used</v>
      </c>
    </row>
    <row r="404" spans="1:15" x14ac:dyDescent="0.3">
      <c r="A404" s="6" t="s">
        <v>416</v>
      </c>
      <c r="B404" s="2">
        <v>45025</v>
      </c>
      <c r="C404" s="6" t="s">
        <v>1616</v>
      </c>
      <c r="D404" s="6" t="s">
        <v>2407</v>
      </c>
      <c r="E404" s="9">
        <v>5</v>
      </c>
      <c r="F404" s="24">
        <v>337.38</v>
      </c>
      <c r="G404" t="s">
        <v>2734</v>
      </c>
      <c r="H404" s="6" t="s">
        <v>3068</v>
      </c>
      <c r="I404" s="6" t="s">
        <v>3070</v>
      </c>
      <c r="J404" s="6" t="s">
        <v>3477</v>
      </c>
      <c r="K404" s="9">
        <v>5</v>
      </c>
      <c r="L404" s="6" t="s">
        <v>4283</v>
      </c>
      <c r="M404" s="6" t="s">
        <v>4279</v>
      </c>
      <c r="N404" s="24">
        <v>1686.9</v>
      </c>
      <c r="O404" s="22" t="str">
        <f>IF(Table2[[#This Row],[CouponCode]]="N/A", "Not Used", "Used")</f>
        <v>Not Used</v>
      </c>
    </row>
    <row r="405" spans="1:15" x14ac:dyDescent="0.3">
      <c r="A405" s="6" t="s">
        <v>417</v>
      </c>
      <c r="B405" s="2">
        <v>45606</v>
      </c>
      <c r="C405" s="6" t="s">
        <v>1617</v>
      </c>
      <c r="D405" s="6" t="s">
        <v>2405</v>
      </c>
      <c r="E405" s="9">
        <v>1</v>
      </c>
      <c r="F405" s="24">
        <v>620.21</v>
      </c>
      <c r="G405" t="s">
        <v>2650</v>
      </c>
      <c r="H405" s="6" t="s">
        <v>3066</v>
      </c>
      <c r="I405" s="6" t="s">
        <v>3072</v>
      </c>
      <c r="J405" s="6" t="s">
        <v>3478</v>
      </c>
      <c r="K405" s="9">
        <v>1</v>
      </c>
      <c r="L405" s="6" t="s">
        <v>4276</v>
      </c>
      <c r="M405" s="6" t="s">
        <v>4279</v>
      </c>
      <c r="N405" s="24">
        <v>620.21</v>
      </c>
      <c r="O405" s="22" t="str">
        <f>IF(Table2[[#This Row],[CouponCode]]="N/A", "Not Used", "Used")</f>
        <v>Used</v>
      </c>
    </row>
    <row r="406" spans="1:15" x14ac:dyDescent="0.3">
      <c r="A406" s="6" t="s">
        <v>418</v>
      </c>
      <c r="B406" s="2">
        <v>44994</v>
      </c>
      <c r="C406" s="6" t="s">
        <v>1618</v>
      </c>
      <c r="D406" s="6" t="s">
        <v>2403</v>
      </c>
      <c r="E406" s="9">
        <v>2</v>
      </c>
      <c r="F406" s="24">
        <v>99.1</v>
      </c>
      <c r="G406" t="s">
        <v>2473</v>
      </c>
      <c r="H406" s="6" t="s">
        <v>3069</v>
      </c>
      <c r="I406" s="6" t="s">
        <v>3073</v>
      </c>
      <c r="J406" s="6" t="s">
        <v>3479</v>
      </c>
      <c r="K406" s="9">
        <v>6</v>
      </c>
      <c r="L406" s="6" t="s">
        <v>4283</v>
      </c>
      <c r="M406" s="6" t="s">
        <v>4278</v>
      </c>
      <c r="N406" s="24">
        <v>198.2</v>
      </c>
      <c r="O406" s="22" t="str">
        <f>IF(Table2[[#This Row],[CouponCode]]="N/A", "Not Used", "Used")</f>
        <v>Not Used</v>
      </c>
    </row>
    <row r="407" spans="1:15" x14ac:dyDescent="0.3">
      <c r="A407" s="6" t="s">
        <v>419</v>
      </c>
      <c r="B407" s="2">
        <v>45683</v>
      </c>
      <c r="C407" s="6" t="s">
        <v>1619</v>
      </c>
      <c r="D407" s="6" t="s">
        <v>2403</v>
      </c>
      <c r="E407" s="9">
        <v>4</v>
      </c>
      <c r="F407" s="24">
        <v>451.97</v>
      </c>
      <c r="G407" t="s">
        <v>2715</v>
      </c>
      <c r="H407" s="6" t="s">
        <v>3066</v>
      </c>
      <c r="I407" s="6" t="s">
        <v>3071</v>
      </c>
      <c r="J407" s="6" t="s">
        <v>3480</v>
      </c>
      <c r="K407" s="9">
        <v>7</v>
      </c>
      <c r="L407" s="6" t="s">
        <v>4277</v>
      </c>
      <c r="M407" s="6" t="s">
        <v>4280</v>
      </c>
      <c r="N407" s="24">
        <v>1807.88</v>
      </c>
      <c r="O407" s="22" t="str">
        <f>IF(Table2[[#This Row],[CouponCode]]="N/A", "Not Used", "Used")</f>
        <v>Used</v>
      </c>
    </row>
    <row r="408" spans="1:15" x14ac:dyDescent="0.3">
      <c r="A408" s="6" t="s">
        <v>420</v>
      </c>
      <c r="B408" s="2">
        <v>45270</v>
      </c>
      <c r="C408" s="6" t="s">
        <v>1620</v>
      </c>
      <c r="D408" s="6" t="s">
        <v>2405</v>
      </c>
      <c r="E408" s="9">
        <v>4</v>
      </c>
      <c r="F408" s="24">
        <v>66.099999999999994</v>
      </c>
      <c r="G408" t="s">
        <v>2577</v>
      </c>
      <c r="H408" s="6" t="s">
        <v>3069</v>
      </c>
      <c r="I408" s="6" t="s">
        <v>3072</v>
      </c>
      <c r="J408" s="6" t="s">
        <v>3481</v>
      </c>
      <c r="K408" s="9">
        <v>9</v>
      </c>
      <c r="L408" s="6" t="s">
        <v>4277</v>
      </c>
      <c r="M408" s="6" t="s">
        <v>4282</v>
      </c>
      <c r="N408" s="24">
        <v>264.39999999999998</v>
      </c>
      <c r="O408" s="22" t="str">
        <f>IF(Table2[[#This Row],[CouponCode]]="N/A", "Not Used", "Used")</f>
        <v>Used</v>
      </c>
    </row>
    <row r="409" spans="1:15" x14ac:dyDescent="0.3">
      <c r="A409" s="6" t="s">
        <v>421</v>
      </c>
      <c r="B409" s="2">
        <v>45151</v>
      </c>
      <c r="C409" s="6" t="s">
        <v>1621</v>
      </c>
      <c r="D409" s="6" t="s">
        <v>2405</v>
      </c>
      <c r="E409" s="9">
        <v>4</v>
      </c>
      <c r="F409" s="24">
        <v>547.32000000000005</v>
      </c>
      <c r="G409" t="s">
        <v>2634</v>
      </c>
      <c r="H409" s="6" t="s">
        <v>3069</v>
      </c>
      <c r="I409" s="6" t="s">
        <v>3072</v>
      </c>
      <c r="J409" s="6" t="s">
        <v>3482</v>
      </c>
      <c r="K409" s="9">
        <v>8</v>
      </c>
      <c r="L409" s="6" t="s">
        <v>4276</v>
      </c>
      <c r="M409" s="6" t="s">
        <v>4278</v>
      </c>
      <c r="N409" s="24">
        <v>2189.2800000000002</v>
      </c>
      <c r="O409" s="22" t="str">
        <f>IF(Table2[[#This Row],[CouponCode]]="N/A", "Not Used", "Used")</f>
        <v>Used</v>
      </c>
    </row>
    <row r="410" spans="1:15" x14ac:dyDescent="0.3">
      <c r="A410" s="6" t="s">
        <v>422</v>
      </c>
      <c r="B410" s="2">
        <v>45658</v>
      </c>
      <c r="C410" s="6" t="s">
        <v>1622</v>
      </c>
      <c r="D410" s="6" t="s">
        <v>2407</v>
      </c>
      <c r="E410" s="9">
        <v>3</v>
      </c>
      <c r="F410" s="24">
        <v>412.53</v>
      </c>
      <c r="G410" t="s">
        <v>2735</v>
      </c>
      <c r="H410" s="6" t="s">
        <v>3066</v>
      </c>
      <c r="I410" s="6" t="s">
        <v>3074</v>
      </c>
      <c r="J410" s="6" t="s">
        <v>3483</v>
      </c>
      <c r="K410" s="9">
        <v>6</v>
      </c>
      <c r="L410" s="6" t="s">
        <v>4277</v>
      </c>
      <c r="M410" s="6" t="s">
        <v>4282</v>
      </c>
      <c r="N410" s="24">
        <v>1237.5899999999999</v>
      </c>
      <c r="O410" s="22" t="str">
        <f>IF(Table2[[#This Row],[CouponCode]]="N/A", "Not Used", "Used")</f>
        <v>Used</v>
      </c>
    </row>
    <row r="411" spans="1:15" x14ac:dyDescent="0.3">
      <c r="A411" s="6" t="s">
        <v>423</v>
      </c>
      <c r="B411" s="2">
        <v>45105</v>
      </c>
      <c r="C411" s="6" t="s">
        <v>1623</v>
      </c>
      <c r="D411" s="6" t="s">
        <v>2409</v>
      </c>
      <c r="E411" s="9">
        <v>5</v>
      </c>
      <c r="F411" s="24">
        <v>84.13</v>
      </c>
      <c r="G411" t="s">
        <v>2736</v>
      </c>
      <c r="H411" s="6" t="s">
        <v>3066</v>
      </c>
      <c r="I411" s="6" t="s">
        <v>3073</v>
      </c>
      <c r="J411" s="6" t="s">
        <v>3484</v>
      </c>
      <c r="K411" s="9">
        <v>9</v>
      </c>
      <c r="L411" s="6" t="s">
        <v>4275</v>
      </c>
      <c r="M411" s="6" t="s">
        <v>4282</v>
      </c>
      <c r="N411" s="24">
        <v>420.65</v>
      </c>
      <c r="O411" s="22" t="str">
        <f>IF(Table2[[#This Row],[CouponCode]]="N/A", "Not Used", "Used")</f>
        <v>Used</v>
      </c>
    </row>
    <row r="412" spans="1:15" x14ac:dyDescent="0.3">
      <c r="A412" s="6" t="s">
        <v>424</v>
      </c>
      <c r="B412" s="2">
        <v>45309</v>
      </c>
      <c r="C412" s="6" t="s">
        <v>1624</v>
      </c>
      <c r="D412" s="6" t="s">
        <v>2405</v>
      </c>
      <c r="E412" s="9">
        <v>2</v>
      </c>
      <c r="F412" s="24">
        <v>518.23</v>
      </c>
      <c r="G412" t="s">
        <v>2737</v>
      </c>
      <c r="H412" s="6" t="s">
        <v>3065</v>
      </c>
      <c r="I412" s="6" t="s">
        <v>3070</v>
      </c>
      <c r="J412" s="6" t="s">
        <v>3485</v>
      </c>
      <c r="K412" s="9">
        <v>5</v>
      </c>
      <c r="L412" s="6" t="s">
        <v>4283</v>
      </c>
      <c r="M412" s="6" t="s">
        <v>4280</v>
      </c>
      <c r="N412" s="24">
        <v>1036.46</v>
      </c>
      <c r="O412" s="22" t="str">
        <f>IF(Table2[[#This Row],[CouponCode]]="N/A", "Not Used", "Used")</f>
        <v>Not Used</v>
      </c>
    </row>
    <row r="413" spans="1:15" x14ac:dyDescent="0.3">
      <c r="A413" s="6" t="s">
        <v>425</v>
      </c>
      <c r="B413" s="2">
        <v>45462</v>
      </c>
      <c r="C413" s="6" t="s">
        <v>1625</v>
      </c>
      <c r="D413" s="6" t="s">
        <v>2409</v>
      </c>
      <c r="E413" s="9">
        <v>2</v>
      </c>
      <c r="F413" s="24">
        <v>39.51</v>
      </c>
      <c r="G413" t="s">
        <v>2549</v>
      </c>
      <c r="H413" s="6" t="s">
        <v>3066</v>
      </c>
      <c r="I413" s="6" t="s">
        <v>3070</v>
      </c>
      <c r="J413" s="6" t="s">
        <v>3486</v>
      </c>
      <c r="K413" s="9">
        <v>5</v>
      </c>
      <c r="L413" s="6" t="s">
        <v>4283</v>
      </c>
      <c r="M413" s="6" t="s">
        <v>4281</v>
      </c>
      <c r="N413" s="24">
        <v>79.02</v>
      </c>
      <c r="O413" s="22" t="str">
        <f>IF(Table2[[#This Row],[CouponCode]]="N/A", "Not Used", "Used")</f>
        <v>Not Used</v>
      </c>
    </row>
    <row r="414" spans="1:15" x14ac:dyDescent="0.3">
      <c r="A414" s="6" t="s">
        <v>426</v>
      </c>
      <c r="B414" s="2">
        <v>45758</v>
      </c>
      <c r="C414" s="6" t="s">
        <v>1626</v>
      </c>
      <c r="D414" s="6" t="s">
        <v>2405</v>
      </c>
      <c r="E414" s="9">
        <v>5</v>
      </c>
      <c r="F414" s="24">
        <v>133.01</v>
      </c>
      <c r="G414" t="s">
        <v>2738</v>
      </c>
      <c r="H414" s="6" t="s">
        <v>3067</v>
      </c>
      <c r="I414" s="6" t="s">
        <v>3072</v>
      </c>
      <c r="J414" s="6" t="s">
        <v>3487</v>
      </c>
      <c r="K414" s="9">
        <v>10</v>
      </c>
      <c r="L414" s="6" t="s">
        <v>4283</v>
      </c>
      <c r="M414" s="6" t="s">
        <v>4281</v>
      </c>
      <c r="N414" s="24">
        <v>665.05</v>
      </c>
      <c r="O414" s="22" t="str">
        <f>IF(Table2[[#This Row],[CouponCode]]="N/A", "Not Used", "Used")</f>
        <v>Not Used</v>
      </c>
    </row>
    <row r="415" spans="1:15" x14ac:dyDescent="0.3">
      <c r="A415" s="6" t="s">
        <v>427</v>
      </c>
      <c r="B415" s="2">
        <v>45207</v>
      </c>
      <c r="C415" s="6" t="s">
        <v>1627</v>
      </c>
      <c r="D415" s="6" t="s">
        <v>2405</v>
      </c>
      <c r="E415" s="9">
        <v>1</v>
      </c>
      <c r="F415" s="24">
        <v>118.8</v>
      </c>
      <c r="G415" t="s">
        <v>2739</v>
      </c>
      <c r="H415" s="6" t="s">
        <v>3066</v>
      </c>
      <c r="I415" s="6" t="s">
        <v>3073</v>
      </c>
      <c r="J415" s="6" t="s">
        <v>3488</v>
      </c>
      <c r="K415" s="9">
        <v>6</v>
      </c>
      <c r="L415" s="6" t="s">
        <v>4275</v>
      </c>
      <c r="M415" s="6" t="s">
        <v>4280</v>
      </c>
      <c r="N415" s="24">
        <v>118.8</v>
      </c>
      <c r="O415" s="22" t="str">
        <f>IF(Table2[[#This Row],[CouponCode]]="N/A", "Not Used", "Used")</f>
        <v>Used</v>
      </c>
    </row>
    <row r="416" spans="1:15" x14ac:dyDescent="0.3">
      <c r="A416" s="6" t="s">
        <v>428</v>
      </c>
      <c r="B416" s="2">
        <v>45781</v>
      </c>
      <c r="C416" s="6" t="s">
        <v>1628</v>
      </c>
      <c r="D416" s="6" t="s">
        <v>2409</v>
      </c>
      <c r="E416" s="9">
        <v>2</v>
      </c>
      <c r="F416" s="24">
        <v>139.57</v>
      </c>
      <c r="G416" t="s">
        <v>2740</v>
      </c>
      <c r="H416" s="6" t="s">
        <v>3069</v>
      </c>
      <c r="I416" s="6" t="s">
        <v>3073</v>
      </c>
      <c r="J416" s="6" t="s">
        <v>3489</v>
      </c>
      <c r="K416" s="9">
        <v>4</v>
      </c>
      <c r="L416" s="6" t="s">
        <v>4277</v>
      </c>
      <c r="M416" s="6" t="s">
        <v>4281</v>
      </c>
      <c r="N416" s="24">
        <v>279.14</v>
      </c>
      <c r="O416" s="22" t="str">
        <f>IF(Table2[[#This Row],[CouponCode]]="N/A", "Not Used", "Used")</f>
        <v>Used</v>
      </c>
    </row>
    <row r="417" spans="1:15" x14ac:dyDescent="0.3">
      <c r="A417" s="6" t="s">
        <v>429</v>
      </c>
      <c r="B417" s="2">
        <v>45753</v>
      </c>
      <c r="C417" s="6" t="s">
        <v>1629</v>
      </c>
      <c r="D417" s="6" t="s">
        <v>2406</v>
      </c>
      <c r="E417" s="9">
        <v>1</v>
      </c>
      <c r="F417" s="24">
        <v>184.15</v>
      </c>
      <c r="G417" t="s">
        <v>2639</v>
      </c>
      <c r="H417" s="6" t="s">
        <v>3068</v>
      </c>
      <c r="I417" s="6" t="s">
        <v>3070</v>
      </c>
      <c r="J417" s="6" t="s">
        <v>3490</v>
      </c>
      <c r="K417" s="9">
        <v>5</v>
      </c>
      <c r="L417" s="6" t="s">
        <v>4276</v>
      </c>
      <c r="M417" s="6" t="s">
        <v>4281</v>
      </c>
      <c r="N417" s="24">
        <v>184.15</v>
      </c>
      <c r="O417" s="22" t="str">
        <f>IF(Table2[[#This Row],[CouponCode]]="N/A", "Not Used", "Used")</f>
        <v>Used</v>
      </c>
    </row>
    <row r="418" spans="1:15" x14ac:dyDescent="0.3">
      <c r="A418" s="6" t="s">
        <v>430</v>
      </c>
      <c r="B418" s="2">
        <v>45125</v>
      </c>
      <c r="C418" s="6" t="s">
        <v>1630</v>
      </c>
      <c r="D418" s="6" t="s">
        <v>2408</v>
      </c>
      <c r="E418" s="9">
        <v>2</v>
      </c>
      <c r="F418" s="24">
        <v>644.04999999999995</v>
      </c>
      <c r="G418" t="s">
        <v>2741</v>
      </c>
      <c r="H418" s="6" t="s">
        <v>3068</v>
      </c>
      <c r="I418" s="6" t="s">
        <v>3071</v>
      </c>
      <c r="J418" s="6" t="s">
        <v>3491</v>
      </c>
      <c r="K418" s="9">
        <v>5</v>
      </c>
      <c r="L418" s="6" t="s">
        <v>4277</v>
      </c>
      <c r="M418" s="6" t="s">
        <v>4279</v>
      </c>
      <c r="N418" s="24">
        <v>1288.0999999999999</v>
      </c>
      <c r="O418" s="22" t="str">
        <f>IF(Table2[[#This Row],[CouponCode]]="N/A", "Not Used", "Used")</f>
        <v>Used</v>
      </c>
    </row>
    <row r="419" spans="1:15" x14ac:dyDescent="0.3">
      <c r="A419" s="6" t="s">
        <v>431</v>
      </c>
      <c r="B419" s="2">
        <v>45223</v>
      </c>
      <c r="C419" s="6" t="s">
        <v>1631</v>
      </c>
      <c r="D419" s="6" t="s">
        <v>2408</v>
      </c>
      <c r="E419" s="9">
        <v>5</v>
      </c>
      <c r="F419" s="24">
        <v>55.41</v>
      </c>
      <c r="G419" t="s">
        <v>2742</v>
      </c>
      <c r="H419" s="6" t="s">
        <v>3066</v>
      </c>
      <c r="I419" s="6" t="s">
        <v>3071</v>
      </c>
      <c r="J419" s="6" t="s">
        <v>3492</v>
      </c>
      <c r="K419" s="9">
        <v>5</v>
      </c>
      <c r="L419" s="6" t="s">
        <v>4283</v>
      </c>
      <c r="M419" s="6" t="s">
        <v>4282</v>
      </c>
      <c r="N419" s="24">
        <v>277.05</v>
      </c>
      <c r="O419" s="22" t="str">
        <f>IF(Table2[[#This Row],[CouponCode]]="N/A", "Not Used", "Used")</f>
        <v>Not Used</v>
      </c>
    </row>
    <row r="420" spans="1:15" x14ac:dyDescent="0.3">
      <c r="A420" s="6" t="s">
        <v>432</v>
      </c>
      <c r="B420" s="2">
        <v>44937</v>
      </c>
      <c r="C420" s="6" t="s">
        <v>1632</v>
      </c>
      <c r="D420" s="6" t="s">
        <v>2407</v>
      </c>
      <c r="E420" s="9">
        <v>1</v>
      </c>
      <c r="F420" s="24">
        <v>310.93</v>
      </c>
      <c r="G420" t="s">
        <v>2743</v>
      </c>
      <c r="H420" s="6" t="s">
        <v>3066</v>
      </c>
      <c r="I420" s="6" t="s">
        <v>3071</v>
      </c>
      <c r="J420" s="6" t="s">
        <v>3493</v>
      </c>
      <c r="K420" s="9">
        <v>3</v>
      </c>
      <c r="L420" s="6" t="s">
        <v>4283</v>
      </c>
      <c r="M420" s="6" t="s">
        <v>4281</v>
      </c>
      <c r="N420" s="24">
        <v>310.93</v>
      </c>
      <c r="O420" s="22" t="str">
        <f>IF(Table2[[#This Row],[CouponCode]]="N/A", "Not Used", "Used")</f>
        <v>Not Used</v>
      </c>
    </row>
    <row r="421" spans="1:15" x14ac:dyDescent="0.3">
      <c r="A421" s="6" t="s">
        <v>433</v>
      </c>
      <c r="B421" s="2">
        <v>45399</v>
      </c>
      <c r="C421" s="6" t="s">
        <v>1633</v>
      </c>
      <c r="D421" s="6" t="s">
        <v>2405</v>
      </c>
      <c r="E421" s="9">
        <v>2</v>
      </c>
      <c r="F421" s="24">
        <v>216.66</v>
      </c>
      <c r="G421" t="s">
        <v>2701</v>
      </c>
      <c r="H421" s="6" t="s">
        <v>3065</v>
      </c>
      <c r="I421" s="6" t="s">
        <v>3074</v>
      </c>
      <c r="J421" s="6" t="s">
        <v>3494</v>
      </c>
      <c r="K421" s="9">
        <v>6</v>
      </c>
      <c r="L421" s="6" t="s">
        <v>4276</v>
      </c>
      <c r="M421" s="6" t="s">
        <v>4278</v>
      </c>
      <c r="N421" s="24">
        <v>433.32</v>
      </c>
      <c r="O421" s="22" t="str">
        <f>IF(Table2[[#This Row],[CouponCode]]="N/A", "Not Used", "Used")</f>
        <v>Used</v>
      </c>
    </row>
    <row r="422" spans="1:15" x14ac:dyDescent="0.3">
      <c r="A422" s="6" t="s">
        <v>434</v>
      </c>
      <c r="B422" s="2">
        <v>45625</v>
      </c>
      <c r="C422" s="6" t="s">
        <v>1634</v>
      </c>
      <c r="D422" s="6" t="s">
        <v>2404</v>
      </c>
      <c r="E422" s="9">
        <v>1</v>
      </c>
      <c r="F422" s="24">
        <v>452.7</v>
      </c>
      <c r="G422" t="s">
        <v>2744</v>
      </c>
      <c r="H422" s="6" t="s">
        <v>3065</v>
      </c>
      <c r="I422" s="6" t="s">
        <v>3070</v>
      </c>
      <c r="J422" s="6" t="s">
        <v>3495</v>
      </c>
      <c r="K422" s="9">
        <v>5</v>
      </c>
      <c r="L422" s="6" t="s">
        <v>4276</v>
      </c>
      <c r="M422" s="6" t="s">
        <v>4278</v>
      </c>
      <c r="N422" s="24">
        <v>452.7</v>
      </c>
      <c r="O422" s="22" t="str">
        <f>IF(Table2[[#This Row],[CouponCode]]="N/A", "Not Used", "Used")</f>
        <v>Used</v>
      </c>
    </row>
    <row r="423" spans="1:15" x14ac:dyDescent="0.3">
      <c r="A423" s="6" t="s">
        <v>435</v>
      </c>
      <c r="B423" s="2">
        <v>45214</v>
      </c>
      <c r="C423" s="6" t="s">
        <v>1635</v>
      </c>
      <c r="D423" s="6" t="s">
        <v>2406</v>
      </c>
      <c r="E423" s="9">
        <v>2</v>
      </c>
      <c r="F423" s="24">
        <v>288.20999999999998</v>
      </c>
      <c r="G423" t="s">
        <v>2745</v>
      </c>
      <c r="H423" s="6" t="s">
        <v>3065</v>
      </c>
      <c r="I423" s="6" t="s">
        <v>3071</v>
      </c>
      <c r="J423" s="6" t="s">
        <v>3496</v>
      </c>
      <c r="K423" s="9">
        <v>5</v>
      </c>
      <c r="L423" s="6" t="s">
        <v>4283</v>
      </c>
      <c r="M423" s="6" t="s">
        <v>4280</v>
      </c>
      <c r="N423" s="24">
        <v>576.41999999999996</v>
      </c>
      <c r="O423" s="22" t="str">
        <f>IF(Table2[[#This Row],[CouponCode]]="N/A", "Not Used", "Used")</f>
        <v>Not Used</v>
      </c>
    </row>
    <row r="424" spans="1:15" x14ac:dyDescent="0.3">
      <c r="A424" s="6" t="s">
        <v>436</v>
      </c>
      <c r="B424" s="2">
        <v>45082</v>
      </c>
      <c r="C424" s="6" t="s">
        <v>1636</v>
      </c>
      <c r="D424" s="6" t="s">
        <v>2404</v>
      </c>
      <c r="E424" s="9">
        <v>4</v>
      </c>
      <c r="F424" s="24">
        <v>206.6</v>
      </c>
      <c r="G424" t="s">
        <v>2426</v>
      </c>
      <c r="H424" s="6" t="s">
        <v>3068</v>
      </c>
      <c r="I424" s="6" t="s">
        <v>3072</v>
      </c>
      <c r="J424" s="6" t="s">
        <v>3497</v>
      </c>
      <c r="K424" s="9">
        <v>6</v>
      </c>
      <c r="L424" s="6" t="s">
        <v>4277</v>
      </c>
      <c r="M424" s="6" t="s">
        <v>4279</v>
      </c>
      <c r="N424" s="24">
        <v>826.4</v>
      </c>
      <c r="O424" s="22" t="str">
        <f>IF(Table2[[#This Row],[CouponCode]]="N/A", "Not Used", "Used")</f>
        <v>Used</v>
      </c>
    </row>
    <row r="425" spans="1:15" x14ac:dyDescent="0.3">
      <c r="A425" s="6" t="s">
        <v>437</v>
      </c>
      <c r="B425" s="2">
        <v>45493</v>
      </c>
      <c r="C425" s="6" t="s">
        <v>1637</v>
      </c>
      <c r="D425" s="6" t="s">
        <v>2407</v>
      </c>
      <c r="E425" s="9">
        <v>4</v>
      </c>
      <c r="F425" s="24">
        <v>685.2</v>
      </c>
      <c r="G425" t="s">
        <v>2651</v>
      </c>
      <c r="H425" s="6" t="s">
        <v>3068</v>
      </c>
      <c r="I425" s="6" t="s">
        <v>3071</v>
      </c>
      <c r="J425" s="6" t="s">
        <v>3498</v>
      </c>
      <c r="K425" s="9">
        <v>6</v>
      </c>
      <c r="L425" s="6" t="s">
        <v>4277</v>
      </c>
      <c r="M425" s="6" t="s">
        <v>4282</v>
      </c>
      <c r="N425" s="24">
        <v>2740.8</v>
      </c>
      <c r="O425" s="22" t="str">
        <f>IF(Table2[[#This Row],[CouponCode]]="N/A", "Not Used", "Used")</f>
        <v>Used</v>
      </c>
    </row>
    <row r="426" spans="1:15" x14ac:dyDescent="0.3">
      <c r="A426" s="6" t="s">
        <v>438</v>
      </c>
      <c r="B426" s="2">
        <v>45028</v>
      </c>
      <c r="C426" s="6" t="s">
        <v>1638</v>
      </c>
      <c r="D426" s="6" t="s">
        <v>2406</v>
      </c>
      <c r="E426" s="9">
        <v>5</v>
      </c>
      <c r="F426" s="24">
        <v>22.94</v>
      </c>
      <c r="G426" t="s">
        <v>2678</v>
      </c>
      <c r="H426" s="6" t="s">
        <v>3069</v>
      </c>
      <c r="I426" s="6" t="s">
        <v>3074</v>
      </c>
      <c r="J426" s="6" t="s">
        <v>3499</v>
      </c>
      <c r="K426" s="9">
        <v>10</v>
      </c>
      <c r="L426" s="6" t="s">
        <v>4283</v>
      </c>
      <c r="M426" s="6" t="s">
        <v>4280</v>
      </c>
      <c r="N426" s="24">
        <v>114.7</v>
      </c>
      <c r="O426" s="22" t="str">
        <f>IF(Table2[[#This Row],[CouponCode]]="N/A", "Not Used", "Used")</f>
        <v>Not Used</v>
      </c>
    </row>
    <row r="427" spans="1:15" x14ac:dyDescent="0.3">
      <c r="A427" s="6" t="s">
        <v>439</v>
      </c>
      <c r="B427" s="2">
        <v>44994</v>
      </c>
      <c r="C427" s="6" t="s">
        <v>1639</v>
      </c>
      <c r="D427" s="6" t="s">
        <v>2408</v>
      </c>
      <c r="E427" s="9">
        <v>2</v>
      </c>
      <c r="F427" s="24">
        <v>301.88</v>
      </c>
      <c r="G427" t="s">
        <v>2746</v>
      </c>
      <c r="H427" s="6" t="s">
        <v>3068</v>
      </c>
      <c r="I427" s="6" t="s">
        <v>3072</v>
      </c>
      <c r="J427" s="6" t="s">
        <v>3500</v>
      </c>
      <c r="K427" s="9">
        <v>5</v>
      </c>
      <c r="L427" s="6" t="s">
        <v>4277</v>
      </c>
      <c r="M427" s="6" t="s">
        <v>4280</v>
      </c>
      <c r="N427" s="24">
        <v>603.76</v>
      </c>
      <c r="O427" s="22" t="str">
        <f>IF(Table2[[#This Row],[CouponCode]]="N/A", "Not Used", "Used")</f>
        <v>Used</v>
      </c>
    </row>
    <row r="428" spans="1:15" x14ac:dyDescent="0.3">
      <c r="A428" s="6" t="s">
        <v>440</v>
      </c>
      <c r="B428" s="2">
        <v>45732</v>
      </c>
      <c r="C428" s="6" t="s">
        <v>1640</v>
      </c>
      <c r="D428" s="6" t="s">
        <v>2403</v>
      </c>
      <c r="E428" s="9">
        <v>5</v>
      </c>
      <c r="F428" s="24">
        <v>57.45</v>
      </c>
      <c r="G428" t="s">
        <v>2747</v>
      </c>
      <c r="H428" s="6" t="s">
        <v>3069</v>
      </c>
      <c r="I428" s="6" t="s">
        <v>3071</v>
      </c>
      <c r="J428" s="6" t="s">
        <v>3501</v>
      </c>
      <c r="K428" s="9">
        <v>10</v>
      </c>
      <c r="L428" s="6" t="s">
        <v>4283</v>
      </c>
      <c r="M428" s="6" t="s">
        <v>4281</v>
      </c>
      <c r="N428" s="24">
        <v>287.25</v>
      </c>
      <c r="O428" s="22" t="str">
        <f>IF(Table2[[#This Row],[CouponCode]]="N/A", "Not Used", "Used")</f>
        <v>Not Used</v>
      </c>
    </row>
    <row r="429" spans="1:15" x14ac:dyDescent="0.3">
      <c r="A429" s="6" t="s">
        <v>441</v>
      </c>
      <c r="B429" s="2">
        <v>45644</v>
      </c>
      <c r="C429" s="6" t="s">
        <v>1641</v>
      </c>
      <c r="D429" s="6" t="s">
        <v>2409</v>
      </c>
      <c r="E429" s="9">
        <v>1</v>
      </c>
      <c r="F429" s="24">
        <v>161.24</v>
      </c>
      <c r="G429" t="s">
        <v>2748</v>
      </c>
      <c r="H429" s="6" t="s">
        <v>3067</v>
      </c>
      <c r="I429" s="6" t="s">
        <v>3074</v>
      </c>
      <c r="J429" s="6" t="s">
        <v>3502</v>
      </c>
      <c r="K429" s="9">
        <v>3</v>
      </c>
      <c r="L429" s="6" t="s">
        <v>4277</v>
      </c>
      <c r="M429" s="6" t="s">
        <v>4278</v>
      </c>
      <c r="N429" s="24">
        <v>161.24</v>
      </c>
      <c r="O429" s="22" t="str">
        <f>IF(Table2[[#This Row],[CouponCode]]="N/A", "Not Used", "Used")</f>
        <v>Used</v>
      </c>
    </row>
    <row r="430" spans="1:15" x14ac:dyDescent="0.3">
      <c r="A430" s="6" t="s">
        <v>442</v>
      </c>
      <c r="B430" s="2">
        <v>45622</v>
      </c>
      <c r="C430" s="6" t="s">
        <v>1642</v>
      </c>
      <c r="D430" s="6" t="s">
        <v>2406</v>
      </c>
      <c r="E430" s="9">
        <v>4</v>
      </c>
      <c r="F430" s="24">
        <v>262.58</v>
      </c>
      <c r="G430" t="s">
        <v>2440</v>
      </c>
      <c r="H430" s="6" t="s">
        <v>3066</v>
      </c>
      <c r="I430" s="6" t="s">
        <v>3071</v>
      </c>
      <c r="J430" s="6" t="s">
        <v>3503</v>
      </c>
      <c r="K430" s="9">
        <v>8</v>
      </c>
      <c r="L430" s="6" t="s">
        <v>4277</v>
      </c>
      <c r="M430" s="6" t="s">
        <v>4280</v>
      </c>
      <c r="N430" s="24">
        <v>1050.32</v>
      </c>
      <c r="O430" s="22" t="str">
        <f>IF(Table2[[#This Row],[CouponCode]]="N/A", "Not Used", "Used")</f>
        <v>Used</v>
      </c>
    </row>
    <row r="431" spans="1:15" x14ac:dyDescent="0.3">
      <c r="A431" s="6" t="s">
        <v>443</v>
      </c>
      <c r="B431" s="2">
        <v>45645</v>
      </c>
      <c r="C431" s="6" t="s">
        <v>1643</v>
      </c>
      <c r="D431" s="6" t="s">
        <v>2407</v>
      </c>
      <c r="E431" s="9">
        <v>4</v>
      </c>
      <c r="F431" s="24">
        <v>515.19000000000005</v>
      </c>
      <c r="G431" t="s">
        <v>2511</v>
      </c>
      <c r="H431" s="6" t="s">
        <v>3067</v>
      </c>
      <c r="I431" s="6" t="s">
        <v>3074</v>
      </c>
      <c r="J431" s="6" t="s">
        <v>3504</v>
      </c>
      <c r="K431" s="9">
        <v>9</v>
      </c>
      <c r="L431" s="6" t="s">
        <v>4275</v>
      </c>
      <c r="M431" s="6" t="s">
        <v>4281</v>
      </c>
      <c r="N431" s="24">
        <v>2060.7600000000002</v>
      </c>
      <c r="O431" s="22" t="str">
        <f>IF(Table2[[#This Row],[CouponCode]]="N/A", "Not Used", "Used")</f>
        <v>Used</v>
      </c>
    </row>
    <row r="432" spans="1:15" x14ac:dyDescent="0.3">
      <c r="A432" s="6" t="s">
        <v>444</v>
      </c>
      <c r="B432" s="2">
        <v>45084</v>
      </c>
      <c r="C432" s="6" t="s">
        <v>1644</v>
      </c>
      <c r="D432" s="6" t="s">
        <v>2404</v>
      </c>
      <c r="E432" s="9">
        <v>1</v>
      </c>
      <c r="F432" s="24">
        <v>450.07</v>
      </c>
      <c r="G432" t="s">
        <v>2749</v>
      </c>
      <c r="H432" s="6" t="s">
        <v>3068</v>
      </c>
      <c r="I432" s="6" t="s">
        <v>3070</v>
      </c>
      <c r="J432" s="6" t="s">
        <v>3505</v>
      </c>
      <c r="K432" s="9">
        <v>6</v>
      </c>
      <c r="L432" s="6" t="s">
        <v>4276</v>
      </c>
      <c r="M432" s="6" t="s">
        <v>4282</v>
      </c>
      <c r="N432" s="24">
        <v>450.07</v>
      </c>
      <c r="O432" s="22" t="str">
        <f>IF(Table2[[#This Row],[CouponCode]]="N/A", "Not Used", "Used")</f>
        <v>Used</v>
      </c>
    </row>
    <row r="433" spans="1:15" x14ac:dyDescent="0.3">
      <c r="A433" s="6" t="s">
        <v>445</v>
      </c>
      <c r="B433" s="2">
        <v>45571</v>
      </c>
      <c r="C433" s="6" t="s">
        <v>1645</v>
      </c>
      <c r="D433" s="6" t="s">
        <v>2407</v>
      </c>
      <c r="E433" s="9">
        <v>1</v>
      </c>
      <c r="F433" s="24">
        <v>52.54</v>
      </c>
      <c r="G433" t="s">
        <v>2553</v>
      </c>
      <c r="H433" s="6" t="s">
        <v>3065</v>
      </c>
      <c r="I433" s="6" t="s">
        <v>3071</v>
      </c>
      <c r="J433" s="6" t="s">
        <v>3506</v>
      </c>
      <c r="K433" s="9">
        <v>6</v>
      </c>
      <c r="L433" s="6" t="s">
        <v>4277</v>
      </c>
      <c r="M433" s="6" t="s">
        <v>4281</v>
      </c>
      <c r="N433" s="24">
        <v>52.54</v>
      </c>
      <c r="O433" s="22" t="str">
        <f>IF(Table2[[#This Row],[CouponCode]]="N/A", "Not Used", "Used")</f>
        <v>Used</v>
      </c>
    </row>
    <row r="434" spans="1:15" x14ac:dyDescent="0.3">
      <c r="A434" s="6" t="s">
        <v>446</v>
      </c>
      <c r="B434" s="2">
        <v>45173</v>
      </c>
      <c r="C434" s="6" t="s">
        <v>1646</v>
      </c>
      <c r="D434" s="6" t="s">
        <v>2405</v>
      </c>
      <c r="E434" s="9">
        <v>2</v>
      </c>
      <c r="F434" s="24">
        <v>424.32</v>
      </c>
      <c r="G434" t="s">
        <v>2750</v>
      </c>
      <c r="H434" s="6" t="s">
        <v>3067</v>
      </c>
      <c r="I434" s="6" t="s">
        <v>3072</v>
      </c>
      <c r="J434" s="6" t="s">
        <v>3507</v>
      </c>
      <c r="K434" s="9">
        <v>6</v>
      </c>
      <c r="L434" s="6" t="s">
        <v>4283</v>
      </c>
      <c r="M434" s="6" t="s">
        <v>4279</v>
      </c>
      <c r="N434" s="24">
        <v>848.64</v>
      </c>
      <c r="O434" s="22" t="str">
        <f>IF(Table2[[#This Row],[CouponCode]]="N/A", "Not Used", "Used")</f>
        <v>Not Used</v>
      </c>
    </row>
    <row r="435" spans="1:15" x14ac:dyDescent="0.3">
      <c r="A435" s="6" t="s">
        <v>447</v>
      </c>
      <c r="B435" s="2">
        <v>45164</v>
      </c>
      <c r="C435" s="6" t="s">
        <v>1647</v>
      </c>
      <c r="D435" s="6" t="s">
        <v>2403</v>
      </c>
      <c r="E435" s="9">
        <v>3</v>
      </c>
      <c r="F435" s="24">
        <v>631.64</v>
      </c>
      <c r="G435" t="s">
        <v>2624</v>
      </c>
      <c r="H435" s="6" t="s">
        <v>3067</v>
      </c>
      <c r="I435" s="6" t="s">
        <v>3072</v>
      </c>
      <c r="J435" s="6" t="s">
        <v>3508</v>
      </c>
      <c r="K435" s="9">
        <v>3</v>
      </c>
      <c r="L435" s="6" t="s">
        <v>4276</v>
      </c>
      <c r="M435" s="6" t="s">
        <v>4281</v>
      </c>
      <c r="N435" s="24">
        <v>1894.92</v>
      </c>
      <c r="O435" s="22" t="str">
        <f>IF(Table2[[#This Row],[CouponCode]]="N/A", "Not Used", "Used")</f>
        <v>Used</v>
      </c>
    </row>
    <row r="436" spans="1:15" x14ac:dyDescent="0.3">
      <c r="A436" s="6" t="s">
        <v>448</v>
      </c>
      <c r="B436" s="2">
        <v>45221</v>
      </c>
      <c r="C436" s="6" t="s">
        <v>1648</v>
      </c>
      <c r="D436" s="6" t="s">
        <v>2407</v>
      </c>
      <c r="E436" s="9">
        <v>5</v>
      </c>
      <c r="F436" s="24">
        <v>327.68</v>
      </c>
      <c r="G436" t="s">
        <v>2475</v>
      </c>
      <c r="H436" s="6" t="s">
        <v>3067</v>
      </c>
      <c r="I436" s="6" t="s">
        <v>3072</v>
      </c>
      <c r="J436" s="6" t="s">
        <v>3509</v>
      </c>
      <c r="K436" s="9">
        <v>6</v>
      </c>
      <c r="L436" s="6" t="s">
        <v>4283</v>
      </c>
      <c r="M436" s="6" t="s">
        <v>4281</v>
      </c>
      <c r="N436" s="24">
        <v>1638.4</v>
      </c>
      <c r="O436" s="22" t="str">
        <f>IF(Table2[[#This Row],[CouponCode]]="N/A", "Not Used", "Used")</f>
        <v>Not Used</v>
      </c>
    </row>
    <row r="437" spans="1:15" x14ac:dyDescent="0.3">
      <c r="A437" s="6" t="s">
        <v>449</v>
      </c>
      <c r="B437" s="2">
        <v>45073</v>
      </c>
      <c r="C437" s="6" t="s">
        <v>1649</v>
      </c>
      <c r="D437" s="6" t="s">
        <v>2407</v>
      </c>
      <c r="E437" s="9">
        <v>1</v>
      </c>
      <c r="F437" s="24">
        <v>414.47</v>
      </c>
      <c r="G437" t="s">
        <v>2677</v>
      </c>
      <c r="H437" s="6" t="s">
        <v>3065</v>
      </c>
      <c r="I437" s="6" t="s">
        <v>3072</v>
      </c>
      <c r="J437" s="6" t="s">
        <v>3510</v>
      </c>
      <c r="K437" s="9">
        <v>3</v>
      </c>
      <c r="L437" s="6" t="s">
        <v>4276</v>
      </c>
      <c r="M437" s="6" t="s">
        <v>4278</v>
      </c>
      <c r="N437" s="24">
        <v>414.47</v>
      </c>
      <c r="O437" s="22" t="str">
        <f>IF(Table2[[#This Row],[CouponCode]]="N/A", "Not Used", "Used")</f>
        <v>Used</v>
      </c>
    </row>
    <row r="438" spans="1:15" x14ac:dyDescent="0.3">
      <c r="A438" s="6" t="s">
        <v>450</v>
      </c>
      <c r="B438" s="2">
        <v>44968</v>
      </c>
      <c r="C438" s="6" t="s">
        <v>1650</v>
      </c>
      <c r="D438" s="6" t="s">
        <v>2408</v>
      </c>
      <c r="E438" s="9">
        <v>4</v>
      </c>
      <c r="F438" s="24">
        <v>221.33</v>
      </c>
      <c r="G438" t="s">
        <v>2553</v>
      </c>
      <c r="H438" s="6" t="s">
        <v>3066</v>
      </c>
      <c r="I438" s="6" t="s">
        <v>3074</v>
      </c>
      <c r="J438" s="6" t="s">
        <v>3511</v>
      </c>
      <c r="K438" s="9">
        <v>5</v>
      </c>
      <c r="L438" s="6" t="s">
        <v>4283</v>
      </c>
      <c r="M438" s="6" t="s">
        <v>4282</v>
      </c>
      <c r="N438" s="24">
        <v>885.32</v>
      </c>
      <c r="O438" s="22" t="str">
        <f>IF(Table2[[#This Row],[CouponCode]]="N/A", "Not Used", "Used")</f>
        <v>Not Used</v>
      </c>
    </row>
    <row r="439" spans="1:15" x14ac:dyDescent="0.3">
      <c r="A439" s="6" t="s">
        <v>451</v>
      </c>
      <c r="B439" s="2">
        <v>45400</v>
      </c>
      <c r="C439" s="6" t="s">
        <v>1651</v>
      </c>
      <c r="D439" s="6" t="s">
        <v>2404</v>
      </c>
      <c r="E439" s="9">
        <v>1</v>
      </c>
      <c r="F439" s="24">
        <v>512.39</v>
      </c>
      <c r="G439" t="s">
        <v>2751</v>
      </c>
      <c r="H439" s="6" t="s">
        <v>3066</v>
      </c>
      <c r="I439" s="6" t="s">
        <v>3073</v>
      </c>
      <c r="J439" s="6" t="s">
        <v>3512</v>
      </c>
      <c r="K439" s="9">
        <v>2</v>
      </c>
      <c r="L439" s="6" t="s">
        <v>4276</v>
      </c>
      <c r="M439" s="6" t="s">
        <v>4278</v>
      </c>
      <c r="N439" s="24">
        <v>512.39</v>
      </c>
      <c r="O439" s="22" t="str">
        <f>IF(Table2[[#This Row],[CouponCode]]="N/A", "Not Used", "Used")</f>
        <v>Used</v>
      </c>
    </row>
    <row r="440" spans="1:15" x14ac:dyDescent="0.3">
      <c r="A440" s="6" t="s">
        <v>452</v>
      </c>
      <c r="B440" s="2">
        <v>45660</v>
      </c>
      <c r="C440" s="6" t="s">
        <v>1652</v>
      </c>
      <c r="D440" s="6" t="s">
        <v>2405</v>
      </c>
      <c r="E440" s="9">
        <v>3</v>
      </c>
      <c r="F440" s="24">
        <v>459.34</v>
      </c>
      <c r="G440" t="s">
        <v>2752</v>
      </c>
      <c r="H440" s="6" t="s">
        <v>3068</v>
      </c>
      <c r="I440" s="6" t="s">
        <v>3074</v>
      </c>
      <c r="J440" s="6" t="s">
        <v>3513</v>
      </c>
      <c r="K440" s="9">
        <v>3</v>
      </c>
      <c r="L440" s="6" t="s">
        <v>4275</v>
      </c>
      <c r="M440" s="6" t="s">
        <v>4278</v>
      </c>
      <c r="N440" s="24">
        <v>1378.02</v>
      </c>
      <c r="O440" s="22" t="str">
        <f>IF(Table2[[#This Row],[CouponCode]]="N/A", "Not Used", "Used")</f>
        <v>Used</v>
      </c>
    </row>
    <row r="441" spans="1:15" x14ac:dyDescent="0.3">
      <c r="A441" s="6" t="s">
        <v>453</v>
      </c>
      <c r="B441" s="2">
        <v>45543</v>
      </c>
      <c r="C441" s="6" t="s">
        <v>1653</v>
      </c>
      <c r="D441" s="6" t="s">
        <v>2405</v>
      </c>
      <c r="E441" s="9">
        <v>1</v>
      </c>
      <c r="F441" s="24">
        <v>146.32</v>
      </c>
      <c r="G441" t="s">
        <v>2753</v>
      </c>
      <c r="H441" s="6" t="s">
        <v>3066</v>
      </c>
      <c r="I441" s="6" t="s">
        <v>3070</v>
      </c>
      <c r="J441" s="6" t="s">
        <v>3514</v>
      </c>
      <c r="K441" s="9">
        <v>4</v>
      </c>
      <c r="L441" s="6" t="s">
        <v>4277</v>
      </c>
      <c r="M441" s="6" t="s">
        <v>4281</v>
      </c>
      <c r="N441" s="24">
        <v>146.32</v>
      </c>
      <c r="O441" s="22" t="str">
        <f>IF(Table2[[#This Row],[CouponCode]]="N/A", "Not Used", "Used")</f>
        <v>Used</v>
      </c>
    </row>
    <row r="442" spans="1:15" x14ac:dyDescent="0.3">
      <c r="A442" s="6" t="s">
        <v>454</v>
      </c>
      <c r="B442" s="2">
        <v>45601</v>
      </c>
      <c r="C442" s="6" t="s">
        <v>1654</v>
      </c>
      <c r="D442" s="6" t="s">
        <v>2409</v>
      </c>
      <c r="E442" s="9">
        <v>4</v>
      </c>
      <c r="F442" s="24">
        <v>83.6</v>
      </c>
      <c r="G442" t="s">
        <v>2674</v>
      </c>
      <c r="H442" s="6" t="s">
        <v>3065</v>
      </c>
      <c r="I442" s="6" t="s">
        <v>3074</v>
      </c>
      <c r="J442" s="6" t="s">
        <v>3515</v>
      </c>
      <c r="K442" s="9">
        <v>4</v>
      </c>
      <c r="L442" s="6" t="s">
        <v>4275</v>
      </c>
      <c r="M442" s="6" t="s">
        <v>4281</v>
      </c>
      <c r="N442" s="24">
        <v>334.4</v>
      </c>
      <c r="O442" s="22" t="str">
        <f>IF(Table2[[#This Row],[CouponCode]]="N/A", "Not Used", "Used")</f>
        <v>Used</v>
      </c>
    </row>
    <row r="443" spans="1:15" x14ac:dyDescent="0.3">
      <c r="A443" s="6" t="s">
        <v>455</v>
      </c>
      <c r="B443" s="2">
        <v>45273</v>
      </c>
      <c r="C443" s="6" t="s">
        <v>1655</v>
      </c>
      <c r="D443" s="6" t="s">
        <v>2407</v>
      </c>
      <c r="E443" s="9">
        <v>2</v>
      </c>
      <c r="F443" s="24">
        <v>328.54</v>
      </c>
      <c r="G443" t="s">
        <v>2754</v>
      </c>
      <c r="H443" s="6" t="s">
        <v>3068</v>
      </c>
      <c r="I443" s="6" t="s">
        <v>3072</v>
      </c>
      <c r="J443" s="6" t="s">
        <v>3516</v>
      </c>
      <c r="K443" s="9">
        <v>6</v>
      </c>
      <c r="L443" s="6" t="s">
        <v>4276</v>
      </c>
      <c r="M443" s="6" t="s">
        <v>4280</v>
      </c>
      <c r="N443" s="24">
        <v>657.08</v>
      </c>
      <c r="O443" s="22" t="str">
        <f>IF(Table2[[#This Row],[CouponCode]]="N/A", "Not Used", "Used")</f>
        <v>Used</v>
      </c>
    </row>
    <row r="444" spans="1:15" x14ac:dyDescent="0.3">
      <c r="A444" s="6" t="s">
        <v>456</v>
      </c>
      <c r="B444" s="2">
        <v>45418</v>
      </c>
      <c r="C444" s="6" t="s">
        <v>1656</v>
      </c>
      <c r="D444" s="6" t="s">
        <v>2406</v>
      </c>
      <c r="E444" s="9">
        <v>5</v>
      </c>
      <c r="F444" s="24">
        <v>314.94</v>
      </c>
      <c r="G444" t="s">
        <v>2755</v>
      </c>
      <c r="H444" s="6" t="s">
        <v>3069</v>
      </c>
      <c r="I444" s="6" t="s">
        <v>3074</v>
      </c>
      <c r="J444" s="6" t="s">
        <v>3517</v>
      </c>
      <c r="K444" s="9">
        <v>8</v>
      </c>
      <c r="L444" s="6" t="s">
        <v>4275</v>
      </c>
      <c r="M444" s="6" t="s">
        <v>4278</v>
      </c>
      <c r="N444" s="24">
        <v>1574.7</v>
      </c>
      <c r="O444" s="22" t="str">
        <f>IF(Table2[[#This Row],[CouponCode]]="N/A", "Not Used", "Used")</f>
        <v>Used</v>
      </c>
    </row>
    <row r="445" spans="1:15" x14ac:dyDescent="0.3">
      <c r="A445" s="6" t="s">
        <v>457</v>
      </c>
      <c r="B445" s="2">
        <v>45426</v>
      </c>
      <c r="C445" s="6" t="s">
        <v>1657</v>
      </c>
      <c r="D445" s="6" t="s">
        <v>2406</v>
      </c>
      <c r="E445" s="9">
        <v>2</v>
      </c>
      <c r="F445" s="24">
        <v>69.64</v>
      </c>
      <c r="G445" t="s">
        <v>2469</v>
      </c>
      <c r="H445" s="6" t="s">
        <v>3069</v>
      </c>
      <c r="I445" s="6" t="s">
        <v>3072</v>
      </c>
      <c r="J445" s="6" t="s">
        <v>3518</v>
      </c>
      <c r="K445" s="9">
        <v>6</v>
      </c>
      <c r="L445" s="6" t="s">
        <v>4283</v>
      </c>
      <c r="M445" s="6" t="s">
        <v>4281</v>
      </c>
      <c r="N445" s="24">
        <v>139.28</v>
      </c>
      <c r="O445" s="22" t="str">
        <f>IF(Table2[[#This Row],[CouponCode]]="N/A", "Not Used", "Used")</f>
        <v>Not Used</v>
      </c>
    </row>
    <row r="446" spans="1:15" x14ac:dyDescent="0.3">
      <c r="A446" s="6" t="s">
        <v>458</v>
      </c>
      <c r="B446" s="2">
        <v>45451</v>
      </c>
      <c r="C446" s="6" t="s">
        <v>1658</v>
      </c>
      <c r="D446" s="6" t="s">
        <v>2407</v>
      </c>
      <c r="E446" s="9">
        <v>1</v>
      </c>
      <c r="F446" s="24">
        <v>135.16999999999999</v>
      </c>
      <c r="G446" t="s">
        <v>2756</v>
      </c>
      <c r="H446" s="6" t="s">
        <v>3066</v>
      </c>
      <c r="I446" s="6" t="s">
        <v>3070</v>
      </c>
      <c r="J446" s="6" t="s">
        <v>3519</v>
      </c>
      <c r="K446" s="9">
        <v>6</v>
      </c>
      <c r="L446" s="6" t="s">
        <v>4276</v>
      </c>
      <c r="M446" s="6" t="s">
        <v>4278</v>
      </c>
      <c r="N446" s="24">
        <v>135.16999999999999</v>
      </c>
      <c r="O446" s="22" t="str">
        <f>IF(Table2[[#This Row],[CouponCode]]="N/A", "Not Used", "Used")</f>
        <v>Used</v>
      </c>
    </row>
    <row r="447" spans="1:15" x14ac:dyDescent="0.3">
      <c r="A447" s="6" t="s">
        <v>459</v>
      </c>
      <c r="B447" s="2">
        <v>45374</v>
      </c>
      <c r="C447" s="6" t="s">
        <v>1659</v>
      </c>
      <c r="D447" s="6" t="s">
        <v>2404</v>
      </c>
      <c r="E447" s="9">
        <v>1</v>
      </c>
      <c r="F447" s="24">
        <v>487.21</v>
      </c>
      <c r="G447" t="s">
        <v>2757</v>
      </c>
      <c r="H447" s="6" t="s">
        <v>3069</v>
      </c>
      <c r="I447" s="6" t="s">
        <v>3073</v>
      </c>
      <c r="J447" s="6" t="s">
        <v>3520</v>
      </c>
      <c r="K447" s="9">
        <v>3</v>
      </c>
      <c r="L447" s="6" t="s">
        <v>4275</v>
      </c>
      <c r="M447" s="6" t="s">
        <v>4279</v>
      </c>
      <c r="N447" s="24">
        <v>487.21</v>
      </c>
      <c r="O447" s="22" t="str">
        <f>IF(Table2[[#This Row],[CouponCode]]="N/A", "Not Used", "Used")</f>
        <v>Used</v>
      </c>
    </row>
    <row r="448" spans="1:15" x14ac:dyDescent="0.3">
      <c r="A448" s="6" t="s">
        <v>460</v>
      </c>
      <c r="B448" s="2">
        <v>45217</v>
      </c>
      <c r="C448" s="6" t="s">
        <v>1660</v>
      </c>
      <c r="D448" s="6" t="s">
        <v>2408</v>
      </c>
      <c r="E448" s="9">
        <v>5</v>
      </c>
      <c r="F448" s="24">
        <v>509.58</v>
      </c>
      <c r="G448" t="s">
        <v>2758</v>
      </c>
      <c r="H448" s="6" t="s">
        <v>3066</v>
      </c>
      <c r="I448" s="6" t="s">
        <v>3073</v>
      </c>
      <c r="J448" s="6" t="s">
        <v>3521</v>
      </c>
      <c r="K448" s="9">
        <v>6</v>
      </c>
      <c r="L448" s="6" t="s">
        <v>4276</v>
      </c>
      <c r="M448" s="6" t="s">
        <v>4278</v>
      </c>
      <c r="N448" s="24">
        <v>2547.9</v>
      </c>
      <c r="O448" s="22" t="str">
        <f>IF(Table2[[#This Row],[CouponCode]]="N/A", "Not Used", "Used")</f>
        <v>Used</v>
      </c>
    </row>
    <row r="449" spans="1:15" x14ac:dyDescent="0.3">
      <c r="A449" s="6" t="s">
        <v>461</v>
      </c>
      <c r="B449" s="2">
        <v>45389</v>
      </c>
      <c r="C449" s="6" t="s">
        <v>1661</v>
      </c>
      <c r="D449" s="6" t="s">
        <v>2407</v>
      </c>
      <c r="E449" s="9">
        <v>2</v>
      </c>
      <c r="F449" s="24">
        <v>416.81</v>
      </c>
      <c r="G449" t="s">
        <v>2759</v>
      </c>
      <c r="H449" s="6" t="s">
        <v>3069</v>
      </c>
      <c r="I449" s="6" t="s">
        <v>3072</v>
      </c>
      <c r="J449" s="6" t="s">
        <v>3522</v>
      </c>
      <c r="K449" s="9">
        <v>2</v>
      </c>
      <c r="L449" s="6" t="s">
        <v>4283</v>
      </c>
      <c r="M449" s="6" t="s">
        <v>4281</v>
      </c>
      <c r="N449" s="24">
        <v>833.62</v>
      </c>
      <c r="O449" s="22" t="str">
        <f>IF(Table2[[#This Row],[CouponCode]]="N/A", "Not Used", "Used")</f>
        <v>Not Used</v>
      </c>
    </row>
    <row r="450" spans="1:15" x14ac:dyDescent="0.3">
      <c r="A450" s="6" t="s">
        <v>462</v>
      </c>
      <c r="B450" s="2">
        <v>45173</v>
      </c>
      <c r="C450" s="6" t="s">
        <v>1662</v>
      </c>
      <c r="D450" s="6" t="s">
        <v>2408</v>
      </c>
      <c r="E450" s="9">
        <v>2</v>
      </c>
      <c r="F450" s="24">
        <v>160</v>
      </c>
      <c r="G450" t="s">
        <v>2760</v>
      </c>
      <c r="H450" s="6" t="s">
        <v>3069</v>
      </c>
      <c r="I450" s="6" t="s">
        <v>3074</v>
      </c>
      <c r="J450" s="6" t="s">
        <v>3523</v>
      </c>
      <c r="K450" s="9">
        <v>4</v>
      </c>
      <c r="L450" s="6" t="s">
        <v>4275</v>
      </c>
      <c r="M450" s="6" t="s">
        <v>4278</v>
      </c>
      <c r="N450" s="24">
        <v>320</v>
      </c>
      <c r="O450" s="22" t="str">
        <f>IF(Table2[[#This Row],[CouponCode]]="N/A", "Not Used", "Used")</f>
        <v>Used</v>
      </c>
    </row>
    <row r="451" spans="1:15" x14ac:dyDescent="0.3">
      <c r="A451" s="6" t="s">
        <v>463</v>
      </c>
      <c r="B451" s="2">
        <v>45530</v>
      </c>
      <c r="C451" s="6" t="s">
        <v>1663</v>
      </c>
      <c r="D451" s="6" t="s">
        <v>2405</v>
      </c>
      <c r="E451" s="9">
        <v>3</v>
      </c>
      <c r="F451" s="24">
        <v>253.05</v>
      </c>
      <c r="G451" t="s">
        <v>2761</v>
      </c>
      <c r="H451" s="6" t="s">
        <v>3066</v>
      </c>
      <c r="I451" s="6" t="s">
        <v>3074</v>
      </c>
      <c r="J451" s="6" t="s">
        <v>3524</v>
      </c>
      <c r="K451" s="9">
        <v>3</v>
      </c>
      <c r="L451" s="6" t="s">
        <v>4283</v>
      </c>
      <c r="M451" s="6" t="s">
        <v>4278</v>
      </c>
      <c r="N451" s="24">
        <v>759.15000000000009</v>
      </c>
      <c r="O451" s="22" t="str">
        <f>IF(Table2[[#This Row],[CouponCode]]="N/A", "Not Used", "Used")</f>
        <v>Not Used</v>
      </c>
    </row>
    <row r="452" spans="1:15" x14ac:dyDescent="0.3">
      <c r="A452" s="6" t="s">
        <v>464</v>
      </c>
      <c r="B452" s="2">
        <v>45306</v>
      </c>
      <c r="C452" s="6" t="s">
        <v>1664</v>
      </c>
      <c r="D452" s="6" t="s">
        <v>2403</v>
      </c>
      <c r="E452" s="9">
        <v>5</v>
      </c>
      <c r="F452" s="24">
        <v>615.1</v>
      </c>
      <c r="G452" t="s">
        <v>2762</v>
      </c>
      <c r="H452" s="6" t="s">
        <v>3068</v>
      </c>
      <c r="I452" s="6" t="s">
        <v>3072</v>
      </c>
      <c r="J452" s="6" t="s">
        <v>3525</v>
      </c>
      <c r="K452" s="9">
        <v>10</v>
      </c>
      <c r="L452" s="6" t="s">
        <v>4277</v>
      </c>
      <c r="M452" s="6" t="s">
        <v>4278</v>
      </c>
      <c r="N452" s="24">
        <v>3075.5</v>
      </c>
      <c r="O452" s="22" t="str">
        <f>IF(Table2[[#This Row],[CouponCode]]="N/A", "Not Used", "Used")</f>
        <v>Used</v>
      </c>
    </row>
    <row r="453" spans="1:15" x14ac:dyDescent="0.3">
      <c r="A453" s="6" t="s">
        <v>465</v>
      </c>
      <c r="B453" s="2">
        <v>45017</v>
      </c>
      <c r="C453" s="6" t="s">
        <v>1665</v>
      </c>
      <c r="D453" s="6" t="s">
        <v>2403</v>
      </c>
      <c r="E453" s="9">
        <v>1</v>
      </c>
      <c r="F453" s="24">
        <v>183.18</v>
      </c>
      <c r="G453" t="s">
        <v>2507</v>
      </c>
      <c r="H453" s="6" t="s">
        <v>3065</v>
      </c>
      <c r="I453" s="6" t="s">
        <v>3071</v>
      </c>
      <c r="J453" s="6" t="s">
        <v>3526</v>
      </c>
      <c r="K453" s="9">
        <v>6</v>
      </c>
      <c r="L453" s="6" t="s">
        <v>4275</v>
      </c>
      <c r="M453" s="6" t="s">
        <v>4280</v>
      </c>
      <c r="N453" s="24">
        <v>183.18</v>
      </c>
      <c r="O453" s="22" t="str">
        <f>IF(Table2[[#This Row],[CouponCode]]="N/A", "Not Used", "Used")</f>
        <v>Used</v>
      </c>
    </row>
    <row r="454" spans="1:15" x14ac:dyDescent="0.3">
      <c r="A454" s="6" t="s">
        <v>466</v>
      </c>
      <c r="B454" s="2">
        <v>45130</v>
      </c>
      <c r="C454" s="6" t="s">
        <v>1666</v>
      </c>
      <c r="D454" s="6" t="s">
        <v>2407</v>
      </c>
      <c r="E454" s="9">
        <v>1</v>
      </c>
      <c r="F454" s="24">
        <v>75.78</v>
      </c>
      <c r="G454" t="s">
        <v>2763</v>
      </c>
      <c r="H454" s="6" t="s">
        <v>3069</v>
      </c>
      <c r="I454" s="6" t="s">
        <v>3074</v>
      </c>
      <c r="J454" s="6" t="s">
        <v>3527</v>
      </c>
      <c r="K454" s="9">
        <v>5</v>
      </c>
      <c r="L454" s="6" t="s">
        <v>4275</v>
      </c>
      <c r="M454" s="6" t="s">
        <v>4282</v>
      </c>
      <c r="N454" s="24">
        <v>75.78</v>
      </c>
      <c r="O454" s="22" t="str">
        <f>IF(Table2[[#This Row],[CouponCode]]="N/A", "Not Used", "Used")</f>
        <v>Used</v>
      </c>
    </row>
    <row r="455" spans="1:15" x14ac:dyDescent="0.3">
      <c r="A455" s="6" t="s">
        <v>467</v>
      </c>
      <c r="B455" s="2">
        <v>45779</v>
      </c>
      <c r="C455" s="6" t="s">
        <v>1667</v>
      </c>
      <c r="D455" s="6" t="s">
        <v>2405</v>
      </c>
      <c r="E455" s="9">
        <v>1</v>
      </c>
      <c r="F455" s="24">
        <v>675.57</v>
      </c>
      <c r="G455" t="s">
        <v>2764</v>
      </c>
      <c r="H455" s="6" t="s">
        <v>3069</v>
      </c>
      <c r="I455" s="6" t="s">
        <v>3070</v>
      </c>
      <c r="J455" s="6" t="s">
        <v>3528</v>
      </c>
      <c r="K455" s="9">
        <v>1</v>
      </c>
      <c r="L455" s="6" t="s">
        <v>4277</v>
      </c>
      <c r="M455" s="6" t="s">
        <v>4281</v>
      </c>
      <c r="N455" s="24">
        <v>675.57</v>
      </c>
      <c r="O455" s="22" t="str">
        <f>IF(Table2[[#This Row],[CouponCode]]="N/A", "Not Used", "Used")</f>
        <v>Used</v>
      </c>
    </row>
    <row r="456" spans="1:15" x14ac:dyDescent="0.3">
      <c r="A456" s="6" t="s">
        <v>468</v>
      </c>
      <c r="B456" s="2">
        <v>45623</v>
      </c>
      <c r="C456" s="6" t="s">
        <v>1668</v>
      </c>
      <c r="D456" s="6" t="s">
        <v>2408</v>
      </c>
      <c r="E456" s="9">
        <v>1</v>
      </c>
      <c r="F456" s="24">
        <v>109.29</v>
      </c>
      <c r="G456" t="s">
        <v>2765</v>
      </c>
      <c r="H456" s="6" t="s">
        <v>3065</v>
      </c>
      <c r="I456" s="6" t="s">
        <v>3071</v>
      </c>
      <c r="J456" s="6" t="s">
        <v>3529</v>
      </c>
      <c r="K456" s="9">
        <v>5</v>
      </c>
      <c r="L456" s="6" t="s">
        <v>4276</v>
      </c>
      <c r="M456" s="6" t="s">
        <v>4282</v>
      </c>
      <c r="N456" s="24">
        <v>109.29</v>
      </c>
      <c r="O456" s="22" t="str">
        <f>IF(Table2[[#This Row],[CouponCode]]="N/A", "Not Used", "Used")</f>
        <v>Used</v>
      </c>
    </row>
    <row r="457" spans="1:15" x14ac:dyDescent="0.3">
      <c r="A457" s="6" t="s">
        <v>469</v>
      </c>
      <c r="B457" s="2">
        <v>45377</v>
      </c>
      <c r="C457" s="6" t="s">
        <v>1669</v>
      </c>
      <c r="D457" s="6" t="s">
        <v>2404</v>
      </c>
      <c r="E457" s="9">
        <v>1</v>
      </c>
      <c r="F457" s="24">
        <v>639.83000000000004</v>
      </c>
      <c r="G457" t="s">
        <v>2766</v>
      </c>
      <c r="H457" s="6" t="s">
        <v>3065</v>
      </c>
      <c r="I457" s="6" t="s">
        <v>3074</v>
      </c>
      <c r="J457" s="6" t="s">
        <v>3530</v>
      </c>
      <c r="K457" s="9">
        <v>2</v>
      </c>
      <c r="L457" s="6" t="s">
        <v>4275</v>
      </c>
      <c r="M457" s="6" t="s">
        <v>4279</v>
      </c>
      <c r="N457" s="24">
        <v>639.83000000000004</v>
      </c>
      <c r="O457" s="22" t="str">
        <f>IF(Table2[[#This Row],[CouponCode]]="N/A", "Not Used", "Used")</f>
        <v>Used</v>
      </c>
    </row>
    <row r="458" spans="1:15" x14ac:dyDescent="0.3">
      <c r="A458" s="6" t="s">
        <v>470</v>
      </c>
      <c r="B458" s="2">
        <v>45103</v>
      </c>
      <c r="C458" s="6" t="s">
        <v>1670</v>
      </c>
      <c r="D458" s="6" t="s">
        <v>2409</v>
      </c>
      <c r="E458" s="9">
        <v>5</v>
      </c>
      <c r="F458" s="24">
        <v>62.81</v>
      </c>
      <c r="G458" t="s">
        <v>2698</v>
      </c>
      <c r="H458" s="6" t="s">
        <v>3067</v>
      </c>
      <c r="I458" s="6" t="s">
        <v>3070</v>
      </c>
      <c r="J458" s="6" t="s">
        <v>3531</v>
      </c>
      <c r="K458" s="9">
        <v>9</v>
      </c>
      <c r="L458" s="6" t="s">
        <v>4275</v>
      </c>
      <c r="M458" s="6" t="s">
        <v>4281</v>
      </c>
      <c r="N458" s="24">
        <v>314.05</v>
      </c>
      <c r="O458" s="22" t="str">
        <f>IF(Table2[[#This Row],[CouponCode]]="N/A", "Not Used", "Used")</f>
        <v>Used</v>
      </c>
    </row>
    <row r="459" spans="1:15" x14ac:dyDescent="0.3">
      <c r="A459" s="6" t="s">
        <v>471</v>
      </c>
      <c r="B459" s="2">
        <v>45802</v>
      </c>
      <c r="C459" s="6" t="s">
        <v>1671</v>
      </c>
      <c r="D459" s="6" t="s">
        <v>2409</v>
      </c>
      <c r="E459" s="9">
        <v>4</v>
      </c>
      <c r="F459" s="24">
        <v>615.83000000000004</v>
      </c>
      <c r="G459" t="s">
        <v>2767</v>
      </c>
      <c r="H459" s="6" t="s">
        <v>3066</v>
      </c>
      <c r="I459" s="6" t="s">
        <v>3072</v>
      </c>
      <c r="J459" s="6" t="s">
        <v>3532</v>
      </c>
      <c r="K459" s="9">
        <v>4</v>
      </c>
      <c r="L459" s="6" t="s">
        <v>4277</v>
      </c>
      <c r="M459" s="6" t="s">
        <v>4278</v>
      </c>
      <c r="N459" s="24">
        <v>2463.3200000000002</v>
      </c>
      <c r="O459" s="22" t="str">
        <f>IF(Table2[[#This Row],[CouponCode]]="N/A", "Not Used", "Used")</f>
        <v>Used</v>
      </c>
    </row>
    <row r="460" spans="1:15" x14ac:dyDescent="0.3">
      <c r="A460" s="6" t="s">
        <v>472</v>
      </c>
      <c r="B460" s="2">
        <v>45475</v>
      </c>
      <c r="C460" s="6" t="s">
        <v>1672</v>
      </c>
      <c r="D460" s="6" t="s">
        <v>2403</v>
      </c>
      <c r="E460" s="9">
        <v>4</v>
      </c>
      <c r="F460" s="24">
        <v>510.58</v>
      </c>
      <c r="G460" t="s">
        <v>2495</v>
      </c>
      <c r="H460" s="6" t="s">
        <v>3067</v>
      </c>
      <c r="I460" s="6" t="s">
        <v>3072</v>
      </c>
      <c r="J460" s="6" t="s">
        <v>3533</v>
      </c>
      <c r="K460" s="9">
        <v>7</v>
      </c>
      <c r="L460" s="6" t="s">
        <v>4277</v>
      </c>
      <c r="M460" s="6" t="s">
        <v>4280</v>
      </c>
      <c r="N460" s="24">
        <v>2042.32</v>
      </c>
      <c r="O460" s="22" t="str">
        <f>IF(Table2[[#This Row],[CouponCode]]="N/A", "Not Used", "Used")</f>
        <v>Used</v>
      </c>
    </row>
    <row r="461" spans="1:15" x14ac:dyDescent="0.3">
      <c r="A461" s="6" t="s">
        <v>473</v>
      </c>
      <c r="B461" s="2">
        <v>45497</v>
      </c>
      <c r="C461" s="6" t="s">
        <v>1673</v>
      </c>
      <c r="D461" s="6" t="s">
        <v>2409</v>
      </c>
      <c r="E461" s="9">
        <v>1</v>
      </c>
      <c r="F461" s="24">
        <v>334.39</v>
      </c>
      <c r="G461" t="s">
        <v>2749</v>
      </c>
      <c r="H461" s="6" t="s">
        <v>3067</v>
      </c>
      <c r="I461" s="6" t="s">
        <v>3072</v>
      </c>
      <c r="J461" s="6" t="s">
        <v>3534</v>
      </c>
      <c r="K461" s="9">
        <v>2</v>
      </c>
      <c r="L461" s="6" t="s">
        <v>4283</v>
      </c>
      <c r="M461" s="6" t="s">
        <v>4278</v>
      </c>
      <c r="N461" s="24">
        <v>334.39</v>
      </c>
      <c r="O461" s="22" t="str">
        <f>IF(Table2[[#This Row],[CouponCode]]="N/A", "Not Used", "Used")</f>
        <v>Not Used</v>
      </c>
    </row>
    <row r="462" spans="1:15" x14ac:dyDescent="0.3">
      <c r="A462" s="6" t="s">
        <v>474</v>
      </c>
      <c r="B462" s="2">
        <v>45571</v>
      </c>
      <c r="C462" s="6" t="s">
        <v>1674</v>
      </c>
      <c r="D462" s="6" t="s">
        <v>2408</v>
      </c>
      <c r="E462" s="9">
        <v>1</v>
      </c>
      <c r="F462" s="24">
        <v>144.25</v>
      </c>
      <c r="G462" t="s">
        <v>2768</v>
      </c>
      <c r="H462" s="6" t="s">
        <v>3069</v>
      </c>
      <c r="I462" s="6" t="s">
        <v>3072</v>
      </c>
      <c r="J462" s="6" t="s">
        <v>3535</v>
      </c>
      <c r="K462" s="9">
        <v>2</v>
      </c>
      <c r="L462" s="6" t="s">
        <v>4277</v>
      </c>
      <c r="M462" s="6" t="s">
        <v>4279</v>
      </c>
      <c r="N462" s="24">
        <v>144.25</v>
      </c>
      <c r="O462" s="22" t="str">
        <f>IF(Table2[[#This Row],[CouponCode]]="N/A", "Not Used", "Used")</f>
        <v>Used</v>
      </c>
    </row>
    <row r="463" spans="1:15" x14ac:dyDescent="0.3">
      <c r="A463" s="6" t="s">
        <v>475</v>
      </c>
      <c r="B463" s="2">
        <v>45451</v>
      </c>
      <c r="C463" s="6" t="s">
        <v>1675</v>
      </c>
      <c r="D463" s="6" t="s">
        <v>2405</v>
      </c>
      <c r="E463" s="9">
        <v>1</v>
      </c>
      <c r="F463" s="24">
        <v>401.82</v>
      </c>
      <c r="G463" t="s">
        <v>2618</v>
      </c>
      <c r="H463" s="6" t="s">
        <v>3067</v>
      </c>
      <c r="I463" s="6" t="s">
        <v>3070</v>
      </c>
      <c r="J463" s="6" t="s">
        <v>3536</v>
      </c>
      <c r="K463" s="9">
        <v>5</v>
      </c>
      <c r="L463" s="6" t="s">
        <v>4276</v>
      </c>
      <c r="M463" s="6" t="s">
        <v>4282</v>
      </c>
      <c r="N463" s="24">
        <v>401.82</v>
      </c>
      <c r="O463" s="22" t="str">
        <f>IF(Table2[[#This Row],[CouponCode]]="N/A", "Not Used", "Used")</f>
        <v>Used</v>
      </c>
    </row>
    <row r="464" spans="1:15" x14ac:dyDescent="0.3">
      <c r="A464" s="6" t="s">
        <v>476</v>
      </c>
      <c r="B464" s="2">
        <v>45747</v>
      </c>
      <c r="C464" s="6" t="s">
        <v>1676</v>
      </c>
      <c r="D464" s="6" t="s">
        <v>2404</v>
      </c>
      <c r="E464" s="9">
        <v>1</v>
      </c>
      <c r="F464" s="24">
        <v>252.68</v>
      </c>
      <c r="G464" t="s">
        <v>2769</v>
      </c>
      <c r="H464" s="6" t="s">
        <v>3066</v>
      </c>
      <c r="I464" s="6" t="s">
        <v>3071</v>
      </c>
      <c r="J464" s="6" t="s">
        <v>3537</v>
      </c>
      <c r="K464" s="9">
        <v>1</v>
      </c>
      <c r="L464" s="6" t="s">
        <v>4283</v>
      </c>
      <c r="M464" s="6" t="s">
        <v>4279</v>
      </c>
      <c r="N464" s="24">
        <v>252.68</v>
      </c>
      <c r="O464" s="22" t="str">
        <f>IF(Table2[[#This Row],[CouponCode]]="N/A", "Not Used", "Used")</f>
        <v>Not Used</v>
      </c>
    </row>
    <row r="465" spans="1:15" x14ac:dyDescent="0.3">
      <c r="A465" s="6" t="s">
        <v>477</v>
      </c>
      <c r="B465" s="2">
        <v>45072</v>
      </c>
      <c r="C465" s="6" t="s">
        <v>1677</v>
      </c>
      <c r="D465" s="6" t="s">
        <v>2408</v>
      </c>
      <c r="E465" s="9">
        <v>5</v>
      </c>
      <c r="F465" s="24">
        <v>662.78</v>
      </c>
      <c r="G465" t="s">
        <v>2770</v>
      </c>
      <c r="H465" s="6" t="s">
        <v>3065</v>
      </c>
      <c r="I465" s="6" t="s">
        <v>3070</v>
      </c>
      <c r="J465" s="6" t="s">
        <v>3538</v>
      </c>
      <c r="K465" s="9">
        <v>9</v>
      </c>
      <c r="L465" s="6" t="s">
        <v>4275</v>
      </c>
      <c r="M465" s="6" t="s">
        <v>4278</v>
      </c>
      <c r="N465" s="24">
        <v>3313.9</v>
      </c>
      <c r="O465" s="22" t="str">
        <f>IF(Table2[[#This Row],[CouponCode]]="N/A", "Not Used", "Used")</f>
        <v>Used</v>
      </c>
    </row>
    <row r="466" spans="1:15" x14ac:dyDescent="0.3">
      <c r="A466" s="6" t="s">
        <v>478</v>
      </c>
      <c r="B466" s="2">
        <v>44999</v>
      </c>
      <c r="C466" s="6" t="s">
        <v>1678</v>
      </c>
      <c r="D466" s="6" t="s">
        <v>2405</v>
      </c>
      <c r="E466" s="9">
        <v>4</v>
      </c>
      <c r="F466" s="24">
        <v>434.42</v>
      </c>
      <c r="G466" t="s">
        <v>2771</v>
      </c>
      <c r="H466" s="6" t="s">
        <v>3066</v>
      </c>
      <c r="I466" s="6" t="s">
        <v>3071</v>
      </c>
      <c r="J466" s="6" t="s">
        <v>3539</v>
      </c>
      <c r="K466" s="9">
        <v>6</v>
      </c>
      <c r="L466" s="6" t="s">
        <v>4276</v>
      </c>
      <c r="M466" s="6" t="s">
        <v>4282</v>
      </c>
      <c r="N466" s="24">
        <v>1737.68</v>
      </c>
      <c r="O466" s="22" t="str">
        <f>IF(Table2[[#This Row],[CouponCode]]="N/A", "Not Used", "Used")</f>
        <v>Used</v>
      </c>
    </row>
    <row r="467" spans="1:15" x14ac:dyDescent="0.3">
      <c r="A467" s="6" t="s">
        <v>479</v>
      </c>
      <c r="B467" s="2">
        <v>45348</v>
      </c>
      <c r="C467" s="6" t="s">
        <v>1679</v>
      </c>
      <c r="D467" s="6" t="s">
        <v>2407</v>
      </c>
      <c r="E467" s="9">
        <v>5</v>
      </c>
      <c r="F467" s="24">
        <v>513.49</v>
      </c>
      <c r="G467" t="s">
        <v>2772</v>
      </c>
      <c r="H467" s="6" t="s">
        <v>3068</v>
      </c>
      <c r="I467" s="6" t="s">
        <v>3071</v>
      </c>
      <c r="J467" s="6" t="s">
        <v>3540</v>
      </c>
      <c r="K467" s="9">
        <v>8</v>
      </c>
      <c r="L467" s="6" t="s">
        <v>4283</v>
      </c>
      <c r="M467" s="6" t="s">
        <v>4282</v>
      </c>
      <c r="N467" s="24">
        <v>2567.4499999999998</v>
      </c>
      <c r="O467" s="22" t="str">
        <f>IF(Table2[[#This Row],[CouponCode]]="N/A", "Not Used", "Used")</f>
        <v>Not Used</v>
      </c>
    </row>
    <row r="468" spans="1:15" x14ac:dyDescent="0.3">
      <c r="A468" s="6" t="s">
        <v>480</v>
      </c>
      <c r="B468" s="2">
        <v>45125</v>
      </c>
      <c r="C468" s="6" t="s">
        <v>1680</v>
      </c>
      <c r="D468" s="6" t="s">
        <v>2404</v>
      </c>
      <c r="E468" s="9">
        <v>1</v>
      </c>
      <c r="F468" s="24">
        <v>432.47</v>
      </c>
      <c r="G468" t="s">
        <v>2440</v>
      </c>
      <c r="H468" s="6" t="s">
        <v>3069</v>
      </c>
      <c r="I468" s="6" t="s">
        <v>3073</v>
      </c>
      <c r="J468" s="6" t="s">
        <v>3541</v>
      </c>
      <c r="K468" s="9">
        <v>4</v>
      </c>
      <c r="L468" s="6" t="s">
        <v>4276</v>
      </c>
      <c r="M468" s="6" t="s">
        <v>4279</v>
      </c>
      <c r="N468" s="24">
        <v>432.47</v>
      </c>
      <c r="O468" s="22" t="str">
        <f>IF(Table2[[#This Row],[CouponCode]]="N/A", "Not Used", "Used")</f>
        <v>Used</v>
      </c>
    </row>
    <row r="469" spans="1:15" x14ac:dyDescent="0.3">
      <c r="A469" s="6" t="s">
        <v>481</v>
      </c>
      <c r="B469" s="2">
        <v>45534</v>
      </c>
      <c r="C469" s="6" t="s">
        <v>1681</v>
      </c>
      <c r="D469" s="6" t="s">
        <v>2409</v>
      </c>
      <c r="E469" s="9">
        <v>1</v>
      </c>
      <c r="F469" s="24">
        <v>45.94</v>
      </c>
      <c r="G469" t="s">
        <v>2577</v>
      </c>
      <c r="H469" s="6" t="s">
        <v>3069</v>
      </c>
      <c r="I469" s="6" t="s">
        <v>3071</v>
      </c>
      <c r="J469" s="6" t="s">
        <v>3542</v>
      </c>
      <c r="K469" s="9">
        <v>2</v>
      </c>
      <c r="L469" s="6" t="s">
        <v>4277</v>
      </c>
      <c r="M469" s="6" t="s">
        <v>4280</v>
      </c>
      <c r="N469" s="24">
        <v>45.94</v>
      </c>
      <c r="O469" s="22" t="str">
        <f>IF(Table2[[#This Row],[CouponCode]]="N/A", "Not Used", "Used")</f>
        <v>Used</v>
      </c>
    </row>
    <row r="470" spans="1:15" x14ac:dyDescent="0.3">
      <c r="A470" s="6" t="s">
        <v>482</v>
      </c>
      <c r="B470" s="2">
        <v>45829</v>
      </c>
      <c r="C470" s="6" t="s">
        <v>1682</v>
      </c>
      <c r="D470" s="6" t="s">
        <v>2404</v>
      </c>
      <c r="E470" s="9">
        <v>1</v>
      </c>
      <c r="F470" s="24">
        <v>418.36</v>
      </c>
      <c r="G470" t="s">
        <v>2773</v>
      </c>
      <c r="H470" s="6" t="s">
        <v>3067</v>
      </c>
      <c r="I470" s="6" t="s">
        <v>3073</v>
      </c>
      <c r="J470" s="6" t="s">
        <v>3543</v>
      </c>
      <c r="K470" s="9">
        <v>5</v>
      </c>
      <c r="L470" s="6" t="s">
        <v>4276</v>
      </c>
      <c r="M470" s="6" t="s">
        <v>4280</v>
      </c>
      <c r="N470" s="24">
        <v>418.36</v>
      </c>
      <c r="O470" s="22" t="str">
        <f>IF(Table2[[#This Row],[CouponCode]]="N/A", "Not Used", "Used")</f>
        <v>Used</v>
      </c>
    </row>
    <row r="471" spans="1:15" x14ac:dyDescent="0.3">
      <c r="A471" s="6" t="s">
        <v>483</v>
      </c>
      <c r="B471" s="2">
        <v>45256</v>
      </c>
      <c r="C471" s="6" t="s">
        <v>1683</v>
      </c>
      <c r="D471" s="6" t="s">
        <v>2406</v>
      </c>
      <c r="E471" s="9">
        <v>5</v>
      </c>
      <c r="F471" s="24">
        <v>676.98</v>
      </c>
      <c r="G471" t="s">
        <v>2546</v>
      </c>
      <c r="H471" s="6" t="s">
        <v>3069</v>
      </c>
      <c r="I471" s="6" t="s">
        <v>3071</v>
      </c>
      <c r="J471" s="6" t="s">
        <v>3544</v>
      </c>
      <c r="K471" s="9">
        <v>5</v>
      </c>
      <c r="L471" s="6" t="s">
        <v>4283</v>
      </c>
      <c r="M471" s="6" t="s">
        <v>4281</v>
      </c>
      <c r="N471" s="24">
        <v>3384.9</v>
      </c>
      <c r="O471" s="22" t="str">
        <f>IF(Table2[[#This Row],[CouponCode]]="N/A", "Not Used", "Used")</f>
        <v>Not Used</v>
      </c>
    </row>
    <row r="472" spans="1:15" x14ac:dyDescent="0.3">
      <c r="A472" s="6" t="s">
        <v>484</v>
      </c>
      <c r="B472" s="2">
        <v>45198</v>
      </c>
      <c r="C472" s="6" t="s">
        <v>1684</v>
      </c>
      <c r="D472" s="6" t="s">
        <v>2405</v>
      </c>
      <c r="E472" s="9">
        <v>4</v>
      </c>
      <c r="F472" s="24">
        <v>263.62</v>
      </c>
      <c r="G472" t="s">
        <v>2774</v>
      </c>
      <c r="H472" s="6" t="s">
        <v>3069</v>
      </c>
      <c r="I472" s="6" t="s">
        <v>3070</v>
      </c>
      <c r="J472" s="6" t="s">
        <v>3545</v>
      </c>
      <c r="K472" s="9">
        <v>5</v>
      </c>
      <c r="L472" s="6" t="s">
        <v>4275</v>
      </c>
      <c r="M472" s="6" t="s">
        <v>4280</v>
      </c>
      <c r="N472" s="24">
        <v>1054.48</v>
      </c>
      <c r="O472" s="22" t="str">
        <f>IF(Table2[[#This Row],[CouponCode]]="N/A", "Not Used", "Used")</f>
        <v>Used</v>
      </c>
    </row>
    <row r="473" spans="1:15" x14ac:dyDescent="0.3">
      <c r="A473" s="6" t="s">
        <v>485</v>
      </c>
      <c r="B473" s="2">
        <v>45766</v>
      </c>
      <c r="C473" s="6" t="s">
        <v>1685</v>
      </c>
      <c r="D473" s="6" t="s">
        <v>2409</v>
      </c>
      <c r="E473" s="9">
        <v>5</v>
      </c>
      <c r="F473" s="24">
        <v>551.27</v>
      </c>
      <c r="G473" t="s">
        <v>2775</v>
      </c>
      <c r="H473" s="6" t="s">
        <v>3066</v>
      </c>
      <c r="I473" s="6" t="s">
        <v>3071</v>
      </c>
      <c r="J473" s="6" t="s">
        <v>3546</v>
      </c>
      <c r="K473" s="9">
        <v>7</v>
      </c>
      <c r="L473" s="6" t="s">
        <v>4276</v>
      </c>
      <c r="M473" s="6" t="s">
        <v>4279</v>
      </c>
      <c r="N473" s="24">
        <v>2756.35</v>
      </c>
      <c r="O473" s="22" t="str">
        <f>IF(Table2[[#This Row],[CouponCode]]="N/A", "Not Used", "Used")</f>
        <v>Used</v>
      </c>
    </row>
    <row r="474" spans="1:15" x14ac:dyDescent="0.3">
      <c r="A474" s="6" t="s">
        <v>486</v>
      </c>
      <c r="B474" s="2">
        <v>44932</v>
      </c>
      <c r="C474" s="6" t="s">
        <v>1686</v>
      </c>
      <c r="D474" s="6" t="s">
        <v>2406</v>
      </c>
      <c r="E474" s="9">
        <v>3</v>
      </c>
      <c r="F474" s="24">
        <v>508.12</v>
      </c>
      <c r="G474" t="s">
        <v>2776</v>
      </c>
      <c r="H474" s="6" t="s">
        <v>3067</v>
      </c>
      <c r="I474" s="6" t="s">
        <v>3071</v>
      </c>
      <c r="J474" s="6" t="s">
        <v>3547</v>
      </c>
      <c r="K474" s="9">
        <v>8</v>
      </c>
      <c r="L474" s="6" t="s">
        <v>4276</v>
      </c>
      <c r="M474" s="6" t="s">
        <v>4279</v>
      </c>
      <c r="N474" s="24">
        <v>1524.36</v>
      </c>
      <c r="O474" s="22" t="str">
        <f>IF(Table2[[#This Row],[CouponCode]]="N/A", "Not Used", "Used")</f>
        <v>Used</v>
      </c>
    </row>
    <row r="475" spans="1:15" x14ac:dyDescent="0.3">
      <c r="A475" s="6" t="s">
        <v>487</v>
      </c>
      <c r="B475" s="2">
        <v>45713</v>
      </c>
      <c r="C475" s="6" t="s">
        <v>1687</v>
      </c>
      <c r="D475" s="6" t="s">
        <v>2406</v>
      </c>
      <c r="E475" s="9">
        <v>2</v>
      </c>
      <c r="F475" s="24">
        <v>14.93</v>
      </c>
      <c r="G475" t="s">
        <v>2777</v>
      </c>
      <c r="H475" s="6" t="s">
        <v>3066</v>
      </c>
      <c r="I475" s="6" t="s">
        <v>3070</v>
      </c>
      <c r="J475" s="6" t="s">
        <v>3548</v>
      </c>
      <c r="K475" s="9">
        <v>4</v>
      </c>
      <c r="L475" s="6" t="s">
        <v>4283</v>
      </c>
      <c r="M475" s="6" t="s">
        <v>4281</v>
      </c>
      <c r="N475" s="24">
        <v>29.86</v>
      </c>
      <c r="O475" s="22" t="str">
        <f>IF(Table2[[#This Row],[CouponCode]]="N/A", "Not Used", "Used")</f>
        <v>Not Used</v>
      </c>
    </row>
    <row r="476" spans="1:15" x14ac:dyDescent="0.3">
      <c r="A476" s="6" t="s">
        <v>488</v>
      </c>
      <c r="B476" s="2">
        <v>45245</v>
      </c>
      <c r="C476" s="6" t="s">
        <v>1688</v>
      </c>
      <c r="D476" s="6" t="s">
        <v>2407</v>
      </c>
      <c r="E476" s="9">
        <v>3</v>
      </c>
      <c r="F476" s="24">
        <v>229.34</v>
      </c>
      <c r="G476" t="s">
        <v>2692</v>
      </c>
      <c r="H476" s="6" t="s">
        <v>3067</v>
      </c>
      <c r="I476" s="6" t="s">
        <v>3070</v>
      </c>
      <c r="J476" s="6" t="s">
        <v>3549</v>
      </c>
      <c r="K476" s="9">
        <v>6</v>
      </c>
      <c r="L476" s="6" t="s">
        <v>4275</v>
      </c>
      <c r="M476" s="6" t="s">
        <v>4279</v>
      </c>
      <c r="N476" s="24">
        <v>688.02</v>
      </c>
      <c r="O476" s="22" t="str">
        <f>IF(Table2[[#This Row],[CouponCode]]="N/A", "Not Used", "Used")</f>
        <v>Used</v>
      </c>
    </row>
    <row r="477" spans="1:15" x14ac:dyDescent="0.3">
      <c r="A477" s="6" t="s">
        <v>489</v>
      </c>
      <c r="B477" s="2">
        <v>45766</v>
      </c>
      <c r="C477" s="6" t="s">
        <v>1689</v>
      </c>
      <c r="D477" s="6" t="s">
        <v>2405</v>
      </c>
      <c r="E477" s="9">
        <v>2</v>
      </c>
      <c r="F477" s="24">
        <v>438.62</v>
      </c>
      <c r="G477" t="s">
        <v>2778</v>
      </c>
      <c r="H477" s="6" t="s">
        <v>3069</v>
      </c>
      <c r="I477" s="6" t="s">
        <v>3071</v>
      </c>
      <c r="J477" s="6" t="s">
        <v>3550</v>
      </c>
      <c r="K477" s="9">
        <v>3</v>
      </c>
      <c r="L477" s="6" t="s">
        <v>4275</v>
      </c>
      <c r="M477" s="6" t="s">
        <v>4281</v>
      </c>
      <c r="N477" s="24">
        <v>877.24</v>
      </c>
      <c r="O477" s="22" t="str">
        <f>IF(Table2[[#This Row],[CouponCode]]="N/A", "Not Used", "Used")</f>
        <v>Used</v>
      </c>
    </row>
    <row r="478" spans="1:15" x14ac:dyDescent="0.3">
      <c r="A478" s="6" t="s">
        <v>490</v>
      </c>
      <c r="B478" s="2">
        <v>45306</v>
      </c>
      <c r="C478" s="6" t="s">
        <v>1690</v>
      </c>
      <c r="D478" s="6" t="s">
        <v>2404</v>
      </c>
      <c r="E478" s="9">
        <v>2</v>
      </c>
      <c r="F478" s="24">
        <v>513.59</v>
      </c>
      <c r="G478" t="s">
        <v>2779</v>
      </c>
      <c r="H478" s="6" t="s">
        <v>3066</v>
      </c>
      <c r="I478" s="6" t="s">
        <v>3072</v>
      </c>
      <c r="J478" s="6" t="s">
        <v>3551</v>
      </c>
      <c r="K478" s="9">
        <v>4</v>
      </c>
      <c r="L478" s="6" t="s">
        <v>4276</v>
      </c>
      <c r="M478" s="6" t="s">
        <v>4279</v>
      </c>
      <c r="N478" s="24">
        <v>1027.18</v>
      </c>
      <c r="O478" s="22" t="str">
        <f>IF(Table2[[#This Row],[CouponCode]]="N/A", "Not Used", "Used")</f>
        <v>Used</v>
      </c>
    </row>
    <row r="479" spans="1:15" x14ac:dyDescent="0.3">
      <c r="A479" s="6" t="s">
        <v>491</v>
      </c>
      <c r="B479" s="2">
        <v>45721</v>
      </c>
      <c r="C479" s="6" t="s">
        <v>1691</v>
      </c>
      <c r="D479" s="6" t="s">
        <v>2404</v>
      </c>
      <c r="E479" s="9">
        <v>2</v>
      </c>
      <c r="F479" s="24">
        <v>253.74</v>
      </c>
      <c r="G479" t="s">
        <v>2780</v>
      </c>
      <c r="H479" s="6" t="s">
        <v>3066</v>
      </c>
      <c r="I479" s="6" t="s">
        <v>3070</v>
      </c>
      <c r="J479" s="6" t="s">
        <v>3552</v>
      </c>
      <c r="K479" s="9">
        <v>5</v>
      </c>
      <c r="L479" s="6" t="s">
        <v>4275</v>
      </c>
      <c r="M479" s="6" t="s">
        <v>4282</v>
      </c>
      <c r="N479" s="24">
        <v>507.48</v>
      </c>
      <c r="O479" s="22" t="str">
        <f>IF(Table2[[#This Row],[CouponCode]]="N/A", "Not Used", "Used")</f>
        <v>Used</v>
      </c>
    </row>
    <row r="480" spans="1:15" x14ac:dyDescent="0.3">
      <c r="A480" s="6" t="s">
        <v>492</v>
      </c>
      <c r="B480" s="2">
        <v>45597</v>
      </c>
      <c r="C480" s="6" t="s">
        <v>1692</v>
      </c>
      <c r="D480" s="6" t="s">
        <v>2405</v>
      </c>
      <c r="E480" s="9">
        <v>3</v>
      </c>
      <c r="F480" s="24">
        <v>62.77</v>
      </c>
      <c r="G480" t="s">
        <v>2426</v>
      </c>
      <c r="H480" s="6" t="s">
        <v>3068</v>
      </c>
      <c r="I480" s="6" t="s">
        <v>3070</v>
      </c>
      <c r="J480" s="6" t="s">
        <v>3553</v>
      </c>
      <c r="K480" s="9">
        <v>6</v>
      </c>
      <c r="L480" s="6" t="s">
        <v>4276</v>
      </c>
      <c r="M480" s="6" t="s">
        <v>4279</v>
      </c>
      <c r="N480" s="24">
        <v>188.31</v>
      </c>
      <c r="O480" s="22" t="str">
        <f>IF(Table2[[#This Row],[CouponCode]]="N/A", "Not Used", "Used")</f>
        <v>Used</v>
      </c>
    </row>
    <row r="481" spans="1:15" x14ac:dyDescent="0.3">
      <c r="A481" s="6" t="s">
        <v>493</v>
      </c>
      <c r="B481" s="2">
        <v>44975</v>
      </c>
      <c r="C481" s="6" t="s">
        <v>1693</v>
      </c>
      <c r="D481" s="6" t="s">
        <v>2403</v>
      </c>
      <c r="E481" s="9">
        <v>4</v>
      </c>
      <c r="F481" s="24">
        <v>25.29</v>
      </c>
      <c r="G481" t="s">
        <v>2781</v>
      </c>
      <c r="H481" s="6" t="s">
        <v>3067</v>
      </c>
      <c r="I481" s="6" t="s">
        <v>3074</v>
      </c>
      <c r="J481" s="6" t="s">
        <v>3554</v>
      </c>
      <c r="K481" s="9">
        <v>8</v>
      </c>
      <c r="L481" s="6" t="s">
        <v>4283</v>
      </c>
      <c r="M481" s="6" t="s">
        <v>4282</v>
      </c>
      <c r="N481" s="24">
        <v>101.16</v>
      </c>
      <c r="O481" s="22" t="str">
        <f>IF(Table2[[#This Row],[CouponCode]]="N/A", "Not Used", "Used")</f>
        <v>Not Used</v>
      </c>
    </row>
    <row r="482" spans="1:15" x14ac:dyDescent="0.3">
      <c r="A482" s="6" t="s">
        <v>494</v>
      </c>
      <c r="B482" s="2">
        <v>45093</v>
      </c>
      <c r="C482" s="6" t="s">
        <v>1694</v>
      </c>
      <c r="D482" s="6" t="s">
        <v>2406</v>
      </c>
      <c r="E482" s="9">
        <v>1</v>
      </c>
      <c r="F482" s="24">
        <v>335.1</v>
      </c>
      <c r="G482" t="s">
        <v>2509</v>
      </c>
      <c r="H482" s="6" t="s">
        <v>3065</v>
      </c>
      <c r="I482" s="6" t="s">
        <v>3074</v>
      </c>
      <c r="J482" s="6" t="s">
        <v>3555</v>
      </c>
      <c r="K482" s="9">
        <v>6</v>
      </c>
      <c r="L482" s="6" t="s">
        <v>4276</v>
      </c>
      <c r="M482" s="6" t="s">
        <v>4279</v>
      </c>
      <c r="N482" s="24">
        <v>335.1</v>
      </c>
      <c r="O482" s="22" t="str">
        <f>IF(Table2[[#This Row],[CouponCode]]="N/A", "Not Used", "Used")</f>
        <v>Used</v>
      </c>
    </row>
    <row r="483" spans="1:15" x14ac:dyDescent="0.3">
      <c r="A483" s="6" t="s">
        <v>495</v>
      </c>
      <c r="B483" s="2">
        <v>45039</v>
      </c>
      <c r="C483" s="6" t="s">
        <v>1695</v>
      </c>
      <c r="D483" s="6" t="s">
        <v>2408</v>
      </c>
      <c r="E483" s="9">
        <v>4</v>
      </c>
      <c r="F483" s="24">
        <v>484.85</v>
      </c>
      <c r="G483" t="s">
        <v>2596</v>
      </c>
      <c r="H483" s="6" t="s">
        <v>3065</v>
      </c>
      <c r="I483" s="6" t="s">
        <v>3073</v>
      </c>
      <c r="J483" s="6" t="s">
        <v>3556</v>
      </c>
      <c r="K483" s="9">
        <v>5</v>
      </c>
      <c r="L483" s="6" t="s">
        <v>4277</v>
      </c>
      <c r="M483" s="6" t="s">
        <v>4279</v>
      </c>
      <c r="N483" s="24">
        <v>1939.4</v>
      </c>
      <c r="O483" s="22" t="str">
        <f>IF(Table2[[#This Row],[CouponCode]]="N/A", "Not Used", "Used")</f>
        <v>Used</v>
      </c>
    </row>
    <row r="484" spans="1:15" x14ac:dyDescent="0.3">
      <c r="A484" s="6" t="s">
        <v>496</v>
      </c>
      <c r="B484" s="2">
        <v>45718</v>
      </c>
      <c r="C484" s="6" t="s">
        <v>1696</v>
      </c>
      <c r="D484" s="6" t="s">
        <v>2403</v>
      </c>
      <c r="E484" s="9">
        <v>3</v>
      </c>
      <c r="F484" s="24">
        <v>381.41</v>
      </c>
      <c r="G484" t="s">
        <v>2487</v>
      </c>
      <c r="H484" s="6" t="s">
        <v>3066</v>
      </c>
      <c r="I484" s="6" t="s">
        <v>3074</v>
      </c>
      <c r="J484" s="6" t="s">
        <v>3557</v>
      </c>
      <c r="K484" s="9">
        <v>6</v>
      </c>
      <c r="L484" s="6" t="s">
        <v>4283</v>
      </c>
      <c r="M484" s="6" t="s">
        <v>4278</v>
      </c>
      <c r="N484" s="24">
        <v>1144.23</v>
      </c>
      <c r="O484" s="22" t="str">
        <f>IF(Table2[[#This Row],[CouponCode]]="N/A", "Not Used", "Used")</f>
        <v>Not Used</v>
      </c>
    </row>
    <row r="485" spans="1:15" x14ac:dyDescent="0.3">
      <c r="A485" s="6" t="s">
        <v>497</v>
      </c>
      <c r="B485" s="2">
        <v>44944</v>
      </c>
      <c r="C485" s="6" t="s">
        <v>1697</v>
      </c>
      <c r="D485" s="6" t="s">
        <v>2404</v>
      </c>
      <c r="E485" s="9">
        <v>5</v>
      </c>
      <c r="F485" s="24">
        <v>347.92</v>
      </c>
      <c r="G485" t="s">
        <v>2782</v>
      </c>
      <c r="H485" s="6" t="s">
        <v>3069</v>
      </c>
      <c r="I485" s="6" t="s">
        <v>3074</v>
      </c>
      <c r="J485" s="6" t="s">
        <v>3558</v>
      </c>
      <c r="K485" s="9">
        <v>6</v>
      </c>
      <c r="L485" s="6" t="s">
        <v>4277</v>
      </c>
      <c r="M485" s="6" t="s">
        <v>4282</v>
      </c>
      <c r="N485" s="24">
        <v>1739.6</v>
      </c>
      <c r="O485" s="22" t="str">
        <f>IF(Table2[[#This Row],[CouponCode]]="N/A", "Not Used", "Used")</f>
        <v>Used</v>
      </c>
    </row>
    <row r="486" spans="1:15" x14ac:dyDescent="0.3">
      <c r="A486" s="6" t="s">
        <v>498</v>
      </c>
      <c r="B486" s="2">
        <v>45441</v>
      </c>
      <c r="C486" s="6" t="s">
        <v>1698</v>
      </c>
      <c r="D486" s="6" t="s">
        <v>2406</v>
      </c>
      <c r="E486" s="9">
        <v>4</v>
      </c>
      <c r="F486" s="24">
        <v>15.01</v>
      </c>
      <c r="G486" t="s">
        <v>2736</v>
      </c>
      <c r="H486" s="6" t="s">
        <v>3069</v>
      </c>
      <c r="I486" s="6" t="s">
        <v>3071</v>
      </c>
      <c r="J486" s="6" t="s">
        <v>3559</v>
      </c>
      <c r="K486" s="9">
        <v>6</v>
      </c>
      <c r="L486" s="6" t="s">
        <v>4283</v>
      </c>
      <c r="M486" s="6" t="s">
        <v>4281</v>
      </c>
      <c r="N486" s="24">
        <v>60.04</v>
      </c>
      <c r="O486" s="22" t="str">
        <f>IF(Table2[[#This Row],[CouponCode]]="N/A", "Not Used", "Used")</f>
        <v>Not Used</v>
      </c>
    </row>
    <row r="487" spans="1:15" x14ac:dyDescent="0.3">
      <c r="A487" s="6" t="s">
        <v>499</v>
      </c>
      <c r="B487" s="2">
        <v>45139</v>
      </c>
      <c r="C487" s="6" t="s">
        <v>1699</v>
      </c>
      <c r="D487" s="6" t="s">
        <v>2406</v>
      </c>
      <c r="E487" s="9">
        <v>3</v>
      </c>
      <c r="F487" s="24">
        <v>404.79</v>
      </c>
      <c r="G487" t="s">
        <v>2783</v>
      </c>
      <c r="H487" s="6" t="s">
        <v>3069</v>
      </c>
      <c r="I487" s="6" t="s">
        <v>3070</v>
      </c>
      <c r="J487" s="6" t="s">
        <v>3560</v>
      </c>
      <c r="K487" s="9">
        <v>6</v>
      </c>
      <c r="L487" s="6" t="s">
        <v>4275</v>
      </c>
      <c r="M487" s="6" t="s">
        <v>4278</v>
      </c>
      <c r="N487" s="24">
        <v>1214.3699999999999</v>
      </c>
      <c r="O487" s="22" t="str">
        <f>IF(Table2[[#This Row],[CouponCode]]="N/A", "Not Used", "Used")</f>
        <v>Used</v>
      </c>
    </row>
    <row r="488" spans="1:15" x14ac:dyDescent="0.3">
      <c r="A488" s="6" t="s">
        <v>500</v>
      </c>
      <c r="B488" s="2">
        <v>44960</v>
      </c>
      <c r="C488" s="6" t="s">
        <v>1700</v>
      </c>
      <c r="D488" s="6" t="s">
        <v>2407</v>
      </c>
      <c r="E488" s="9">
        <v>4</v>
      </c>
      <c r="F488" s="24">
        <v>611.26</v>
      </c>
      <c r="G488" t="s">
        <v>2727</v>
      </c>
      <c r="H488" s="6" t="s">
        <v>3069</v>
      </c>
      <c r="I488" s="6" t="s">
        <v>3070</v>
      </c>
      <c r="J488" s="6" t="s">
        <v>3561</v>
      </c>
      <c r="K488" s="9">
        <v>5</v>
      </c>
      <c r="L488" s="6" t="s">
        <v>4275</v>
      </c>
      <c r="M488" s="6" t="s">
        <v>4279</v>
      </c>
      <c r="N488" s="24">
        <v>2445.04</v>
      </c>
      <c r="O488" s="22" t="str">
        <f>IF(Table2[[#This Row],[CouponCode]]="N/A", "Not Used", "Used")</f>
        <v>Used</v>
      </c>
    </row>
    <row r="489" spans="1:15" x14ac:dyDescent="0.3">
      <c r="A489" s="6" t="s">
        <v>501</v>
      </c>
      <c r="B489" s="2">
        <v>44994</v>
      </c>
      <c r="C489" s="6" t="s">
        <v>1701</v>
      </c>
      <c r="D489" s="6" t="s">
        <v>2407</v>
      </c>
      <c r="E489" s="9">
        <v>3</v>
      </c>
      <c r="F489" s="24">
        <v>346.52</v>
      </c>
      <c r="G489" t="s">
        <v>2784</v>
      </c>
      <c r="H489" s="6" t="s">
        <v>3067</v>
      </c>
      <c r="I489" s="6" t="s">
        <v>3074</v>
      </c>
      <c r="J489" s="6" t="s">
        <v>3562</v>
      </c>
      <c r="K489" s="9">
        <v>3</v>
      </c>
      <c r="L489" s="6" t="s">
        <v>4275</v>
      </c>
      <c r="M489" s="6" t="s">
        <v>4282</v>
      </c>
      <c r="N489" s="24">
        <v>1039.56</v>
      </c>
      <c r="O489" s="22" t="str">
        <f>IF(Table2[[#This Row],[CouponCode]]="N/A", "Not Used", "Used")</f>
        <v>Used</v>
      </c>
    </row>
    <row r="490" spans="1:15" x14ac:dyDescent="0.3">
      <c r="A490" s="6" t="s">
        <v>502</v>
      </c>
      <c r="B490" s="2">
        <v>45631</v>
      </c>
      <c r="C490" s="6" t="s">
        <v>1702</v>
      </c>
      <c r="D490" s="6" t="s">
        <v>2406</v>
      </c>
      <c r="E490" s="9">
        <v>1</v>
      </c>
      <c r="F490" s="24">
        <v>36.65</v>
      </c>
      <c r="G490" t="s">
        <v>2785</v>
      </c>
      <c r="H490" s="6" t="s">
        <v>3066</v>
      </c>
      <c r="I490" s="6" t="s">
        <v>3071</v>
      </c>
      <c r="J490" s="6" t="s">
        <v>3563</v>
      </c>
      <c r="K490" s="9">
        <v>1</v>
      </c>
      <c r="L490" s="6" t="s">
        <v>4277</v>
      </c>
      <c r="M490" s="6" t="s">
        <v>4280</v>
      </c>
      <c r="N490" s="24">
        <v>36.65</v>
      </c>
      <c r="O490" s="22" t="str">
        <f>IF(Table2[[#This Row],[CouponCode]]="N/A", "Not Used", "Used")</f>
        <v>Used</v>
      </c>
    </row>
    <row r="491" spans="1:15" x14ac:dyDescent="0.3">
      <c r="A491" s="6" t="s">
        <v>503</v>
      </c>
      <c r="B491" s="2">
        <v>45174</v>
      </c>
      <c r="C491" s="6" t="s">
        <v>1703</v>
      </c>
      <c r="D491" s="6" t="s">
        <v>2405</v>
      </c>
      <c r="E491" s="9">
        <v>3</v>
      </c>
      <c r="F491" s="24">
        <v>149.34</v>
      </c>
      <c r="G491" t="s">
        <v>2637</v>
      </c>
      <c r="H491" s="6" t="s">
        <v>3068</v>
      </c>
      <c r="I491" s="6" t="s">
        <v>3071</v>
      </c>
      <c r="J491" s="6" t="s">
        <v>3564</v>
      </c>
      <c r="K491" s="9">
        <v>7</v>
      </c>
      <c r="L491" s="6" t="s">
        <v>4277</v>
      </c>
      <c r="M491" s="6" t="s">
        <v>4280</v>
      </c>
      <c r="N491" s="24">
        <v>448.02</v>
      </c>
      <c r="O491" s="22" t="str">
        <f>IF(Table2[[#This Row],[CouponCode]]="N/A", "Not Used", "Used")</f>
        <v>Used</v>
      </c>
    </row>
    <row r="492" spans="1:15" x14ac:dyDescent="0.3">
      <c r="A492" s="6" t="s">
        <v>504</v>
      </c>
      <c r="B492" s="2">
        <v>45495</v>
      </c>
      <c r="C492" s="6" t="s">
        <v>1704</v>
      </c>
      <c r="D492" s="6" t="s">
        <v>2406</v>
      </c>
      <c r="E492" s="9">
        <v>5</v>
      </c>
      <c r="F492" s="24">
        <v>467.81</v>
      </c>
      <c r="G492" t="s">
        <v>2786</v>
      </c>
      <c r="H492" s="6" t="s">
        <v>3066</v>
      </c>
      <c r="I492" s="6" t="s">
        <v>3071</v>
      </c>
      <c r="J492" s="6" t="s">
        <v>3565</v>
      </c>
      <c r="K492" s="9">
        <v>10</v>
      </c>
      <c r="L492" s="6" t="s">
        <v>4283</v>
      </c>
      <c r="M492" s="6" t="s">
        <v>4281</v>
      </c>
      <c r="N492" s="24">
        <v>2339.0500000000002</v>
      </c>
      <c r="O492" s="22" t="str">
        <f>IF(Table2[[#This Row],[CouponCode]]="N/A", "Not Used", "Used")</f>
        <v>Not Used</v>
      </c>
    </row>
    <row r="493" spans="1:15" x14ac:dyDescent="0.3">
      <c r="A493" s="6" t="s">
        <v>505</v>
      </c>
      <c r="B493" s="2">
        <v>44931</v>
      </c>
      <c r="C493" s="6" t="s">
        <v>1705</v>
      </c>
      <c r="D493" s="6" t="s">
        <v>2404</v>
      </c>
      <c r="E493" s="9">
        <v>5</v>
      </c>
      <c r="F493" s="24">
        <v>420.7</v>
      </c>
      <c r="G493" t="s">
        <v>2780</v>
      </c>
      <c r="H493" s="6" t="s">
        <v>3069</v>
      </c>
      <c r="I493" s="6" t="s">
        <v>3074</v>
      </c>
      <c r="J493" s="6" t="s">
        <v>3566</v>
      </c>
      <c r="K493" s="9">
        <v>5</v>
      </c>
      <c r="L493" s="6" t="s">
        <v>4277</v>
      </c>
      <c r="M493" s="6" t="s">
        <v>4281</v>
      </c>
      <c r="N493" s="24">
        <v>2103.5</v>
      </c>
      <c r="O493" s="22" t="str">
        <f>IF(Table2[[#This Row],[CouponCode]]="N/A", "Not Used", "Used")</f>
        <v>Used</v>
      </c>
    </row>
    <row r="494" spans="1:15" x14ac:dyDescent="0.3">
      <c r="A494" s="6" t="s">
        <v>506</v>
      </c>
      <c r="B494" s="2">
        <v>45224</v>
      </c>
      <c r="C494" s="6" t="s">
        <v>1706</v>
      </c>
      <c r="D494" s="6" t="s">
        <v>2408</v>
      </c>
      <c r="E494" s="9">
        <v>5</v>
      </c>
      <c r="F494" s="24">
        <v>606.52</v>
      </c>
      <c r="G494" t="s">
        <v>2483</v>
      </c>
      <c r="H494" s="6" t="s">
        <v>3065</v>
      </c>
      <c r="I494" s="6" t="s">
        <v>3070</v>
      </c>
      <c r="J494" s="6" t="s">
        <v>3567</v>
      </c>
      <c r="K494" s="9">
        <v>6</v>
      </c>
      <c r="L494" s="6" t="s">
        <v>4275</v>
      </c>
      <c r="M494" s="6" t="s">
        <v>4278</v>
      </c>
      <c r="N494" s="24">
        <v>3032.6</v>
      </c>
      <c r="O494" s="22" t="str">
        <f>IF(Table2[[#This Row],[CouponCode]]="N/A", "Not Used", "Used")</f>
        <v>Used</v>
      </c>
    </row>
    <row r="495" spans="1:15" x14ac:dyDescent="0.3">
      <c r="A495" s="6" t="s">
        <v>507</v>
      </c>
      <c r="B495" s="2">
        <v>45685</v>
      </c>
      <c r="C495" s="6" t="s">
        <v>1707</v>
      </c>
      <c r="D495" s="6" t="s">
        <v>2404</v>
      </c>
      <c r="E495" s="9">
        <v>1</v>
      </c>
      <c r="F495" s="24">
        <v>420.26</v>
      </c>
      <c r="G495" t="s">
        <v>2787</v>
      </c>
      <c r="H495" s="6" t="s">
        <v>3067</v>
      </c>
      <c r="I495" s="6" t="s">
        <v>3074</v>
      </c>
      <c r="J495" s="6" t="s">
        <v>3568</v>
      </c>
      <c r="K495" s="9">
        <v>4</v>
      </c>
      <c r="L495" s="6" t="s">
        <v>4276</v>
      </c>
      <c r="M495" s="6" t="s">
        <v>4281</v>
      </c>
      <c r="N495" s="24">
        <v>420.26</v>
      </c>
      <c r="O495" s="22" t="str">
        <f>IF(Table2[[#This Row],[CouponCode]]="N/A", "Not Used", "Used")</f>
        <v>Used</v>
      </c>
    </row>
    <row r="496" spans="1:15" x14ac:dyDescent="0.3">
      <c r="A496" s="6" t="s">
        <v>508</v>
      </c>
      <c r="B496" s="2">
        <v>45126</v>
      </c>
      <c r="C496" s="6" t="s">
        <v>1708</v>
      </c>
      <c r="D496" s="6" t="s">
        <v>2408</v>
      </c>
      <c r="E496" s="9">
        <v>3</v>
      </c>
      <c r="F496" s="24">
        <v>505.79</v>
      </c>
      <c r="G496" t="s">
        <v>2788</v>
      </c>
      <c r="H496" s="6" t="s">
        <v>3065</v>
      </c>
      <c r="I496" s="6" t="s">
        <v>3074</v>
      </c>
      <c r="J496" s="6" t="s">
        <v>3569</v>
      </c>
      <c r="K496" s="9">
        <v>3</v>
      </c>
      <c r="L496" s="6" t="s">
        <v>4276</v>
      </c>
      <c r="M496" s="6" t="s">
        <v>4279</v>
      </c>
      <c r="N496" s="24">
        <v>1517.37</v>
      </c>
      <c r="O496" s="22" t="str">
        <f>IF(Table2[[#This Row],[CouponCode]]="N/A", "Not Used", "Used")</f>
        <v>Used</v>
      </c>
    </row>
    <row r="497" spans="1:15" x14ac:dyDescent="0.3">
      <c r="A497" s="6" t="s">
        <v>509</v>
      </c>
      <c r="B497" s="2">
        <v>45813</v>
      </c>
      <c r="C497" s="6" t="s">
        <v>1709</v>
      </c>
      <c r="D497" s="6" t="s">
        <v>2404</v>
      </c>
      <c r="E497" s="9">
        <v>4</v>
      </c>
      <c r="F497" s="24">
        <v>493.73</v>
      </c>
      <c r="G497" t="s">
        <v>2550</v>
      </c>
      <c r="H497" s="6" t="s">
        <v>3065</v>
      </c>
      <c r="I497" s="6" t="s">
        <v>3074</v>
      </c>
      <c r="J497" s="6" t="s">
        <v>3570</v>
      </c>
      <c r="K497" s="9">
        <v>6</v>
      </c>
      <c r="L497" s="6" t="s">
        <v>4275</v>
      </c>
      <c r="M497" s="6" t="s">
        <v>4281</v>
      </c>
      <c r="N497" s="24">
        <v>1974.92</v>
      </c>
      <c r="O497" s="22" t="str">
        <f>IF(Table2[[#This Row],[CouponCode]]="N/A", "Not Used", "Used")</f>
        <v>Used</v>
      </c>
    </row>
    <row r="498" spans="1:15" x14ac:dyDescent="0.3">
      <c r="A498" s="6" t="s">
        <v>510</v>
      </c>
      <c r="B498" s="2">
        <v>45730</v>
      </c>
      <c r="C498" s="6" t="s">
        <v>1710</v>
      </c>
      <c r="D498" s="6" t="s">
        <v>2407</v>
      </c>
      <c r="E498" s="9">
        <v>3</v>
      </c>
      <c r="F498" s="24">
        <v>201.21</v>
      </c>
      <c r="G498" t="s">
        <v>2789</v>
      </c>
      <c r="H498" s="6" t="s">
        <v>3066</v>
      </c>
      <c r="I498" s="6" t="s">
        <v>3071</v>
      </c>
      <c r="J498" s="6" t="s">
        <v>3571</v>
      </c>
      <c r="K498" s="9">
        <v>3</v>
      </c>
      <c r="L498" s="6" t="s">
        <v>4275</v>
      </c>
      <c r="M498" s="6" t="s">
        <v>4282</v>
      </c>
      <c r="N498" s="24">
        <v>603.63</v>
      </c>
      <c r="O498" s="22" t="str">
        <f>IF(Table2[[#This Row],[CouponCode]]="N/A", "Not Used", "Used")</f>
        <v>Used</v>
      </c>
    </row>
    <row r="499" spans="1:15" x14ac:dyDescent="0.3">
      <c r="A499" s="6" t="s">
        <v>511</v>
      </c>
      <c r="B499" s="2">
        <v>45589</v>
      </c>
      <c r="C499" s="6" t="s">
        <v>1711</v>
      </c>
      <c r="D499" s="6" t="s">
        <v>2407</v>
      </c>
      <c r="E499" s="9">
        <v>3</v>
      </c>
      <c r="F499" s="24">
        <v>112.29</v>
      </c>
      <c r="G499" t="s">
        <v>2790</v>
      </c>
      <c r="H499" s="6" t="s">
        <v>3068</v>
      </c>
      <c r="I499" s="6" t="s">
        <v>3070</v>
      </c>
      <c r="J499" s="6" t="s">
        <v>3572</v>
      </c>
      <c r="K499" s="9">
        <v>6</v>
      </c>
      <c r="L499" s="6" t="s">
        <v>4283</v>
      </c>
      <c r="M499" s="6" t="s">
        <v>4282</v>
      </c>
      <c r="N499" s="24">
        <v>336.87</v>
      </c>
      <c r="O499" s="22" t="str">
        <f>IF(Table2[[#This Row],[CouponCode]]="N/A", "Not Used", "Used")</f>
        <v>Not Used</v>
      </c>
    </row>
    <row r="500" spans="1:15" x14ac:dyDescent="0.3">
      <c r="A500" s="6" t="s">
        <v>512</v>
      </c>
      <c r="B500" s="2">
        <v>45119</v>
      </c>
      <c r="C500" s="6" t="s">
        <v>1712</v>
      </c>
      <c r="D500" s="6" t="s">
        <v>2405</v>
      </c>
      <c r="E500" s="9">
        <v>4</v>
      </c>
      <c r="F500" s="24">
        <v>132.56</v>
      </c>
      <c r="G500" t="s">
        <v>2622</v>
      </c>
      <c r="H500" s="6" t="s">
        <v>3069</v>
      </c>
      <c r="I500" s="6" t="s">
        <v>3072</v>
      </c>
      <c r="J500" s="6" t="s">
        <v>3573</v>
      </c>
      <c r="K500" s="9">
        <v>8</v>
      </c>
      <c r="L500" s="6" t="s">
        <v>4277</v>
      </c>
      <c r="M500" s="6" t="s">
        <v>4278</v>
      </c>
      <c r="N500" s="24">
        <v>530.24</v>
      </c>
      <c r="O500" s="22" t="str">
        <f>IF(Table2[[#This Row],[CouponCode]]="N/A", "Not Used", "Used")</f>
        <v>Used</v>
      </c>
    </row>
    <row r="501" spans="1:15" x14ac:dyDescent="0.3">
      <c r="A501" s="6" t="s">
        <v>513</v>
      </c>
      <c r="B501" s="2">
        <v>45022</v>
      </c>
      <c r="C501" s="6" t="s">
        <v>1713</v>
      </c>
      <c r="D501" s="6" t="s">
        <v>2407</v>
      </c>
      <c r="E501" s="9">
        <v>3</v>
      </c>
      <c r="F501" s="24">
        <v>539.46</v>
      </c>
      <c r="G501" t="s">
        <v>2791</v>
      </c>
      <c r="H501" s="6" t="s">
        <v>3067</v>
      </c>
      <c r="I501" s="6" t="s">
        <v>3070</v>
      </c>
      <c r="J501" s="6" t="s">
        <v>3574</v>
      </c>
      <c r="K501" s="9">
        <v>4</v>
      </c>
      <c r="L501" s="6" t="s">
        <v>4275</v>
      </c>
      <c r="M501" s="6" t="s">
        <v>4281</v>
      </c>
      <c r="N501" s="24">
        <v>1618.38</v>
      </c>
      <c r="O501" s="22" t="str">
        <f>IF(Table2[[#This Row],[CouponCode]]="N/A", "Not Used", "Used")</f>
        <v>Used</v>
      </c>
    </row>
    <row r="502" spans="1:15" x14ac:dyDescent="0.3">
      <c r="A502" s="6" t="s">
        <v>514</v>
      </c>
      <c r="B502" s="2">
        <v>45389</v>
      </c>
      <c r="C502" s="6" t="s">
        <v>1714</v>
      </c>
      <c r="D502" s="6" t="s">
        <v>2408</v>
      </c>
      <c r="E502" s="9">
        <v>5</v>
      </c>
      <c r="F502" s="24">
        <v>508.59</v>
      </c>
      <c r="G502" t="s">
        <v>2792</v>
      </c>
      <c r="H502" s="6" t="s">
        <v>3069</v>
      </c>
      <c r="I502" s="6" t="s">
        <v>3072</v>
      </c>
      <c r="J502" s="6" t="s">
        <v>3575</v>
      </c>
      <c r="K502" s="9">
        <v>8</v>
      </c>
      <c r="L502" s="6" t="s">
        <v>4277</v>
      </c>
      <c r="M502" s="6" t="s">
        <v>4281</v>
      </c>
      <c r="N502" s="24">
        <v>2542.9499999999998</v>
      </c>
      <c r="O502" s="22" t="str">
        <f>IF(Table2[[#This Row],[CouponCode]]="N/A", "Not Used", "Used")</f>
        <v>Used</v>
      </c>
    </row>
    <row r="503" spans="1:15" x14ac:dyDescent="0.3">
      <c r="A503" s="6" t="s">
        <v>515</v>
      </c>
      <c r="B503" s="2">
        <v>45326</v>
      </c>
      <c r="C503" s="6" t="s">
        <v>1715</v>
      </c>
      <c r="D503" s="6" t="s">
        <v>2409</v>
      </c>
      <c r="E503" s="9">
        <v>4</v>
      </c>
      <c r="F503" s="24">
        <v>203.46</v>
      </c>
      <c r="G503" t="s">
        <v>2559</v>
      </c>
      <c r="H503" s="6" t="s">
        <v>3067</v>
      </c>
      <c r="I503" s="6" t="s">
        <v>3074</v>
      </c>
      <c r="J503" s="6" t="s">
        <v>3576</v>
      </c>
      <c r="K503" s="9">
        <v>7</v>
      </c>
      <c r="L503" s="6" t="s">
        <v>4275</v>
      </c>
      <c r="M503" s="6" t="s">
        <v>4279</v>
      </c>
      <c r="N503" s="24">
        <v>813.84</v>
      </c>
      <c r="O503" s="22" t="str">
        <f>IF(Table2[[#This Row],[CouponCode]]="N/A", "Not Used", "Used")</f>
        <v>Used</v>
      </c>
    </row>
    <row r="504" spans="1:15" x14ac:dyDescent="0.3">
      <c r="A504" s="6" t="s">
        <v>516</v>
      </c>
      <c r="B504" s="2">
        <v>45066</v>
      </c>
      <c r="C504" s="6" t="s">
        <v>1716</v>
      </c>
      <c r="D504" s="6" t="s">
        <v>2403</v>
      </c>
      <c r="E504" s="9">
        <v>3</v>
      </c>
      <c r="F504" s="24">
        <v>565.25</v>
      </c>
      <c r="G504" t="s">
        <v>2793</v>
      </c>
      <c r="H504" s="6" t="s">
        <v>3065</v>
      </c>
      <c r="I504" s="6" t="s">
        <v>3072</v>
      </c>
      <c r="J504" s="6" t="s">
        <v>3577</v>
      </c>
      <c r="K504" s="9">
        <v>7</v>
      </c>
      <c r="L504" s="6" t="s">
        <v>4275</v>
      </c>
      <c r="M504" s="6" t="s">
        <v>4280</v>
      </c>
      <c r="N504" s="24">
        <v>1695.75</v>
      </c>
      <c r="O504" s="22" t="str">
        <f>IF(Table2[[#This Row],[CouponCode]]="N/A", "Not Used", "Used")</f>
        <v>Used</v>
      </c>
    </row>
    <row r="505" spans="1:15" x14ac:dyDescent="0.3">
      <c r="A505" s="6" t="s">
        <v>517</v>
      </c>
      <c r="B505" s="2">
        <v>45169</v>
      </c>
      <c r="C505" s="6" t="s">
        <v>1717</v>
      </c>
      <c r="D505" s="6" t="s">
        <v>2405</v>
      </c>
      <c r="E505" s="9">
        <v>3</v>
      </c>
      <c r="F505" s="24">
        <v>136.84</v>
      </c>
      <c r="G505" t="s">
        <v>2794</v>
      </c>
      <c r="H505" s="6" t="s">
        <v>3066</v>
      </c>
      <c r="I505" s="6" t="s">
        <v>3074</v>
      </c>
      <c r="J505" s="6" t="s">
        <v>3578</v>
      </c>
      <c r="K505" s="9">
        <v>4</v>
      </c>
      <c r="L505" s="6" t="s">
        <v>4276</v>
      </c>
      <c r="M505" s="6" t="s">
        <v>4281</v>
      </c>
      <c r="N505" s="24">
        <v>410.52</v>
      </c>
      <c r="O505" s="22" t="str">
        <f>IF(Table2[[#This Row],[CouponCode]]="N/A", "Not Used", "Used")</f>
        <v>Used</v>
      </c>
    </row>
    <row r="506" spans="1:15" x14ac:dyDescent="0.3">
      <c r="A506" s="6" t="s">
        <v>518</v>
      </c>
      <c r="B506" s="2">
        <v>45819</v>
      </c>
      <c r="C506" s="6" t="s">
        <v>1718</v>
      </c>
      <c r="D506" s="6" t="s">
        <v>2403</v>
      </c>
      <c r="E506" s="9">
        <v>2</v>
      </c>
      <c r="F506" s="24">
        <v>464.5</v>
      </c>
      <c r="G506" t="s">
        <v>2795</v>
      </c>
      <c r="H506" s="6" t="s">
        <v>3066</v>
      </c>
      <c r="I506" s="6" t="s">
        <v>3071</v>
      </c>
      <c r="J506" s="6" t="s">
        <v>3579</v>
      </c>
      <c r="K506" s="9">
        <v>2</v>
      </c>
      <c r="L506" s="6" t="s">
        <v>4277</v>
      </c>
      <c r="M506" s="6" t="s">
        <v>4278</v>
      </c>
      <c r="N506" s="24">
        <v>929</v>
      </c>
      <c r="O506" s="22" t="str">
        <f>IF(Table2[[#This Row],[CouponCode]]="N/A", "Not Used", "Used")</f>
        <v>Used</v>
      </c>
    </row>
    <row r="507" spans="1:15" x14ac:dyDescent="0.3">
      <c r="A507" s="6" t="s">
        <v>519</v>
      </c>
      <c r="B507" s="2">
        <v>45088</v>
      </c>
      <c r="C507" s="6" t="s">
        <v>1719</v>
      </c>
      <c r="D507" s="6" t="s">
        <v>2407</v>
      </c>
      <c r="E507" s="9">
        <v>2</v>
      </c>
      <c r="F507" s="24">
        <v>434.97</v>
      </c>
      <c r="G507" t="s">
        <v>2727</v>
      </c>
      <c r="H507" s="6" t="s">
        <v>3066</v>
      </c>
      <c r="I507" s="6" t="s">
        <v>3070</v>
      </c>
      <c r="J507" s="6" t="s">
        <v>3580</v>
      </c>
      <c r="K507" s="9">
        <v>7</v>
      </c>
      <c r="L507" s="6" t="s">
        <v>4283</v>
      </c>
      <c r="M507" s="6" t="s">
        <v>4280</v>
      </c>
      <c r="N507" s="24">
        <v>869.94</v>
      </c>
      <c r="O507" s="22" t="str">
        <f>IF(Table2[[#This Row],[CouponCode]]="N/A", "Not Used", "Used")</f>
        <v>Not Used</v>
      </c>
    </row>
    <row r="508" spans="1:15" x14ac:dyDescent="0.3">
      <c r="A508" s="6" t="s">
        <v>520</v>
      </c>
      <c r="B508" s="2">
        <v>45132</v>
      </c>
      <c r="C508" s="6" t="s">
        <v>1720</v>
      </c>
      <c r="D508" s="6" t="s">
        <v>2403</v>
      </c>
      <c r="E508" s="9">
        <v>2</v>
      </c>
      <c r="F508" s="24">
        <v>43.67</v>
      </c>
      <c r="G508" t="s">
        <v>2796</v>
      </c>
      <c r="H508" s="6" t="s">
        <v>3069</v>
      </c>
      <c r="I508" s="6" t="s">
        <v>3072</v>
      </c>
      <c r="J508" s="6" t="s">
        <v>3581</v>
      </c>
      <c r="K508" s="9">
        <v>4</v>
      </c>
      <c r="L508" s="6" t="s">
        <v>4277</v>
      </c>
      <c r="M508" s="6" t="s">
        <v>4278</v>
      </c>
      <c r="N508" s="24">
        <v>87.34</v>
      </c>
      <c r="O508" s="22" t="str">
        <f>IF(Table2[[#This Row],[CouponCode]]="N/A", "Not Used", "Used")</f>
        <v>Used</v>
      </c>
    </row>
    <row r="509" spans="1:15" x14ac:dyDescent="0.3">
      <c r="A509" s="6" t="s">
        <v>521</v>
      </c>
      <c r="B509" s="2">
        <v>45112</v>
      </c>
      <c r="C509" s="6" t="s">
        <v>1721</v>
      </c>
      <c r="D509" s="6" t="s">
        <v>2404</v>
      </c>
      <c r="E509" s="9">
        <v>1</v>
      </c>
      <c r="F509" s="24">
        <v>171.59</v>
      </c>
      <c r="G509" t="s">
        <v>2684</v>
      </c>
      <c r="H509" s="6" t="s">
        <v>3067</v>
      </c>
      <c r="I509" s="6" t="s">
        <v>3074</v>
      </c>
      <c r="J509" s="6" t="s">
        <v>3582</v>
      </c>
      <c r="K509" s="9">
        <v>5</v>
      </c>
      <c r="L509" s="6" t="s">
        <v>4277</v>
      </c>
      <c r="M509" s="6" t="s">
        <v>4280</v>
      </c>
      <c r="N509" s="24">
        <v>171.59</v>
      </c>
      <c r="O509" s="22" t="str">
        <f>IF(Table2[[#This Row],[CouponCode]]="N/A", "Not Used", "Used")</f>
        <v>Used</v>
      </c>
    </row>
    <row r="510" spans="1:15" x14ac:dyDescent="0.3">
      <c r="A510" s="6" t="s">
        <v>522</v>
      </c>
      <c r="B510" s="2">
        <v>45791</v>
      </c>
      <c r="C510" s="6" t="s">
        <v>1722</v>
      </c>
      <c r="D510" s="6" t="s">
        <v>2404</v>
      </c>
      <c r="E510" s="9">
        <v>1</v>
      </c>
      <c r="F510" s="24">
        <v>558.27</v>
      </c>
      <c r="G510" t="s">
        <v>2797</v>
      </c>
      <c r="H510" s="6" t="s">
        <v>3066</v>
      </c>
      <c r="I510" s="6" t="s">
        <v>3073</v>
      </c>
      <c r="J510" s="6" t="s">
        <v>3583</v>
      </c>
      <c r="K510" s="9">
        <v>1</v>
      </c>
      <c r="L510" s="6" t="s">
        <v>4283</v>
      </c>
      <c r="M510" s="6" t="s">
        <v>4279</v>
      </c>
      <c r="N510" s="24">
        <v>558.27</v>
      </c>
      <c r="O510" s="22" t="str">
        <f>IF(Table2[[#This Row],[CouponCode]]="N/A", "Not Used", "Used")</f>
        <v>Not Used</v>
      </c>
    </row>
    <row r="511" spans="1:15" x14ac:dyDescent="0.3">
      <c r="A511" s="6" t="s">
        <v>523</v>
      </c>
      <c r="B511" s="2">
        <v>44972</v>
      </c>
      <c r="C511" s="6" t="s">
        <v>1723</v>
      </c>
      <c r="D511" s="6" t="s">
        <v>2408</v>
      </c>
      <c r="E511" s="9">
        <v>2</v>
      </c>
      <c r="F511" s="24">
        <v>425.03</v>
      </c>
      <c r="G511" t="s">
        <v>2798</v>
      </c>
      <c r="H511" s="6" t="s">
        <v>3069</v>
      </c>
      <c r="I511" s="6" t="s">
        <v>3072</v>
      </c>
      <c r="J511" s="6" t="s">
        <v>3584</v>
      </c>
      <c r="K511" s="9">
        <v>2</v>
      </c>
      <c r="L511" s="6" t="s">
        <v>4277</v>
      </c>
      <c r="M511" s="6" t="s">
        <v>4282</v>
      </c>
      <c r="N511" s="24">
        <v>850.06</v>
      </c>
      <c r="O511" s="22" t="str">
        <f>IF(Table2[[#This Row],[CouponCode]]="N/A", "Not Used", "Used")</f>
        <v>Used</v>
      </c>
    </row>
    <row r="512" spans="1:15" x14ac:dyDescent="0.3">
      <c r="A512" s="6" t="s">
        <v>524</v>
      </c>
      <c r="B512" s="2">
        <v>45642</v>
      </c>
      <c r="C512" s="6" t="s">
        <v>1724</v>
      </c>
      <c r="D512" s="6" t="s">
        <v>2407</v>
      </c>
      <c r="E512" s="9">
        <v>1</v>
      </c>
      <c r="F512" s="24">
        <v>376.76</v>
      </c>
      <c r="G512" t="s">
        <v>2799</v>
      </c>
      <c r="H512" s="6" t="s">
        <v>3065</v>
      </c>
      <c r="I512" s="6" t="s">
        <v>3073</v>
      </c>
      <c r="J512" s="6" t="s">
        <v>3585</v>
      </c>
      <c r="K512" s="9">
        <v>5</v>
      </c>
      <c r="L512" s="6" t="s">
        <v>4275</v>
      </c>
      <c r="M512" s="6" t="s">
        <v>4280</v>
      </c>
      <c r="N512" s="24">
        <v>376.76</v>
      </c>
      <c r="O512" s="22" t="str">
        <f>IF(Table2[[#This Row],[CouponCode]]="N/A", "Not Used", "Used")</f>
        <v>Used</v>
      </c>
    </row>
    <row r="513" spans="1:15" x14ac:dyDescent="0.3">
      <c r="A513" s="6" t="s">
        <v>525</v>
      </c>
      <c r="B513" s="2">
        <v>45366</v>
      </c>
      <c r="C513" s="6" t="s">
        <v>1725</v>
      </c>
      <c r="D513" s="6" t="s">
        <v>2403</v>
      </c>
      <c r="E513" s="9">
        <v>5</v>
      </c>
      <c r="F513" s="24">
        <v>575.24</v>
      </c>
      <c r="G513" t="s">
        <v>2450</v>
      </c>
      <c r="H513" s="6" t="s">
        <v>3069</v>
      </c>
      <c r="I513" s="6" t="s">
        <v>3073</v>
      </c>
      <c r="J513" s="6" t="s">
        <v>3586</v>
      </c>
      <c r="K513" s="9">
        <v>7</v>
      </c>
      <c r="L513" s="6" t="s">
        <v>4277</v>
      </c>
      <c r="M513" s="6" t="s">
        <v>4280</v>
      </c>
      <c r="N513" s="24">
        <v>2876.2</v>
      </c>
      <c r="O513" s="22" t="str">
        <f>IF(Table2[[#This Row],[CouponCode]]="N/A", "Not Used", "Used")</f>
        <v>Used</v>
      </c>
    </row>
    <row r="514" spans="1:15" x14ac:dyDescent="0.3">
      <c r="A514" s="6" t="s">
        <v>526</v>
      </c>
      <c r="B514" s="2">
        <v>45562</v>
      </c>
      <c r="C514" s="6" t="s">
        <v>1726</v>
      </c>
      <c r="D514" s="6" t="s">
        <v>2409</v>
      </c>
      <c r="E514" s="9">
        <v>3</v>
      </c>
      <c r="F514" s="24">
        <v>568.02</v>
      </c>
      <c r="G514" t="s">
        <v>2662</v>
      </c>
      <c r="H514" s="6" t="s">
        <v>3066</v>
      </c>
      <c r="I514" s="6" t="s">
        <v>3074</v>
      </c>
      <c r="J514" s="6" t="s">
        <v>3587</v>
      </c>
      <c r="K514" s="9">
        <v>3</v>
      </c>
      <c r="L514" s="6" t="s">
        <v>4276</v>
      </c>
      <c r="M514" s="6" t="s">
        <v>4278</v>
      </c>
      <c r="N514" s="24">
        <v>1704.06</v>
      </c>
      <c r="O514" s="22" t="str">
        <f>IF(Table2[[#This Row],[CouponCode]]="N/A", "Not Used", "Used")</f>
        <v>Used</v>
      </c>
    </row>
    <row r="515" spans="1:15" x14ac:dyDescent="0.3">
      <c r="A515" s="6" t="s">
        <v>527</v>
      </c>
      <c r="B515" s="2">
        <v>45697</v>
      </c>
      <c r="C515" s="6" t="s">
        <v>1727</v>
      </c>
      <c r="D515" s="6" t="s">
        <v>2405</v>
      </c>
      <c r="E515" s="9">
        <v>3</v>
      </c>
      <c r="F515" s="24">
        <v>94.88</v>
      </c>
      <c r="G515" t="s">
        <v>2501</v>
      </c>
      <c r="H515" s="6" t="s">
        <v>3068</v>
      </c>
      <c r="I515" s="6" t="s">
        <v>3070</v>
      </c>
      <c r="J515" s="6" t="s">
        <v>3588</v>
      </c>
      <c r="K515" s="9">
        <v>8</v>
      </c>
      <c r="L515" s="6" t="s">
        <v>4283</v>
      </c>
      <c r="M515" s="6" t="s">
        <v>4279</v>
      </c>
      <c r="N515" s="24">
        <v>284.64</v>
      </c>
      <c r="O515" s="22" t="str">
        <f>IF(Table2[[#This Row],[CouponCode]]="N/A", "Not Used", "Used")</f>
        <v>Not Used</v>
      </c>
    </row>
    <row r="516" spans="1:15" x14ac:dyDescent="0.3">
      <c r="A516" s="6" t="s">
        <v>528</v>
      </c>
      <c r="B516" s="2">
        <v>45032</v>
      </c>
      <c r="C516" s="6" t="s">
        <v>1728</v>
      </c>
      <c r="D516" s="6" t="s">
        <v>2407</v>
      </c>
      <c r="E516" s="9">
        <v>3</v>
      </c>
      <c r="F516" s="24">
        <v>304.14999999999998</v>
      </c>
      <c r="G516" t="s">
        <v>2764</v>
      </c>
      <c r="H516" s="6" t="s">
        <v>3068</v>
      </c>
      <c r="I516" s="6" t="s">
        <v>3070</v>
      </c>
      <c r="J516" s="6" t="s">
        <v>3589</v>
      </c>
      <c r="K516" s="9">
        <v>3</v>
      </c>
      <c r="L516" s="6" t="s">
        <v>4277</v>
      </c>
      <c r="M516" s="6" t="s">
        <v>4278</v>
      </c>
      <c r="N516" s="24">
        <v>912.44999999999993</v>
      </c>
      <c r="O516" s="22" t="str">
        <f>IF(Table2[[#This Row],[CouponCode]]="N/A", "Not Used", "Used")</f>
        <v>Used</v>
      </c>
    </row>
    <row r="517" spans="1:15" x14ac:dyDescent="0.3">
      <c r="A517" s="6" t="s">
        <v>529</v>
      </c>
      <c r="B517" s="2">
        <v>44999</v>
      </c>
      <c r="C517" s="6" t="s">
        <v>1729</v>
      </c>
      <c r="D517" s="6" t="s">
        <v>2404</v>
      </c>
      <c r="E517" s="9">
        <v>3</v>
      </c>
      <c r="F517" s="24">
        <v>553.52</v>
      </c>
      <c r="G517" t="s">
        <v>2762</v>
      </c>
      <c r="H517" s="6" t="s">
        <v>3068</v>
      </c>
      <c r="I517" s="6" t="s">
        <v>3070</v>
      </c>
      <c r="J517" s="6" t="s">
        <v>3590</v>
      </c>
      <c r="K517" s="9">
        <v>4</v>
      </c>
      <c r="L517" s="6" t="s">
        <v>4276</v>
      </c>
      <c r="M517" s="6" t="s">
        <v>4281</v>
      </c>
      <c r="N517" s="24">
        <v>1660.56</v>
      </c>
      <c r="O517" s="22" t="str">
        <f>IF(Table2[[#This Row],[CouponCode]]="N/A", "Not Used", "Used")</f>
        <v>Used</v>
      </c>
    </row>
    <row r="518" spans="1:15" x14ac:dyDescent="0.3">
      <c r="A518" s="6" t="s">
        <v>530</v>
      </c>
      <c r="B518" s="2">
        <v>45389</v>
      </c>
      <c r="C518" s="6" t="s">
        <v>1730</v>
      </c>
      <c r="D518" s="6" t="s">
        <v>2403</v>
      </c>
      <c r="E518" s="9">
        <v>3</v>
      </c>
      <c r="F518" s="24">
        <v>166.99</v>
      </c>
      <c r="G518" t="s">
        <v>2659</v>
      </c>
      <c r="H518" s="6" t="s">
        <v>3069</v>
      </c>
      <c r="I518" s="6" t="s">
        <v>3072</v>
      </c>
      <c r="J518" s="6" t="s">
        <v>3591</v>
      </c>
      <c r="K518" s="9">
        <v>8</v>
      </c>
      <c r="L518" s="6" t="s">
        <v>4283</v>
      </c>
      <c r="M518" s="6" t="s">
        <v>4281</v>
      </c>
      <c r="N518" s="24">
        <v>500.97</v>
      </c>
      <c r="O518" s="22" t="str">
        <f>IF(Table2[[#This Row],[CouponCode]]="N/A", "Not Used", "Used")</f>
        <v>Not Used</v>
      </c>
    </row>
    <row r="519" spans="1:15" x14ac:dyDescent="0.3">
      <c r="A519" s="6" t="s">
        <v>531</v>
      </c>
      <c r="B519" s="2">
        <v>45391</v>
      </c>
      <c r="C519" s="6" t="s">
        <v>1731</v>
      </c>
      <c r="D519" s="6" t="s">
        <v>2405</v>
      </c>
      <c r="E519" s="9">
        <v>4</v>
      </c>
      <c r="F519" s="24">
        <v>198.35</v>
      </c>
      <c r="G519" t="s">
        <v>2781</v>
      </c>
      <c r="H519" s="6" t="s">
        <v>3069</v>
      </c>
      <c r="I519" s="6" t="s">
        <v>3071</v>
      </c>
      <c r="J519" s="6" t="s">
        <v>3592</v>
      </c>
      <c r="K519" s="9">
        <v>7</v>
      </c>
      <c r="L519" s="6" t="s">
        <v>4276</v>
      </c>
      <c r="M519" s="6" t="s">
        <v>4282</v>
      </c>
      <c r="N519" s="24">
        <v>793.4</v>
      </c>
      <c r="O519" s="22" t="str">
        <f>IF(Table2[[#This Row],[CouponCode]]="N/A", "Not Used", "Used")</f>
        <v>Used</v>
      </c>
    </row>
    <row r="520" spans="1:15" x14ac:dyDescent="0.3">
      <c r="A520" s="6" t="s">
        <v>532</v>
      </c>
      <c r="B520" s="2">
        <v>45821</v>
      </c>
      <c r="C520" s="6" t="s">
        <v>1732</v>
      </c>
      <c r="D520" s="6" t="s">
        <v>2407</v>
      </c>
      <c r="E520" s="9">
        <v>4</v>
      </c>
      <c r="F520" s="24">
        <v>403.58</v>
      </c>
      <c r="G520" t="s">
        <v>2732</v>
      </c>
      <c r="H520" s="6" t="s">
        <v>3066</v>
      </c>
      <c r="I520" s="6" t="s">
        <v>3074</v>
      </c>
      <c r="J520" s="6" t="s">
        <v>3593</v>
      </c>
      <c r="K520" s="9">
        <v>9</v>
      </c>
      <c r="L520" s="6" t="s">
        <v>4275</v>
      </c>
      <c r="M520" s="6" t="s">
        <v>4279</v>
      </c>
      <c r="N520" s="24">
        <v>1614.32</v>
      </c>
      <c r="O520" s="22" t="str">
        <f>IF(Table2[[#This Row],[CouponCode]]="N/A", "Not Used", "Used")</f>
        <v>Used</v>
      </c>
    </row>
    <row r="521" spans="1:15" x14ac:dyDescent="0.3">
      <c r="A521" s="6" t="s">
        <v>533</v>
      </c>
      <c r="B521" s="2">
        <v>45787</v>
      </c>
      <c r="C521" s="6" t="s">
        <v>1733</v>
      </c>
      <c r="D521" s="6" t="s">
        <v>2408</v>
      </c>
      <c r="E521" s="9">
        <v>4</v>
      </c>
      <c r="F521" s="24">
        <v>464.29</v>
      </c>
      <c r="G521" t="s">
        <v>2800</v>
      </c>
      <c r="H521" s="6" t="s">
        <v>3065</v>
      </c>
      <c r="I521" s="6" t="s">
        <v>3072</v>
      </c>
      <c r="J521" s="6" t="s">
        <v>3594</v>
      </c>
      <c r="K521" s="9">
        <v>5</v>
      </c>
      <c r="L521" s="6" t="s">
        <v>4275</v>
      </c>
      <c r="M521" s="6" t="s">
        <v>4280</v>
      </c>
      <c r="N521" s="24">
        <v>1857.16</v>
      </c>
      <c r="O521" s="22" t="str">
        <f>IF(Table2[[#This Row],[CouponCode]]="N/A", "Not Used", "Used")</f>
        <v>Used</v>
      </c>
    </row>
    <row r="522" spans="1:15" x14ac:dyDescent="0.3">
      <c r="A522" s="6" t="s">
        <v>534</v>
      </c>
      <c r="B522" s="2">
        <v>44995</v>
      </c>
      <c r="C522" s="6" t="s">
        <v>1734</v>
      </c>
      <c r="D522" s="6" t="s">
        <v>2403</v>
      </c>
      <c r="E522" s="9">
        <v>3</v>
      </c>
      <c r="F522" s="24">
        <v>635.98</v>
      </c>
      <c r="G522" t="s">
        <v>2801</v>
      </c>
      <c r="H522" s="6" t="s">
        <v>3069</v>
      </c>
      <c r="I522" s="6" t="s">
        <v>3072</v>
      </c>
      <c r="J522" s="6" t="s">
        <v>3595</v>
      </c>
      <c r="K522" s="9">
        <v>5</v>
      </c>
      <c r="L522" s="6" t="s">
        <v>4283</v>
      </c>
      <c r="M522" s="6" t="s">
        <v>4279</v>
      </c>
      <c r="N522" s="24">
        <v>1907.94</v>
      </c>
      <c r="O522" s="22" t="str">
        <f>IF(Table2[[#This Row],[CouponCode]]="N/A", "Not Used", "Used")</f>
        <v>Not Used</v>
      </c>
    </row>
    <row r="523" spans="1:15" x14ac:dyDescent="0.3">
      <c r="A523" s="6" t="s">
        <v>535</v>
      </c>
      <c r="B523" s="2">
        <v>45347</v>
      </c>
      <c r="C523" s="6" t="s">
        <v>1735</v>
      </c>
      <c r="D523" s="6" t="s">
        <v>2404</v>
      </c>
      <c r="E523" s="9">
        <v>1</v>
      </c>
      <c r="F523" s="24">
        <v>528.05999999999995</v>
      </c>
      <c r="G523" t="s">
        <v>2802</v>
      </c>
      <c r="H523" s="6" t="s">
        <v>3067</v>
      </c>
      <c r="I523" s="6" t="s">
        <v>3070</v>
      </c>
      <c r="J523" s="6" t="s">
        <v>3596</v>
      </c>
      <c r="K523" s="9">
        <v>2</v>
      </c>
      <c r="L523" s="6" t="s">
        <v>4283</v>
      </c>
      <c r="M523" s="6" t="s">
        <v>4281</v>
      </c>
      <c r="N523" s="24">
        <v>528.05999999999995</v>
      </c>
      <c r="O523" s="22" t="str">
        <f>IF(Table2[[#This Row],[CouponCode]]="N/A", "Not Used", "Used")</f>
        <v>Not Used</v>
      </c>
    </row>
    <row r="524" spans="1:15" x14ac:dyDescent="0.3">
      <c r="A524" s="6" t="s">
        <v>536</v>
      </c>
      <c r="B524" s="2">
        <v>45402</v>
      </c>
      <c r="C524" s="6" t="s">
        <v>1736</v>
      </c>
      <c r="D524" s="6" t="s">
        <v>2406</v>
      </c>
      <c r="E524" s="9">
        <v>1</v>
      </c>
      <c r="F524" s="24">
        <v>515.32000000000005</v>
      </c>
      <c r="G524" t="s">
        <v>2650</v>
      </c>
      <c r="H524" s="6" t="s">
        <v>3068</v>
      </c>
      <c r="I524" s="6" t="s">
        <v>3071</v>
      </c>
      <c r="J524" s="6" t="s">
        <v>3597</v>
      </c>
      <c r="K524" s="9">
        <v>1</v>
      </c>
      <c r="L524" s="6" t="s">
        <v>4276</v>
      </c>
      <c r="M524" s="6" t="s">
        <v>4280</v>
      </c>
      <c r="N524" s="24">
        <v>515.32000000000005</v>
      </c>
      <c r="O524" s="22" t="str">
        <f>IF(Table2[[#This Row],[CouponCode]]="N/A", "Not Used", "Used")</f>
        <v>Used</v>
      </c>
    </row>
    <row r="525" spans="1:15" x14ac:dyDescent="0.3">
      <c r="A525" s="6" t="s">
        <v>537</v>
      </c>
      <c r="B525" s="2">
        <v>45706</v>
      </c>
      <c r="C525" s="6" t="s">
        <v>1737</v>
      </c>
      <c r="D525" s="6" t="s">
        <v>2409</v>
      </c>
      <c r="E525" s="9">
        <v>4</v>
      </c>
      <c r="F525" s="24">
        <v>657.79</v>
      </c>
      <c r="G525" t="s">
        <v>2741</v>
      </c>
      <c r="H525" s="6" t="s">
        <v>3067</v>
      </c>
      <c r="I525" s="6" t="s">
        <v>3072</v>
      </c>
      <c r="J525" s="6" t="s">
        <v>3598</v>
      </c>
      <c r="K525" s="9">
        <v>6</v>
      </c>
      <c r="L525" s="6" t="s">
        <v>4277</v>
      </c>
      <c r="M525" s="6" t="s">
        <v>4282</v>
      </c>
      <c r="N525" s="24">
        <v>2631.16</v>
      </c>
      <c r="O525" s="22" t="str">
        <f>IF(Table2[[#This Row],[CouponCode]]="N/A", "Not Used", "Used")</f>
        <v>Used</v>
      </c>
    </row>
    <row r="526" spans="1:15" x14ac:dyDescent="0.3">
      <c r="A526" s="6" t="s">
        <v>538</v>
      </c>
      <c r="B526" s="2">
        <v>45224</v>
      </c>
      <c r="C526" s="6" t="s">
        <v>1738</v>
      </c>
      <c r="D526" s="6" t="s">
        <v>2404</v>
      </c>
      <c r="E526" s="9">
        <v>1</v>
      </c>
      <c r="F526" s="24">
        <v>153</v>
      </c>
      <c r="G526" t="s">
        <v>2483</v>
      </c>
      <c r="H526" s="6" t="s">
        <v>3067</v>
      </c>
      <c r="I526" s="6" t="s">
        <v>3072</v>
      </c>
      <c r="J526" s="6" t="s">
        <v>3599</v>
      </c>
      <c r="K526" s="9">
        <v>4</v>
      </c>
      <c r="L526" s="6" t="s">
        <v>4283</v>
      </c>
      <c r="M526" s="6" t="s">
        <v>4279</v>
      </c>
      <c r="N526" s="24">
        <v>153</v>
      </c>
      <c r="O526" s="22" t="str">
        <f>IF(Table2[[#This Row],[CouponCode]]="N/A", "Not Used", "Used")</f>
        <v>Not Used</v>
      </c>
    </row>
    <row r="527" spans="1:15" x14ac:dyDescent="0.3">
      <c r="A527" s="6" t="s">
        <v>539</v>
      </c>
      <c r="B527" s="2">
        <v>45263</v>
      </c>
      <c r="C527" s="6" t="s">
        <v>1739</v>
      </c>
      <c r="D527" s="6" t="s">
        <v>2403</v>
      </c>
      <c r="E527" s="9">
        <v>1</v>
      </c>
      <c r="F527" s="24">
        <v>668.48</v>
      </c>
      <c r="G527" t="s">
        <v>2762</v>
      </c>
      <c r="H527" s="6" t="s">
        <v>3065</v>
      </c>
      <c r="I527" s="6" t="s">
        <v>3070</v>
      </c>
      <c r="J527" s="6" t="s">
        <v>3600</v>
      </c>
      <c r="K527" s="9">
        <v>1</v>
      </c>
      <c r="L527" s="6" t="s">
        <v>4275</v>
      </c>
      <c r="M527" s="6" t="s">
        <v>4280</v>
      </c>
      <c r="N527" s="24">
        <v>668.48</v>
      </c>
      <c r="O527" s="22" t="str">
        <f>IF(Table2[[#This Row],[CouponCode]]="N/A", "Not Used", "Used")</f>
        <v>Used</v>
      </c>
    </row>
    <row r="528" spans="1:15" x14ac:dyDescent="0.3">
      <c r="A528" s="6" t="s">
        <v>540</v>
      </c>
      <c r="B528" s="2">
        <v>45351</v>
      </c>
      <c r="C528" s="6" t="s">
        <v>1740</v>
      </c>
      <c r="D528" s="6" t="s">
        <v>2409</v>
      </c>
      <c r="E528" s="9">
        <v>2</v>
      </c>
      <c r="F528" s="24">
        <v>46.5</v>
      </c>
      <c r="G528" t="s">
        <v>2497</v>
      </c>
      <c r="H528" s="6" t="s">
        <v>3069</v>
      </c>
      <c r="I528" s="6" t="s">
        <v>3072</v>
      </c>
      <c r="J528" s="6" t="s">
        <v>3601</v>
      </c>
      <c r="K528" s="9">
        <v>7</v>
      </c>
      <c r="L528" s="6" t="s">
        <v>4277</v>
      </c>
      <c r="M528" s="6" t="s">
        <v>4282</v>
      </c>
      <c r="N528" s="24">
        <v>93</v>
      </c>
      <c r="O528" s="22" t="str">
        <f>IF(Table2[[#This Row],[CouponCode]]="N/A", "Not Used", "Used")</f>
        <v>Used</v>
      </c>
    </row>
    <row r="529" spans="1:15" x14ac:dyDescent="0.3">
      <c r="A529" s="6" t="s">
        <v>541</v>
      </c>
      <c r="B529" s="2">
        <v>45523</v>
      </c>
      <c r="C529" s="6" t="s">
        <v>1741</v>
      </c>
      <c r="D529" s="6" t="s">
        <v>2406</v>
      </c>
      <c r="E529" s="9">
        <v>5</v>
      </c>
      <c r="F529" s="24">
        <v>653.47</v>
      </c>
      <c r="G529" t="s">
        <v>2488</v>
      </c>
      <c r="H529" s="6" t="s">
        <v>3067</v>
      </c>
      <c r="I529" s="6" t="s">
        <v>3071</v>
      </c>
      <c r="J529" s="6" t="s">
        <v>3602</v>
      </c>
      <c r="K529" s="9">
        <v>10</v>
      </c>
      <c r="L529" s="6" t="s">
        <v>4275</v>
      </c>
      <c r="M529" s="6" t="s">
        <v>4279</v>
      </c>
      <c r="N529" s="24">
        <v>3267.35</v>
      </c>
      <c r="O529" s="22" t="str">
        <f>IF(Table2[[#This Row],[CouponCode]]="N/A", "Not Used", "Used")</f>
        <v>Used</v>
      </c>
    </row>
    <row r="530" spans="1:15" x14ac:dyDescent="0.3">
      <c r="A530" s="6" t="s">
        <v>542</v>
      </c>
      <c r="B530" s="2">
        <v>45714</v>
      </c>
      <c r="C530" s="6" t="s">
        <v>1742</v>
      </c>
      <c r="D530" s="6" t="s">
        <v>2406</v>
      </c>
      <c r="E530" s="9">
        <v>1</v>
      </c>
      <c r="F530" s="24">
        <v>628.89</v>
      </c>
      <c r="G530" t="s">
        <v>2765</v>
      </c>
      <c r="H530" s="6" t="s">
        <v>3067</v>
      </c>
      <c r="I530" s="6" t="s">
        <v>3072</v>
      </c>
      <c r="J530" s="6" t="s">
        <v>3603</v>
      </c>
      <c r="K530" s="9">
        <v>2</v>
      </c>
      <c r="L530" s="6" t="s">
        <v>4275</v>
      </c>
      <c r="M530" s="6" t="s">
        <v>4279</v>
      </c>
      <c r="N530" s="24">
        <v>628.89</v>
      </c>
      <c r="O530" s="22" t="str">
        <f>IF(Table2[[#This Row],[CouponCode]]="N/A", "Not Used", "Used")</f>
        <v>Used</v>
      </c>
    </row>
    <row r="531" spans="1:15" x14ac:dyDescent="0.3">
      <c r="A531" s="6" t="s">
        <v>543</v>
      </c>
      <c r="B531" s="2">
        <v>45389</v>
      </c>
      <c r="C531" s="6" t="s">
        <v>1743</v>
      </c>
      <c r="D531" s="6" t="s">
        <v>2405</v>
      </c>
      <c r="E531" s="9">
        <v>2</v>
      </c>
      <c r="F531" s="24">
        <v>675.1</v>
      </c>
      <c r="G531" t="s">
        <v>2803</v>
      </c>
      <c r="H531" s="6" t="s">
        <v>3069</v>
      </c>
      <c r="I531" s="6" t="s">
        <v>3074</v>
      </c>
      <c r="J531" s="6" t="s">
        <v>3604</v>
      </c>
      <c r="K531" s="9">
        <v>4</v>
      </c>
      <c r="L531" s="6" t="s">
        <v>4276</v>
      </c>
      <c r="M531" s="6" t="s">
        <v>4282</v>
      </c>
      <c r="N531" s="24">
        <v>1350.2</v>
      </c>
      <c r="O531" s="22" t="str">
        <f>IF(Table2[[#This Row],[CouponCode]]="N/A", "Not Used", "Used")</f>
        <v>Used</v>
      </c>
    </row>
    <row r="532" spans="1:15" x14ac:dyDescent="0.3">
      <c r="A532" s="6" t="s">
        <v>544</v>
      </c>
      <c r="B532" s="2">
        <v>45491</v>
      </c>
      <c r="C532" s="6" t="s">
        <v>1744</v>
      </c>
      <c r="D532" s="6" t="s">
        <v>2406</v>
      </c>
      <c r="E532" s="9">
        <v>4</v>
      </c>
      <c r="F532" s="24">
        <v>89.41</v>
      </c>
      <c r="G532" t="s">
        <v>2804</v>
      </c>
      <c r="H532" s="6" t="s">
        <v>3066</v>
      </c>
      <c r="I532" s="6" t="s">
        <v>3074</v>
      </c>
      <c r="J532" s="6" t="s">
        <v>3605</v>
      </c>
      <c r="K532" s="9">
        <v>9</v>
      </c>
      <c r="L532" s="6" t="s">
        <v>4283</v>
      </c>
      <c r="M532" s="6" t="s">
        <v>4282</v>
      </c>
      <c r="N532" s="24">
        <v>357.64</v>
      </c>
      <c r="O532" s="22" t="str">
        <f>IF(Table2[[#This Row],[CouponCode]]="N/A", "Not Used", "Used")</f>
        <v>Not Used</v>
      </c>
    </row>
    <row r="533" spans="1:15" x14ac:dyDescent="0.3">
      <c r="A533" s="6" t="s">
        <v>545</v>
      </c>
      <c r="B533" s="2">
        <v>45475</v>
      </c>
      <c r="C533" s="6" t="s">
        <v>1745</v>
      </c>
      <c r="D533" s="6" t="s">
        <v>2409</v>
      </c>
      <c r="E533" s="9">
        <v>5</v>
      </c>
      <c r="F533" s="24">
        <v>320.01</v>
      </c>
      <c r="G533" t="s">
        <v>2805</v>
      </c>
      <c r="H533" s="6" t="s">
        <v>3068</v>
      </c>
      <c r="I533" s="6" t="s">
        <v>3073</v>
      </c>
      <c r="J533" s="6" t="s">
        <v>3606</v>
      </c>
      <c r="K533" s="9">
        <v>6</v>
      </c>
      <c r="L533" s="6" t="s">
        <v>4283</v>
      </c>
      <c r="M533" s="6" t="s">
        <v>4279</v>
      </c>
      <c r="N533" s="24">
        <v>1600.05</v>
      </c>
      <c r="O533" s="22" t="str">
        <f>IF(Table2[[#This Row],[CouponCode]]="N/A", "Not Used", "Used")</f>
        <v>Not Used</v>
      </c>
    </row>
    <row r="534" spans="1:15" x14ac:dyDescent="0.3">
      <c r="A534" s="6" t="s">
        <v>546</v>
      </c>
      <c r="B534" s="2">
        <v>45780</v>
      </c>
      <c r="C534" s="6" t="s">
        <v>1746</v>
      </c>
      <c r="D534" s="6" t="s">
        <v>2408</v>
      </c>
      <c r="E534" s="9">
        <v>2</v>
      </c>
      <c r="F534" s="24">
        <v>41</v>
      </c>
      <c r="G534" t="s">
        <v>2806</v>
      </c>
      <c r="H534" s="6" t="s">
        <v>3066</v>
      </c>
      <c r="I534" s="6" t="s">
        <v>3073</v>
      </c>
      <c r="J534" s="6" t="s">
        <v>3607</v>
      </c>
      <c r="K534" s="9">
        <v>7</v>
      </c>
      <c r="L534" s="6" t="s">
        <v>4283</v>
      </c>
      <c r="M534" s="6" t="s">
        <v>4280</v>
      </c>
      <c r="N534" s="24">
        <v>82</v>
      </c>
      <c r="O534" s="22" t="str">
        <f>IF(Table2[[#This Row],[CouponCode]]="N/A", "Not Used", "Used")</f>
        <v>Not Used</v>
      </c>
    </row>
    <row r="535" spans="1:15" x14ac:dyDescent="0.3">
      <c r="A535" s="6" t="s">
        <v>547</v>
      </c>
      <c r="B535" s="2">
        <v>44990</v>
      </c>
      <c r="C535" s="6" t="s">
        <v>1747</v>
      </c>
      <c r="D535" s="6" t="s">
        <v>2409</v>
      </c>
      <c r="E535" s="9">
        <v>1</v>
      </c>
      <c r="F535" s="24">
        <v>565.85</v>
      </c>
      <c r="G535" t="s">
        <v>2472</v>
      </c>
      <c r="H535" s="6" t="s">
        <v>3068</v>
      </c>
      <c r="I535" s="6" t="s">
        <v>3072</v>
      </c>
      <c r="J535" s="6" t="s">
        <v>3608</v>
      </c>
      <c r="K535" s="9">
        <v>1</v>
      </c>
      <c r="L535" s="6" t="s">
        <v>4276</v>
      </c>
      <c r="M535" s="6" t="s">
        <v>4281</v>
      </c>
      <c r="N535" s="24">
        <v>565.85</v>
      </c>
      <c r="O535" s="22" t="str">
        <f>IF(Table2[[#This Row],[CouponCode]]="N/A", "Not Used", "Used")</f>
        <v>Used</v>
      </c>
    </row>
    <row r="536" spans="1:15" x14ac:dyDescent="0.3">
      <c r="A536" s="6" t="s">
        <v>548</v>
      </c>
      <c r="B536" s="2">
        <v>45449</v>
      </c>
      <c r="C536" s="6" t="s">
        <v>1748</v>
      </c>
      <c r="D536" s="6" t="s">
        <v>2406</v>
      </c>
      <c r="E536" s="9">
        <v>3</v>
      </c>
      <c r="F536" s="24">
        <v>648.59</v>
      </c>
      <c r="G536" t="s">
        <v>2807</v>
      </c>
      <c r="H536" s="6" t="s">
        <v>3065</v>
      </c>
      <c r="I536" s="6" t="s">
        <v>3071</v>
      </c>
      <c r="J536" s="6" t="s">
        <v>3609</v>
      </c>
      <c r="K536" s="9">
        <v>4</v>
      </c>
      <c r="L536" s="6" t="s">
        <v>4275</v>
      </c>
      <c r="M536" s="6" t="s">
        <v>4280</v>
      </c>
      <c r="N536" s="24">
        <v>1945.77</v>
      </c>
      <c r="O536" s="22" t="str">
        <f>IF(Table2[[#This Row],[CouponCode]]="N/A", "Not Used", "Used")</f>
        <v>Used</v>
      </c>
    </row>
    <row r="537" spans="1:15" x14ac:dyDescent="0.3">
      <c r="A537" s="6" t="s">
        <v>549</v>
      </c>
      <c r="B537" s="2">
        <v>45497</v>
      </c>
      <c r="C537" s="6" t="s">
        <v>1749</v>
      </c>
      <c r="D537" s="6" t="s">
        <v>2403</v>
      </c>
      <c r="E537" s="9">
        <v>3</v>
      </c>
      <c r="F537" s="24">
        <v>68.12</v>
      </c>
      <c r="G537" t="s">
        <v>2567</v>
      </c>
      <c r="H537" s="6" t="s">
        <v>3066</v>
      </c>
      <c r="I537" s="6" t="s">
        <v>3071</v>
      </c>
      <c r="J537" s="6" t="s">
        <v>3610</v>
      </c>
      <c r="K537" s="9">
        <v>3</v>
      </c>
      <c r="L537" s="6" t="s">
        <v>4276</v>
      </c>
      <c r="M537" s="6" t="s">
        <v>4280</v>
      </c>
      <c r="N537" s="24">
        <v>204.36</v>
      </c>
      <c r="O537" s="22" t="str">
        <f>IF(Table2[[#This Row],[CouponCode]]="N/A", "Not Used", "Used")</f>
        <v>Used</v>
      </c>
    </row>
    <row r="538" spans="1:15" x14ac:dyDescent="0.3">
      <c r="A538" s="6" t="s">
        <v>550</v>
      </c>
      <c r="B538" s="2">
        <v>45452</v>
      </c>
      <c r="C538" s="6" t="s">
        <v>1750</v>
      </c>
      <c r="D538" s="6" t="s">
        <v>2406</v>
      </c>
      <c r="E538" s="9">
        <v>1</v>
      </c>
      <c r="F538" s="24">
        <v>616.1</v>
      </c>
      <c r="G538" t="s">
        <v>2808</v>
      </c>
      <c r="H538" s="6" t="s">
        <v>3069</v>
      </c>
      <c r="I538" s="6" t="s">
        <v>3072</v>
      </c>
      <c r="J538" s="6" t="s">
        <v>3611</v>
      </c>
      <c r="K538" s="9">
        <v>6</v>
      </c>
      <c r="L538" s="6" t="s">
        <v>4283</v>
      </c>
      <c r="M538" s="6" t="s">
        <v>4280</v>
      </c>
      <c r="N538" s="24">
        <v>616.1</v>
      </c>
      <c r="O538" s="22" t="str">
        <f>IF(Table2[[#This Row],[CouponCode]]="N/A", "Not Used", "Used")</f>
        <v>Not Used</v>
      </c>
    </row>
    <row r="539" spans="1:15" x14ac:dyDescent="0.3">
      <c r="A539" s="6" t="s">
        <v>551</v>
      </c>
      <c r="B539" s="2">
        <v>45739</v>
      </c>
      <c r="C539" s="6" t="s">
        <v>1751</v>
      </c>
      <c r="D539" s="6" t="s">
        <v>2405</v>
      </c>
      <c r="E539" s="9">
        <v>3</v>
      </c>
      <c r="F539" s="24">
        <v>247.47</v>
      </c>
      <c r="G539" t="s">
        <v>2471</v>
      </c>
      <c r="H539" s="6" t="s">
        <v>3066</v>
      </c>
      <c r="I539" s="6" t="s">
        <v>3073</v>
      </c>
      <c r="J539" s="6" t="s">
        <v>3612</v>
      </c>
      <c r="K539" s="9">
        <v>4</v>
      </c>
      <c r="L539" s="6" t="s">
        <v>4275</v>
      </c>
      <c r="M539" s="6" t="s">
        <v>4281</v>
      </c>
      <c r="N539" s="24">
        <v>742.41</v>
      </c>
      <c r="O539" s="22" t="str">
        <f>IF(Table2[[#This Row],[CouponCode]]="N/A", "Not Used", "Used")</f>
        <v>Used</v>
      </c>
    </row>
    <row r="540" spans="1:15" x14ac:dyDescent="0.3">
      <c r="A540" s="6" t="s">
        <v>552</v>
      </c>
      <c r="B540" s="2">
        <v>45436</v>
      </c>
      <c r="C540" s="6" t="s">
        <v>1752</v>
      </c>
      <c r="D540" s="6" t="s">
        <v>2404</v>
      </c>
      <c r="E540" s="9">
        <v>3</v>
      </c>
      <c r="F540" s="24">
        <v>490.74</v>
      </c>
      <c r="G540" t="s">
        <v>2809</v>
      </c>
      <c r="H540" s="6" t="s">
        <v>3069</v>
      </c>
      <c r="I540" s="6" t="s">
        <v>3070</v>
      </c>
      <c r="J540" s="6" t="s">
        <v>3613</v>
      </c>
      <c r="K540" s="9">
        <v>3</v>
      </c>
      <c r="L540" s="6" t="s">
        <v>4277</v>
      </c>
      <c r="M540" s="6" t="s">
        <v>4280</v>
      </c>
      <c r="N540" s="24">
        <v>1472.22</v>
      </c>
      <c r="O540" s="22" t="str">
        <f>IF(Table2[[#This Row],[CouponCode]]="N/A", "Not Used", "Used")</f>
        <v>Used</v>
      </c>
    </row>
    <row r="541" spans="1:15" x14ac:dyDescent="0.3">
      <c r="A541" s="6" t="s">
        <v>553</v>
      </c>
      <c r="B541" s="2">
        <v>45706</v>
      </c>
      <c r="C541" s="6" t="s">
        <v>1753</v>
      </c>
      <c r="D541" s="6" t="s">
        <v>2409</v>
      </c>
      <c r="E541" s="9">
        <v>3</v>
      </c>
      <c r="F541" s="24">
        <v>531.72</v>
      </c>
      <c r="G541" t="s">
        <v>2810</v>
      </c>
      <c r="H541" s="6" t="s">
        <v>3068</v>
      </c>
      <c r="I541" s="6" t="s">
        <v>3073</v>
      </c>
      <c r="J541" s="6" t="s">
        <v>3614</v>
      </c>
      <c r="K541" s="9">
        <v>7</v>
      </c>
      <c r="L541" s="6" t="s">
        <v>4275</v>
      </c>
      <c r="M541" s="6" t="s">
        <v>4282</v>
      </c>
      <c r="N541" s="24">
        <v>1595.16</v>
      </c>
      <c r="O541" s="22" t="str">
        <f>IF(Table2[[#This Row],[CouponCode]]="N/A", "Not Used", "Used")</f>
        <v>Used</v>
      </c>
    </row>
    <row r="542" spans="1:15" x14ac:dyDescent="0.3">
      <c r="A542" s="6" t="s">
        <v>554</v>
      </c>
      <c r="B542" s="2">
        <v>45320</v>
      </c>
      <c r="C542" s="6" t="s">
        <v>1754</v>
      </c>
      <c r="D542" s="6" t="s">
        <v>2408</v>
      </c>
      <c r="E542" s="9">
        <v>5</v>
      </c>
      <c r="F542" s="24">
        <v>648.65</v>
      </c>
      <c r="G542" t="s">
        <v>2811</v>
      </c>
      <c r="H542" s="6" t="s">
        <v>3066</v>
      </c>
      <c r="I542" s="6" t="s">
        <v>3074</v>
      </c>
      <c r="J542" s="6" t="s">
        <v>3615</v>
      </c>
      <c r="K542" s="9">
        <v>7</v>
      </c>
      <c r="L542" s="6" t="s">
        <v>4283</v>
      </c>
      <c r="M542" s="6" t="s">
        <v>4279</v>
      </c>
      <c r="N542" s="24">
        <v>3243.25</v>
      </c>
      <c r="O542" s="22" t="str">
        <f>IF(Table2[[#This Row],[CouponCode]]="N/A", "Not Used", "Used")</f>
        <v>Not Used</v>
      </c>
    </row>
    <row r="543" spans="1:15" x14ac:dyDescent="0.3">
      <c r="A543" s="6" t="s">
        <v>555</v>
      </c>
      <c r="B543" s="2">
        <v>45145</v>
      </c>
      <c r="C543" s="6" t="s">
        <v>1755</v>
      </c>
      <c r="D543" s="6" t="s">
        <v>2407</v>
      </c>
      <c r="E543" s="9">
        <v>5</v>
      </c>
      <c r="F543" s="24">
        <v>456.06</v>
      </c>
      <c r="G543" t="s">
        <v>2812</v>
      </c>
      <c r="H543" s="6" t="s">
        <v>3069</v>
      </c>
      <c r="I543" s="6" t="s">
        <v>3074</v>
      </c>
      <c r="J543" s="6" t="s">
        <v>3616</v>
      </c>
      <c r="K543" s="9">
        <v>10</v>
      </c>
      <c r="L543" s="6" t="s">
        <v>4283</v>
      </c>
      <c r="M543" s="6" t="s">
        <v>4278</v>
      </c>
      <c r="N543" s="24">
        <v>2280.3000000000002</v>
      </c>
      <c r="O543" s="22" t="str">
        <f>IF(Table2[[#This Row],[CouponCode]]="N/A", "Not Used", "Used")</f>
        <v>Not Used</v>
      </c>
    </row>
    <row r="544" spans="1:15" x14ac:dyDescent="0.3">
      <c r="A544" s="6" t="s">
        <v>556</v>
      </c>
      <c r="B544" s="2">
        <v>45244</v>
      </c>
      <c r="C544" s="6" t="s">
        <v>1756</v>
      </c>
      <c r="D544" s="6" t="s">
        <v>2405</v>
      </c>
      <c r="E544" s="9">
        <v>1</v>
      </c>
      <c r="F544" s="24">
        <v>17.98</v>
      </c>
      <c r="G544" t="s">
        <v>2415</v>
      </c>
      <c r="H544" s="6" t="s">
        <v>3069</v>
      </c>
      <c r="I544" s="6" t="s">
        <v>3071</v>
      </c>
      <c r="J544" s="6" t="s">
        <v>3617</v>
      </c>
      <c r="K544" s="9">
        <v>6</v>
      </c>
      <c r="L544" s="6" t="s">
        <v>4276</v>
      </c>
      <c r="M544" s="6" t="s">
        <v>4280</v>
      </c>
      <c r="N544" s="24">
        <v>17.98</v>
      </c>
      <c r="O544" s="22" t="str">
        <f>IF(Table2[[#This Row],[CouponCode]]="N/A", "Not Used", "Used")</f>
        <v>Used</v>
      </c>
    </row>
    <row r="545" spans="1:15" x14ac:dyDescent="0.3">
      <c r="A545" s="6" t="s">
        <v>557</v>
      </c>
      <c r="B545" s="2">
        <v>45360</v>
      </c>
      <c r="C545" s="6" t="s">
        <v>1757</v>
      </c>
      <c r="D545" s="6" t="s">
        <v>2409</v>
      </c>
      <c r="E545" s="9">
        <v>5</v>
      </c>
      <c r="F545" s="24">
        <v>269.86</v>
      </c>
      <c r="G545" t="s">
        <v>2569</v>
      </c>
      <c r="H545" s="6" t="s">
        <v>3069</v>
      </c>
      <c r="I545" s="6" t="s">
        <v>3070</v>
      </c>
      <c r="J545" s="6" t="s">
        <v>3618</v>
      </c>
      <c r="K545" s="9">
        <v>6</v>
      </c>
      <c r="L545" s="6" t="s">
        <v>4277</v>
      </c>
      <c r="M545" s="6" t="s">
        <v>4281</v>
      </c>
      <c r="N545" s="24">
        <v>1349.3</v>
      </c>
      <c r="O545" s="22" t="str">
        <f>IF(Table2[[#This Row],[CouponCode]]="N/A", "Not Used", "Used")</f>
        <v>Used</v>
      </c>
    </row>
    <row r="546" spans="1:15" x14ac:dyDescent="0.3">
      <c r="A546" s="6" t="s">
        <v>558</v>
      </c>
      <c r="B546" s="2">
        <v>45361</v>
      </c>
      <c r="C546" s="6" t="s">
        <v>1758</v>
      </c>
      <c r="D546" s="6" t="s">
        <v>2407</v>
      </c>
      <c r="E546" s="9">
        <v>5</v>
      </c>
      <c r="F546" s="24">
        <v>31.96</v>
      </c>
      <c r="G546" t="s">
        <v>2726</v>
      </c>
      <c r="H546" s="6" t="s">
        <v>3067</v>
      </c>
      <c r="I546" s="6" t="s">
        <v>3072</v>
      </c>
      <c r="J546" s="6" t="s">
        <v>3619</v>
      </c>
      <c r="K546" s="9">
        <v>5</v>
      </c>
      <c r="L546" s="6" t="s">
        <v>4276</v>
      </c>
      <c r="M546" s="6" t="s">
        <v>4279</v>
      </c>
      <c r="N546" s="24">
        <v>159.80000000000001</v>
      </c>
      <c r="O546" s="22" t="str">
        <f>IF(Table2[[#This Row],[CouponCode]]="N/A", "Not Used", "Used")</f>
        <v>Used</v>
      </c>
    </row>
    <row r="547" spans="1:15" x14ac:dyDescent="0.3">
      <c r="A547" s="6" t="s">
        <v>559</v>
      </c>
      <c r="B547" s="2">
        <v>45279</v>
      </c>
      <c r="C547" s="6" t="s">
        <v>1759</v>
      </c>
      <c r="D547" s="6" t="s">
        <v>2403</v>
      </c>
      <c r="E547" s="9">
        <v>2</v>
      </c>
      <c r="F547" s="24">
        <v>98.47</v>
      </c>
      <c r="G547" t="s">
        <v>2813</v>
      </c>
      <c r="H547" s="6" t="s">
        <v>3069</v>
      </c>
      <c r="I547" s="6" t="s">
        <v>3072</v>
      </c>
      <c r="J547" s="6" t="s">
        <v>3620</v>
      </c>
      <c r="K547" s="9">
        <v>3</v>
      </c>
      <c r="L547" s="6" t="s">
        <v>4283</v>
      </c>
      <c r="M547" s="6" t="s">
        <v>4278</v>
      </c>
      <c r="N547" s="24">
        <v>196.94</v>
      </c>
      <c r="O547" s="22" t="str">
        <f>IF(Table2[[#This Row],[CouponCode]]="N/A", "Not Used", "Used")</f>
        <v>Not Used</v>
      </c>
    </row>
    <row r="548" spans="1:15" x14ac:dyDescent="0.3">
      <c r="A548" s="6" t="s">
        <v>560</v>
      </c>
      <c r="B548" s="2">
        <v>45352</v>
      </c>
      <c r="C548" s="6" t="s">
        <v>1760</v>
      </c>
      <c r="D548" s="6" t="s">
        <v>2403</v>
      </c>
      <c r="E548" s="9">
        <v>1</v>
      </c>
      <c r="F548" s="24">
        <v>158.68</v>
      </c>
      <c r="G548" t="s">
        <v>2410</v>
      </c>
      <c r="H548" s="6" t="s">
        <v>3067</v>
      </c>
      <c r="I548" s="6" t="s">
        <v>3072</v>
      </c>
      <c r="J548" s="6" t="s">
        <v>3621</v>
      </c>
      <c r="K548" s="9">
        <v>6</v>
      </c>
      <c r="L548" s="6" t="s">
        <v>4277</v>
      </c>
      <c r="M548" s="6" t="s">
        <v>4278</v>
      </c>
      <c r="N548" s="24">
        <v>158.68</v>
      </c>
      <c r="O548" s="22" t="str">
        <f>IF(Table2[[#This Row],[CouponCode]]="N/A", "Not Used", "Used")</f>
        <v>Used</v>
      </c>
    </row>
    <row r="549" spans="1:15" x14ac:dyDescent="0.3">
      <c r="A549" s="6" t="s">
        <v>561</v>
      </c>
      <c r="B549" s="2">
        <v>45158</v>
      </c>
      <c r="C549" s="6" t="s">
        <v>1761</v>
      </c>
      <c r="D549" s="6" t="s">
        <v>2404</v>
      </c>
      <c r="E549" s="9">
        <v>1</v>
      </c>
      <c r="F549" s="24">
        <v>613.98</v>
      </c>
      <c r="G549" t="s">
        <v>2814</v>
      </c>
      <c r="H549" s="6" t="s">
        <v>3066</v>
      </c>
      <c r="I549" s="6" t="s">
        <v>3073</v>
      </c>
      <c r="J549" s="6" t="s">
        <v>3622</v>
      </c>
      <c r="K549" s="9">
        <v>4</v>
      </c>
      <c r="L549" s="6" t="s">
        <v>4276</v>
      </c>
      <c r="M549" s="6" t="s">
        <v>4281</v>
      </c>
      <c r="N549" s="24">
        <v>613.98</v>
      </c>
      <c r="O549" s="22" t="str">
        <f>IF(Table2[[#This Row],[CouponCode]]="N/A", "Not Used", "Used")</f>
        <v>Used</v>
      </c>
    </row>
    <row r="550" spans="1:15" x14ac:dyDescent="0.3">
      <c r="A550" s="6" t="s">
        <v>562</v>
      </c>
      <c r="B550" s="2">
        <v>45296</v>
      </c>
      <c r="C550" s="6" t="s">
        <v>1762</v>
      </c>
      <c r="D550" s="6" t="s">
        <v>2407</v>
      </c>
      <c r="E550" s="9">
        <v>3</v>
      </c>
      <c r="F550" s="24">
        <v>426.12</v>
      </c>
      <c r="G550" t="s">
        <v>2500</v>
      </c>
      <c r="H550" s="6" t="s">
        <v>3066</v>
      </c>
      <c r="I550" s="6" t="s">
        <v>3073</v>
      </c>
      <c r="J550" s="6" t="s">
        <v>3623</v>
      </c>
      <c r="K550" s="9">
        <v>5</v>
      </c>
      <c r="L550" s="6" t="s">
        <v>4277</v>
      </c>
      <c r="M550" s="6" t="s">
        <v>4278</v>
      </c>
      <c r="N550" s="24">
        <v>1278.3599999999999</v>
      </c>
      <c r="O550" s="22" t="str">
        <f>IF(Table2[[#This Row],[CouponCode]]="N/A", "Not Used", "Used")</f>
        <v>Used</v>
      </c>
    </row>
    <row r="551" spans="1:15" x14ac:dyDescent="0.3">
      <c r="A551" s="6" t="s">
        <v>563</v>
      </c>
      <c r="B551" s="2">
        <v>45713</v>
      </c>
      <c r="C551" s="6" t="s">
        <v>1763</v>
      </c>
      <c r="D551" s="6" t="s">
        <v>2403</v>
      </c>
      <c r="E551" s="9">
        <v>4</v>
      </c>
      <c r="F551" s="24">
        <v>629.88</v>
      </c>
      <c r="G551" t="s">
        <v>2815</v>
      </c>
      <c r="H551" s="6" t="s">
        <v>3065</v>
      </c>
      <c r="I551" s="6" t="s">
        <v>3071</v>
      </c>
      <c r="J551" s="6" t="s">
        <v>3624</v>
      </c>
      <c r="K551" s="9">
        <v>8</v>
      </c>
      <c r="L551" s="6" t="s">
        <v>4277</v>
      </c>
      <c r="M551" s="6" t="s">
        <v>4278</v>
      </c>
      <c r="N551" s="24">
        <v>2519.52</v>
      </c>
      <c r="O551" s="22" t="str">
        <f>IF(Table2[[#This Row],[CouponCode]]="N/A", "Not Used", "Used")</f>
        <v>Used</v>
      </c>
    </row>
    <row r="552" spans="1:15" x14ac:dyDescent="0.3">
      <c r="A552" s="6" t="s">
        <v>564</v>
      </c>
      <c r="B552" s="2">
        <v>45228</v>
      </c>
      <c r="C552" s="6" t="s">
        <v>1764</v>
      </c>
      <c r="D552" s="6" t="s">
        <v>2408</v>
      </c>
      <c r="E552" s="9">
        <v>4</v>
      </c>
      <c r="F552" s="24">
        <v>228.91</v>
      </c>
      <c r="G552" t="s">
        <v>2542</v>
      </c>
      <c r="H552" s="6" t="s">
        <v>3069</v>
      </c>
      <c r="I552" s="6" t="s">
        <v>3070</v>
      </c>
      <c r="J552" s="6" t="s">
        <v>3625</v>
      </c>
      <c r="K552" s="9">
        <v>4</v>
      </c>
      <c r="L552" s="6" t="s">
        <v>4276</v>
      </c>
      <c r="M552" s="6" t="s">
        <v>4282</v>
      </c>
      <c r="N552" s="24">
        <v>915.64</v>
      </c>
      <c r="O552" s="22" t="str">
        <f>IF(Table2[[#This Row],[CouponCode]]="N/A", "Not Used", "Used")</f>
        <v>Used</v>
      </c>
    </row>
    <row r="553" spans="1:15" x14ac:dyDescent="0.3">
      <c r="A553" s="6" t="s">
        <v>565</v>
      </c>
      <c r="B553" s="2">
        <v>45064</v>
      </c>
      <c r="C553" s="6" t="s">
        <v>1765</v>
      </c>
      <c r="D553" s="6" t="s">
        <v>2408</v>
      </c>
      <c r="E553" s="9">
        <v>1</v>
      </c>
      <c r="F553" s="24">
        <v>120.98</v>
      </c>
      <c r="G553" t="s">
        <v>2528</v>
      </c>
      <c r="H553" s="6" t="s">
        <v>3065</v>
      </c>
      <c r="I553" s="6" t="s">
        <v>3073</v>
      </c>
      <c r="J553" s="6" t="s">
        <v>3626</v>
      </c>
      <c r="K553" s="9">
        <v>6</v>
      </c>
      <c r="L553" s="6" t="s">
        <v>4277</v>
      </c>
      <c r="M553" s="6" t="s">
        <v>4280</v>
      </c>
      <c r="N553" s="24">
        <v>120.98</v>
      </c>
      <c r="O553" s="22" t="str">
        <f>IF(Table2[[#This Row],[CouponCode]]="N/A", "Not Used", "Used")</f>
        <v>Used</v>
      </c>
    </row>
    <row r="554" spans="1:15" x14ac:dyDescent="0.3">
      <c r="A554" s="6" t="s">
        <v>566</v>
      </c>
      <c r="B554" s="2">
        <v>45199</v>
      </c>
      <c r="C554" s="6" t="s">
        <v>1766</v>
      </c>
      <c r="D554" s="6" t="s">
        <v>2406</v>
      </c>
      <c r="E554" s="9">
        <v>4</v>
      </c>
      <c r="F554" s="24">
        <v>425.18</v>
      </c>
      <c r="G554" t="s">
        <v>2798</v>
      </c>
      <c r="H554" s="6" t="s">
        <v>3066</v>
      </c>
      <c r="I554" s="6" t="s">
        <v>3072</v>
      </c>
      <c r="J554" s="6" t="s">
        <v>3627</v>
      </c>
      <c r="K554" s="9">
        <v>8</v>
      </c>
      <c r="L554" s="6" t="s">
        <v>4277</v>
      </c>
      <c r="M554" s="6" t="s">
        <v>4281</v>
      </c>
      <c r="N554" s="24">
        <v>1700.72</v>
      </c>
      <c r="O554" s="22" t="str">
        <f>IF(Table2[[#This Row],[CouponCode]]="N/A", "Not Used", "Used")</f>
        <v>Used</v>
      </c>
    </row>
    <row r="555" spans="1:15" x14ac:dyDescent="0.3">
      <c r="A555" s="6" t="s">
        <v>567</v>
      </c>
      <c r="B555" s="2">
        <v>45161</v>
      </c>
      <c r="C555" s="6" t="s">
        <v>1767</v>
      </c>
      <c r="D555" s="6" t="s">
        <v>2404</v>
      </c>
      <c r="E555" s="9">
        <v>2</v>
      </c>
      <c r="F555" s="24">
        <v>333.83</v>
      </c>
      <c r="G555" t="s">
        <v>2816</v>
      </c>
      <c r="H555" s="6" t="s">
        <v>3068</v>
      </c>
      <c r="I555" s="6" t="s">
        <v>3071</v>
      </c>
      <c r="J555" s="6" t="s">
        <v>3628</v>
      </c>
      <c r="K555" s="9">
        <v>4</v>
      </c>
      <c r="L555" s="6" t="s">
        <v>4276</v>
      </c>
      <c r="M555" s="6" t="s">
        <v>4279</v>
      </c>
      <c r="N555" s="24">
        <v>667.66</v>
      </c>
      <c r="O555" s="22" t="str">
        <f>IF(Table2[[#This Row],[CouponCode]]="N/A", "Not Used", "Used")</f>
        <v>Used</v>
      </c>
    </row>
    <row r="556" spans="1:15" x14ac:dyDescent="0.3">
      <c r="A556" s="6" t="s">
        <v>568</v>
      </c>
      <c r="B556" s="2">
        <v>45807</v>
      </c>
      <c r="C556" s="6" t="s">
        <v>1768</v>
      </c>
      <c r="D556" s="6" t="s">
        <v>2408</v>
      </c>
      <c r="E556" s="9">
        <v>2</v>
      </c>
      <c r="F556" s="24">
        <v>492.9</v>
      </c>
      <c r="G556" t="s">
        <v>2610</v>
      </c>
      <c r="H556" s="6" t="s">
        <v>3069</v>
      </c>
      <c r="I556" s="6" t="s">
        <v>3072</v>
      </c>
      <c r="J556" s="6" t="s">
        <v>3629</v>
      </c>
      <c r="K556" s="9">
        <v>5</v>
      </c>
      <c r="L556" s="6" t="s">
        <v>4276</v>
      </c>
      <c r="M556" s="6" t="s">
        <v>4278</v>
      </c>
      <c r="N556" s="24">
        <v>985.8</v>
      </c>
      <c r="O556" s="22" t="str">
        <f>IF(Table2[[#This Row],[CouponCode]]="N/A", "Not Used", "Used")</f>
        <v>Used</v>
      </c>
    </row>
    <row r="557" spans="1:15" x14ac:dyDescent="0.3">
      <c r="A557" s="6" t="s">
        <v>569</v>
      </c>
      <c r="B557" s="2">
        <v>44933</v>
      </c>
      <c r="C557" s="6" t="s">
        <v>1769</v>
      </c>
      <c r="D557" s="6" t="s">
        <v>2405</v>
      </c>
      <c r="E557" s="9">
        <v>1</v>
      </c>
      <c r="F557" s="24">
        <v>92.04</v>
      </c>
      <c r="G557" t="s">
        <v>2420</v>
      </c>
      <c r="H557" s="6" t="s">
        <v>3069</v>
      </c>
      <c r="I557" s="6" t="s">
        <v>3070</v>
      </c>
      <c r="J557" s="6" t="s">
        <v>3630</v>
      </c>
      <c r="K557" s="9">
        <v>2</v>
      </c>
      <c r="L557" s="6" t="s">
        <v>4283</v>
      </c>
      <c r="M557" s="6" t="s">
        <v>4281</v>
      </c>
      <c r="N557" s="24">
        <v>92.04</v>
      </c>
      <c r="O557" s="22" t="str">
        <f>IF(Table2[[#This Row],[CouponCode]]="N/A", "Not Used", "Used")</f>
        <v>Not Used</v>
      </c>
    </row>
    <row r="558" spans="1:15" x14ac:dyDescent="0.3">
      <c r="A558" s="6" t="s">
        <v>570</v>
      </c>
      <c r="B558" s="2">
        <v>44954</v>
      </c>
      <c r="C558" s="6" t="s">
        <v>1770</v>
      </c>
      <c r="D558" s="6" t="s">
        <v>2408</v>
      </c>
      <c r="E558" s="9">
        <v>1</v>
      </c>
      <c r="F558" s="24">
        <v>654.27</v>
      </c>
      <c r="G558" t="s">
        <v>2817</v>
      </c>
      <c r="H558" s="6" t="s">
        <v>3068</v>
      </c>
      <c r="I558" s="6" t="s">
        <v>3074</v>
      </c>
      <c r="J558" s="6" t="s">
        <v>3631</v>
      </c>
      <c r="K558" s="9">
        <v>2</v>
      </c>
      <c r="L558" s="6" t="s">
        <v>4275</v>
      </c>
      <c r="M558" s="6" t="s">
        <v>4281</v>
      </c>
      <c r="N558" s="24">
        <v>654.27</v>
      </c>
      <c r="O558" s="22" t="str">
        <f>IF(Table2[[#This Row],[CouponCode]]="N/A", "Not Used", "Used")</f>
        <v>Used</v>
      </c>
    </row>
    <row r="559" spans="1:15" x14ac:dyDescent="0.3">
      <c r="A559" s="6" t="s">
        <v>571</v>
      </c>
      <c r="B559" s="2">
        <v>45106</v>
      </c>
      <c r="C559" s="6" t="s">
        <v>1771</v>
      </c>
      <c r="D559" s="6" t="s">
        <v>2405</v>
      </c>
      <c r="E559" s="9">
        <v>1</v>
      </c>
      <c r="F559" s="24">
        <v>56.2</v>
      </c>
      <c r="G559" t="s">
        <v>2818</v>
      </c>
      <c r="H559" s="6" t="s">
        <v>3065</v>
      </c>
      <c r="I559" s="6" t="s">
        <v>3074</v>
      </c>
      <c r="J559" s="6" t="s">
        <v>3632</v>
      </c>
      <c r="K559" s="9">
        <v>1</v>
      </c>
      <c r="L559" s="6" t="s">
        <v>4277</v>
      </c>
      <c r="M559" s="6" t="s">
        <v>4281</v>
      </c>
      <c r="N559" s="24">
        <v>56.2</v>
      </c>
      <c r="O559" s="22" t="str">
        <f>IF(Table2[[#This Row],[CouponCode]]="N/A", "Not Used", "Used")</f>
        <v>Used</v>
      </c>
    </row>
    <row r="560" spans="1:15" x14ac:dyDescent="0.3">
      <c r="A560" s="6" t="s">
        <v>572</v>
      </c>
      <c r="B560" s="2">
        <v>45489</v>
      </c>
      <c r="C560" s="6" t="s">
        <v>1772</v>
      </c>
      <c r="D560" s="6" t="s">
        <v>2404</v>
      </c>
      <c r="E560" s="9">
        <v>4</v>
      </c>
      <c r="F560" s="24">
        <v>628.12</v>
      </c>
      <c r="G560" t="s">
        <v>2819</v>
      </c>
      <c r="H560" s="6" t="s">
        <v>3066</v>
      </c>
      <c r="I560" s="6" t="s">
        <v>3073</v>
      </c>
      <c r="J560" s="6" t="s">
        <v>3633</v>
      </c>
      <c r="K560" s="9">
        <v>6</v>
      </c>
      <c r="L560" s="6" t="s">
        <v>4277</v>
      </c>
      <c r="M560" s="6" t="s">
        <v>4278</v>
      </c>
      <c r="N560" s="24">
        <v>2512.48</v>
      </c>
      <c r="O560" s="22" t="str">
        <f>IF(Table2[[#This Row],[CouponCode]]="N/A", "Not Used", "Used")</f>
        <v>Used</v>
      </c>
    </row>
    <row r="561" spans="1:15" x14ac:dyDescent="0.3">
      <c r="A561" s="6" t="s">
        <v>573</v>
      </c>
      <c r="B561" s="2">
        <v>45397</v>
      </c>
      <c r="C561" s="6" t="s">
        <v>1773</v>
      </c>
      <c r="D561" s="6" t="s">
        <v>2409</v>
      </c>
      <c r="E561" s="9">
        <v>3</v>
      </c>
      <c r="F561" s="24">
        <v>157.4</v>
      </c>
      <c r="G561" t="s">
        <v>2790</v>
      </c>
      <c r="H561" s="6" t="s">
        <v>3065</v>
      </c>
      <c r="I561" s="6" t="s">
        <v>3071</v>
      </c>
      <c r="J561" s="6" t="s">
        <v>3634</v>
      </c>
      <c r="K561" s="9">
        <v>7</v>
      </c>
      <c r="L561" s="6" t="s">
        <v>4277</v>
      </c>
      <c r="M561" s="6" t="s">
        <v>4280</v>
      </c>
      <c r="N561" s="24">
        <v>472.2</v>
      </c>
      <c r="O561" s="22" t="str">
        <f>IF(Table2[[#This Row],[CouponCode]]="N/A", "Not Used", "Used")</f>
        <v>Used</v>
      </c>
    </row>
    <row r="562" spans="1:15" x14ac:dyDescent="0.3">
      <c r="A562" s="6" t="s">
        <v>574</v>
      </c>
      <c r="B562" s="2">
        <v>44957</v>
      </c>
      <c r="C562" s="6" t="s">
        <v>1774</v>
      </c>
      <c r="D562" s="6" t="s">
        <v>2403</v>
      </c>
      <c r="E562" s="9">
        <v>4</v>
      </c>
      <c r="F562" s="24">
        <v>588.85</v>
      </c>
      <c r="G562" t="s">
        <v>2820</v>
      </c>
      <c r="H562" s="6" t="s">
        <v>3068</v>
      </c>
      <c r="I562" s="6" t="s">
        <v>3074</v>
      </c>
      <c r="J562" s="6" t="s">
        <v>3635</v>
      </c>
      <c r="K562" s="9">
        <v>7</v>
      </c>
      <c r="L562" s="6" t="s">
        <v>4283</v>
      </c>
      <c r="M562" s="6" t="s">
        <v>4280</v>
      </c>
      <c r="N562" s="24">
        <v>2355.4</v>
      </c>
      <c r="O562" s="22" t="str">
        <f>IF(Table2[[#This Row],[CouponCode]]="N/A", "Not Used", "Used")</f>
        <v>Not Used</v>
      </c>
    </row>
    <row r="563" spans="1:15" x14ac:dyDescent="0.3">
      <c r="A563" s="6" t="s">
        <v>575</v>
      </c>
      <c r="B563" s="2">
        <v>44957</v>
      </c>
      <c r="C563" s="6" t="s">
        <v>1775</v>
      </c>
      <c r="D563" s="6" t="s">
        <v>2407</v>
      </c>
      <c r="E563" s="9">
        <v>2</v>
      </c>
      <c r="F563" s="24">
        <v>494.78</v>
      </c>
      <c r="G563" t="s">
        <v>2821</v>
      </c>
      <c r="H563" s="6" t="s">
        <v>3066</v>
      </c>
      <c r="I563" s="6" t="s">
        <v>3070</v>
      </c>
      <c r="J563" s="6" t="s">
        <v>3636</v>
      </c>
      <c r="K563" s="9">
        <v>2</v>
      </c>
      <c r="L563" s="6" t="s">
        <v>4283</v>
      </c>
      <c r="M563" s="6" t="s">
        <v>4282</v>
      </c>
      <c r="N563" s="24">
        <v>989.56</v>
      </c>
      <c r="O563" s="22" t="str">
        <f>IF(Table2[[#This Row],[CouponCode]]="N/A", "Not Used", "Used")</f>
        <v>Not Used</v>
      </c>
    </row>
    <row r="564" spans="1:15" x14ac:dyDescent="0.3">
      <c r="A564" s="6" t="s">
        <v>576</v>
      </c>
      <c r="B564" s="2">
        <v>45205</v>
      </c>
      <c r="C564" s="6" t="s">
        <v>1776</v>
      </c>
      <c r="D564" s="6" t="s">
        <v>2408</v>
      </c>
      <c r="E564" s="9">
        <v>3</v>
      </c>
      <c r="F564" s="24">
        <v>663.93</v>
      </c>
      <c r="G564" t="s">
        <v>2500</v>
      </c>
      <c r="H564" s="6" t="s">
        <v>3068</v>
      </c>
      <c r="I564" s="6" t="s">
        <v>3072</v>
      </c>
      <c r="J564" s="6" t="s">
        <v>3637</v>
      </c>
      <c r="K564" s="9">
        <v>6</v>
      </c>
      <c r="L564" s="6" t="s">
        <v>4276</v>
      </c>
      <c r="M564" s="6" t="s">
        <v>4280</v>
      </c>
      <c r="N564" s="24">
        <v>1991.79</v>
      </c>
      <c r="O564" s="22" t="str">
        <f>IF(Table2[[#This Row],[CouponCode]]="N/A", "Not Used", "Used")</f>
        <v>Used</v>
      </c>
    </row>
    <row r="565" spans="1:15" x14ac:dyDescent="0.3">
      <c r="A565" s="6" t="s">
        <v>577</v>
      </c>
      <c r="B565" s="2">
        <v>45272</v>
      </c>
      <c r="C565" s="6" t="s">
        <v>1777</v>
      </c>
      <c r="D565" s="6" t="s">
        <v>2408</v>
      </c>
      <c r="E565" s="9">
        <v>1</v>
      </c>
      <c r="F565" s="24">
        <v>132.68</v>
      </c>
      <c r="G565" t="s">
        <v>2822</v>
      </c>
      <c r="H565" s="6" t="s">
        <v>3065</v>
      </c>
      <c r="I565" s="6" t="s">
        <v>3072</v>
      </c>
      <c r="J565" s="6" t="s">
        <v>3638</v>
      </c>
      <c r="K565" s="9">
        <v>1</v>
      </c>
      <c r="L565" s="6" t="s">
        <v>4275</v>
      </c>
      <c r="M565" s="6" t="s">
        <v>4279</v>
      </c>
      <c r="N565" s="24">
        <v>132.68</v>
      </c>
      <c r="O565" s="22" t="str">
        <f>IF(Table2[[#This Row],[CouponCode]]="N/A", "Not Used", "Used")</f>
        <v>Used</v>
      </c>
    </row>
    <row r="566" spans="1:15" x14ac:dyDescent="0.3">
      <c r="A566" s="6" t="s">
        <v>578</v>
      </c>
      <c r="B566" s="2">
        <v>45755</v>
      </c>
      <c r="C566" s="6" t="s">
        <v>1778</v>
      </c>
      <c r="D566" s="6" t="s">
        <v>2409</v>
      </c>
      <c r="E566" s="9">
        <v>5</v>
      </c>
      <c r="F566" s="24">
        <v>364.28</v>
      </c>
      <c r="G566" t="s">
        <v>2823</v>
      </c>
      <c r="H566" s="6" t="s">
        <v>3067</v>
      </c>
      <c r="I566" s="6" t="s">
        <v>3071</v>
      </c>
      <c r="J566" s="6" t="s">
        <v>3639</v>
      </c>
      <c r="K566" s="9">
        <v>5</v>
      </c>
      <c r="L566" s="6" t="s">
        <v>4277</v>
      </c>
      <c r="M566" s="6" t="s">
        <v>4282</v>
      </c>
      <c r="N566" s="24">
        <v>1821.4</v>
      </c>
      <c r="O566" s="22" t="str">
        <f>IF(Table2[[#This Row],[CouponCode]]="N/A", "Not Used", "Used")</f>
        <v>Used</v>
      </c>
    </row>
    <row r="567" spans="1:15" x14ac:dyDescent="0.3">
      <c r="A567" s="6" t="s">
        <v>579</v>
      </c>
      <c r="B567" s="2">
        <v>45060</v>
      </c>
      <c r="C567" s="6" t="s">
        <v>1779</v>
      </c>
      <c r="D567" s="6" t="s">
        <v>2405</v>
      </c>
      <c r="E567" s="9">
        <v>5</v>
      </c>
      <c r="F567" s="24">
        <v>307.98</v>
      </c>
      <c r="G567" t="s">
        <v>2770</v>
      </c>
      <c r="H567" s="6" t="s">
        <v>3066</v>
      </c>
      <c r="I567" s="6" t="s">
        <v>3074</v>
      </c>
      <c r="J567" s="6" t="s">
        <v>3640</v>
      </c>
      <c r="K567" s="9">
        <v>10</v>
      </c>
      <c r="L567" s="6" t="s">
        <v>4283</v>
      </c>
      <c r="M567" s="6" t="s">
        <v>4281</v>
      </c>
      <c r="N567" s="24">
        <v>1539.9</v>
      </c>
      <c r="O567" s="22" t="str">
        <f>IF(Table2[[#This Row],[CouponCode]]="N/A", "Not Used", "Used")</f>
        <v>Not Used</v>
      </c>
    </row>
    <row r="568" spans="1:15" x14ac:dyDescent="0.3">
      <c r="A568" s="6" t="s">
        <v>580</v>
      </c>
      <c r="B568" s="2">
        <v>45400</v>
      </c>
      <c r="C568" s="6" t="s">
        <v>1780</v>
      </c>
      <c r="D568" s="6" t="s">
        <v>2404</v>
      </c>
      <c r="E568" s="9">
        <v>4</v>
      </c>
      <c r="F568" s="24">
        <v>162.71</v>
      </c>
      <c r="G568" t="s">
        <v>2824</v>
      </c>
      <c r="H568" s="6" t="s">
        <v>3069</v>
      </c>
      <c r="I568" s="6" t="s">
        <v>3071</v>
      </c>
      <c r="J568" s="6" t="s">
        <v>3641</v>
      </c>
      <c r="K568" s="9">
        <v>7</v>
      </c>
      <c r="L568" s="6" t="s">
        <v>4276</v>
      </c>
      <c r="M568" s="6" t="s">
        <v>4280</v>
      </c>
      <c r="N568" s="24">
        <v>650.84</v>
      </c>
      <c r="O568" s="22" t="str">
        <f>IF(Table2[[#This Row],[CouponCode]]="N/A", "Not Used", "Used")</f>
        <v>Used</v>
      </c>
    </row>
    <row r="569" spans="1:15" x14ac:dyDescent="0.3">
      <c r="A569" s="6" t="s">
        <v>581</v>
      </c>
      <c r="B569" s="2">
        <v>45565</v>
      </c>
      <c r="C569" s="6" t="s">
        <v>1781</v>
      </c>
      <c r="D569" s="6" t="s">
        <v>2406</v>
      </c>
      <c r="E569" s="9">
        <v>5</v>
      </c>
      <c r="F569" s="24">
        <v>492.94</v>
      </c>
      <c r="G569" t="s">
        <v>2632</v>
      </c>
      <c r="H569" s="6" t="s">
        <v>3069</v>
      </c>
      <c r="I569" s="6" t="s">
        <v>3070</v>
      </c>
      <c r="J569" s="6" t="s">
        <v>3642</v>
      </c>
      <c r="K569" s="9">
        <v>10</v>
      </c>
      <c r="L569" s="6" t="s">
        <v>4276</v>
      </c>
      <c r="M569" s="6" t="s">
        <v>4280</v>
      </c>
      <c r="N569" s="24">
        <v>2464.6999999999998</v>
      </c>
      <c r="O569" s="22" t="str">
        <f>IF(Table2[[#This Row],[CouponCode]]="N/A", "Not Used", "Used")</f>
        <v>Used</v>
      </c>
    </row>
    <row r="570" spans="1:15" x14ac:dyDescent="0.3">
      <c r="A570" s="6" t="s">
        <v>582</v>
      </c>
      <c r="B570" s="2">
        <v>44995</v>
      </c>
      <c r="C570" s="6" t="s">
        <v>1782</v>
      </c>
      <c r="D570" s="6" t="s">
        <v>2408</v>
      </c>
      <c r="E570" s="9">
        <v>2</v>
      </c>
      <c r="F570" s="24">
        <v>343.99</v>
      </c>
      <c r="G570" t="s">
        <v>2714</v>
      </c>
      <c r="H570" s="6" t="s">
        <v>3066</v>
      </c>
      <c r="I570" s="6" t="s">
        <v>3073</v>
      </c>
      <c r="J570" s="6" t="s">
        <v>3643</v>
      </c>
      <c r="K570" s="9">
        <v>4</v>
      </c>
      <c r="L570" s="6" t="s">
        <v>4283</v>
      </c>
      <c r="M570" s="6" t="s">
        <v>4282</v>
      </c>
      <c r="N570" s="24">
        <v>687.98</v>
      </c>
      <c r="O570" s="22" t="str">
        <f>IF(Table2[[#This Row],[CouponCode]]="N/A", "Not Used", "Used")</f>
        <v>Not Used</v>
      </c>
    </row>
    <row r="571" spans="1:15" x14ac:dyDescent="0.3">
      <c r="A571" s="6" t="s">
        <v>583</v>
      </c>
      <c r="B571" s="2">
        <v>45738</v>
      </c>
      <c r="C571" s="6" t="s">
        <v>1783</v>
      </c>
      <c r="D571" s="6" t="s">
        <v>2409</v>
      </c>
      <c r="E571" s="9">
        <v>5</v>
      </c>
      <c r="F571" s="24">
        <v>250.68</v>
      </c>
      <c r="G571" t="s">
        <v>2774</v>
      </c>
      <c r="H571" s="6" t="s">
        <v>3069</v>
      </c>
      <c r="I571" s="6" t="s">
        <v>3070</v>
      </c>
      <c r="J571" s="6" t="s">
        <v>3644</v>
      </c>
      <c r="K571" s="9">
        <v>8</v>
      </c>
      <c r="L571" s="6" t="s">
        <v>4275</v>
      </c>
      <c r="M571" s="6" t="s">
        <v>4278</v>
      </c>
      <c r="N571" s="24">
        <v>1253.4000000000001</v>
      </c>
      <c r="O571" s="22" t="str">
        <f>IF(Table2[[#This Row],[CouponCode]]="N/A", "Not Used", "Used")</f>
        <v>Used</v>
      </c>
    </row>
    <row r="572" spans="1:15" x14ac:dyDescent="0.3">
      <c r="A572" s="6" t="s">
        <v>584</v>
      </c>
      <c r="B572" s="2">
        <v>45653</v>
      </c>
      <c r="C572" s="6" t="s">
        <v>1784</v>
      </c>
      <c r="D572" s="6" t="s">
        <v>2409</v>
      </c>
      <c r="E572" s="9">
        <v>2</v>
      </c>
      <c r="F572" s="24">
        <v>362.14</v>
      </c>
      <c r="G572" t="s">
        <v>2518</v>
      </c>
      <c r="H572" s="6" t="s">
        <v>3065</v>
      </c>
      <c r="I572" s="6" t="s">
        <v>3074</v>
      </c>
      <c r="J572" s="6" t="s">
        <v>3645</v>
      </c>
      <c r="K572" s="9">
        <v>2</v>
      </c>
      <c r="L572" s="6" t="s">
        <v>4275</v>
      </c>
      <c r="M572" s="6" t="s">
        <v>4278</v>
      </c>
      <c r="N572" s="24">
        <v>724.28</v>
      </c>
      <c r="O572" s="22" t="str">
        <f>IF(Table2[[#This Row],[CouponCode]]="N/A", "Not Used", "Used")</f>
        <v>Used</v>
      </c>
    </row>
    <row r="573" spans="1:15" x14ac:dyDescent="0.3">
      <c r="A573" s="6" t="s">
        <v>585</v>
      </c>
      <c r="B573" s="2">
        <v>45619</v>
      </c>
      <c r="C573" s="6" t="s">
        <v>1785</v>
      </c>
      <c r="D573" s="6" t="s">
        <v>2405</v>
      </c>
      <c r="E573" s="9">
        <v>1</v>
      </c>
      <c r="F573" s="24">
        <v>214.08</v>
      </c>
      <c r="G573" t="s">
        <v>2779</v>
      </c>
      <c r="H573" s="6" t="s">
        <v>3068</v>
      </c>
      <c r="I573" s="6" t="s">
        <v>3072</v>
      </c>
      <c r="J573" s="6" t="s">
        <v>3646</v>
      </c>
      <c r="K573" s="9">
        <v>2</v>
      </c>
      <c r="L573" s="6" t="s">
        <v>4277</v>
      </c>
      <c r="M573" s="6" t="s">
        <v>4282</v>
      </c>
      <c r="N573" s="24">
        <v>214.08</v>
      </c>
      <c r="O573" s="22" t="str">
        <f>IF(Table2[[#This Row],[CouponCode]]="N/A", "Not Used", "Used")</f>
        <v>Used</v>
      </c>
    </row>
    <row r="574" spans="1:15" x14ac:dyDescent="0.3">
      <c r="A574" s="6" t="s">
        <v>586</v>
      </c>
      <c r="B574" s="2">
        <v>45241</v>
      </c>
      <c r="C574" s="6" t="s">
        <v>1786</v>
      </c>
      <c r="D574" s="6" t="s">
        <v>2407</v>
      </c>
      <c r="E574" s="9">
        <v>1</v>
      </c>
      <c r="F574" s="24">
        <v>70.319999999999993</v>
      </c>
      <c r="G574" t="s">
        <v>2722</v>
      </c>
      <c r="H574" s="6" t="s">
        <v>3069</v>
      </c>
      <c r="I574" s="6" t="s">
        <v>3072</v>
      </c>
      <c r="J574" s="6" t="s">
        <v>3647</v>
      </c>
      <c r="K574" s="9">
        <v>4</v>
      </c>
      <c r="L574" s="6" t="s">
        <v>4277</v>
      </c>
      <c r="M574" s="6" t="s">
        <v>4281</v>
      </c>
      <c r="N574" s="24">
        <v>70.319999999999993</v>
      </c>
      <c r="O574" s="22" t="str">
        <f>IF(Table2[[#This Row],[CouponCode]]="N/A", "Not Used", "Used")</f>
        <v>Used</v>
      </c>
    </row>
    <row r="575" spans="1:15" x14ac:dyDescent="0.3">
      <c r="A575" s="6" t="s">
        <v>587</v>
      </c>
      <c r="B575" s="2">
        <v>44951</v>
      </c>
      <c r="C575" s="6" t="s">
        <v>1787</v>
      </c>
      <c r="D575" s="6" t="s">
        <v>2406</v>
      </c>
      <c r="E575" s="9">
        <v>5</v>
      </c>
      <c r="F575" s="24">
        <v>421.42</v>
      </c>
      <c r="G575" t="s">
        <v>2511</v>
      </c>
      <c r="H575" s="6" t="s">
        <v>3065</v>
      </c>
      <c r="I575" s="6" t="s">
        <v>3071</v>
      </c>
      <c r="J575" s="6" t="s">
        <v>3648</v>
      </c>
      <c r="K575" s="9">
        <v>7</v>
      </c>
      <c r="L575" s="6" t="s">
        <v>4283</v>
      </c>
      <c r="M575" s="6" t="s">
        <v>4278</v>
      </c>
      <c r="N575" s="24">
        <v>2107.1</v>
      </c>
      <c r="O575" s="22" t="str">
        <f>IF(Table2[[#This Row],[CouponCode]]="N/A", "Not Used", "Used")</f>
        <v>Not Used</v>
      </c>
    </row>
    <row r="576" spans="1:15" x14ac:dyDescent="0.3">
      <c r="A576" s="6" t="s">
        <v>588</v>
      </c>
      <c r="B576" s="2">
        <v>45315</v>
      </c>
      <c r="C576" s="6" t="s">
        <v>1788</v>
      </c>
      <c r="D576" s="6" t="s">
        <v>2406</v>
      </c>
      <c r="E576" s="9">
        <v>5</v>
      </c>
      <c r="F576" s="24">
        <v>384.69</v>
      </c>
      <c r="G576" t="s">
        <v>2413</v>
      </c>
      <c r="H576" s="6" t="s">
        <v>3067</v>
      </c>
      <c r="I576" s="6" t="s">
        <v>3074</v>
      </c>
      <c r="J576" s="6" t="s">
        <v>3649</v>
      </c>
      <c r="K576" s="9">
        <v>6</v>
      </c>
      <c r="L576" s="6" t="s">
        <v>4276</v>
      </c>
      <c r="M576" s="6" t="s">
        <v>4280</v>
      </c>
      <c r="N576" s="24">
        <v>1923.45</v>
      </c>
      <c r="O576" s="22" t="str">
        <f>IF(Table2[[#This Row],[CouponCode]]="N/A", "Not Used", "Used")</f>
        <v>Used</v>
      </c>
    </row>
    <row r="577" spans="1:15" x14ac:dyDescent="0.3">
      <c r="A577" s="6" t="s">
        <v>589</v>
      </c>
      <c r="B577" s="2">
        <v>45084</v>
      </c>
      <c r="C577" s="6" t="s">
        <v>1789</v>
      </c>
      <c r="D577" s="6" t="s">
        <v>2406</v>
      </c>
      <c r="E577" s="9">
        <v>5</v>
      </c>
      <c r="F577" s="24">
        <v>448.15</v>
      </c>
      <c r="G577" t="s">
        <v>2825</v>
      </c>
      <c r="H577" s="6" t="s">
        <v>3068</v>
      </c>
      <c r="I577" s="6" t="s">
        <v>3072</v>
      </c>
      <c r="J577" s="6" t="s">
        <v>3650</v>
      </c>
      <c r="K577" s="9">
        <v>7</v>
      </c>
      <c r="L577" s="6" t="s">
        <v>4275</v>
      </c>
      <c r="M577" s="6" t="s">
        <v>4282</v>
      </c>
      <c r="N577" s="24">
        <v>2240.75</v>
      </c>
      <c r="O577" s="22" t="str">
        <f>IF(Table2[[#This Row],[CouponCode]]="N/A", "Not Used", "Used")</f>
        <v>Used</v>
      </c>
    </row>
    <row r="578" spans="1:15" x14ac:dyDescent="0.3">
      <c r="A578" s="6" t="s">
        <v>590</v>
      </c>
      <c r="B578" s="2">
        <v>45441</v>
      </c>
      <c r="C578" s="6" t="s">
        <v>1790</v>
      </c>
      <c r="D578" s="6" t="s">
        <v>2408</v>
      </c>
      <c r="E578" s="9">
        <v>5</v>
      </c>
      <c r="F578" s="24">
        <v>79.08</v>
      </c>
      <c r="G578" t="s">
        <v>2710</v>
      </c>
      <c r="H578" s="6" t="s">
        <v>3069</v>
      </c>
      <c r="I578" s="6" t="s">
        <v>3074</v>
      </c>
      <c r="J578" s="6" t="s">
        <v>3651</v>
      </c>
      <c r="K578" s="9">
        <v>8</v>
      </c>
      <c r="L578" s="6" t="s">
        <v>4283</v>
      </c>
      <c r="M578" s="6" t="s">
        <v>4281</v>
      </c>
      <c r="N578" s="24">
        <v>395.4</v>
      </c>
      <c r="O578" s="22" t="str">
        <f>IF(Table2[[#This Row],[CouponCode]]="N/A", "Not Used", "Used")</f>
        <v>Not Used</v>
      </c>
    </row>
    <row r="579" spans="1:15" x14ac:dyDescent="0.3">
      <c r="A579" s="6" t="s">
        <v>591</v>
      </c>
      <c r="B579" s="2">
        <v>44948</v>
      </c>
      <c r="C579" s="6" t="s">
        <v>1791</v>
      </c>
      <c r="D579" s="6" t="s">
        <v>2405</v>
      </c>
      <c r="E579" s="9">
        <v>4</v>
      </c>
      <c r="F579" s="24">
        <v>185.41</v>
      </c>
      <c r="G579" t="s">
        <v>2488</v>
      </c>
      <c r="H579" s="6" t="s">
        <v>3066</v>
      </c>
      <c r="I579" s="6" t="s">
        <v>3072</v>
      </c>
      <c r="J579" s="6" t="s">
        <v>3652</v>
      </c>
      <c r="K579" s="9">
        <v>9</v>
      </c>
      <c r="L579" s="6" t="s">
        <v>4277</v>
      </c>
      <c r="M579" s="6" t="s">
        <v>4282</v>
      </c>
      <c r="N579" s="24">
        <v>741.64</v>
      </c>
      <c r="O579" s="22" t="str">
        <f>IF(Table2[[#This Row],[CouponCode]]="N/A", "Not Used", "Used")</f>
        <v>Used</v>
      </c>
    </row>
    <row r="580" spans="1:15" x14ac:dyDescent="0.3">
      <c r="A580" s="6" t="s">
        <v>592</v>
      </c>
      <c r="B580" s="2">
        <v>45575</v>
      </c>
      <c r="C580" s="6" t="s">
        <v>1792</v>
      </c>
      <c r="D580" s="6" t="s">
        <v>2403</v>
      </c>
      <c r="E580" s="9">
        <v>5</v>
      </c>
      <c r="F580" s="24">
        <v>566.07000000000005</v>
      </c>
      <c r="G580" t="s">
        <v>2430</v>
      </c>
      <c r="H580" s="6" t="s">
        <v>3067</v>
      </c>
      <c r="I580" s="6" t="s">
        <v>3073</v>
      </c>
      <c r="J580" s="6" t="s">
        <v>3653</v>
      </c>
      <c r="K580" s="9">
        <v>6</v>
      </c>
      <c r="L580" s="6" t="s">
        <v>4275</v>
      </c>
      <c r="M580" s="6" t="s">
        <v>4278</v>
      </c>
      <c r="N580" s="24">
        <v>2830.35</v>
      </c>
      <c r="O580" s="22" t="str">
        <f>IF(Table2[[#This Row],[CouponCode]]="N/A", "Not Used", "Used")</f>
        <v>Used</v>
      </c>
    </row>
    <row r="581" spans="1:15" x14ac:dyDescent="0.3">
      <c r="A581" s="6" t="s">
        <v>593</v>
      </c>
      <c r="B581" s="2">
        <v>45081</v>
      </c>
      <c r="C581" s="6" t="s">
        <v>1793</v>
      </c>
      <c r="D581" s="6" t="s">
        <v>2405</v>
      </c>
      <c r="E581" s="9">
        <v>2</v>
      </c>
      <c r="F581" s="24">
        <v>187.88</v>
      </c>
      <c r="G581" t="s">
        <v>2679</v>
      </c>
      <c r="H581" s="6" t="s">
        <v>3066</v>
      </c>
      <c r="I581" s="6" t="s">
        <v>3070</v>
      </c>
      <c r="J581" s="6" t="s">
        <v>3654</v>
      </c>
      <c r="K581" s="9">
        <v>4</v>
      </c>
      <c r="L581" s="6" t="s">
        <v>4277</v>
      </c>
      <c r="M581" s="6" t="s">
        <v>4281</v>
      </c>
      <c r="N581" s="24">
        <v>375.76</v>
      </c>
      <c r="O581" s="22" t="str">
        <f>IF(Table2[[#This Row],[CouponCode]]="N/A", "Not Used", "Used")</f>
        <v>Used</v>
      </c>
    </row>
    <row r="582" spans="1:15" x14ac:dyDescent="0.3">
      <c r="A582" s="6" t="s">
        <v>594</v>
      </c>
      <c r="B582" s="2">
        <v>45244</v>
      </c>
      <c r="C582" s="6" t="s">
        <v>1794</v>
      </c>
      <c r="D582" s="6" t="s">
        <v>2403</v>
      </c>
      <c r="E582" s="9">
        <v>2</v>
      </c>
      <c r="F582" s="24">
        <v>255.99</v>
      </c>
      <c r="G582" t="s">
        <v>2826</v>
      </c>
      <c r="H582" s="6" t="s">
        <v>3067</v>
      </c>
      <c r="I582" s="6" t="s">
        <v>3073</v>
      </c>
      <c r="J582" s="6" t="s">
        <v>3655</v>
      </c>
      <c r="K582" s="9">
        <v>4</v>
      </c>
      <c r="L582" s="6" t="s">
        <v>4275</v>
      </c>
      <c r="M582" s="6" t="s">
        <v>4278</v>
      </c>
      <c r="N582" s="24">
        <v>511.98</v>
      </c>
      <c r="O582" s="22" t="str">
        <f>IF(Table2[[#This Row],[CouponCode]]="N/A", "Not Used", "Used")</f>
        <v>Used</v>
      </c>
    </row>
    <row r="583" spans="1:15" x14ac:dyDescent="0.3">
      <c r="A583" s="6" t="s">
        <v>595</v>
      </c>
      <c r="B583" s="2">
        <v>45607</v>
      </c>
      <c r="C583" s="6" t="s">
        <v>1795</v>
      </c>
      <c r="D583" s="6" t="s">
        <v>2408</v>
      </c>
      <c r="E583" s="9">
        <v>1</v>
      </c>
      <c r="F583" s="24">
        <v>627.34</v>
      </c>
      <c r="G583" t="s">
        <v>2425</v>
      </c>
      <c r="H583" s="6" t="s">
        <v>3066</v>
      </c>
      <c r="I583" s="6" t="s">
        <v>3073</v>
      </c>
      <c r="J583" s="6" t="s">
        <v>3656</v>
      </c>
      <c r="K583" s="9">
        <v>1</v>
      </c>
      <c r="L583" s="6" t="s">
        <v>4283</v>
      </c>
      <c r="M583" s="6" t="s">
        <v>4279</v>
      </c>
      <c r="N583" s="24">
        <v>627.34</v>
      </c>
      <c r="O583" s="22" t="str">
        <f>IF(Table2[[#This Row],[CouponCode]]="N/A", "Not Used", "Used")</f>
        <v>Not Used</v>
      </c>
    </row>
    <row r="584" spans="1:15" x14ac:dyDescent="0.3">
      <c r="A584" s="6" t="s">
        <v>596</v>
      </c>
      <c r="B584" s="2">
        <v>45341</v>
      </c>
      <c r="C584" s="6" t="s">
        <v>1796</v>
      </c>
      <c r="D584" s="6" t="s">
        <v>2405</v>
      </c>
      <c r="E584" s="9">
        <v>3</v>
      </c>
      <c r="F584" s="24">
        <v>474.14</v>
      </c>
      <c r="G584" t="s">
        <v>2727</v>
      </c>
      <c r="H584" s="6" t="s">
        <v>3068</v>
      </c>
      <c r="I584" s="6" t="s">
        <v>3070</v>
      </c>
      <c r="J584" s="6" t="s">
        <v>3657</v>
      </c>
      <c r="K584" s="9">
        <v>8</v>
      </c>
      <c r="L584" s="6" t="s">
        <v>4277</v>
      </c>
      <c r="M584" s="6" t="s">
        <v>4282</v>
      </c>
      <c r="N584" s="24">
        <v>1422.42</v>
      </c>
      <c r="O584" s="22" t="str">
        <f>IF(Table2[[#This Row],[CouponCode]]="N/A", "Not Used", "Used")</f>
        <v>Used</v>
      </c>
    </row>
    <row r="585" spans="1:15" x14ac:dyDescent="0.3">
      <c r="A585" s="6" t="s">
        <v>597</v>
      </c>
      <c r="B585" s="2">
        <v>45823</v>
      </c>
      <c r="C585" s="6" t="s">
        <v>1797</v>
      </c>
      <c r="D585" s="6" t="s">
        <v>2406</v>
      </c>
      <c r="E585" s="9">
        <v>3</v>
      </c>
      <c r="F585" s="24">
        <v>154.37</v>
      </c>
      <c r="G585" t="s">
        <v>2441</v>
      </c>
      <c r="H585" s="6" t="s">
        <v>3068</v>
      </c>
      <c r="I585" s="6" t="s">
        <v>3073</v>
      </c>
      <c r="J585" s="6" t="s">
        <v>3658</v>
      </c>
      <c r="K585" s="9">
        <v>4</v>
      </c>
      <c r="L585" s="6" t="s">
        <v>4283</v>
      </c>
      <c r="M585" s="6" t="s">
        <v>4278</v>
      </c>
      <c r="N585" s="24">
        <v>463.11</v>
      </c>
      <c r="O585" s="22" t="str">
        <f>IF(Table2[[#This Row],[CouponCode]]="N/A", "Not Used", "Used")</f>
        <v>Not Used</v>
      </c>
    </row>
    <row r="586" spans="1:15" x14ac:dyDescent="0.3">
      <c r="A586" s="6" t="s">
        <v>598</v>
      </c>
      <c r="B586" s="2">
        <v>45737</v>
      </c>
      <c r="C586" s="6" t="s">
        <v>1798</v>
      </c>
      <c r="D586" s="6" t="s">
        <v>2406</v>
      </c>
      <c r="E586" s="9">
        <v>4</v>
      </c>
      <c r="F586" s="24">
        <v>145.05000000000001</v>
      </c>
      <c r="G586" t="s">
        <v>2827</v>
      </c>
      <c r="H586" s="6" t="s">
        <v>3066</v>
      </c>
      <c r="I586" s="6" t="s">
        <v>3073</v>
      </c>
      <c r="J586" s="6" t="s">
        <v>3659</v>
      </c>
      <c r="K586" s="9">
        <v>6</v>
      </c>
      <c r="L586" s="6" t="s">
        <v>4275</v>
      </c>
      <c r="M586" s="6" t="s">
        <v>4282</v>
      </c>
      <c r="N586" s="24">
        <v>580.20000000000005</v>
      </c>
      <c r="O586" s="22" t="str">
        <f>IF(Table2[[#This Row],[CouponCode]]="N/A", "Not Used", "Used")</f>
        <v>Used</v>
      </c>
    </row>
    <row r="587" spans="1:15" x14ac:dyDescent="0.3">
      <c r="A587" s="6" t="s">
        <v>599</v>
      </c>
      <c r="B587" s="2">
        <v>45158</v>
      </c>
      <c r="C587" s="6" t="s">
        <v>1799</v>
      </c>
      <c r="D587" s="6" t="s">
        <v>2405</v>
      </c>
      <c r="E587" s="9">
        <v>4</v>
      </c>
      <c r="F587" s="24">
        <v>67.08</v>
      </c>
      <c r="G587" t="s">
        <v>2709</v>
      </c>
      <c r="H587" s="6" t="s">
        <v>3069</v>
      </c>
      <c r="I587" s="6" t="s">
        <v>3072</v>
      </c>
      <c r="J587" s="6" t="s">
        <v>3660</v>
      </c>
      <c r="K587" s="9">
        <v>8</v>
      </c>
      <c r="L587" s="6" t="s">
        <v>4277</v>
      </c>
      <c r="M587" s="6" t="s">
        <v>4282</v>
      </c>
      <c r="N587" s="24">
        <v>268.32</v>
      </c>
      <c r="O587" s="22" t="str">
        <f>IF(Table2[[#This Row],[CouponCode]]="N/A", "Not Used", "Used")</f>
        <v>Used</v>
      </c>
    </row>
    <row r="588" spans="1:15" x14ac:dyDescent="0.3">
      <c r="A588" s="6" t="s">
        <v>600</v>
      </c>
      <c r="B588" s="2">
        <v>45606</v>
      </c>
      <c r="C588" s="6" t="s">
        <v>1800</v>
      </c>
      <c r="D588" s="6" t="s">
        <v>2403</v>
      </c>
      <c r="E588" s="9">
        <v>1</v>
      </c>
      <c r="F588" s="24">
        <v>522.08000000000004</v>
      </c>
      <c r="G588" t="s">
        <v>2828</v>
      </c>
      <c r="H588" s="6" t="s">
        <v>3068</v>
      </c>
      <c r="I588" s="6" t="s">
        <v>3072</v>
      </c>
      <c r="J588" s="6" t="s">
        <v>3661</v>
      </c>
      <c r="K588" s="9">
        <v>5</v>
      </c>
      <c r="L588" s="6" t="s">
        <v>4276</v>
      </c>
      <c r="M588" s="6" t="s">
        <v>4279</v>
      </c>
      <c r="N588" s="24">
        <v>522.08000000000004</v>
      </c>
      <c r="O588" s="22" t="str">
        <f>IF(Table2[[#This Row],[CouponCode]]="N/A", "Not Used", "Used")</f>
        <v>Used</v>
      </c>
    </row>
    <row r="589" spans="1:15" x14ac:dyDescent="0.3">
      <c r="A589" s="6" t="s">
        <v>601</v>
      </c>
      <c r="B589" s="2">
        <v>45089</v>
      </c>
      <c r="C589" s="6" t="s">
        <v>1801</v>
      </c>
      <c r="D589" s="6" t="s">
        <v>2403</v>
      </c>
      <c r="E589" s="9">
        <v>5</v>
      </c>
      <c r="F589" s="24">
        <v>514.6</v>
      </c>
      <c r="G589" t="s">
        <v>2829</v>
      </c>
      <c r="H589" s="6" t="s">
        <v>3068</v>
      </c>
      <c r="I589" s="6" t="s">
        <v>3073</v>
      </c>
      <c r="J589" s="6" t="s">
        <v>3662</v>
      </c>
      <c r="K589" s="9">
        <v>10</v>
      </c>
      <c r="L589" s="6" t="s">
        <v>4276</v>
      </c>
      <c r="M589" s="6" t="s">
        <v>4278</v>
      </c>
      <c r="N589" s="24">
        <v>2573</v>
      </c>
      <c r="O589" s="22" t="str">
        <f>IF(Table2[[#This Row],[CouponCode]]="N/A", "Not Used", "Used")</f>
        <v>Used</v>
      </c>
    </row>
    <row r="590" spans="1:15" x14ac:dyDescent="0.3">
      <c r="A590" s="6" t="s">
        <v>602</v>
      </c>
      <c r="B590" s="2">
        <v>45636</v>
      </c>
      <c r="C590" s="6" t="s">
        <v>1802</v>
      </c>
      <c r="D590" s="6" t="s">
        <v>2403</v>
      </c>
      <c r="E590" s="9">
        <v>4</v>
      </c>
      <c r="F590" s="24">
        <v>577.82000000000005</v>
      </c>
      <c r="G590" t="s">
        <v>2465</v>
      </c>
      <c r="H590" s="6" t="s">
        <v>3067</v>
      </c>
      <c r="I590" s="6" t="s">
        <v>3073</v>
      </c>
      <c r="J590" s="6" t="s">
        <v>3663</v>
      </c>
      <c r="K590" s="9">
        <v>9</v>
      </c>
      <c r="L590" s="6" t="s">
        <v>4283</v>
      </c>
      <c r="M590" s="6" t="s">
        <v>4282</v>
      </c>
      <c r="N590" s="24">
        <v>2311.2800000000002</v>
      </c>
      <c r="O590" s="22" t="str">
        <f>IF(Table2[[#This Row],[CouponCode]]="N/A", "Not Used", "Used")</f>
        <v>Not Used</v>
      </c>
    </row>
    <row r="591" spans="1:15" x14ac:dyDescent="0.3">
      <c r="A591" s="6" t="s">
        <v>603</v>
      </c>
      <c r="B591" s="2">
        <v>45698</v>
      </c>
      <c r="C591" s="6" t="s">
        <v>1803</v>
      </c>
      <c r="D591" s="6" t="s">
        <v>2408</v>
      </c>
      <c r="E591" s="9">
        <v>2</v>
      </c>
      <c r="F591" s="24">
        <v>500.8</v>
      </c>
      <c r="G591" t="s">
        <v>2830</v>
      </c>
      <c r="H591" s="6" t="s">
        <v>3069</v>
      </c>
      <c r="I591" s="6" t="s">
        <v>3073</v>
      </c>
      <c r="J591" s="6" t="s">
        <v>3664</v>
      </c>
      <c r="K591" s="9">
        <v>3</v>
      </c>
      <c r="L591" s="6" t="s">
        <v>4276</v>
      </c>
      <c r="M591" s="6" t="s">
        <v>4279</v>
      </c>
      <c r="N591" s="24">
        <v>1001.6</v>
      </c>
      <c r="O591" s="22" t="str">
        <f>IF(Table2[[#This Row],[CouponCode]]="N/A", "Not Used", "Used")</f>
        <v>Used</v>
      </c>
    </row>
    <row r="592" spans="1:15" x14ac:dyDescent="0.3">
      <c r="A592" s="6" t="s">
        <v>604</v>
      </c>
      <c r="B592" s="2">
        <v>45179</v>
      </c>
      <c r="C592" s="6" t="s">
        <v>1804</v>
      </c>
      <c r="D592" s="6" t="s">
        <v>2407</v>
      </c>
      <c r="E592" s="9">
        <v>2</v>
      </c>
      <c r="F592" s="24">
        <v>461.13</v>
      </c>
      <c r="G592" t="s">
        <v>2831</v>
      </c>
      <c r="H592" s="6" t="s">
        <v>3068</v>
      </c>
      <c r="I592" s="6" t="s">
        <v>3072</v>
      </c>
      <c r="J592" s="6" t="s">
        <v>3665</v>
      </c>
      <c r="K592" s="9">
        <v>4</v>
      </c>
      <c r="L592" s="6" t="s">
        <v>4283</v>
      </c>
      <c r="M592" s="6" t="s">
        <v>4280</v>
      </c>
      <c r="N592" s="24">
        <v>922.26</v>
      </c>
      <c r="O592" s="22" t="str">
        <f>IF(Table2[[#This Row],[CouponCode]]="N/A", "Not Used", "Used")</f>
        <v>Not Used</v>
      </c>
    </row>
    <row r="593" spans="1:15" x14ac:dyDescent="0.3">
      <c r="A593" s="6" t="s">
        <v>605</v>
      </c>
      <c r="B593" s="2">
        <v>45614</v>
      </c>
      <c r="C593" s="6" t="s">
        <v>1805</v>
      </c>
      <c r="D593" s="6" t="s">
        <v>2408</v>
      </c>
      <c r="E593" s="9">
        <v>1</v>
      </c>
      <c r="F593" s="24">
        <v>605.28</v>
      </c>
      <c r="G593" t="s">
        <v>2832</v>
      </c>
      <c r="H593" s="6" t="s">
        <v>3068</v>
      </c>
      <c r="I593" s="6" t="s">
        <v>3070</v>
      </c>
      <c r="J593" s="6" t="s">
        <v>3666</v>
      </c>
      <c r="K593" s="9">
        <v>3</v>
      </c>
      <c r="L593" s="6" t="s">
        <v>4276</v>
      </c>
      <c r="M593" s="6" t="s">
        <v>4279</v>
      </c>
      <c r="N593" s="24">
        <v>605.28</v>
      </c>
      <c r="O593" s="22" t="str">
        <f>IF(Table2[[#This Row],[CouponCode]]="N/A", "Not Used", "Used")</f>
        <v>Used</v>
      </c>
    </row>
    <row r="594" spans="1:15" x14ac:dyDescent="0.3">
      <c r="A594" s="6" t="s">
        <v>606</v>
      </c>
      <c r="B594" s="2">
        <v>45405</v>
      </c>
      <c r="C594" s="6" t="s">
        <v>1806</v>
      </c>
      <c r="D594" s="6" t="s">
        <v>2404</v>
      </c>
      <c r="E594" s="9">
        <v>3</v>
      </c>
      <c r="F594" s="24">
        <v>204.27</v>
      </c>
      <c r="G594" t="s">
        <v>2803</v>
      </c>
      <c r="H594" s="6" t="s">
        <v>3066</v>
      </c>
      <c r="I594" s="6" t="s">
        <v>3072</v>
      </c>
      <c r="J594" s="6" t="s">
        <v>3667</v>
      </c>
      <c r="K594" s="9">
        <v>4</v>
      </c>
      <c r="L594" s="6" t="s">
        <v>4283</v>
      </c>
      <c r="M594" s="6" t="s">
        <v>4282</v>
      </c>
      <c r="N594" s="24">
        <v>612.81000000000006</v>
      </c>
      <c r="O594" s="22" t="str">
        <f>IF(Table2[[#This Row],[CouponCode]]="N/A", "Not Used", "Used")</f>
        <v>Not Used</v>
      </c>
    </row>
    <row r="595" spans="1:15" x14ac:dyDescent="0.3">
      <c r="A595" s="6" t="s">
        <v>607</v>
      </c>
      <c r="B595" s="2">
        <v>45140</v>
      </c>
      <c r="C595" s="6" t="s">
        <v>1807</v>
      </c>
      <c r="D595" s="6" t="s">
        <v>2403</v>
      </c>
      <c r="E595" s="9">
        <v>1</v>
      </c>
      <c r="F595" s="24">
        <v>489.8</v>
      </c>
      <c r="G595" t="s">
        <v>2535</v>
      </c>
      <c r="H595" s="6" t="s">
        <v>3068</v>
      </c>
      <c r="I595" s="6" t="s">
        <v>3070</v>
      </c>
      <c r="J595" s="6" t="s">
        <v>3668</v>
      </c>
      <c r="K595" s="9">
        <v>4</v>
      </c>
      <c r="L595" s="6" t="s">
        <v>4276</v>
      </c>
      <c r="M595" s="6" t="s">
        <v>4281</v>
      </c>
      <c r="N595" s="24">
        <v>489.8</v>
      </c>
      <c r="O595" s="22" t="str">
        <f>IF(Table2[[#This Row],[CouponCode]]="N/A", "Not Used", "Used")</f>
        <v>Used</v>
      </c>
    </row>
    <row r="596" spans="1:15" x14ac:dyDescent="0.3">
      <c r="A596" s="6" t="s">
        <v>608</v>
      </c>
      <c r="B596" s="2">
        <v>45343</v>
      </c>
      <c r="C596" s="6" t="s">
        <v>1808</v>
      </c>
      <c r="D596" s="6" t="s">
        <v>2404</v>
      </c>
      <c r="E596" s="9">
        <v>5</v>
      </c>
      <c r="F596" s="24">
        <v>72.64</v>
      </c>
      <c r="G596" t="s">
        <v>2538</v>
      </c>
      <c r="H596" s="6" t="s">
        <v>3067</v>
      </c>
      <c r="I596" s="6" t="s">
        <v>3071</v>
      </c>
      <c r="J596" s="6" t="s">
        <v>3669</v>
      </c>
      <c r="K596" s="9">
        <v>7</v>
      </c>
      <c r="L596" s="6" t="s">
        <v>4283</v>
      </c>
      <c r="M596" s="6" t="s">
        <v>4280</v>
      </c>
      <c r="N596" s="24">
        <v>363.2</v>
      </c>
      <c r="O596" s="22" t="str">
        <f>IF(Table2[[#This Row],[CouponCode]]="N/A", "Not Used", "Used")</f>
        <v>Not Used</v>
      </c>
    </row>
    <row r="597" spans="1:15" x14ac:dyDescent="0.3">
      <c r="A597" s="6" t="s">
        <v>609</v>
      </c>
      <c r="B597" s="2">
        <v>45667</v>
      </c>
      <c r="C597" s="6" t="s">
        <v>1809</v>
      </c>
      <c r="D597" s="6" t="s">
        <v>2407</v>
      </c>
      <c r="E597" s="9">
        <v>2</v>
      </c>
      <c r="F597" s="24">
        <v>385.16</v>
      </c>
      <c r="G597" t="s">
        <v>2833</v>
      </c>
      <c r="H597" s="6" t="s">
        <v>3066</v>
      </c>
      <c r="I597" s="6" t="s">
        <v>3074</v>
      </c>
      <c r="J597" s="6" t="s">
        <v>3670</v>
      </c>
      <c r="K597" s="9">
        <v>7</v>
      </c>
      <c r="L597" s="6" t="s">
        <v>4275</v>
      </c>
      <c r="M597" s="6" t="s">
        <v>4280</v>
      </c>
      <c r="N597" s="24">
        <v>770.32</v>
      </c>
      <c r="O597" s="22" t="str">
        <f>IF(Table2[[#This Row],[CouponCode]]="N/A", "Not Used", "Used")</f>
        <v>Used</v>
      </c>
    </row>
    <row r="598" spans="1:15" x14ac:dyDescent="0.3">
      <c r="A598" s="6" t="s">
        <v>610</v>
      </c>
      <c r="B598" s="2">
        <v>45089</v>
      </c>
      <c r="C598" s="6" t="s">
        <v>1810</v>
      </c>
      <c r="D598" s="6" t="s">
        <v>2409</v>
      </c>
      <c r="E598" s="9">
        <v>3</v>
      </c>
      <c r="F598" s="24">
        <v>606.41</v>
      </c>
      <c r="G598" t="s">
        <v>2834</v>
      </c>
      <c r="H598" s="6" t="s">
        <v>3065</v>
      </c>
      <c r="I598" s="6" t="s">
        <v>3072</v>
      </c>
      <c r="J598" s="6" t="s">
        <v>3671</v>
      </c>
      <c r="K598" s="9">
        <v>7</v>
      </c>
      <c r="L598" s="6" t="s">
        <v>4276</v>
      </c>
      <c r="M598" s="6" t="s">
        <v>4281</v>
      </c>
      <c r="N598" s="24">
        <v>1819.23</v>
      </c>
      <c r="O598" s="22" t="str">
        <f>IF(Table2[[#This Row],[CouponCode]]="N/A", "Not Used", "Used")</f>
        <v>Used</v>
      </c>
    </row>
    <row r="599" spans="1:15" x14ac:dyDescent="0.3">
      <c r="A599" s="6" t="s">
        <v>611</v>
      </c>
      <c r="B599" s="2">
        <v>45621</v>
      </c>
      <c r="C599" s="6" t="s">
        <v>1811</v>
      </c>
      <c r="D599" s="6" t="s">
        <v>2409</v>
      </c>
      <c r="E599" s="9">
        <v>2</v>
      </c>
      <c r="F599" s="24">
        <v>211.82</v>
      </c>
      <c r="G599" t="s">
        <v>2835</v>
      </c>
      <c r="H599" s="6" t="s">
        <v>3068</v>
      </c>
      <c r="I599" s="6" t="s">
        <v>3071</v>
      </c>
      <c r="J599" s="6" t="s">
        <v>3672</v>
      </c>
      <c r="K599" s="9">
        <v>4</v>
      </c>
      <c r="L599" s="6" t="s">
        <v>4277</v>
      </c>
      <c r="M599" s="6" t="s">
        <v>4280</v>
      </c>
      <c r="N599" s="24">
        <v>423.64</v>
      </c>
      <c r="O599" s="22" t="str">
        <f>IF(Table2[[#This Row],[CouponCode]]="N/A", "Not Used", "Used")</f>
        <v>Used</v>
      </c>
    </row>
    <row r="600" spans="1:15" x14ac:dyDescent="0.3">
      <c r="A600" s="6" t="s">
        <v>612</v>
      </c>
      <c r="B600" s="2">
        <v>45408</v>
      </c>
      <c r="C600" s="6" t="s">
        <v>1812</v>
      </c>
      <c r="D600" s="6" t="s">
        <v>2409</v>
      </c>
      <c r="E600" s="9">
        <v>5</v>
      </c>
      <c r="F600" s="24">
        <v>495.35</v>
      </c>
      <c r="G600" t="s">
        <v>2693</v>
      </c>
      <c r="H600" s="6" t="s">
        <v>3067</v>
      </c>
      <c r="I600" s="6" t="s">
        <v>3074</v>
      </c>
      <c r="J600" s="6" t="s">
        <v>3673</v>
      </c>
      <c r="K600" s="9">
        <v>5</v>
      </c>
      <c r="L600" s="6" t="s">
        <v>4283</v>
      </c>
      <c r="M600" s="6" t="s">
        <v>4281</v>
      </c>
      <c r="N600" s="24">
        <v>2476.75</v>
      </c>
      <c r="O600" s="22" t="str">
        <f>IF(Table2[[#This Row],[CouponCode]]="N/A", "Not Used", "Used")</f>
        <v>Not Used</v>
      </c>
    </row>
    <row r="601" spans="1:15" x14ac:dyDescent="0.3">
      <c r="A601" s="6" t="s">
        <v>613</v>
      </c>
      <c r="B601" s="2">
        <v>45107</v>
      </c>
      <c r="C601" s="6" t="s">
        <v>1813</v>
      </c>
      <c r="D601" s="6" t="s">
        <v>2406</v>
      </c>
      <c r="E601" s="9">
        <v>3</v>
      </c>
      <c r="F601" s="24">
        <v>556.99</v>
      </c>
      <c r="G601" t="s">
        <v>2739</v>
      </c>
      <c r="H601" s="6" t="s">
        <v>3066</v>
      </c>
      <c r="I601" s="6" t="s">
        <v>3071</v>
      </c>
      <c r="J601" s="6" t="s">
        <v>3674</v>
      </c>
      <c r="K601" s="9">
        <v>4</v>
      </c>
      <c r="L601" s="6" t="s">
        <v>4276</v>
      </c>
      <c r="M601" s="6" t="s">
        <v>4281</v>
      </c>
      <c r="N601" s="24">
        <v>1670.97</v>
      </c>
      <c r="O601" s="22" t="str">
        <f>IF(Table2[[#This Row],[CouponCode]]="N/A", "Not Used", "Used")</f>
        <v>Used</v>
      </c>
    </row>
    <row r="602" spans="1:15" x14ac:dyDescent="0.3">
      <c r="A602" s="6" t="s">
        <v>614</v>
      </c>
      <c r="B602" s="2">
        <v>45072</v>
      </c>
      <c r="C602" s="6" t="s">
        <v>1814</v>
      </c>
      <c r="D602" s="6" t="s">
        <v>2407</v>
      </c>
      <c r="E602" s="9">
        <v>1</v>
      </c>
      <c r="F602" s="24">
        <v>72.31</v>
      </c>
      <c r="G602" t="s">
        <v>2633</v>
      </c>
      <c r="H602" s="6" t="s">
        <v>3068</v>
      </c>
      <c r="I602" s="6" t="s">
        <v>3071</v>
      </c>
      <c r="J602" s="6" t="s">
        <v>3675</v>
      </c>
      <c r="K602" s="9">
        <v>1</v>
      </c>
      <c r="L602" s="6" t="s">
        <v>4276</v>
      </c>
      <c r="M602" s="6" t="s">
        <v>4281</v>
      </c>
      <c r="N602" s="24">
        <v>72.31</v>
      </c>
      <c r="O602" s="22" t="str">
        <f>IF(Table2[[#This Row],[CouponCode]]="N/A", "Not Used", "Used")</f>
        <v>Used</v>
      </c>
    </row>
    <row r="603" spans="1:15" x14ac:dyDescent="0.3">
      <c r="A603" s="6" t="s">
        <v>615</v>
      </c>
      <c r="B603" s="2">
        <v>45201</v>
      </c>
      <c r="C603" s="6" t="s">
        <v>1815</v>
      </c>
      <c r="D603" s="6" t="s">
        <v>2403</v>
      </c>
      <c r="E603" s="9">
        <v>5</v>
      </c>
      <c r="F603" s="24">
        <v>24.82</v>
      </c>
      <c r="G603" t="s">
        <v>2836</v>
      </c>
      <c r="H603" s="6" t="s">
        <v>3067</v>
      </c>
      <c r="I603" s="6" t="s">
        <v>3070</v>
      </c>
      <c r="J603" s="6" t="s">
        <v>3676</v>
      </c>
      <c r="K603" s="9">
        <v>10</v>
      </c>
      <c r="L603" s="6" t="s">
        <v>4283</v>
      </c>
      <c r="M603" s="6" t="s">
        <v>4279</v>
      </c>
      <c r="N603" s="24">
        <v>124.1</v>
      </c>
      <c r="O603" s="22" t="str">
        <f>IF(Table2[[#This Row],[CouponCode]]="N/A", "Not Used", "Used")</f>
        <v>Not Used</v>
      </c>
    </row>
    <row r="604" spans="1:15" x14ac:dyDescent="0.3">
      <c r="A604" s="6" t="s">
        <v>616</v>
      </c>
      <c r="B604" s="2">
        <v>45356</v>
      </c>
      <c r="C604" s="6" t="s">
        <v>1696</v>
      </c>
      <c r="D604" s="6" t="s">
        <v>2405</v>
      </c>
      <c r="E604" s="9">
        <v>4</v>
      </c>
      <c r="F604" s="24">
        <v>26.04</v>
      </c>
      <c r="G604" t="s">
        <v>2782</v>
      </c>
      <c r="H604" s="6" t="s">
        <v>3066</v>
      </c>
      <c r="I604" s="6" t="s">
        <v>3074</v>
      </c>
      <c r="J604" s="6" t="s">
        <v>3677</v>
      </c>
      <c r="K604" s="9">
        <v>5</v>
      </c>
      <c r="L604" s="6" t="s">
        <v>4275</v>
      </c>
      <c r="M604" s="6" t="s">
        <v>4278</v>
      </c>
      <c r="N604" s="24">
        <v>104.16</v>
      </c>
      <c r="O604" s="22" t="str">
        <f>IF(Table2[[#This Row],[CouponCode]]="N/A", "Not Used", "Used")</f>
        <v>Used</v>
      </c>
    </row>
    <row r="605" spans="1:15" x14ac:dyDescent="0.3">
      <c r="A605" s="6" t="s">
        <v>617</v>
      </c>
      <c r="B605" s="2">
        <v>45569</v>
      </c>
      <c r="C605" s="6" t="s">
        <v>1816</v>
      </c>
      <c r="D605" s="6" t="s">
        <v>2405</v>
      </c>
      <c r="E605" s="9">
        <v>1</v>
      </c>
      <c r="F605" s="24">
        <v>657.07</v>
      </c>
      <c r="G605" t="s">
        <v>2837</v>
      </c>
      <c r="H605" s="6" t="s">
        <v>3069</v>
      </c>
      <c r="I605" s="6" t="s">
        <v>3074</v>
      </c>
      <c r="J605" s="6" t="s">
        <v>3678</v>
      </c>
      <c r="K605" s="9">
        <v>4</v>
      </c>
      <c r="L605" s="6" t="s">
        <v>4275</v>
      </c>
      <c r="M605" s="6" t="s">
        <v>4282</v>
      </c>
      <c r="N605" s="24">
        <v>657.07</v>
      </c>
      <c r="O605" s="22" t="str">
        <f>IF(Table2[[#This Row],[CouponCode]]="N/A", "Not Used", "Used")</f>
        <v>Used</v>
      </c>
    </row>
    <row r="606" spans="1:15" x14ac:dyDescent="0.3">
      <c r="A606" s="6" t="s">
        <v>618</v>
      </c>
      <c r="B606" s="2">
        <v>45830</v>
      </c>
      <c r="C606" s="6" t="s">
        <v>1817</v>
      </c>
      <c r="D606" s="6" t="s">
        <v>2406</v>
      </c>
      <c r="E606" s="9">
        <v>3</v>
      </c>
      <c r="F606" s="24">
        <v>32.619999999999997</v>
      </c>
      <c r="G606" t="s">
        <v>2661</v>
      </c>
      <c r="H606" s="6" t="s">
        <v>3065</v>
      </c>
      <c r="I606" s="6" t="s">
        <v>3073</v>
      </c>
      <c r="J606" s="6" t="s">
        <v>3679</v>
      </c>
      <c r="K606" s="9">
        <v>6</v>
      </c>
      <c r="L606" s="6" t="s">
        <v>4283</v>
      </c>
      <c r="M606" s="6" t="s">
        <v>4281</v>
      </c>
      <c r="N606" s="24">
        <v>97.859999999999985</v>
      </c>
      <c r="O606" s="22" t="str">
        <f>IF(Table2[[#This Row],[CouponCode]]="N/A", "Not Used", "Used")</f>
        <v>Not Used</v>
      </c>
    </row>
    <row r="607" spans="1:15" x14ac:dyDescent="0.3">
      <c r="A607" s="6" t="s">
        <v>619</v>
      </c>
      <c r="B607" s="2">
        <v>45422</v>
      </c>
      <c r="C607" s="6" t="s">
        <v>1818</v>
      </c>
      <c r="D607" s="6" t="s">
        <v>2403</v>
      </c>
      <c r="E607" s="9">
        <v>2</v>
      </c>
      <c r="F607" s="24">
        <v>228.91</v>
      </c>
      <c r="G607" t="s">
        <v>2838</v>
      </c>
      <c r="H607" s="6" t="s">
        <v>3065</v>
      </c>
      <c r="I607" s="6" t="s">
        <v>3070</v>
      </c>
      <c r="J607" s="6" t="s">
        <v>3680</v>
      </c>
      <c r="K607" s="9">
        <v>4</v>
      </c>
      <c r="L607" s="6" t="s">
        <v>4275</v>
      </c>
      <c r="M607" s="6" t="s">
        <v>4279</v>
      </c>
      <c r="N607" s="24">
        <v>457.82</v>
      </c>
      <c r="O607" s="22" t="str">
        <f>IF(Table2[[#This Row],[CouponCode]]="N/A", "Not Used", "Used")</f>
        <v>Used</v>
      </c>
    </row>
    <row r="608" spans="1:15" x14ac:dyDescent="0.3">
      <c r="A608" s="6" t="s">
        <v>620</v>
      </c>
      <c r="B608" s="2">
        <v>45602</v>
      </c>
      <c r="C608" s="6" t="s">
        <v>1819</v>
      </c>
      <c r="D608" s="6" t="s">
        <v>2408</v>
      </c>
      <c r="E608" s="9">
        <v>3</v>
      </c>
      <c r="F608" s="24">
        <v>274.75</v>
      </c>
      <c r="G608" t="s">
        <v>2614</v>
      </c>
      <c r="H608" s="6" t="s">
        <v>3069</v>
      </c>
      <c r="I608" s="6" t="s">
        <v>3071</v>
      </c>
      <c r="J608" s="6" t="s">
        <v>3681</v>
      </c>
      <c r="K608" s="9">
        <v>3</v>
      </c>
      <c r="L608" s="6" t="s">
        <v>4275</v>
      </c>
      <c r="M608" s="6" t="s">
        <v>4282</v>
      </c>
      <c r="N608" s="24">
        <v>824.25</v>
      </c>
      <c r="O608" s="22" t="str">
        <f>IF(Table2[[#This Row],[CouponCode]]="N/A", "Not Used", "Used")</f>
        <v>Used</v>
      </c>
    </row>
    <row r="609" spans="1:15" x14ac:dyDescent="0.3">
      <c r="A609" s="6" t="s">
        <v>621</v>
      </c>
      <c r="B609" s="2">
        <v>45808</v>
      </c>
      <c r="C609" s="6" t="s">
        <v>1820</v>
      </c>
      <c r="D609" s="6" t="s">
        <v>2407</v>
      </c>
      <c r="E609" s="9">
        <v>4</v>
      </c>
      <c r="F609" s="24">
        <v>634.04999999999995</v>
      </c>
      <c r="G609" t="s">
        <v>2839</v>
      </c>
      <c r="H609" s="6" t="s">
        <v>3069</v>
      </c>
      <c r="I609" s="6" t="s">
        <v>3070</v>
      </c>
      <c r="J609" s="6" t="s">
        <v>3682</v>
      </c>
      <c r="K609" s="9">
        <v>6</v>
      </c>
      <c r="L609" s="6" t="s">
        <v>4275</v>
      </c>
      <c r="M609" s="6" t="s">
        <v>4282</v>
      </c>
      <c r="N609" s="24">
        <v>2536.1999999999998</v>
      </c>
      <c r="O609" s="22" t="str">
        <f>IF(Table2[[#This Row],[CouponCode]]="N/A", "Not Used", "Used")</f>
        <v>Used</v>
      </c>
    </row>
    <row r="610" spans="1:15" x14ac:dyDescent="0.3">
      <c r="A610" s="6" t="s">
        <v>622</v>
      </c>
      <c r="B610" s="2">
        <v>45497</v>
      </c>
      <c r="C610" s="6" t="s">
        <v>1821</v>
      </c>
      <c r="D610" s="6" t="s">
        <v>2408</v>
      </c>
      <c r="E610" s="9">
        <v>5</v>
      </c>
      <c r="F610" s="24">
        <v>543.16</v>
      </c>
      <c r="G610" t="s">
        <v>2840</v>
      </c>
      <c r="H610" s="6" t="s">
        <v>3066</v>
      </c>
      <c r="I610" s="6" t="s">
        <v>3071</v>
      </c>
      <c r="J610" s="6" t="s">
        <v>3683</v>
      </c>
      <c r="K610" s="9">
        <v>6</v>
      </c>
      <c r="L610" s="6" t="s">
        <v>4275</v>
      </c>
      <c r="M610" s="6" t="s">
        <v>4278</v>
      </c>
      <c r="N610" s="24">
        <v>2715.8</v>
      </c>
      <c r="O610" s="22" t="str">
        <f>IF(Table2[[#This Row],[CouponCode]]="N/A", "Not Used", "Used")</f>
        <v>Used</v>
      </c>
    </row>
    <row r="611" spans="1:15" x14ac:dyDescent="0.3">
      <c r="A611" s="6" t="s">
        <v>623</v>
      </c>
      <c r="B611" s="2">
        <v>45684</v>
      </c>
      <c r="C611" s="6" t="s">
        <v>1822</v>
      </c>
      <c r="D611" s="6" t="s">
        <v>2406</v>
      </c>
      <c r="E611" s="9">
        <v>3</v>
      </c>
      <c r="F611" s="24">
        <v>449.13</v>
      </c>
      <c r="G611" t="s">
        <v>2841</v>
      </c>
      <c r="H611" s="6" t="s">
        <v>3069</v>
      </c>
      <c r="I611" s="6" t="s">
        <v>3072</v>
      </c>
      <c r="J611" s="6" t="s">
        <v>3684</v>
      </c>
      <c r="K611" s="9">
        <v>5</v>
      </c>
      <c r="L611" s="6" t="s">
        <v>4277</v>
      </c>
      <c r="M611" s="6" t="s">
        <v>4279</v>
      </c>
      <c r="N611" s="24">
        <v>1347.39</v>
      </c>
      <c r="O611" s="22" t="str">
        <f>IF(Table2[[#This Row],[CouponCode]]="N/A", "Not Used", "Used")</f>
        <v>Used</v>
      </c>
    </row>
    <row r="612" spans="1:15" x14ac:dyDescent="0.3">
      <c r="A612" s="6" t="s">
        <v>624</v>
      </c>
      <c r="B612" s="2">
        <v>45459</v>
      </c>
      <c r="C612" s="6" t="s">
        <v>1823</v>
      </c>
      <c r="D612" s="6" t="s">
        <v>2409</v>
      </c>
      <c r="E612" s="9">
        <v>5</v>
      </c>
      <c r="F612" s="24">
        <v>389.62</v>
      </c>
      <c r="G612" t="s">
        <v>2460</v>
      </c>
      <c r="H612" s="6" t="s">
        <v>3069</v>
      </c>
      <c r="I612" s="6" t="s">
        <v>3072</v>
      </c>
      <c r="J612" s="6" t="s">
        <v>3685</v>
      </c>
      <c r="K612" s="9">
        <v>7</v>
      </c>
      <c r="L612" s="6" t="s">
        <v>4276</v>
      </c>
      <c r="M612" s="6" t="s">
        <v>4281</v>
      </c>
      <c r="N612" s="24">
        <v>1948.1</v>
      </c>
      <c r="O612" s="22" t="str">
        <f>IF(Table2[[#This Row],[CouponCode]]="N/A", "Not Used", "Used")</f>
        <v>Used</v>
      </c>
    </row>
    <row r="613" spans="1:15" x14ac:dyDescent="0.3">
      <c r="A613" s="6" t="s">
        <v>625</v>
      </c>
      <c r="B613" s="2">
        <v>45037</v>
      </c>
      <c r="C613" s="6" t="s">
        <v>1824</v>
      </c>
      <c r="D613" s="6" t="s">
        <v>2409</v>
      </c>
      <c r="E613" s="9">
        <v>1</v>
      </c>
      <c r="F613" s="24">
        <v>305.17</v>
      </c>
      <c r="G613" t="s">
        <v>2835</v>
      </c>
      <c r="H613" s="6" t="s">
        <v>3068</v>
      </c>
      <c r="I613" s="6" t="s">
        <v>3072</v>
      </c>
      <c r="J613" s="6" t="s">
        <v>3686</v>
      </c>
      <c r="K613" s="9">
        <v>3</v>
      </c>
      <c r="L613" s="6" t="s">
        <v>4277</v>
      </c>
      <c r="M613" s="6" t="s">
        <v>4279</v>
      </c>
      <c r="N613" s="24">
        <v>305.17</v>
      </c>
      <c r="O613" s="22" t="str">
        <f>IF(Table2[[#This Row],[CouponCode]]="N/A", "Not Used", "Used")</f>
        <v>Used</v>
      </c>
    </row>
    <row r="614" spans="1:15" x14ac:dyDescent="0.3">
      <c r="A614" s="6" t="s">
        <v>626</v>
      </c>
      <c r="B614" s="2">
        <v>45079</v>
      </c>
      <c r="C614" s="6" t="s">
        <v>1825</v>
      </c>
      <c r="D614" s="6" t="s">
        <v>2406</v>
      </c>
      <c r="E614" s="9">
        <v>3</v>
      </c>
      <c r="F614" s="24">
        <v>445.12</v>
      </c>
      <c r="G614" t="s">
        <v>2678</v>
      </c>
      <c r="H614" s="6" t="s">
        <v>3068</v>
      </c>
      <c r="I614" s="6" t="s">
        <v>3071</v>
      </c>
      <c r="J614" s="6" t="s">
        <v>3687</v>
      </c>
      <c r="K614" s="9">
        <v>8</v>
      </c>
      <c r="L614" s="6" t="s">
        <v>4283</v>
      </c>
      <c r="M614" s="6" t="s">
        <v>4282</v>
      </c>
      <c r="N614" s="24">
        <v>1335.36</v>
      </c>
      <c r="O614" s="22" t="str">
        <f>IF(Table2[[#This Row],[CouponCode]]="N/A", "Not Used", "Used")</f>
        <v>Not Used</v>
      </c>
    </row>
    <row r="615" spans="1:15" x14ac:dyDescent="0.3">
      <c r="A615" s="6" t="s">
        <v>627</v>
      </c>
      <c r="B615" s="2">
        <v>45645</v>
      </c>
      <c r="C615" s="6" t="s">
        <v>1826</v>
      </c>
      <c r="D615" s="6" t="s">
        <v>2408</v>
      </c>
      <c r="E615" s="9">
        <v>2</v>
      </c>
      <c r="F615" s="24">
        <v>230.36</v>
      </c>
      <c r="G615" t="s">
        <v>2842</v>
      </c>
      <c r="H615" s="6" t="s">
        <v>3066</v>
      </c>
      <c r="I615" s="6" t="s">
        <v>3072</v>
      </c>
      <c r="J615" s="6" t="s">
        <v>3688</v>
      </c>
      <c r="K615" s="9">
        <v>4</v>
      </c>
      <c r="L615" s="6" t="s">
        <v>4277</v>
      </c>
      <c r="M615" s="6" t="s">
        <v>4280</v>
      </c>
      <c r="N615" s="24">
        <v>460.72</v>
      </c>
      <c r="O615" s="22" t="str">
        <f>IF(Table2[[#This Row],[CouponCode]]="N/A", "Not Used", "Used")</f>
        <v>Used</v>
      </c>
    </row>
    <row r="616" spans="1:15" x14ac:dyDescent="0.3">
      <c r="A616" s="6" t="s">
        <v>628</v>
      </c>
      <c r="B616" s="2">
        <v>45359</v>
      </c>
      <c r="C616" s="6" t="s">
        <v>1827</v>
      </c>
      <c r="D616" s="6" t="s">
        <v>2404</v>
      </c>
      <c r="E616" s="9">
        <v>1</v>
      </c>
      <c r="F616" s="24">
        <v>96.81</v>
      </c>
      <c r="G616" t="s">
        <v>2521</v>
      </c>
      <c r="H616" s="6" t="s">
        <v>3068</v>
      </c>
      <c r="I616" s="6" t="s">
        <v>3071</v>
      </c>
      <c r="J616" s="6" t="s">
        <v>3689</v>
      </c>
      <c r="K616" s="9">
        <v>3</v>
      </c>
      <c r="L616" s="6" t="s">
        <v>4283</v>
      </c>
      <c r="M616" s="6" t="s">
        <v>4279</v>
      </c>
      <c r="N616" s="24">
        <v>96.81</v>
      </c>
      <c r="O616" s="22" t="str">
        <f>IF(Table2[[#This Row],[CouponCode]]="N/A", "Not Used", "Used")</f>
        <v>Not Used</v>
      </c>
    </row>
    <row r="617" spans="1:15" x14ac:dyDescent="0.3">
      <c r="A617" s="6" t="s">
        <v>629</v>
      </c>
      <c r="B617" s="2">
        <v>45723</v>
      </c>
      <c r="C617" s="6" t="s">
        <v>1828</v>
      </c>
      <c r="D617" s="6" t="s">
        <v>2403</v>
      </c>
      <c r="E617" s="9">
        <v>5</v>
      </c>
      <c r="F617" s="24">
        <v>460.14</v>
      </c>
      <c r="G617" t="s">
        <v>2661</v>
      </c>
      <c r="H617" s="6" t="s">
        <v>3067</v>
      </c>
      <c r="I617" s="6" t="s">
        <v>3072</v>
      </c>
      <c r="J617" s="6" t="s">
        <v>3690</v>
      </c>
      <c r="K617" s="9">
        <v>10</v>
      </c>
      <c r="L617" s="6" t="s">
        <v>4277</v>
      </c>
      <c r="M617" s="6" t="s">
        <v>4281</v>
      </c>
      <c r="N617" s="24">
        <v>2300.6999999999998</v>
      </c>
      <c r="O617" s="22" t="str">
        <f>IF(Table2[[#This Row],[CouponCode]]="N/A", "Not Used", "Used")</f>
        <v>Used</v>
      </c>
    </row>
    <row r="618" spans="1:15" x14ac:dyDescent="0.3">
      <c r="A618" s="6" t="s">
        <v>630</v>
      </c>
      <c r="B618" s="2">
        <v>45582</v>
      </c>
      <c r="C618" s="6" t="s">
        <v>1829</v>
      </c>
      <c r="D618" s="6" t="s">
        <v>2405</v>
      </c>
      <c r="E618" s="9">
        <v>3</v>
      </c>
      <c r="F618" s="24">
        <v>601.6</v>
      </c>
      <c r="G618" t="s">
        <v>2843</v>
      </c>
      <c r="H618" s="6" t="s">
        <v>3067</v>
      </c>
      <c r="I618" s="6" t="s">
        <v>3071</v>
      </c>
      <c r="J618" s="6" t="s">
        <v>3691</v>
      </c>
      <c r="K618" s="9">
        <v>7</v>
      </c>
      <c r="L618" s="6" t="s">
        <v>4275</v>
      </c>
      <c r="M618" s="6" t="s">
        <v>4281</v>
      </c>
      <c r="N618" s="24">
        <v>1804.8</v>
      </c>
      <c r="O618" s="22" t="str">
        <f>IF(Table2[[#This Row],[CouponCode]]="N/A", "Not Used", "Used")</f>
        <v>Used</v>
      </c>
    </row>
    <row r="619" spans="1:15" x14ac:dyDescent="0.3">
      <c r="A619" s="6" t="s">
        <v>631</v>
      </c>
      <c r="B619" s="2">
        <v>45330</v>
      </c>
      <c r="C619" s="6" t="s">
        <v>1830</v>
      </c>
      <c r="D619" s="6" t="s">
        <v>2405</v>
      </c>
      <c r="E619" s="9">
        <v>3</v>
      </c>
      <c r="F619" s="24">
        <v>184.47</v>
      </c>
      <c r="G619" t="s">
        <v>2844</v>
      </c>
      <c r="H619" s="6" t="s">
        <v>3066</v>
      </c>
      <c r="I619" s="6" t="s">
        <v>3071</v>
      </c>
      <c r="J619" s="6" t="s">
        <v>3692</v>
      </c>
      <c r="K619" s="9">
        <v>4</v>
      </c>
      <c r="L619" s="6" t="s">
        <v>4283</v>
      </c>
      <c r="M619" s="6" t="s">
        <v>4279</v>
      </c>
      <c r="N619" s="24">
        <v>553.41</v>
      </c>
      <c r="O619" s="22" t="str">
        <f>IF(Table2[[#This Row],[CouponCode]]="N/A", "Not Used", "Used")</f>
        <v>Not Used</v>
      </c>
    </row>
    <row r="620" spans="1:15" x14ac:dyDescent="0.3">
      <c r="A620" s="6" t="s">
        <v>632</v>
      </c>
      <c r="B620" s="2">
        <v>45538</v>
      </c>
      <c r="C620" s="6" t="s">
        <v>1831</v>
      </c>
      <c r="D620" s="6" t="s">
        <v>2405</v>
      </c>
      <c r="E620" s="9">
        <v>1</v>
      </c>
      <c r="F620" s="24">
        <v>411.34</v>
      </c>
      <c r="G620" t="s">
        <v>2845</v>
      </c>
      <c r="H620" s="6" t="s">
        <v>3065</v>
      </c>
      <c r="I620" s="6" t="s">
        <v>3072</v>
      </c>
      <c r="J620" s="6" t="s">
        <v>3693</v>
      </c>
      <c r="K620" s="9">
        <v>5</v>
      </c>
      <c r="L620" s="6" t="s">
        <v>4283</v>
      </c>
      <c r="M620" s="6" t="s">
        <v>4278</v>
      </c>
      <c r="N620" s="24">
        <v>411.34</v>
      </c>
      <c r="O620" s="22" t="str">
        <f>IF(Table2[[#This Row],[CouponCode]]="N/A", "Not Used", "Used")</f>
        <v>Not Used</v>
      </c>
    </row>
    <row r="621" spans="1:15" x14ac:dyDescent="0.3">
      <c r="A621" s="6" t="s">
        <v>633</v>
      </c>
      <c r="B621" s="2">
        <v>45489</v>
      </c>
      <c r="C621" s="6" t="s">
        <v>1832</v>
      </c>
      <c r="D621" s="6" t="s">
        <v>2408</v>
      </c>
      <c r="E621" s="9">
        <v>1</v>
      </c>
      <c r="F621" s="24">
        <v>532.89</v>
      </c>
      <c r="G621" t="s">
        <v>2783</v>
      </c>
      <c r="H621" s="6" t="s">
        <v>3068</v>
      </c>
      <c r="I621" s="6" t="s">
        <v>3074</v>
      </c>
      <c r="J621" s="6" t="s">
        <v>3694</v>
      </c>
      <c r="K621" s="9">
        <v>2</v>
      </c>
      <c r="L621" s="6" t="s">
        <v>4283</v>
      </c>
      <c r="M621" s="6" t="s">
        <v>4279</v>
      </c>
      <c r="N621" s="24">
        <v>532.89</v>
      </c>
      <c r="O621" s="22" t="str">
        <f>IF(Table2[[#This Row],[CouponCode]]="N/A", "Not Used", "Used")</f>
        <v>Not Used</v>
      </c>
    </row>
    <row r="622" spans="1:15" x14ac:dyDescent="0.3">
      <c r="A622" s="6" t="s">
        <v>634</v>
      </c>
      <c r="B622" s="2">
        <v>45378</v>
      </c>
      <c r="C622" s="6" t="s">
        <v>1833</v>
      </c>
      <c r="D622" s="6" t="s">
        <v>2405</v>
      </c>
      <c r="E622" s="9">
        <v>3</v>
      </c>
      <c r="F622" s="24">
        <v>136.34</v>
      </c>
      <c r="G622" t="s">
        <v>2846</v>
      </c>
      <c r="H622" s="6" t="s">
        <v>3065</v>
      </c>
      <c r="I622" s="6" t="s">
        <v>3072</v>
      </c>
      <c r="J622" s="6" t="s">
        <v>3695</v>
      </c>
      <c r="K622" s="9">
        <v>8</v>
      </c>
      <c r="L622" s="6" t="s">
        <v>4275</v>
      </c>
      <c r="M622" s="6" t="s">
        <v>4279</v>
      </c>
      <c r="N622" s="24">
        <v>409.02</v>
      </c>
      <c r="O622" s="22" t="str">
        <f>IF(Table2[[#This Row],[CouponCode]]="N/A", "Not Used", "Used")</f>
        <v>Used</v>
      </c>
    </row>
    <row r="623" spans="1:15" x14ac:dyDescent="0.3">
      <c r="A623" s="6" t="s">
        <v>635</v>
      </c>
      <c r="B623" s="2">
        <v>45221</v>
      </c>
      <c r="C623" s="6" t="s">
        <v>1834</v>
      </c>
      <c r="D623" s="6" t="s">
        <v>2404</v>
      </c>
      <c r="E623" s="9">
        <v>5</v>
      </c>
      <c r="F623" s="24">
        <v>476.01</v>
      </c>
      <c r="G623" t="s">
        <v>2482</v>
      </c>
      <c r="H623" s="6" t="s">
        <v>3067</v>
      </c>
      <c r="I623" s="6" t="s">
        <v>3073</v>
      </c>
      <c r="J623" s="6" t="s">
        <v>3696</v>
      </c>
      <c r="K623" s="9">
        <v>7</v>
      </c>
      <c r="L623" s="6" t="s">
        <v>4277</v>
      </c>
      <c r="M623" s="6" t="s">
        <v>4282</v>
      </c>
      <c r="N623" s="24">
        <v>2380.0500000000002</v>
      </c>
      <c r="O623" s="22" t="str">
        <f>IF(Table2[[#This Row],[CouponCode]]="N/A", "Not Used", "Used")</f>
        <v>Used</v>
      </c>
    </row>
    <row r="624" spans="1:15" x14ac:dyDescent="0.3">
      <c r="A624" s="6" t="s">
        <v>636</v>
      </c>
      <c r="B624" s="2">
        <v>45598</v>
      </c>
      <c r="C624" s="6" t="s">
        <v>1835</v>
      </c>
      <c r="D624" s="6" t="s">
        <v>2409</v>
      </c>
      <c r="E624" s="9">
        <v>5</v>
      </c>
      <c r="F624" s="24">
        <v>236.38</v>
      </c>
      <c r="G624" t="s">
        <v>2445</v>
      </c>
      <c r="H624" s="6" t="s">
        <v>3067</v>
      </c>
      <c r="I624" s="6" t="s">
        <v>3072</v>
      </c>
      <c r="J624" s="6" t="s">
        <v>3697</v>
      </c>
      <c r="K624" s="9">
        <v>7</v>
      </c>
      <c r="L624" s="6" t="s">
        <v>4283</v>
      </c>
      <c r="M624" s="6" t="s">
        <v>4281</v>
      </c>
      <c r="N624" s="24">
        <v>1181.9000000000001</v>
      </c>
      <c r="O624" s="22" t="str">
        <f>IF(Table2[[#This Row],[CouponCode]]="N/A", "Not Used", "Used")</f>
        <v>Not Used</v>
      </c>
    </row>
    <row r="625" spans="1:15" x14ac:dyDescent="0.3">
      <c r="A625" s="6" t="s">
        <v>637</v>
      </c>
      <c r="B625" s="2">
        <v>45093</v>
      </c>
      <c r="C625" s="6" t="s">
        <v>1836</v>
      </c>
      <c r="D625" s="6" t="s">
        <v>2407</v>
      </c>
      <c r="E625" s="9">
        <v>3</v>
      </c>
      <c r="F625" s="24">
        <v>396</v>
      </c>
      <c r="G625" t="s">
        <v>2847</v>
      </c>
      <c r="H625" s="6" t="s">
        <v>3068</v>
      </c>
      <c r="I625" s="6" t="s">
        <v>3071</v>
      </c>
      <c r="J625" s="6" t="s">
        <v>3698</v>
      </c>
      <c r="K625" s="9">
        <v>4</v>
      </c>
      <c r="L625" s="6" t="s">
        <v>4276</v>
      </c>
      <c r="M625" s="6" t="s">
        <v>4278</v>
      </c>
      <c r="N625" s="24">
        <v>1188</v>
      </c>
      <c r="O625" s="22" t="str">
        <f>IF(Table2[[#This Row],[CouponCode]]="N/A", "Not Used", "Used")</f>
        <v>Used</v>
      </c>
    </row>
    <row r="626" spans="1:15" x14ac:dyDescent="0.3">
      <c r="A626" s="6" t="s">
        <v>638</v>
      </c>
      <c r="B626" s="2">
        <v>45307</v>
      </c>
      <c r="C626" s="6" t="s">
        <v>1837</v>
      </c>
      <c r="D626" s="6" t="s">
        <v>2405</v>
      </c>
      <c r="E626" s="9">
        <v>5</v>
      </c>
      <c r="F626" s="24">
        <v>341.96</v>
      </c>
      <c r="G626" t="s">
        <v>2710</v>
      </c>
      <c r="H626" s="6" t="s">
        <v>3065</v>
      </c>
      <c r="I626" s="6" t="s">
        <v>3073</v>
      </c>
      <c r="J626" s="6" t="s">
        <v>3699</v>
      </c>
      <c r="K626" s="9">
        <v>6</v>
      </c>
      <c r="L626" s="6" t="s">
        <v>4283</v>
      </c>
      <c r="M626" s="6" t="s">
        <v>4280</v>
      </c>
      <c r="N626" s="24">
        <v>1709.8</v>
      </c>
      <c r="O626" s="22" t="str">
        <f>IF(Table2[[#This Row],[CouponCode]]="N/A", "Not Used", "Used")</f>
        <v>Not Used</v>
      </c>
    </row>
    <row r="627" spans="1:15" x14ac:dyDescent="0.3">
      <c r="A627" s="6" t="s">
        <v>639</v>
      </c>
      <c r="B627" s="2">
        <v>45193</v>
      </c>
      <c r="C627" s="6" t="s">
        <v>1838</v>
      </c>
      <c r="D627" s="6" t="s">
        <v>2405</v>
      </c>
      <c r="E627" s="9">
        <v>1</v>
      </c>
      <c r="F627" s="24">
        <v>672.89</v>
      </c>
      <c r="G627" t="s">
        <v>2848</v>
      </c>
      <c r="H627" s="6" t="s">
        <v>3067</v>
      </c>
      <c r="I627" s="6" t="s">
        <v>3074</v>
      </c>
      <c r="J627" s="6" t="s">
        <v>3700</v>
      </c>
      <c r="K627" s="9">
        <v>1</v>
      </c>
      <c r="L627" s="6" t="s">
        <v>4277</v>
      </c>
      <c r="M627" s="6" t="s">
        <v>4280</v>
      </c>
      <c r="N627" s="24">
        <v>672.89</v>
      </c>
      <c r="O627" s="22" t="str">
        <f>IF(Table2[[#This Row],[CouponCode]]="N/A", "Not Used", "Used")</f>
        <v>Used</v>
      </c>
    </row>
    <row r="628" spans="1:15" x14ac:dyDescent="0.3">
      <c r="A628" s="6" t="s">
        <v>640</v>
      </c>
      <c r="B628" s="2">
        <v>45352</v>
      </c>
      <c r="C628" s="6" t="s">
        <v>1839</v>
      </c>
      <c r="D628" s="6" t="s">
        <v>2405</v>
      </c>
      <c r="E628" s="9">
        <v>2</v>
      </c>
      <c r="F628" s="24">
        <v>657.48</v>
      </c>
      <c r="G628" t="s">
        <v>2745</v>
      </c>
      <c r="H628" s="6" t="s">
        <v>3066</v>
      </c>
      <c r="I628" s="6" t="s">
        <v>3070</v>
      </c>
      <c r="J628" s="6" t="s">
        <v>3701</v>
      </c>
      <c r="K628" s="9">
        <v>5</v>
      </c>
      <c r="L628" s="6" t="s">
        <v>4275</v>
      </c>
      <c r="M628" s="6" t="s">
        <v>4279</v>
      </c>
      <c r="N628" s="24">
        <v>1314.96</v>
      </c>
      <c r="O628" s="22" t="str">
        <f>IF(Table2[[#This Row],[CouponCode]]="N/A", "Not Used", "Used")</f>
        <v>Used</v>
      </c>
    </row>
    <row r="629" spans="1:15" x14ac:dyDescent="0.3">
      <c r="A629" s="6" t="s">
        <v>641</v>
      </c>
      <c r="B629" s="2">
        <v>45144</v>
      </c>
      <c r="C629" s="6" t="s">
        <v>1840</v>
      </c>
      <c r="D629" s="6" t="s">
        <v>2406</v>
      </c>
      <c r="E629" s="9">
        <v>3</v>
      </c>
      <c r="F629" s="24">
        <v>498.68</v>
      </c>
      <c r="G629" t="s">
        <v>2812</v>
      </c>
      <c r="H629" s="6" t="s">
        <v>3066</v>
      </c>
      <c r="I629" s="6" t="s">
        <v>3072</v>
      </c>
      <c r="J629" s="6" t="s">
        <v>3702</v>
      </c>
      <c r="K629" s="9">
        <v>4</v>
      </c>
      <c r="L629" s="6" t="s">
        <v>4276</v>
      </c>
      <c r="M629" s="6" t="s">
        <v>4280</v>
      </c>
      <c r="N629" s="24">
        <v>1496.04</v>
      </c>
      <c r="O629" s="22" t="str">
        <f>IF(Table2[[#This Row],[CouponCode]]="N/A", "Not Used", "Used")</f>
        <v>Used</v>
      </c>
    </row>
    <row r="630" spans="1:15" x14ac:dyDescent="0.3">
      <c r="A630" s="6" t="s">
        <v>642</v>
      </c>
      <c r="B630" s="2">
        <v>45011</v>
      </c>
      <c r="C630" s="6" t="s">
        <v>1841</v>
      </c>
      <c r="D630" s="6" t="s">
        <v>2407</v>
      </c>
      <c r="E630" s="9">
        <v>5</v>
      </c>
      <c r="F630" s="24">
        <v>558.63</v>
      </c>
      <c r="G630" t="s">
        <v>2849</v>
      </c>
      <c r="H630" s="6" t="s">
        <v>3069</v>
      </c>
      <c r="I630" s="6" t="s">
        <v>3074</v>
      </c>
      <c r="J630" s="6" t="s">
        <v>3703</v>
      </c>
      <c r="K630" s="9">
        <v>8</v>
      </c>
      <c r="L630" s="6" t="s">
        <v>4276</v>
      </c>
      <c r="M630" s="6" t="s">
        <v>4279</v>
      </c>
      <c r="N630" s="24">
        <v>2793.15</v>
      </c>
      <c r="O630" s="22" t="str">
        <f>IF(Table2[[#This Row],[CouponCode]]="N/A", "Not Used", "Used")</f>
        <v>Used</v>
      </c>
    </row>
    <row r="631" spans="1:15" x14ac:dyDescent="0.3">
      <c r="A631" s="6" t="s">
        <v>643</v>
      </c>
      <c r="B631" s="2">
        <v>45114</v>
      </c>
      <c r="C631" s="6" t="s">
        <v>1842</v>
      </c>
      <c r="D631" s="6" t="s">
        <v>2404</v>
      </c>
      <c r="E631" s="9">
        <v>3</v>
      </c>
      <c r="F631" s="24">
        <v>19.73</v>
      </c>
      <c r="G631" t="s">
        <v>2850</v>
      </c>
      <c r="H631" s="6" t="s">
        <v>3066</v>
      </c>
      <c r="I631" s="6" t="s">
        <v>3074</v>
      </c>
      <c r="J631" s="6" t="s">
        <v>3704</v>
      </c>
      <c r="K631" s="9">
        <v>3</v>
      </c>
      <c r="L631" s="6" t="s">
        <v>4283</v>
      </c>
      <c r="M631" s="6" t="s">
        <v>4279</v>
      </c>
      <c r="N631" s="24">
        <v>59.19</v>
      </c>
      <c r="O631" s="22" t="str">
        <f>IF(Table2[[#This Row],[CouponCode]]="N/A", "Not Used", "Used")</f>
        <v>Not Used</v>
      </c>
    </row>
    <row r="632" spans="1:15" x14ac:dyDescent="0.3">
      <c r="A632" s="6" t="s">
        <v>644</v>
      </c>
      <c r="B632" s="2">
        <v>45100</v>
      </c>
      <c r="C632" s="6" t="s">
        <v>1843</v>
      </c>
      <c r="D632" s="6" t="s">
        <v>2403</v>
      </c>
      <c r="E632" s="9">
        <v>5</v>
      </c>
      <c r="F632" s="24">
        <v>248.84</v>
      </c>
      <c r="G632" t="s">
        <v>2851</v>
      </c>
      <c r="H632" s="6" t="s">
        <v>3065</v>
      </c>
      <c r="I632" s="6" t="s">
        <v>3071</v>
      </c>
      <c r="J632" s="6" t="s">
        <v>3705</v>
      </c>
      <c r="K632" s="9">
        <v>10</v>
      </c>
      <c r="L632" s="6" t="s">
        <v>4283</v>
      </c>
      <c r="M632" s="6" t="s">
        <v>4278</v>
      </c>
      <c r="N632" s="24">
        <v>1244.2</v>
      </c>
      <c r="O632" s="22" t="str">
        <f>IF(Table2[[#This Row],[CouponCode]]="N/A", "Not Used", "Used")</f>
        <v>Not Used</v>
      </c>
    </row>
    <row r="633" spans="1:15" x14ac:dyDescent="0.3">
      <c r="A633" s="6" t="s">
        <v>645</v>
      </c>
      <c r="B633" s="2">
        <v>45535</v>
      </c>
      <c r="C633" s="6" t="s">
        <v>1844</v>
      </c>
      <c r="D633" s="6" t="s">
        <v>2406</v>
      </c>
      <c r="E633" s="9">
        <v>3</v>
      </c>
      <c r="F633" s="24">
        <v>46.11</v>
      </c>
      <c r="G633" t="s">
        <v>2645</v>
      </c>
      <c r="H633" s="6" t="s">
        <v>3068</v>
      </c>
      <c r="I633" s="6" t="s">
        <v>3072</v>
      </c>
      <c r="J633" s="6" t="s">
        <v>3706</v>
      </c>
      <c r="K633" s="9">
        <v>5</v>
      </c>
      <c r="L633" s="6" t="s">
        <v>4277</v>
      </c>
      <c r="M633" s="6" t="s">
        <v>4279</v>
      </c>
      <c r="N633" s="24">
        <v>138.33000000000001</v>
      </c>
      <c r="O633" s="22" t="str">
        <f>IF(Table2[[#This Row],[CouponCode]]="N/A", "Not Used", "Used")</f>
        <v>Used</v>
      </c>
    </row>
    <row r="634" spans="1:15" x14ac:dyDescent="0.3">
      <c r="A634" s="6" t="s">
        <v>646</v>
      </c>
      <c r="B634" s="2">
        <v>45048</v>
      </c>
      <c r="C634" s="6" t="s">
        <v>1845</v>
      </c>
      <c r="D634" s="6" t="s">
        <v>2408</v>
      </c>
      <c r="E634" s="9">
        <v>5</v>
      </c>
      <c r="F634" s="24">
        <v>678.16</v>
      </c>
      <c r="G634" t="s">
        <v>2629</v>
      </c>
      <c r="H634" s="6" t="s">
        <v>3068</v>
      </c>
      <c r="I634" s="6" t="s">
        <v>3073</v>
      </c>
      <c r="J634" s="6" t="s">
        <v>3707</v>
      </c>
      <c r="K634" s="9">
        <v>7</v>
      </c>
      <c r="L634" s="6" t="s">
        <v>4277</v>
      </c>
      <c r="M634" s="6" t="s">
        <v>4281</v>
      </c>
      <c r="N634" s="24">
        <v>3390.8</v>
      </c>
      <c r="O634" s="22" t="str">
        <f>IF(Table2[[#This Row],[CouponCode]]="N/A", "Not Used", "Used")</f>
        <v>Used</v>
      </c>
    </row>
    <row r="635" spans="1:15" x14ac:dyDescent="0.3">
      <c r="A635" s="6" t="s">
        <v>647</v>
      </c>
      <c r="B635" s="2">
        <v>45392</v>
      </c>
      <c r="C635" s="6" t="s">
        <v>1846</v>
      </c>
      <c r="D635" s="6" t="s">
        <v>2408</v>
      </c>
      <c r="E635" s="9">
        <v>5</v>
      </c>
      <c r="F635" s="24">
        <v>601.72</v>
      </c>
      <c r="G635" t="s">
        <v>2728</v>
      </c>
      <c r="H635" s="6" t="s">
        <v>3068</v>
      </c>
      <c r="I635" s="6" t="s">
        <v>3071</v>
      </c>
      <c r="J635" s="6" t="s">
        <v>3708</v>
      </c>
      <c r="K635" s="9">
        <v>5</v>
      </c>
      <c r="L635" s="6" t="s">
        <v>4277</v>
      </c>
      <c r="M635" s="6" t="s">
        <v>4278</v>
      </c>
      <c r="N635" s="24">
        <v>3008.6</v>
      </c>
      <c r="O635" s="22" t="str">
        <f>IF(Table2[[#This Row],[CouponCode]]="N/A", "Not Used", "Used")</f>
        <v>Used</v>
      </c>
    </row>
    <row r="636" spans="1:15" x14ac:dyDescent="0.3">
      <c r="A636" s="6" t="s">
        <v>648</v>
      </c>
      <c r="B636" s="2">
        <v>45407</v>
      </c>
      <c r="C636" s="6" t="s">
        <v>1847</v>
      </c>
      <c r="D636" s="6" t="s">
        <v>2407</v>
      </c>
      <c r="E636" s="9">
        <v>2</v>
      </c>
      <c r="F636" s="24">
        <v>259.32</v>
      </c>
      <c r="G636" t="s">
        <v>2852</v>
      </c>
      <c r="H636" s="6" t="s">
        <v>3068</v>
      </c>
      <c r="I636" s="6" t="s">
        <v>3073</v>
      </c>
      <c r="J636" s="6" t="s">
        <v>3709</v>
      </c>
      <c r="K636" s="9">
        <v>2</v>
      </c>
      <c r="L636" s="6" t="s">
        <v>4277</v>
      </c>
      <c r="M636" s="6" t="s">
        <v>4279</v>
      </c>
      <c r="N636" s="24">
        <v>518.64</v>
      </c>
      <c r="O636" s="22" t="str">
        <f>IF(Table2[[#This Row],[CouponCode]]="N/A", "Not Used", "Used")</f>
        <v>Used</v>
      </c>
    </row>
    <row r="637" spans="1:15" x14ac:dyDescent="0.3">
      <c r="A637" s="6" t="s">
        <v>649</v>
      </c>
      <c r="B637" s="2">
        <v>45273</v>
      </c>
      <c r="C637" s="6" t="s">
        <v>1848</v>
      </c>
      <c r="D637" s="6" t="s">
        <v>2406</v>
      </c>
      <c r="E637" s="9">
        <v>3</v>
      </c>
      <c r="F637" s="24">
        <v>63.68</v>
      </c>
      <c r="G637" t="s">
        <v>2458</v>
      </c>
      <c r="H637" s="6" t="s">
        <v>3069</v>
      </c>
      <c r="I637" s="6" t="s">
        <v>3072</v>
      </c>
      <c r="J637" s="6" t="s">
        <v>3710</v>
      </c>
      <c r="K637" s="9">
        <v>6</v>
      </c>
      <c r="L637" s="6" t="s">
        <v>4283</v>
      </c>
      <c r="M637" s="6" t="s">
        <v>4281</v>
      </c>
      <c r="N637" s="24">
        <v>191.04</v>
      </c>
      <c r="O637" s="22" t="str">
        <f>IF(Table2[[#This Row],[CouponCode]]="N/A", "Not Used", "Used")</f>
        <v>Not Used</v>
      </c>
    </row>
    <row r="638" spans="1:15" x14ac:dyDescent="0.3">
      <c r="A638" s="6" t="s">
        <v>650</v>
      </c>
      <c r="B638" s="2">
        <v>45204</v>
      </c>
      <c r="C638" s="6" t="s">
        <v>1849</v>
      </c>
      <c r="D638" s="6" t="s">
        <v>2408</v>
      </c>
      <c r="E638" s="9">
        <v>4</v>
      </c>
      <c r="F638" s="24">
        <v>371.07</v>
      </c>
      <c r="G638" t="s">
        <v>2564</v>
      </c>
      <c r="H638" s="6" t="s">
        <v>3069</v>
      </c>
      <c r="I638" s="6" t="s">
        <v>3071</v>
      </c>
      <c r="J638" s="6" t="s">
        <v>3711</v>
      </c>
      <c r="K638" s="9">
        <v>7</v>
      </c>
      <c r="L638" s="6" t="s">
        <v>4277</v>
      </c>
      <c r="M638" s="6" t="s">
        <v>4281</v>
      </c>
      <c r="N638" s="24">
        <v>1484.28</v>
      </c>
      <c r="O638" s="22" t="str">
        <f>IF(Table2[[#This Row],[CouponCode]]="N/A", "Not Used", "Used")</f>
        <v>Used</v>
      </c>
    </row>
    <row r="639" spans="1:15" x14ac:dyDescent="0.3">
      <c r="A639" s="6" t="s">
        <v>651</v>
      </c>
      <c r="B639" s="2">
        <v>45564</v>
      </c>
      <c r="C639" s="6" t="s">
        <v>1850</v>
      </c>
      <c r="D639" s="6" t="s">
        <v>2406</v>
      </c>
      <c r="E639" s="9">
        <v>4</v>
      </c>
      <c r="F639" s="24">
        <v>306.35000000000002</v>
      </c>
      <c r="G639" t="s">
        <v>2853</v>
      </c>
      <c r="H639" s="6" t="s">
        <v>3068</v>
      </c>
      <c r="I639" s="6" t="s">
        <v>3070</v>
      </c>
      <c r="J639" s="6" t="s">
        <v>3712</v>
      </c>
      <c r="K639" s="9">
        <v>7</v>
      </c>
      <c r="L639" s="6" t="s">
        <v>4277</v>
      </c>
      <c r="M639" s="6" t="s">
        <v>4279</v>
      </c>
      <c r="N639" s="24">
        <v>1225.4000000000001</v>
      </c>
      <c r="O639" s="22" t="str">
        <f>IF(Table2[[#This Row],[CouponCode]]="N/A", "Not Used", "Used")</f>
        <v>Used</v>
      </c>
    </row>
    <row r="640" spans="1:15" x14ac:dyDescent="0.3">
      <c r="A640" s="6" t="s">
        <v>652</v>
      </c>
      <c r="B640" s="2">
        <v>45214</v>
      </c>
      <c r="C640" s="6" t="s">
        <v>1851</v>
      </c>
      <c r="D640" s="6" t="s">
        <v>2405</v>
      </c>
      <c r="E640" s="9">
        <v>4</v>
      </c>
      <c r="F640" s="24">
        <v>578.27</v>
      </c>
      <c r="G640" t="s">
        <v>2854</v>
      </c>
      <c r="H640" s="6" t="s">
        <v>3066</v>
      </c>
      <c r="I640" s="6" t="s">
        <v>3073</v>
      </c>
      <c r="J640" s="6" t="s">
        <v>3713</v>
      </c>
      <c r="K640" s="9">
        <v>9</v>
      </c>
      <c r="L640" s="6" t="s">
        <v>4277</v>
      </c>
      <c r="M640" s="6" t="s">
        <v>4280</v>
      </c>
      <c r="N640" s="24">
        <v>2313.08</v>
      </c>
      <c r="O640" s="22" t="str">
        <f>IF(Table2[[#This Row],[CouponCode]]="N/A", "Not Used", "Used")</f>
        <v>Used</v>
      </c>
    </row>
    <row r="641" spans="1:15" x14ac:dyDescent="0.3">
      <c r="A641" s="6" t="s">
        <v>653</v>
      </c>
      <c r="B641" s="2">
        <v>44946</v>
      </c>
      <c r="C641" s="6" t="s">
        <v>1852</v>
      </c>
      <c r="D641" s="6" t="s">
        <v>2406</v>
      </c>
      <c r="E641" s="9">
        <v>1</v>
      </c>
      <c r="F641" s="24">
        <v>529.19000000000005</v>
      </c>
      <c r="G641" t="s">
        <v>2772</v>
      </c>
      <c r="H641" s="6" t="s">
        <v>3069</v>
      </c>
      <c r="I641" s="6" t="s">
        <v>3071</v>
      </c>
      <c r="J641" s="6" t="s">
        <v>3714</v>
      </c>
      <c r="K641" s="9">
        <v>5</v>
      </c>
      <c r="L641" s="6" t="s">
        <v>4283</v>
      </c>
      <c r="M641" s="6" t="s">
        <v>4279</v>
      </c>
      <c r="N641" s="24">
        <v>529.19000000000005</v>
      </c>
      <c r="O641" s="22" t="str">
        <f>IF(Table2[[#This Row],[CouponCode]]="N/A", "Not Used", "Used")</f>
        <v>Not Used</v>
      </c>
    </row>
    <row r="642" spans="1:15" x14ac:dyDescent="0.3">
      <c r="A642" s="6" t="s">
        <v>654</v>
      </c>
      <c r="B642" s="2">
        <v>45349</v>
      </c>
      <c r="C642" s="6" t="s">
        <v>1853</v>
      </c>
      <c r="D642" s="6" t="s">
        <v>2406</v>
      </c>
      <c r="E642" s="9">
        <v>2</v>
      </c>
      <c r="F642" s="24">
        <v>587.49</v>
      </c>
      <c r="G642" t="s">
        <v>2507</v>
      </c>
      <c r="H642" s="6" t="s">
        <v>3068</v>
      </c>
      <c r="I642" s="6" t="s">
        <v>3072</v>
      </c>
      <c r="J642" s="6" t="s">
        <v>3715</v>
      </c>
      <c r="K642" s="9">
        <v>6</v>
      </c>
      <c r="L642" s="6" t="s">
        <v>4275</v>
      </c>
      <c r="M642" s="6" t="s">
        <v>4279</v>
      </c>
      <c r="N642" s="24">
        <v>1174.98</v>
      </c>
      <c r="O642" s="22" t="str">
        <f>IF(Table2[[#This Row],[CouponCode]]="N/A", "Not Used", "Used")</f>
        <v>Used</v>
      </c>
    </row>
    <row r="643" spans="1:15" x14ac:dyDescent="0.3">
      <c r="A643" s="6" t="s">
        <v>655</v>
      </c>
      <c r="B643" s="2">
        <v>45473</v>
      </c>
      <c r="C643" s="6" t="s">
        <v>1854</v>
      </c>
      <c r="D643" s="6" t="s">
        <v>2407</v>
      </c>
      <c r="E643" s="9">
        <v>4</v>
      </c>
      <c r="F643" s="24">
        <v>567.57000000000005</v>
      </c>
      <c r="G643" t="s">
        <v>2627</v>
      </c>
      <c r="H643" s="6" t="s">
        <v>3065</v>
      </c>
      <c r="I643" s="6" t="s">
        <v>3074</v>
      </c>
      <c r="J643" s="6" t="s">
        <v>3716</v>
      </c>
      <c r="K643" s="9">
        <v>9</v>
      </c>
      <c r="L643" s="6" t="s">
        <v>4277</v>
      </c>
      <c r="M643" s="6" t="s">
        <v>4282</v>
      </c>
      <c r="N643" s="24">
        <v>2270.2800000000002</v>
      </c>
      <c r="O643" s="22" t="str">
        <f>IF(Table2[[#This Row],[CouponCode]]="N/A", "Not Used", "Used")</f>
        <v>Used</v>
      </c>
    </row>
    <row r="644" spans="1:15" x14ac:dyDescent="0.3">
      <c r="A644" s="6" t="s">
        <v>656</v>
      </c>
      <c r="B644" s="2">
        <v>45411</v>
      </c>
      <c r="C644" s="6" t="s">
        <v>1855</v>
      </c>
      <c r="D644" s="6" t="s">
        <v>2406</v>
      </c>
      <c r="E644" s="9">
        <v>5</v>
      </c>
      <c r="F644" s="24">
        <v>85.22</v>
      </c>
      <c r="G644" t="s">
        <v>2855</v>
      </c>
      <c r="H644" s="6" t="s">
        <v>3067</v>
      </c>
      <c r="I644" s="6" t="s">
        <v>3071</v>
      </c>
      <c r="J644" s="6" t="s">
        <v>3717</v>
      </c>
      <c r="K644" s="9">
        <v>7</v>
      </c>
      <c r="L644" s="6" t="s">
        <v>4276</v>
      </c>
      <c r="M644" s="6" t="s">
        <v>4280</v>
      </c>
      <c r="N644" s="24">
        <v>426.1</v>
      </c>
      <c r="O644" s="22" t="str">
        <f>IF(Table2[[#This Row],[CouponCode]]="N/A", "Not Used", "Used")</f>
        <v>Used</v>
      </c>
    </row>
    <row r="645" spans="1:15" x14ac:dyDescent="0.3">
      <c r="A645" s="6" t="s">
        <v>657</v>
      </c>
      <c r="B645" s="2">
        <v>45530</v>
      </c>
      <c r="C645" s="6" t="s">
        <v>1856</v>
      </c>
      <c r="D645" s="6" t="s">
        <v>2408</v>
      </c>
      <c r="E645" s="9">
        <v>1</v>
      </c>
      <c r="F645" s="24">
        <v>438.37</v>
      </c>
      <c r="G645" t="s">
        <v>2507</v>
      </c>
      <c r="H645" s="6" t="s">
        <v>3069</v>
      </c>
      <c r="I645" s="6" t="s">
        <v>3071</v>
      </c>
      <c r="J645" s="6" t="s">
        <v>3718</v>
      </c>
      <c r="K645" s="9">
        <v>4</v>
      </c>
      <c r="L645" s="6" t="s">
        <v>4275</v>
      </c>
      <c r="M645" s="6" t="s">
        <v>4279</v>
      </c>
      <c r="N645" s="24">
        <v>438.37</v>
      </c>
      <c r="O645" s="22" t="str">
        <f>IF(Table2[[#This Row],[CouponCode]]="N/A", "Not Used", "Used")</f>
        <v>Used</v>
      </c>
    </row>
    <row r="646" spans="1:15" x14ac:dyDescent="0.3">
      <c r="A646" s="6" t="s">
        <v>658</v>
      </c>
      <c r="B646" s="2">
        <v>45245</v>
      </c>
      <c r="C646" s="6" t="s">
        <v>1857</v>
      </c>
      <c r="D646" s="6" t="s">
        <v>2406</v>
      </c>
      <c r="E646" s="9">
        <v>2</v>
      </c>
      <c r="F646" s="24">
        <v>366.23</v>
      </c>
      <c r="G646" t="s">
        <v>2856</v>
      </c>
      <c r="H646" s="6" t="s">
        <v>3069</v>
      </c>
      <c r="I646" s="6" t="s">
        <v>3070</v>
      </c>
      <c r="J646" s="6" t="s">
        <v>3719</v>
      </c>
      <c r="K646" s="9">
        <v>2</v>
      </c>
      <c r="L646" s="6" t="s">
        <v>4277</v>
      </c>
      <c r="M646" s="6" t="s">
        <v>4280</v>
      </c>
      <c r="N646" s="24">
        <v>732.46</v>
      </c>
      <c r="O646" s="22" t="str">
        <f>IF(Table2[[#This Row],[CouponCode]]="N/A", "Not Used", "Used")</f>
        <v>Used</v>
      </c>
    </row>
    <row r="647" spans="1:15" x14ac:dyDescent="0.3">
      <c r="A647" s="6" t="s">
        <v>659</v>
      </c>
      <c r="B647" s="2">
        <v>44928</v>
      </c>
      <c r="C647" s="6" t="s">
        <v>1858</v>
      </c>
      <c r="D647" s="6" t="s">
        <v>2408</v>
      </c>
      <c r="E647" s="9">
        <v>2</v>
      </c>
      <c r="F647" s="24">
        <v>150.05000000000001</v>
      </c>
      <c r="G647" t="s">
        <v>2525</v>
      </c>
      <c r="H647" s="6" t="s">
        <v>3067</v>
      </c>
      <c r="I647" s="6" t="s">
        <v>3071</v>
      </c>
      <c r="J647" s="6" t="s">
        <v>3720</v>
      </c>
      <c r="K647" s="9">
        <v>4</v>
      </c>
      <c r="L647" s="6" t="s">
        <v>4275</v>
      </c>
      <c r="M647" s="6" t="s">
        <v>4281</v>
      </c>
      <c r="N647" s="24">
        <v>300.10000000000002</v>
      </c>
      <c r="O647" s="22" t="str">
        <f>IF(Table2[[#This Row],[CouponCode]]="N/A", "Not Used", "Used")</f>
        <v>Used</v>
      </c>
    </row>
    <row r="648" spans="1:15" x14ac:dyDescent="0.3">
      <c r="A648" s="6" t="s">
        <v>660</v>
      </c>
      <c r="B648" s="2">
        <v>45226</v>
      </c>
      <c r="C648" s="6" t="s">
        <v>1859</v>
      </c>
      <c r="D648" s="6" t="s">
        <v>2406</v>
      </c>
      <c r="E648" s="9">
        <v>4</v>
      </c>
      <c r="F648" s="24">
        <v>498.51</v>
      </c>
      <c r="G648" t="s">
        <v>2857</v>
      </c>
      <c r="H648" s="6" t="s">
        <v>3065</v>
      </c>
      <c r="I648" s="6" t="s">
        <v>3070</v>
      </c>
      <c r="J648" s="6" t="s">
        <v>3721</v>
      </c>
      <c r="K648" s="9">
        <v>4</v>
      </c>
      <c r="L648" s="6" t="s">
        <v>4275</v>
      </c>
      <c r="M648" s="6" t="s">
        <v>4282</v>
      </c>
      <c r="N648" s="24">
        <v>1994.04</v>
      </c>
      <c r="O648" s="22" t="str">
        <f>IF(Table2[[#This Row],[CouponCode]]="N/A", "Not Used", "Used")</f>
        <v>Used</v>
      </c>
    </row>
    <row r="649" spans="1:15" x14ac:dyDescent="0.3">
      <c r="A649" s="6" t="s">
        <v>661</v>
      </c>
      <c r="B649" s="2">
        <v>45771</v>
      </c>
      <c r="C649" s="6" t="s">
        <v>1860</v>
      </c>
      <c r="D649" s="6" t="s">
        <v>2409</v>
      </c>
      <c r="E649" s="9">
        <v>3</v>
      </c>
      <c r="F649" s="24">
        <v>339.39</v>
      </c>
      <c r="G649" t="s">
        <v>2558</v>
      </c>
      <c r="H649" s="6" t="s">
        <v>3069</v>
      </c>
      <c r="I649" s="6" t="s">
        <v>3072</v>
      </c>
      <c r="J649" s="6" t="s">
        <v>3722</v>
      </c>
      <c r="K649" s="9">
        <v>7</v>
      </c>
      <c r="L649" s="6" t="s">
        <v>4276</v>
      </c>
      <c r="M649" s="6" t="s">
        <v>4282</v>
      </c>
      <c r="N649" s="24">
        <v>1018.17</v>
      </c>
      <c r="O649" s="22" t="str">
        <f>IF(Table2[[#This Row],[CouponCode]]="N/A", "Not Used", "Used")</f>
        <v>Used</v>
      </c>
    </row>
    <row r="650" spans="1:15" x14ac:dyDescent="0.3">
      <c r="A650" s="6" t="s">
        <v>662</v>
      </c>
      <c r="B650" s="2">
        <v>45675</v>
      </c>
      <c r="C650" s="6" t="s">
        <v>1861</v>
      </c>
      <c r="D650" s="6" t="s">
        <v>2403</v>
      </c>
      <c r="E650" s="9">
        <v>2</v>
      </c>
      <c r="F650" s="24">
        <v>575.83000000000004</v>
      </c>
      <c r="G650" t="s">
        <v>2858</v>
      </c>
      <c r="H650" s="6" t="s">
        <v>3066</v>
      </c>
      <c r="I650" s="6" t="s">
        <v>3073</v>
      </c>
      <c r="J650" s="6" t="s">
        <v>3723</v>
      </c>
      <c r="K650" s="9">
        <v>3</v>
      </c>
      <c r="L650" s="6" t="s">
        <v>4277</v>
      </c>
      <c r="M650" s="6" t="s">
        <v>4279</v>
      </c>
      <c r="N650" s="24">
        <v>1151.6600000000001</v>
      </c>
      <c r="O650" s="22" t="str">
        <f>IF(Table2[[#This Row],[CouponCode]]="N/A", "Not Used", "Used")</f>
        <v>Used</v>
      </c>
    </row>
    <row r="651" spans="1:15" x14ac:dyDescent="0.3">
      <c r="A651" s="6" t="s">
        <v>663</v>
      </c>
      <c r="B651" s="2">
        <v>45283</v>
      </c>
      <c r="C651" s="6" t="s">
        <v>1862</v>
      </c>
      <c r="D651" s="6" t="s">
        <v>2403</v>
      </c>
      <c r="E651" s="9">
        <v>2</v>
      </c>
      <c r="F651" s="24">
        <v>642.98</v>
      </c>
      <c r="G651" t="s">
        <v>2632</v>
      </c>
      <c r="H651" s="6" t="s">
        <v>3065</v>
      </c>
      <c r="I651" s="6" t="s">
        <v>3072</v>
      </c>
      <c r="J651" s="6" t="s">
        <v>3724</v>
      </c>
      <c r="K651" s="9">
        <v>7</v>
      </c>
      <c r="L651" s="6" t="s">
        <v>4276</v>
      </c>
      <c r="M651" s="6" t="s">
        <v>4280</v>
      </c>
      <c r="N651" s="24">
        <v>1285.96</v>
      </c>
      <c r="O651" s="22" t="str">
        <f>IF(Table2[[#This Row],[CouponCode]]="N/A", "Not Used", "Used")</f>
        <v>Used</v>
      </c>
    </row>
    <row r="652" spans="1:15" x14ac:dyDescent="0.3">
      <c r="A652" s="6" t="s">
        <v>664</v>
      </c>
      <c r="B652" s="2">
        <v>45064</v>
      </c>
      <c r="C652" s="6" t="s">
        <v>1863</v>
      </c>
      <c r="D652" s="6" t="s">
        <v>2409</v>
      </c>
      <c r="E652" s="9">
        <v>2</v>
      </c>
      <c r="F652" s="24">
        <v>372.23</v>
      </c>
      <c r="G652" t="s">
        <v>2859</v>
      </c>
      <c r="H652" s="6" t="s">
        <v>3068</v>
      </c>
      <c r="I652" s="6" t="s">
        <v>3073</v>
      </c>
      <c r="J652" s="6" t="s">
        <v>3725</v>
      </c>
      <c r="K652" s="9">
        <v>7</v>
      </c>
      <c r="L652" s="6" t="s">
        <v>4275</v>
      </c>
      <c r="M652" s="6" t="s">
        <v>4280</v>
      </c>
      <c r="N652" s="24">
        <v>744.46</v>
      </c>
      <c r="O652" s="22" t="str">
        <f>IF(Table2[[#This Row],[CouponCode]]="N/A", "Not Used", "Used")</f>
        <v>Used</v>
      </c>
    </row>
    <row r="653" spans="1:15" x14ac:dyDescent="0.3">
      <c r="A653" s="6" t="s">
        <v>665</v>
      </c>
      <c r="B653" s="2">
        <v>45608</v>
      </c>
      <c r="C653" s="6" t="s">
        <v>1864</v>
      </c>
      <c r="D653" s="6" t="s">
        <v>2406</v>
      </c>
      <c r="E653" s="9">
        <v>3</v>
      </c>
      <c r="F653" s="24">
        <v>646.34</v>
      </c>
      <c r="G653" t="s">
        <v>2584</v>
      </c>
      <c r="H653" s="6" t="s">
        <v>3065</v>
      </c>
      <c r="I653" s="6" t="s">
        <v>3074</v>
      </c>
      <c r="J653" s="6" t="s">
        <v>3726</v>
      </c>
      <c r="K653" s="9">
        <v>5</v>
      </c>
      <c r="L653" s="6" t="s">
        <v>4283</v>
      </c>
      <c r="M653" s="6" t="s">
        <v>4282</v>
      </c>
      <c r="N653" s="24">
        <v>1939.02</v>
      </c>
      <c r="O653" s="22" t="str">
        <f>IF(Table2[[#This Row],[CouponCode]]="N/A", "Not Used", "Used")</f>
        <v>Not Used</v>
      </c>
    </row>
    <row r="654" spans="1:15" x14ac:dyDescent="0.3">
      <c r="A654" s="6" t="s">
        <v>666</v>
      </c>
      <c r="B654" s="2">
        <v>45448</v>
      </c>
      <c r="C654" s="6" t="s">
        <v>1865</v>
      </c>
      <c r="D654" s="6" t="s">
        <v>2406</v>
      </c>
      <c r="E654" s="9">
        <v>5</v>
      </c>
      <c r="F654" s="24">
        <v>341.84</v>
      </c>
      <c r="G654" t="s">
        <v>2860</v>
      </c>
      <c r="H654" s="6" t="s">
        <v>3066</v>
      </c>
      <c r="I654" s="6" t="s">
        <v>3070</v>
      </c>
      <c r="J654" s="6" t="s">
        <v>3727</v>
      </c>
      <c r="K654" s="9">
        <v>8</v>
      </c>
      <c r="L654" s="6" t="s">
        <v>4276</v>
      </c>
      <c r="M654" s="6" t="s">
        <v>4278</v>
      </c>
      <c r="N654" s="24">
        <v>1709.2</v>
      </c>
      <c r="O654" s="22" t="str">
        <f>IF(Table2[[#This Row],[CouponCode]]="N/A", "Not Used", "Used")</f>
        <v>Used</v>
      </c>
    </row>
    <row r="655" spans="1:15" x14ac:dyDescent="0.3">
      <c r="A655" s="6" t="s">
        <v>667</v>
      </c>
      <c r="B655" s="2">
        <v>45347</v>
      </c>
      <c r="C655" s="6" t="s">
        <v>1866</v>
      </c>
      <c r="D655" s="6" t="s">
        <v>2407</v>
      </c>
      <c r="E655" s="9">
        <v>3</v>
      </c>
      <c r="F655" s="24">
        <v>690.3</v>
      </c>
      <c r="G655" t="s">
        <v>2710</v>
      </c>
      <c r="H655" s="6" t="s">
        <v>3067</v>
      </c>
      <c r="I655" s="6" t="s">
        <v>3070</v>
      </c>
      <c r="J655" s="6" t="s">
        <v>3728</v>
      </c>
      <c r="K655" s="9">
        <v>6</v>
      </c>
      <c r="L655" s="6" t="s">
        <v>4277</v>
      </c>
      <c r="M655" s="6" t="s">
        <v>4282</v>
      </c>
      <c r="N655" s="24">
        <v>2070.9</v>
      </c>
      <c r="O655" s="22" t="str">
        <f>IF(Table2[[#This Row],[CouponCode]]="N/A", "Not Used", "Used")</f>
        <v>Used</v>
      </c>
    </row>
    <row r="656" spans="1:15" x14ac:dyDescent="0.3">
      <c r="A656" s="6" t="s">
        <v>668</v>
      </c>
      <c r="B656" s="2">
        <v>45089</v>
      </c>
      <c r="C656" s="6" t="s">
        <v>1867</v>
      </c>
      <c r="D656" s="6" t="s">
        <v>2405</v>
      </c>
      <c r="E656" s="9">
        <v>3</v>
      </c>
      <c r="F656" s="24">
        <v>382.37</v>
      </c>
      <c r="G656" t="s">
        <v>2861</v>
      </c>
      <c r="H656" s="6" t="s">
        <v>3065</v>
      </c>
      <c r="I656" s="6" t="s">
        <v>3072</v>
      </c>
      <c r="J656" s="6" t="s">
        <v>3729</v>
      </c>
      <c r="K656" s="9">
        <v>8</v>
      </c>
      <c r="L656" s="6" t="s">
        <v>4283</v>
      </c>
      <c r="M656" s="6" t="s">
        <v>4278</v>
      </c>
      <c r="N656" s="24">
        <v>1147.1099999999999</v>
      </c>
      <c r="O656" s="22" t="str">
        <f>IF(Table2[[#This Row],[CouponCode]]="N/A", "Not Used", "Used")</f>
        <v>Not Used</v>
      </c>
    </row>
    <row r="657" spans="1:15" x14ac:dyDescent="0.3">
      <c r="A657" s="6" t="s">
        <v>669</v>
      </c>
      <c r="B657" s="2">
        <v>44999</v>
      </c>
      <c r="C657" s="6" t="s">
        <v>1868</v>
      </c>
      <c r="D657" s="6" t="s">
        <v>2406</v>
      </c>
      <c r="E657" s="9">
        <v>2</v>
      </c>
      <c r="F657" s="24">
        <v>132.6</v>
      </c>
      <c r="G657" t="s">
        <v>2758</v>
      </c>
      <c r="H657" s="6" t="s">
        <v>3065</v>
      </c>
      <c r="I657" s="6" t="s">
        <v>3071</v>
      </c>
      <c r="J657" s="6" t="s">
        <v>3730</v>
      </c>
      <c r="K657" s="9">
        <v>4</v>
      </c>
      <c r="L657" s="6" t="s">
        <v>4277</v>
      </c>
      <c r="M657" s="6" t="s">
        <v>4280</v>
      </c>
      <c r="N657" s="24">
        <v>265.2</v>
      </c>
      <c r="O657" s="22" t="str">
        <f>IF(Table2[[#This Row],[CouponCode]]="N/A", "Not Used", "Used")</f>
        <v>Used</v>
      </c>
    </row>
    <row r="658" spans="1:15" x14ac:dyDescent="0.3">
      <c r="A658" s="6" t="s">
        <v>670</v>
      </c>
      <c r="B658" s="2">
        <v>45309</v>
      </c>
      <c r="C658" s="6" t="s">
        <v>1869</v>
      </c>
      <c r="D658" s="6" t="s">
        <v>2403</v>
      </c>
      <c r="E658" s="9">
        <v>2</v>
      </c>
      <c r="F658" s="24">
        <v>189.06</v>
      </c>
      <c r="G658" t="s">
        <v>2862</v>
      </c>
      <c r="H658" s="6" t="s">
        <v>3068</v>
      </c>
      <c r="I658" s="6" t="s">
        <v>3070</v>
      </c>
      <c r="J658" s="6" t="s">
        <v>3731</v>
      </c>
      <c r="K658" s="9">
        <v>7</v>
      </c>
      <c r="L658" s="6" t="s">
        <v>4275</v>
      </c>
      <c r="M658" s="6" t="s">
        <v>4281</v>
      </c>
      <c r="N658" s="24">
        <v>378.12</v>
      </c>
      <c r="O658" s="22" t="str">
        <f>IF(Table2[[#This Row],[CouponCode]]="N/A", "Not Used", "Used")</f>
        <v>Used</v>
      </c>
    </row>
    <row r="659" spans="1:15" x14ac:dyDescent="0.3">
      <c r="A659" s="6" t="s">
        <v>671</v>
      </c>
      <c r="B659" s="2">
        <v>45284</v>
      </c>
      <c r="C659" s="6" t="s">
        <v>1870</v>
      </c>
      <c r="D659" s="6" t="s">
        <v>2405</v>
      </c>
      <c r="E659" s="9">
        <v>4</v>
      </c>
      <c r="F659" s="24">
        <v>87.79</v>
      </c>
      <c r="G659" t="s">
        <v>2685</v>
      </c>
      <c r="H659" s="6" t="s">
        <v>3069</v>
      </c>
      <c r="I659" s="6" t="s">
        <v>3071</v>
      </c>
      <c r="J659" s="6" t="s">
        <v>3732</v>
      </c>
      <c r="K659" s="9">
        <v>6</v>
      </c>
      <c r="L659" s="6" t="s">
        <v>4276</v>
      </c>
      <c r="M659" s="6" t="s">
        <v>4278</v>
      </c>
      <c r="N659" s="24">
        <v>351.16</v>
      </c>
      <c r="O659" s="22" t="str">
        <f>IF(Table2[[#This Row],[CouponCode]]="N/A", "Not Used", "Used")</f>
        <v>Used</v>
      </c>
    </row>
    <row r="660" spans="1:15" x14ac:dyDescent="0.3">
      <c r="A660" s="6" t="s">
        <v>672</v>
      </c>
      <c r="B660" s="2">
        <v>45765</v>
      </c>
      <c r="C660" s="6" t="s">
        <v>1871</v>
      </c>
      <c r="D660" s="6" t="s">
        <v>2407</v>
      </c>
      <c r="E660" s="9">
        <v>2</v>
      </c>
      <c r="F660" s="24">
        <v>46.36</v>
      </c>
      <c r="G660" t="s">
        <v>2657</v>
      </c>
      <c r="H660" s="6" t="s">
        <v>3068</v>
      </c>
      <c r="I660" s="6" t="s">
        <v>3072</v>
      </c>
      <c r="J660" s="6" t="s">
        <v>3733</v>
      </c>
      <c r="K660" s="9">
        <v>4</v>
      </c>
      <c r="L660" s="6" t="s">
        <v>4275</v>
      </c>
      <c r="M660" s="6" t="s">
        <v>4282</v>
      </c>
      <c r="N660" s="24">
        <v>92.72</v>
      </c>
      <c r="O660" s="22" t="str">
        <f>IF(Table2[[#This Row],[CouponCode]]="N/A", "Not Used", "Used")</f>
        <v>Used</v>
      </c>
    </row>
    <row r="661" spans="1:15" x14ac:dyDescent="0.3">
      <c r="A661" s="6" t="s">
        <v>673</v>
      </c>
      <c r="B661" s="2">
        <v>45591</v>
      </c>
      <c r="C661" s="6" t="s">
        <v>1872</v>
      </c>
      <c r="D661" s="6" t="s">
        <v>2404</v>
      </c>
      <c r="E661" s="9">
        <v>2</v>
      </c>
      <c r="F661" s="24">
        <v>642.04</v>
      </c>
      <c r="G661" t="s">
        <v>2813</v>
      </c>
      <c r="H661" s="6" t="s">
        <v>3068</v>
      </c>
      <c r="I661" s="6" t="s">
        <v>3073</v>
      </c>
      <c r="J661" s="6" t="s">
        <v>3734</v>
      </c>
      <c r="K661" s="9">
        <v>4</v>
      </c>
      <c r="L661" s="6" t="s">
        <v>4277</v>
      </c>
      <c r="M661" s="6" t="s">
        <v>4280</v>
      </c>
      <c r="N661" s="24">
        <v>1284.08</v>
      </c>
      <c r="O661" s="22" t="str">
        <f>IF(Table2[[#This Row],[CouponCode]]="N/A", "Not Used", "Used")</f>
        <v>Used</v>
      </c>
    </row>
    <row r="662" spans="1:15" x14ac:dyDescent="0.3">
      <c r="A662" s="6" t="s">
        <v>674</v>
      </c>
      <c r="B662" s="2">
        <v>45584</v>
      </c>
      <c r="C662" s="6" t="s">
        <v>1873</v>
      </c>
      <c r="D662" s="6" t="s">
        <v>2406</v>
      </c>
      <c r="E662" s="9">
        <v>2</v>
      </c>
      <c r="F662" s="24">
        <v>651.57000000000005</v>
      </c>
      <c r="G662" t="s">
        <v>2543</v>
      </c>
      <c r="H662" s="6" t="s">
        <v>3065</v>
      </c>
      <c r="I662" s="6" t="s">
        <v>3070</v>
      </c>
      <c r="J662" s="6" t="s">
        <v>3735</v>
      </c>
      <c r="K662" s="9">
        <v>7</v>
      </c>
      <c r="L662" s="6" t="s">
        <v>4277</v>
      </c>
      <c r="M662" s="6" t="s">
        <v>4281</v>
      </c>
      <c r="N662" s="24">
        <v>1303.1400000000001</v>
      </c>
      <c r="O662" s="22" t="str">
        <f>IF(Table2[[#This Row],[CouponCode]]="N/A", "Not Used", "Used")</f>
        <v>Used</v>
      </c>
    </row>
    <row r="663" spans="1:15" x14ac:dyDescent="0.3">
      <c r="A663" s="6" t="s">
        <v>675</v>
      </c>
      <c r="B663" s="2">
        <v>45716</v>
      </c>
      <c r="C663" s="6" t="s">
        <v>1874</v>
      </c>
      <c r="D663" s="6" t="s">
        <v>2405</v>
      </c>
      <c r="E663" s="9">
        <v>3</v>
      </c>
      <c r="F663" s="24">
        <v>424.89</v>
      </c>
      <c r="G663" t="s">
        <v>2863</v>
      </c>
      <c r="H663" s="6" t="s">
        <v>3065</v>
      </c>
      <c r="I663" s="6" t="s">
        <v>3071</v>
      </c>
      <c r="J663" s="6" t="s">
        <v>3736</v>
      </c>
      <c r="K663" s="9">
        <v>6</v>
      </c>
      <c r="L663" s="6" t="s">
        <v>4276</v>
      </c>
      <c r="M663" s="6" t="s">
        <v>4282</v>
      </c>
      <c r="N663" s="24">
        <v>1274.67</v>
      </c>
      <c r="O663" s="22" t="str">
        <f>IF(Table2[[#This Row],[CouponCode]]="N/A", "Not Used", "Used")</f>
        <v>Used</v>
      </c>
    </row>
    <row r="664" spans="1:15" x14ac:dyDescent="0.3">
      <c r="A664" s="6" t="s">
        <v>676</v>
      </c>
      <c r="B664" s="2">
        <v>44954</v>
      </c>
      <c r="C664" s="6" t="s">
        <v>1875</v>
      </c>
      <c r="D664" s="6" t="s">
        <v>2408</v>
      </c>
      <c r="E664" s="9">
        <v>3</v>
      </c>
      <c r="F664" s="24">
        <v>438.89</v>
      </c>
      <c r="G664" t="s">
        <v>2864</v>
      </c>
      <c r="H664" s="6" t="s">
        <v>3069</v>
      </c>
      <c r="I664" s="6" t="s">
        <v>3072</v>
      </c>
      <c r="J664" s="6" t="s">
        <v>3737</v>
      </c>
      <c r="K664" s="9">
        <v>3</v>
      </c>
      <c r="L664" s="6" t="s">
        <v>4283</v>
      </c>
      <c r="M664" s="6" t="s">
        <v>4281</v>
      </c>
      <c r="N664" s="24">
        <v>1316.67</v>
      </c>
      <c r="O664" s="22" t="str">
        <f>IF(Table2[[#This Row],[CouponCode]]="N/A", "Not Used", "Used")</f>
        <v>Not Used</v>
      </c>
    </row>
    <row r="665" spans="1:15" x14ac:dyDescent="0.3">
      <c r="A665" s="6" t="s">
        <v>677</v>
      </c>
      <c r="B665" s="2">
        <v>45397</v>
      </c>
      <c r="C665" s="6" t="s">
        <v>1876</v>
      </c>
      <c r="D665" s="6" t="s">
        <v>2403</v>
      </c>
      <c r="E665" s="9">
        <v>1</v>
      </c>
      <c r="F665" s="24">
        <v>72.599999999999994</v>
      </c>
      <c r="G665" t="s">
        <v>2800</v>
      </c>
      <c r="H665" s="6" t="s">
        <v>3065</v>
      </c>
      <c r="I665" s="6" t="s">
        <v>3071</v>
      </c>
      <c r="J665" s="6" t="s">
        <v>3738</v>
      </c>
      <c r="K665" s="9">
        <v>6</v>
      </c>
      <c r="L665" s="6" t="s">
        <v>4276</v>
      </c>
      <c r="M665" s="6" t="s">
        <v>4278</v>
      </c>
      <c r="N665" s="24">
        <v>72.599999999999994</v>
      </c>
      <c r="O665" s="22" t="str">
        <f>IF(Table2[[#This Row],[CouponCode]]="N/A", "Not Used", "Used")</f>
        <v>Used</v>
      </c>
    </row>
    <row r="666" spans="1:15" x14ac:dyDescent="0.3">
      <c r="A666" s="6" t="s">
        <v>678</v>
      </c>
      <c r="B666" s="2">
        <v>45645</v>
      </c>
      <c r="C666" s="6" t="s">
        <v>1450</v>
      </c>
      <c r="D666" s="6" t="s">
        <v>2408</v>
      </c>
      <c r="E666" s="9">
        <v>4</v>
      </c>
      <c r="F666" s="24">
        <v>194.75</v>
      </c>
      <c r="G666" t="s">
        <v>2865</v>
      </c>
      <c r="H666" s="6" t="s">
        <v>3069</v>
      </c>
      <c r="I666" s="6" t="s">
        <v>3070</v>
      </c>
      <c r="J666" s="6" t="s">
        <v>3739</v>
      </c>
      <c r="K666" s="9">
        <v>5</v>
      </c>
      <c r="L666" s="6" t="s">
        <v>4283</v>
      </c>
      <c r="M666" s="6" t="s">
        <v>4281</v>
      </c>
      <c r="N666" s="24">
        <v>779</v>
      </c>
      <c r="O666" s="22" t="str">
        <f>IF(Table2[[#This Row],[CouponCode]]="N/A", "Not Used", "Used")</f>
        <v>Not Used</v>
      </c>
    </row>
    <row r="667" spans="1:15" x14ac:dyDescent="0.3">
      <c r="A667" s="6" t="s">
        <v>679</v>
      </c>
      <c r="B667" s="2">
        <v>45048</v>
      </c>
      <c r="C667" s="6" t="s">
        <v>1877</v>
      </c>
      <c r="D667" s="6" t="s">
        <v>2405</v>
      </c>
      <c r="E667" s="9">
        <v>4</v>
      </c>
      <c r="F667" s="24">
        <v>231.26</v>
      </c>
      <c r="G667" t="s">
        <v>2866</v>
      </c>
      <c r="H667" s="6" t="s">
        <v>3066</v>
      </c>
      <c r="I667" s="6" t="s">
        <v>3070</v>
      </c>
      <c r="J667" s="6" t="s">
        <v>3740</v>
      </c>
      <c r="K667" s="9">
        <v>6</v>
      </c>
      <c r="L667" s="6" t="s">
        <v>4277</v>
      </c>
      <c r="M667" s="6" t="s">
        <v>4282</v>
      </c>
      <c r="N667" s="24">
        <v>925.04</v>
      </c>
      <c r="O667" s="22" t="str">
        <f>IF(Table2[[#This Row],[CouponCode]]="N/A", "Not Used", "Used")</f>
        <v>Used</v>
      </c>
    </row>
    <row r="668" spans="1:15" x14ac:dyDescent="0.3">
      <c r="A668" s="6" t="s">
        <v>680</v>
      </c>
      <c r="B668" s="2">
        <v>45535</v>
      </c>
      <c r="C668" s="6" t="s">
        <v>1878</v>
      </c>
      <c r="D668" s="6" t="s">
        <v>2403</v>
      </c>
      <c r="E668" s="9">
        <v>4</v>
      </c>
      <c r="F668" s="24">
        <v>327.12</v>
      </c>
      <c r="G668" t="s">
        <v>2840</v>
      </c>
      <c r="H668" s="6" t="s">
        <v>3067</v>
      </c>
      <c r="I668" s="6" t="s">
        <v>3071</v>
      </c>
      <c r="J668" s="6" t="s">
        <v>3741</v>
      </c>
      <c r="K668" s="9">
        <v>4</v>
      </c>
      <c r="L668" s="6" t="s">
        <v>4283</v>
      </c>
      <c r="M668" s="6" t="s">
        <v>4280</v>
      </c>
      <c r="N668" s="24">
        <v>1308.48</v>
      </c>
      <c r="O668" s="22" t="str">
        <f>IF(Table2[[#This Row],[CouponCode]]="N/A", "Not Used", "Used")</f>
        <v>Not Used</v>
      </c>
    </row>
    <row r="669" spans="1:15" x14ac:dyDescent="0.3">
      <c r="A669" s="6" t="s">
        <v>681</v>
      </c>
      <c r="B669" s="2">
        <v>45049</v>
      </c>
      <c r="C669" s="6" t="s">
        <v>1879</v>
      </c>
      <c r="D669" s="6" t="s">
        <v>2408</v>
      </c>
      <c r="E669" s="9">
        <v>1</v>
      </c>
      <c r="F669" s="24">
        <v>466.42</v>
      </c>
      <c r="G669" t="s">
        <v>2590</v>
      </c>
      <c r="H669" s="6" t="s">
        <v>3068</v>
      </c>
      <c r="I669" s="6" t="s">
        <v>3074</v>
      </c>
      <c r="J669" s="6" t="s">
        <v>3742</v>
      </c>
      <c r="K669" s="9">
        <v>5</v>
      </c>
      <c r="L669" s="6" t="s">
        <v>4275</v>
      </c>
      <c r="M669" s="6" t="s">
        <v>4280</v>
      </c>
      <c r="N669" s="24">
        <v>466.42</v>
      </c>
      <c r="O669" s="22" t="str">
        <f>IF(Table2[[#This Row],[CouponCode]]="N/A", "Not Used", "Used")</f>
        <v>Used</v>
      </c>
    </row>
    <row r="670" spans="1:15" x14ac:dyDescent="0.3">
      <c r="A670" s="6" t="s">
        <v>682</v>
      </c>
      <c r="B670" s="2">
        <v>45478</v>
      </c>
      <c r="C670" s="6" t="s">
        <v>1880</v>
      </c>
      <c r="D670" s="6" t="s">
        <v>2403</v>
      </c>
      <c r="E670" s="9">
        <v>2</v>
      </c>
      <c r="F670" s="24">
        <v>253.67</v>
      </c>
      <c r="G670" t="s">
        <v>2549</v>
      </c>
      <c r="H670" s="6" t="s">
        <v>3069</v>
      </c>
      <c r="I670" s="6" t="s">
        <v>3072</v>
      </c>
      <c r="J670" s="6" t="s">
        <v>3743</v>
      </c>
      <c r="K670" s="9">
        <v>3</v>
      </c>
      <c r="L670" s="6" t="s">
        <v>4277</v>
      </c>
      <c r="M670" s="6" t="s">
        <v>4281</v>
      </c>
      <c r="N670" s="24">
        <v>507.34</v>
      </c>
      <c r="O670" s="22" t="str">
        <f>IF(Table2[[#This Row],[CouponCode]]="N/A", "Not Used", "Used")</f>
        <v>Used</v>
      </c>
    </row>
    <row r="671" spans="1:15" x14ac:dyDescent="0.3">
      <c r="A671" s="6" t="s">
        <v>683</v>
      </c>
      <c r="B671" s="2">
        <v>44962</v>
      </c>
      <c r="C671" s="6" t="s">
        <v>1881</v>
      </c>
      <c r="D671" s="6" t="s">
        <v>2409</v>
      </c>
      <c r="E671" s="9">
        <v>1</v>
      </c>
      <c r="F671" s="24">
        <v>257</v>
      </c>
      <c r="G671" t="s">
        <v>2867</v>
      </c>
      <c r="H671" s="6" t="s">
        <v>3065</v>
      </c>
      <c r="I671" s="6" t="s">
        <v>3071</v>
      </c>
      <c r="J671" s="6" t="s">
        <v>3744</v>
      </c>
      <c r="K671" s="9">
        <v>5</v>
      </c>
      <c r="L671" s="6" t="s">
        <v>4283</v>
      </c>
      <c r="M671" s="6" t="s">
        <v>4279</v>
      </c>
      <c r="N671" s="24">
        <v>257</v>
      </c>
      <c r="O671" s="22" t="str">
        <f>IF(Table2[[#This Row],[CouponCode]]="N/A", "Not Used", "Used")</f>
        <v>Not Used</v>
      </c>
    </row>
    <row r="672" spans="1:15" x14ac:dyDescent="0.3">
      <c r="A672" s="6" t="s">
        <v>684</v>
      </c>
      <c r="B672" s="2">
        <v>45400</v>
      </c>
      <c r="C672" s="6" t="s">
        <v>1882</v>
      </c>
      <c r="D672" s="6" t="s">
        <v>2409</v>
      </c>
      <c r="E672" s="9">
        <v>4</v>
      </c>
      <c r="F672" s="24">
        <v>539.20000000000005</v>
      </c>
      <c r="G672" t="s">
        <v>2710</v>
      </c>
      <c r="H672" s="6" t="s">
        <v>3067</v>
      </c>
      <c r="I672" s="6" t="s">
        <v>3074</v>
      </c>
      <c r="J672" s="6" t="s">
        <v>3745</v>
      </c>
      <c r="K672" s="9">
        <v>8</v>
      </c>
      <c r="L672" s="6" t="s">
        <v>4276</v>
      </c>
      <c r="M672" s="6" t="s">
        <v>4282</v>
      </c>
      <c r="N672" s="24">
        <v>2156.8000000000002</v>
      </c>
      <c r="O672" s="22" t="str">
        <f>IF(Table2[[#This Row],[CouponCode]]="N/A", "Not Used", "Used")</f>
        <v>Used</v>
      </c>
    </row>
    <row r="673" spans="1:15" x14ac:dyDescent="0.3">
      <c r="A673" s="6" t="s">
        <v>685</v>
      </c>
      <c r="B673" s="2">
        <v>45092</v>
      </c>
      <c r="C673" s="6" t="s">
        <v>1883</v>
      </c>
      <c r="D673" s="6" t="s">
        <v>2406</v>
      </c>
      <c r="E673" s="9">
        <v>5</v>
      </c>
      <c r="F673" s="24">
        <v>50.74</v>
      </c>
      <c r="G673" t="s">
        <v>2554</v>
      </c>
      <c r="H673" s="6" t="s">
        <v>3068</v>
      </c>
      <c r="I673" s="6" t="s">
        <v>3071</v>
      </c>
      <c r="J673" s="6" t="s">
        <v>3746</v>
      </c>
      <c r="K673" s="9">
        <v>7</v>
      </c>
      <c r="L673" s="6" t="s">
        <v>4277</v>
      </c>
      <c r="M673" s="6" t="s">
        <v>4282</v>
      </c>
      <c r="N673" s="24">
        <v>253.7</v>
      </c>
      <c r="O673" s="22" t="str">
        <f>IF(Table2[[#This Row],[CouponCode]]="N/A", "Not Used", "Used")</f>
        <v>Used</v>
      </c>
    </row>
    <row r="674" spans="1:15" x14ac:dyDescent="0.3">
      <c r="A674" s="6" t="s">
        <v>686</v>
      </c>
      <c r="B674" s="2">
        <v>45055</v>
      </c>
      <c r="C674" s="6" t="s">
        <v>1884</v>
      </c>
      <c r="D674" s="6" t="s">
        <v>2404</v>
      </c>
      <c r="E674" s="9">
        <v>2</v>
      </c>
      <c r="F674" s="24">
        <v>624.16</v>
      </c>
      <c r="G674" t="s">
        <v>2843</v>
      </c>
      <c r="H674" s="6" t="s">
        <v>3065</v>
      </c>
      <c r="I674" s="6" t="s">
        <v>3070</v>
      </c>
      <c r="J674" s="6" t="s">
        <v>3747</v>
      </c>
      <c r="K674" s="9">
        <v>2</v>
      </c>
      <c r="L674" s="6" t="s">
        <v>4275</v>
      </c>
      <c r="M674" s="6" t="s">
        <v>4278</v>
      </c>
      <c r="N674" s="24">
        <v>1248.32</v>
      </c>
      <c r="O674" s="22" t="str">
        <f>IF(Table2[[#This Row],[CouponCode]]="N/A", "Not Used", "Used")</f>
        <v>Used</v>
      </c>
    </row>
    <row r="675" spans="1:15" x14ac:dyDescent="0.3">
      <c r="A675" s="6" t="s">
        <v>687</v>
      </c>
      <c r="B675" s="2">
        <v>44978</v>
      </c>
      <c r="C675" s="6" t="s">
        <v>1885</v>
      </c>
      <c r="D675" s="6" t="s">
        <v>2405</v>
      </c>
      <c r="E675" s="9">
        <v>2</v>
      </c>
      <c r="F675" s="24">
        <v>372.92</v>
      </c>
      <c r="G675" t="s">
        <v>2512</v>
      </c>
      <c r="H675" s="6" t="s">
        <v>3067</v>
      </c>
      <c r="I675" s="6" t="s">
        <v>3073</v>
      </c>
      <c r="J675" s="6" t="s">
        <v>3748</v>
      </c>
      <c r="K675" s="9">
        <v>7</v>
      </c>
      <c r="L675" s="6" t="s">
        <v>4275</v>
      </c>
      <c r="M675" s="6" t="s">
        <v>4280</v>
      </c>
      <c r="N675" s="24">
        <v>745.84</v>
      </c>
      <c r="O675" s="22" t="str">
        <f>IF(Table2[[#This Row],[CouponCode]]="N/A", "Not Used", "Used")</f>
        <v>Used</v>
      </c>
    </row>
    <row r="676" spans="1:15" x14ac:dyDescent="0.3">
      <c r="A676" s="6" t="s">
        <v>688</v>
      </c>
      <c r="B676" s="2">
        <v>45300</v>
      </c>
      <c r="C676" s="6" t="s">
        <v>1886</v>
      </c>
      <c r="D676" s="6" t="s">
        <v>2408</v>
      </c>
      <c r="E676" s="9">
        <v>4</v>
      </c>
      <c r="F676" s="24">
        <v>358.75</v>
      </c>
      <c r="G676" t="s">
        <v>2868</v>
      </c>
      <c r="H676" s="6" t="s">
        <v>3068</v>
      </c>
      <c r="I676" s="6" t="s">
        <v>3073</v>
      </c>
      <c r="J676" s="6" t="s">
        <v>3749</v>
      </c>
      <c r="K676" s="9">
        <v>9</v>
      </c>
      <c r="L676" s="6" t="s">
        <v>4275</v>
      </c>
      <c r="M676" s="6" t="s">
        <v>4281</v>
      </c>
      <c r="N676" s="24">
        <v>1435</v>
      </c>
      <c r="O676" s="22" t="str">
        <f>IF(Table2[[#This Row],[CouponCode]]="N/A", "Not Used", "Used")</f>
        <v>Used</v>
      </c>
    </row>
    <row r="677" spans="1:15" x14ac:dyDescent="0.3">
      <c r="A677" s="6" t="s">
        <v>689</v>
      </c>
      <c r="B677" s="2">
        <v>45510</v>
      </c>
      <c r="C677" s="6" t="s">
        <v>1887</v>
      </c>
      <c r="D677" s="6" t="s">
        <v>2409</v>
      </c>
      <c r="E677" s="9">
        <v>3</v>
      </c>
      <c r="F677" s="24">
        <v>342.02</v>
      </c>
      <c r="G677" t="s">
        <v>2807</v>
      </c>
      <c r="H677" s="6" t="s">
        <v>3065</v>
      </c>
      <c r="I677" s="6" t="s">
        <v>3074</v>
      </c>
      <c r="J677" s="6" t="s">
        <v>3750</v>
      </c>
      <c r="K677" s="9">
        <v>5</v>
      </c>
      <c r="L677" s="6" t="s">
        <v>4283</v>
      </c>
      <c r="M677" s="6" t="s">
        <v>4280</v>
      </c>
      <c r="N677" s="24">
        <v>1026.06</v>
      </c>
      <c r="O677" s="22" t="str">
        <f>IF(Table2[[#This Row],[CouponCode]]="N/A", "Not Used", "Used")</f>
        <v>Not Used</v>
      </c>
    </row>
    <row r="678" spans="1:15" x14ac:dyDescent="0.3">
      <c r="A678" s="6" t="s">
        <v>690</v>
      </c>
      <c r="B678" s="2">
        <v>45831</v>
      </c>
      <c r="C678" s="6" t="s">
        <v>1888</v>
      </c>
      <c r="D678" s="6" t="s">
        <v>2408</v>
      </c>
      <c r="E678" s="9">
        <v>2</v>
      </c>
      <c r="F678" s="24">
        <v>422.34</v>
      </c>
      <c r="G678" t="s">
        <v>2864</v>
      </c>
      <c r="H678" s="6" t="s">
        <v>3067</v>
      </c>
      <c r="I678" s="6" t="s">
        <v>3071</v>
      </c>
      <c r="J678" s="6" t="s">
        <v>3751</v>
      </c>
      <c r="K678" s="9">
        <v>4</v>
      </c>
      <c r="L678" s="6" t="s">
        <v>4276</v>
      </c>
      <c r="M678" s="6" t="s">
        <v>4278</v>
      </c>
      <c r="N678" s="24">
        <v>844.68</v>
      </c>
      <c r="O678" s="22" t="str">
        <f>IF(Table2[[#This Row],[CouponCode]]="N/A", "Not Used", "Used")</f>
        <v>Used</v>
      </c>
    </row>
    <row r="679" spans="1:15" x14ac:dyDescent="0.3">
      <c r="A679" s="6" t="s">
        <v>691</v>
      </c>
      <c r="B679" s="2">
        <v>45750</v>
      </c>
      <c r="C679" s="6" t="s">
        <v>1889</v>
      </c>
      <c r="D679" s="6" t="s">
        <v>2405</v>
      </c>
      <c r="E679" s="9">
        <v>5</v>
      </c>
      <c r="F679" s="24">
        <v>22.07</v>
      </c>
      <c r="G679" t="s">
        <v>2422</v>
      </c>
      <c r="H679" s="6" t="s">
        <v>3066</v>
      </c>
      <c r="I679" s="6" t="s">
        <v>3071</v>
      </c>
      <c r="J679" s="6" t="s">
        <v>3752</v>
      </c>
      <c r="K679" s="9">
        <v>7</v>
      </c>
      <c r="L679" s="6" t="s">
        <v>4276</v>
      </c>
      <c r="M679" s="6" t="s">
        <v>4278</v>
      </c>
      <c r="N679" s="24">
        <v>110.35</v>
      </c>
      <c r="O679" s="22" t="str">
        <f>IF(Table2[[#This Row],[CouponCode]]="N/A", "Not Used", "Used")</f>
        <v>Used</v>
      </c>
    </row>
    <row r="680" spans="1:15" x14ac:dyDescent="0.3">
      <c r="A680" s="6" t="s">
        <v>692</v>
      </c>
      <c r="B680" s="2">
        <v>45620</v>
      </c>
      <c r="C680" s="6" t="s">
        <v>1890</v>
      </c>
      <c r="D680" s="6" t="s">
        <v>2406</v>
      </c>
      <c r="E680" s="9">
        <v>3</v>
      </c>
      <c r="F680" s="24">
        <v>163.13</v>
      </c>
      <c r="G680" t="s">
        <v>2600</v>
      </c>
      <c r="H680" s="6" t="s">
        <v>3068</v>
      </c>
      <c r="I680" s="6" t="s">
        <v>3070</v>
      </c>
      <c r="J680" s="6" t="s">
        <v>3753</v>
      </c>
      <c r="K680" s="9">
        <v>5</v>
      </c>
      <c r="L680" s="6" t="s">
        <v>4277</v>
      </c>
      <c r="M680" s="6" t="s">
        <v>4281</v>
      </c>
      <c r="N680" s="24">
        <v>489.39</v>
      </c>
      <c r="O680" s="22" t="str">
        <f>IF(Table2[[#This Row],[CouponCode]]="N/A", "Not Used", "Used")</f>
        <v>Used</v>
      </c>
    </row>
    <row r="681" spans="1:15" x14ac:dyDescent="0.3">
      <c r="A681" s="6" t="s">
        <v>693</v>
      </c>
      <c r="B681" s="2">
        <v>44959</v>
      </c>
      <c r="C681" s="6" t="s">
        <v>1891</v>
      </c>
      <c r="D681" s="6" t="s">
        <v>2405</v>
      </c>
      <c r="E681" s="9">
        <v>3</v>
      </c>
      <c r="F681" s="24">
        <v>360.66</v>
      </c>
      <c r="G681" t="s">
        <v>2733</v>
      </c>
      <c r="H681" s="6" t="s">
        <v>3066</v>
      </c>
      <c r="I681" s="6" t="s">
        <v>3072</v>
      </c>
      <c r="J681" s="6" t="s">
        <v>3754</v>
      </c>
      <c r="K681" s="9">
        <v>5</v>
      </c>
      <c r="L681" s="6" t="s">
        <v>4276</v>
      </c>
      <c r="M681" s="6" t="s">
        <v>4278</v>
      </c>
      <c r="N681" s="24">
        <v>1081.98</v>
      </c>
      <c r="O681" s="22" t="str">
        <f>IF(Table2[[#This Row],[CouponCode]]="N/A", "Not Used", "Used")</f>
        <v>Used</v>
      </c>
    </row>
    <row r="682" spans="1:15" x14ac:dyDescent="0.3">
      <c r="A682" s="6" t="s">
        <v>694</v>
      </c>
      <c r="B682" s="2">
        <v>45165</v>
      </c>
      <c r="C682" s="6" t="s">
        <v>1892</v>
      </c>
      <c r="D682" s="6" t="s">
        <v>2403</v>
      </c>
      <c r="E682" s="9">
        <v>3</v>
      </c>
      <c r="F682" s="24">
        <v>463.39</v>
      </c>
      <c r="G682" t="s">
        <v>2869</v>
      </c>
      <c r="H682" s="6" t="s">
        <v>3067</v>
      </c>
      <c r="I682" s="6" t="s">
        <v>3072</v>
      </c>
      <c r="J682" s="6" t="s">
        <v>3755</v>
      </c>
      <c r="K682" s="9">
        <v>3</v>
      </c>
      <c r="L682" s="6" t="s">
        <v>4283</v>
      </c>
      <c r="M682" s="6" t="s">
        <v>4281</v>
      </c>
      <c r="N682" s="24">
        <v>1390.17</v>
      </c>
      <c r="O682" s="22" t="str">
        <f>IF(Table2[[#This Row],[CouponCode]]="N/A", "Not Used", "Used")</f>
        <v>Not Used</v>
      </c>
    </row>
    <row r="683" spans="1:15" x14ac:dyDescent="0.3">
      <c r="A683" s="6" t="s">
        <v>695</v>
      </c>
      <c r="B683" s="2">
        <v>45321</v>
      </c>
      <c r="C683" s="6" t="s">
        <v>1893</v>
      </c>
      <c r="D683" s="6" t="s">
        <v>2405</v>
      </c>
      <c r="E683" s="9">
        <v>1</v>
      </c>
      <c r="F683" s="24">
        <v>155.27000000000001</v>
      </c>
      <c r="G683" t="s">
        <v>2870</v>
      </c>
      <c r="H683" s="6" t="s">
        <v>3065</v>
      </c>
      <c r="I683" s="6" t="s">
        <v>3070</v>
      </c>
      <c r="J683" s="6" t="s">
        <v>3756</v>
      </c>
      <c r="K683" s="9">
        <v>6</v>
      </c>
      <c r="L683" s="6" t="s">
        <v>4283</v>
      </c>
      <c r="M683" s="6" t="s">
        <v>4280</v>
      </c>
      <c r="N683" s="24">
        <v>155.27000000000001</v>
      </c>
      <c r="O683" s="22" t="str">
        <f>IF(Table2[[#This Row],[CouponCode]]="N/A", "Not Used", "Used")</f>
        <v>Not Used</v>
      </c>
    </row>
    <row r="684" spans="1:15" x14ac:dyDescent="0.3">
      <c r="A684" s="6" t="s">
        <v>696</v>
      </c>
      <c r="B684" s="2">
        <v>45130</v>
      </c>
      <c r="C684" s="6" t="s">
        <v>1894</v>
      </c>
      <c r="D684" s="6" t="s">
        <v>2403</v>
      </c>
      <c r="E684" s="9">
        <v>3</v>
      </c>
      <c r="F684" s="24">
        <v>509.42</v>
      </c>
      <c r="G684" t="s">
        <v>2777</v>
      </c>
      <c r="H684" s="6" t="s">
        <v>3067</v>
      </c>
      <c r="I684" s="6" t="s">
        <v>3071</v>
      </c>
      <c r="J684" s="6" t="s">
        <v>3757</v>
      </c>
      <c r="K684" s="9">
        <v>5</v>
      </c>
      <c r="L684" s="6" t="s">
        <v>4276</v>
      </c>
      <c r="M684" s="6" t="s">
        <v>4282</v>
      </c>
      <c r="N684" s="24">
        <v>1528.26</v>
      </c>
      <c r="O684" s="22" t="str">
        <f>IF(Table2[[#This Row],[CouponCode]]="N/A", "Not Used", "Used")</f>
        <v>Used</v>
      </c>
    </row>
    <row r="685" spans="1:15" x14ac:dyDescent="0.3">
      <c r="A685" s="6" t="s">
        <v>697</v>
      </c>
      <c r="B685" s="2">
        <v>45795</v>
      </c>
      <c r="C685" s="6" t="s">
        <v>1895</v>
      </c>
      <c r="D685" s="6" t="s">
        <v>2409</v>
      </c>
      <c r="E685" s="9">
        <v>4</v>
      </c>
      <c r="F685" s="24">
        <v>652.48</v>
      </c>
      <c r="G685" t="s">
        <v>2871</v>
      </c>
      <c r="H685" s="6" t="s">
        <v>3069</v>
      </c>
      <c r="I685" s="6" t="s">
        <v>3074</v>
      </c>
      <c r="J685" s="6" t="s">
        <v>3758</v>
      </c>
      <c r="K685" s="9">
        <v>5</v>
      </c>
      <c r="L685" s="6" t="s">
        <v>4276</v>
      </c>
      <c r="M685" s="6" t="s">
        <v>4278</v>
      </c>
      <c r="N685" s="24">
        <v>2609.92</v>
      </c>
      <c r="O685" s="22" t="str">
        <f>IF(Table2[[#This Row],[CouponCode]]="N/A", "Not Used", "Used")</f>
        <v>Used</v>
      </c>
    </row>
    <row r="686" spans="1:15" x14ac:dyDescent="0.3">
      <c r="A686" s="6" t="s">
        <v>698</v>
      </c>
      <c r="B686" s="2">
        <v>45557</v>
      </c>
      <c r="C686" s="6" t="s">
        <v>1896</v>
      </c>
      <c r="D686" s="6" t="s">
        <v>2407</v>
      </c>
      <c r="E686" s="9">
        <v>4</v>
      </c>
      <c r="F686" s="24">
        <v>34.840000000000003</v>
      </c>
      <c r="G686" t="s">
        <v>2872</v>
      </c>
      <c r="H686" s="6" t="s">
        <v>3067</v>
      </c>
      <c r="I686" s="6" t="s">
        <v>3070</v>
      </c>
      <c r="J686" s="6" t="s">
        <v>3759</v>
      </c>
      <c r="K686" s="9">
        <v>8</v>
      </c>
      <c r="L686" s="6" t="s">
        <v>4283</v>
      </c>
      <c r="M686" s="6" t="s">
        <v>4280</v>
      </c>
      <c r="N686" s="24">
        <v>139.36000000000001</v>
      </c>
      <c r="O686" s="22" t="str">
        <f>IF(Table2[[#This Row],[CouponCode]]="N/A", "Not Used", "Used")</f>
        <v>Not Used</v>
      </c>
    </row>
    <row r="687" spans="1:15" x14ac:dyDescent="0.3">
      <c r="A687" s="6" t="s">
        <v>699</v>
      </c>
      <c r="B687" s="2">
        <v>45695</v>
      </c>
      <c r="C687" s="6" t="s">
        <v>1897</v>
      </c>
      <c r="D687" s="6" t="s">
        <v>2409</v>
      </c>
      <c r="E687" s="9">
        <v>1</v>
      </c>
      <c r="F687" s="24">
        <v>234.37</v>
      </c>
      <c r="G687" t="s">
        <v>2873</v>
      </c>
      <c r="H687" s="6" t="s">
        <v>3065</v>
      </c>
      <c r="I687" s="6" t="s">
        <v>3070</v>
      </c>
      <c r="J687" s="6" t="s">
        <v>3760</v>
      </c>
      <c r="K687" s="9">
        <v>5</v>
      </c>
      <c r="L687" s="6" t="s">
        <v>4276</v>
      </c>
      <c r="M687" s="6" t="s">
        <v>4280</v>
      </c>
      <c r="N687" s="24">
        <v>234.37</v>
      </c>
      <c r="O687" s="22" t="str">
        <f>IF(Table2[[#This Row],[CouponCode]]="N/A", "Not Used", "Used")</f>
        <v>Used</v>
      </c>
    </row>
    <row r="688" spans="1:15" x14ac:dyDescent="0.3">
      <c r="A688" s="6" t="s">
        <v>700</v>
      </c>
      <c r="B688" s="2">
        <v>45208</v>
      </c>
      <c r="C688" s="6" t="s">
        <v>1898</v>
      </c>
      <c r="D688" s="6" t="s">
        <v>2409</v>
      </c>
      <c r="E688" s="9">
        <v>3</v>
      </c>
      <c r="F688" s="24">
        <v>53.6</v>
      </c>
      <c r="G688" t="s">
        <v>2874</v>
      </c>
      <c r="H688" s="6" t="s">
        <v>3069</v>
      </c>
      <c r="I688" s="6" t="s">
        <v>3074</v>
      </c>
      <c r="J688" s="6" t="s">
        <v>3761</v>
      </c>
      <c r="K688" s="9">
        <v>4</v>
      </c>
      <c r="L688" s="6" t="s">
        <v>4277</v>
      </c>
      <c r="M688" s="6" t="s">
        <v>4281</v>
      </c>
      <c r="N688" s="24">
        <v>160.80000000000001</v>
      </c>
      <c r="O688" s="22" t="str">
        <f>IF(Table2[[#This Row],[CouponCode]]="N/A", "Not Used", "Used")</f>
        <v>Used</v>
      </c>
    </row>
    <row r="689" spans="1:15" x14ac:dyDescent="0.3">
      <c r="A689" s="6" t="s">
        <v>701</v>
      </c>
      <c r="B689" s="2">
        <v>45182</v>
      </c>
      <c r="C689" s="6" t="s">
        <v>1899</v>
      </c>
      <c r="D689" s="6" t="s">
        <v>2405</v>
      </c>
      <c r="E689" s="9">
        <v>1</v>
      </c>
      <c r="F689" s="24">
        <v>332.09</v>
      </c>
      <c r="G689" t="s">
        <v>2875</v>
      </c>
      <c r="H689" s="6" t="s">
        <v>3068</v>
      </c>
      <c r="I689" s="6" t="s">
        <v>3072</v>
      </c>
      <c r="J689" s="6" t="s">
        <v>3762</v>
      </c>
      <c r="K689" s="9">
        <v>5</v>
      </c>
      <c r="L689" s="6" t="s">
        <v>4276</v>
      </c>
      <c r="M689" s="6" t="s">
        <v>4278</v>
      </c>
      <c r="N689" s="24">
        <v>332.09</v>
      </c>
      <c r="O689" s="22" t="str">
        <f>IF(Table2[[#This Row],[CouponCode]]="N/A", "Not Used", "Used")</f>
        <v>Used</v>
      </c>
    </row>
    <row r="690" spans="1:15" x14ac:dyDescent="0.3">
      <c r="A690" s="6" t="s">
        <v>702</v>
      </c>
      <c r="B690" s="2">
        <v>45357</v>
      </c>
      <c r="C690" s="6" t="s">
        <v>1900</v>
      </c>
      <c r="D690" s="6" t="s">
        <v>2403</v>
      </c>
      <c r="E690" s="9">
        <v>4</v>
      </c>
      <c r="F690" s="24">
        <v>593.22</v>
      </c>
      <c r="G690" t="s">
        <v>2842</v>
      </c>
      <c r="H690" s="6" t="s">
        <v>3067</v>
      </c>
      <c r="I690" s="6" t="s">
        <v>3071</v>
      </c>
      <c r="J690" s="6" t="s">
        <v>3763</v>
      </c>
      <c r="K690" s="9">
        <v>8</v>
      </c>
      <c r="L690" s="6" t="s">
        <v>4277</v>
      </c>
      <c r="M690" s="6" t="s">
        <v>4281</v>
      </c>
      <c r="N690" s="24">
        <v>2372.88</v>
      </c>
      <c r="O690" s="22" t="str">
        <f>IF(Table2[[#This Row],[CouponCode]]="N/A", "Not Used", "Used")</f>
        <v>Used</v>
      </c>
    </row>
    <row r="691" spans="1:15" x14ac:dyDescent="0.3">
      <c r="A691" s="6" t="s">
        <v>703</v>
      </c>
      <c r="B691" s="2">
        <v>45167</v>
      </c>
      <c r="C691" s="6" t="s">
        <v>1901</v>
      </c>
      <c r="D691" s="6" t="s">
        <v>2405</v>
      </c>
      <c r="E691" s="9">
        <v>2</v>
      </c>
      <c r="F691" s="24">
        <v>444.84</v>
      </c>
      <c r="G691" t="s">
        <v>2876</v>
      </c>
      <c r="H691" s="6" t="s">
        <v>3066</v>
      </c>
      <c r="I691" s="6" t="s">
        <v>3070</v>
      </c>
      <c r="J691" s="6" t="s">
        <v>3764</v>
      </c>
      <c r="K691" s="9">
        <v>7</v>
      </c>
      <c r="L691" s="6" t="s">
        <v>4283</v>
      </c>
      <c r="M691" s="6" t="s">
        <v>4281</v>
      </c>
      <c r="N691" s="24">
        <v>889.68</v>
      </c>
      <c r="O691" s="22" t="str">
        <f>IF(Table2[[#This Row],[CouponCode]]="N/A", "Not Used", "Used")</f>
        <v>Not Used</v>
      </c>
    </row>
    <row r="692" spans="1:15" x14ac:dyDescent="0.3">
      <c r="A692" s="6" t="s">
        <v>704</v>
      </c>
      <c r="B692" s="2">
        <v>45485</v>
      </c>
      <c r="C692" s="6" t="s">
        <v>1902</v>
      </c>
      <c r="D692" s="6" t="s">
        <v>2403</v>
      </c>
      <c r="E692" s="9">
        <v>1</v>
      </c>
      <c r="F692" s="24">
        <v>24.48</v>
      </c>
      <c r="G692" t="s">
        <v>2445</v>
      </c>
      <c r="H692" s="6" t="s">
        <v>3068</v>
      </c>
      <c r="I692" s="6" t="s">
        <v>3072</v>
      </c>
      <c r="J692" s="6" t="s">
        <v>3765</v>
      </c>
      <c r="K692" s="9">
        <v>1</v>
      </c>
      <c r="L692" s="6" t="s">
        <v>4283</v>
      </c>
      <c r="M692" s="6" t="s">
        <v>4278</v>
      </c>
      <c r="N692" s="24">
        <v>24.48</v>
      </c>
      <c r="O692" s="22" t="str">
        <f>IF(Table2[[#This Row],[CouponCode]]="N/A", "Not Used", "Used")</f>
        <v>Not Used</v>
      </c>
    </row>
    <row r="693" spans="1:15" x14ac:dyDescent="0.3">
      <c r="A693" s="6" t="s">
        <v>705</v>
      </c>
      <c r="B693" s="2">
        <v>45620</v>
      </c>
      <c r="C693" s="6" t="s">
        <v>1903</v>
      </c>
      <c r="D693" s="6" t="s">
        <v>2408</v>
      </c>
      <c r="E693" s="9">
        <v>3</v>
      </c>
      <c r="F693" s="24">
        <v>239.08</v>
      </c>
      <c r="G693" t="s">
        <v>2877</v>
      </c>
      <c r="H693" s="6" t="s">
        <v>3069</v>
      </c>
      <c r="I693" s="6" t="s">
        <v>3070</v>
      </c>
      <c r="J693" s="6" t="s">
        <v>3766</v>
      </c>
      <c r="K693" s="9">
        <v>8</v>
      </c>
      <c r="L693" s="6" t="s">
        <v>4283</v>
      </c>
      <c r="M693" s="6" t="s">
        <v>4282</v>
      </c>
      <c r="N693" s="24">
        <v>717.24</v>
      </c>
      <c r="O693" s="22" t="str">
        <f>IF(Table2[[#This Row],[CouponCode]]="N/A", "Not Used", "Used")</f>
        <v>Not Used</v>
      </c>
    </row>
    <row r="694" spans="1:15" x14ac:dyDescent="0.3">
      <c r="A694" s="6" t="s">
        <v>706</v>
      </c>
      <c r="B694" s="2">
        <v>44949</v>
      </c>
      <c r="C694" s="6" t="s">
        <v>1904</v>
      </c>
      <c r="D694" s="6" t="s">
        <v>2409</v>
      </c>
      <c r="E694" s="9">
        <v>5</v>
      </c>
      <c r="F694" s="24">
        <v>196.84</v>
      </c>
      <c r="G694" t="s">
        <v>2732</v>
      </c>
      <c r="H694" s="6" t="s">
        <v>3067</v>
      </c>
      <c r="I694" s="6" t="s">
        <v>3073</v>
      </c>
      <c r="J694" s="6" t="s">
        <v>3767</v>
      </c>
      <c r="K694" s="9">
        <v>5</v>
      </c>
      <c r="L694" s="6" t="s">
        <v>4277</v>
      </c>
      <c r="M694" s="6" t="s">
        <v>4278</v>
      </c>
      <c r="N694" s="24">
        <v>984.2</v>
      </c>
      <c r="O694" s="22" t="str">
        <f>IF(Table2[[#This Row],[CouponCode]]="N/A", "Not Used", "Used")</f>
        <v>Used</v>
      </c>
    </row>
    <row r="695" spans="1:15" x14ac:dyDescent="0.3">
      <c r="A695" s="6" t="s">
        <v>707</v>
      </c>
      <c r="B695" s="2">
        <v>45728</v>
      </c>
      <c r="C695" s="6" t="s">
        <v>1905</v>
      </c>
      <c r="D695" s="6" t="s">
        <v>2403</v>
      </c>
      <c r="E695" s="9">
        <v>1</v>
      </c>
      <c r="F695" s="24">
        <v>176.58</v>
      </c>
      <c r="G695" t="s">
        <v>2878</v>
      </c>
      <c r="H695" s="6" t="s">
        <v>3065</v>
      </c>
      <c r="I695" s="6" t="s">
        <v>3072</v>
      </c>
      <c r="J695" s="6" t="s">
        <v>3768</v>
      </c>
      <c r="K695" s="9">
        <v>4</v>
      </c>
      <c r="L695" s="6" t="s">
        <v>4283</v>
      </c>
      <c r="M695" s="6" t="s">
        <v>4279</v>
      </c>
      <c r="N695" s="24">
        <v>176.58</v>
      </c>
      <c r="O695" s="22" t="str">
        <f>IF(Table2[[#This Row],[CouponCode]]="N/A", "Not Used", "Used")</f>
        <v>Not Used</v>
      </c>
    </row>
    <row r="696" spans="1:15" x14ac:dyDescent="0.3">
      <c r="A696" s="6" t="s">
        <v>708</v>
      </c>
      <c r="B696" s="2">
        <v>45201</v>
      </c>
      <c r="C696" s="6" t="s">
        <v>1906</v>
      </c>
      <c r="D696" s="6" t="s">
        <v>2407</v>
      </c>
      <c r="E696" s="9">
        <v>4</v>
      </c>
      <c r="F696" s="24">
        <v>666.52</v>
      </c>
      <c r="G696" t="s">
        <v>2695</v>
      </c>
      <c r="H696" s="6" t="s">
        <v>3069</v>
      </c>
      <c r="I696" s="6" t="s">
        <v>3070</v>
      </c>
      <c r="J696" s="6" t="s">
        <v>3769</v>
      </c>
      <c r="K696" s="9">
        <v>8</v>
      </c>
      <c r="L696" s="6" t="s">
        <v>4276</v>
      </c>
      <c r="M696" s="6" t="s">
        <v>4280</v>
      </c>
      <c r="N696" s="24">
        <v>2666.08</v>
      </c>
      <c r="O696" s="22" t="str">
        <f>IF(Table2[[#This Row],[CouponCode]]="N/A", "Not Used", "Used")</f>
        <v>Used</v>
      </c>
    </row>
    <row r="697" spans="1:15" x14ac:dyDescent="0.3">
      <c r="A697" s="6" t="s">
        <v>709</v>
      </c>
      <c r="B697" s="2">
        <v>45619</v>
      </c>
      <c r="C697" s="6" t="s">
        <v>1907</v>
      </c>
      <c r="D697" s="6" t="s">
        <v>2407</v>
      </c>
      <c r="E697" s="9">
        <v>5</v>
      </c>
      <c r="F697" s="24">
        <v>101.3</v>
      </c>
      <c r="G697" t="s">
        <v>2568</v>
      </c>
      <c r="H697" s="6" t="s">
        <v>3066</v>
      </c>
      <c r="I697" s="6" t="s">
        <v>3070</v>
      </c>
      <c r="J697" s="6" t="s">
        <v>3770</v>
      </c>
      <c r="K697" s="9">
        <v>7</v>
      </c>
      <c r="L697" s="6" t="s">
        <v>4276</v>
      </c>
      <c r="M697" s="6" t="s">
        <v>4280</v>
      </c>
      <c r="N697" s="24">
        <v>506.5</v>
      </c>
      <c r="O697" s="22" t="str">
        <f>IF(Table2[[#This Row],[CouponCode]]="N/A", "Not Used", "Used")</f>
        <v>Used</v>
      </c>
    </row>
    <row r="698" spans="1:15" x14ac:dyDescent="0.3">
      <c r="A698" s="6" t="s">
        <v>710</v>
      </c>
      <c r="B698" s="2">
        <v>45109</v>
      </c>
      <c r="C698" s="6" t="s">
        <v>1908</v>
      </c>
      <c r="D698" s="6" t="s">
        <v>2406</v>
      </c>
      <c r="E698" s="9">
        <v>4</v>
      </c>
      <c r="F698" s="24">
        <v>151.19999999999999</v>
      </c>
      <c r="G698" t="s">
        <v>2879</v>
      </c>
      <c r="H698" s="6" t="s">
        <v>3068</v>
      </c>
      <c r="I698" s="6" t="s">
        <v>3074</v>
      </c>
      <c r="J698" s="6" t="s">
        <v>3771</v>
      </c>
      <c r="K698" s="9">
        <v>9</v>
      </c>
      <c r="L698" s="6" t="s">
        <v>4277</v>
      </c>
      <c r="M698" s="6" t="s">
        <v>4281</v>
      </c>
      <c r="N698" s="24">
        <v>604.79999999999995</v>
      </c>
      <c r="O698" s="22" t="str">
        <f>IF(Table2[[#This Row],[CouponCode]]="N/A", "Not Used", "Used")</f>
        <v>Used</v>
      </c>
    </row>
    <row r="699" spans="1:15" x14ac:dyDescent="0.3">
      <c r="A699" s="6" t="s">
        <v>711</v>
      </c>
      <c r="B699" s="2">
        <v>45692</v>
      </c>
      <c r="C699" s="6" t="s">
        <v>1909</v>
      </c>
      <c r="D699" s="6" t="s">
        <v>2407</v>
      </c>
      <c r="E699" s="9">
        <v>5</v>
      </c>
      <c r="F699" s="24">
        <v>94.85</v>
      </c>
      <c r="G699" t="s">
        <v>2840</v>
      </c>
      <c r="H699" s="6" t="s">
        <v>3069</v>
      </c>
      <c r="I699" s="6" t="s">
        <v>3070</v>
      </c>
      <c r="J699" s="6" t="s">
        <v>3772</v>
      </c>
      <c r="K699" s="9">
        <v>6</v>
      </c>
      <c r="L699" s="6" t="s">
        <v>4277</v>
      </c>
      <c r="M699" s="6" t="s">
        <v>4280</v>
      </c>
      <c r="N699" s="24">
        <v>474.25</v>
      </c>
      <c r="O699" s="22" t="str">
        <f>IF(Table2[[#This Row],[CouponCode]]="N/A", "Not Used", "Used")</f>
        <v>Used</v>
      </c>
    </row>
    <row r="700" spans="1:15" x14ac:dyDescent="0.3">
      <c r="A700" s="6" t="s">
        <v>712</v>
      </c>
      <c r="B700" s="2">
        <v>44930</v>
      </c>
      <c r="C700" s="6" t="s">
        <v>1910</v>
      </c>
      <c r="D700" s="6" t="s">
        <v>2408</v>
      </c>
      <c r="E700" s="9">
        <v>2</v>
      </c>
      <c r="F700" s="24">
        <v>388.22</v>
      </c>
      <c r="G700" t="s">
        <v>2792</v>
      </c>
      <c r="H700" s="6" t="s">
        <v>3069</v>
      </c>
      <c r="I700" s="6" t="s">
        <v>3073</v>
      </c>
      <c r="J700" s="6" t="s">
        <v>3773</v>
      </c>
      <c r="K700" s="9">
        <v>2</v>
      </c>
      <c r="L700" s="6" t="s">
        <v>4277</v>
      </c>
      <c r="M700" s="6" t="s">
        <v>4278</v>
      </c>
      <c r="N700" s="24">
        <v>776.44</v>
      </c>
      <c r="O700" s="22" t="str">
        <f>IF(Table2[[#This Row],[CouponCode]]="N/A", "Not Used", "Used")</f>
        <v>Used</v>
      </c>
    </row>
    <row r="701" spans="1:15" x14ac:dyDescent="0.3">
      <c r="A701" s="6" t="s">
        <v>713</v>
      </c>
      <c r="B701" s="2">
        <v>45243</v>
      </c>
      <c r="C701" s="6" t="s">
        <v>1911</v>
      </c>
      <c r="D701" s="6" t="s">
        <v>2408</v>
      </c>
      <c r="E701" s="9">
        <v>3</v>
      </c>
      <c r="F701" s="24">
        <v>614.15</v>
      </c>
      <c r="G701" t="s">
        <v>2880</v>
      </c>
      <c r="H701" s="6" t="s">
        <v>3068</v>
      </c>
      <c r="I701" s="6" t="s">
        <v>3071</v>
      </c>
      <c r="J701" s="6" t="s">
        <v>3774</v>
      </c>
      <c r="K701" s="9">
        <v>3</v>
      </c>
      <c r="L701" s="6" t="s">
        <v>4283</v>
      </c>
      <c r="M701" s="6" t="s">
        <v>4281</v>
      </c>
      <c r="N701" s="24">
        <v>1842.45</v>
      </c>
      <c r="O701" s="22" t="str">
        <f>IF(Table2[[#This Row],[CouponCode]]="N/A", "Not Used", "Used")</f>
        <v>Not Used</v>
      </c>
    </row>
    <row r="702" spans="1:15" x14ac:dyDescent="0.3">
      <c r="A702" s="6" t="s">
        <v>714</v>
      </c>
      <c r="B702" s="2">
        <v>45560</v>
      </c>
      <c r="C702" s="6" t="s">
        <v>1912</v>
      </c>
      <c r="D702" s="6" t="s">
        <v>2408</v>
      </c>
      <c r="E702" s="9">
        <v>2</v>
      </c>
      <c r="F702" s="24">
        <v>92.91</v>
      </c>
      <c r="G702" t="s">
        <v>2881</v>
      </c>
      <c r="H702" s="6" t="s">
        <v>3069</v>
      </c>
      <c r="I702" s="6" t="s">
        <v>3072</v>
      </c>
      <c r="J702" s="6" t="s">
        <v>3775</v>
      </c>
      <c r="K702" s="9">
        <v>3</v>
      </c>
      <c r="L702" s="6" t="s">
        <v>4277</v>
      </c>
      <c r="M702" s="6" t="s">
        <v>4278</v>
      </c>
      <c r="N702" s="24">
        <v>185.82</v>
      </c>
      <c r="O702" s="22" t="str">
        <f>IF(Table2[[#This Row],[CouponCode]]="N/A", "Not Used", "Used")</f>
        <v>Used</v>
      </c>
    </row>
    <row r="703" spans="1:15" x14ac:dyDescent="0.3">
      <c r="A703" s="6" t="s">
        <v>715</v>
      </c>
      <c r="B703" s="2">
        <v>45466</v>
      </c>
      <c r="C703" s="6" t="s">
        <v>1913</v>
      </c>
      <c r="D703" s="6" t="s">
        <v>2403</v>
      </c>
      <c r="E703" s="9">
        <v>3</v>
      </c>
      <c r="F703" s="24">
        <v>92.22</v>
      </c>
      <c r="G703" t="s">
        <v>2517</v>
      </c>
      <c r="H703" s="6" t="s">
        <v>3067</v>
      </c>
      <c r="I703" s="6" t="s">
        <v>3073</v>
      </c>
      <c r="J703" s="6" t="s">
        <v>3776</v>
      </c>
      <c r="K703" s="9">
        <v>5</v>
      </c>
      <c r="L703" s="6" t="s">
        <v>4276</v>
      </c>
      <c r="M703" s="6" t="s">
        <v>4280</v>
      </c>
      <c r="N703" s="24">
        <v>276.66000000000003</v>
      </c>
      <c r="O703" s="22" t="str">
        <f>IF(Table2[[#This Row],[CouponCode]]="N/A", "Not Used", "Used")</f>
        <v>Used</v>
      </c>
    </row>
    <row r="704" spans="1:15" x14ac:dyDescent="0.3">
      <c r="A704" s="6" t="s">
        <v>716</v>
      </c>
      <c r="B704" s="2">
        <v>45452</v>
      </c>
      <c r="C704" s="6" t="s">
        <v>1914</v>
      </c>
      <c r="D704" s="6" t="s">
        <v>2407</v>
      </c>
      <c r="E704" s="9">
        <v>3</v>
      </c>
      <c r="F704" s="24">
        <v>562.54999999999995</v>
      </c>
      <c r="G704" t="s">
        <v>2842</v>
      </c>
      <c r="H704" s="6" t="s">
        <v>3065</v>
      </c>
      <c r="I704" s="6" t="s">
        <v>3072</v>
      </c>
      <c r="J704" s="6" t="s">
        <v>3777</v>
      </c>
      <c r="K704" s="9">
        <v>6</v>
      </c>
      <c r="L704" s="6" t="s">
        <v>4283</v>
      </c>
      <c r="M704" s="6" t="s">
        <v>4280</v>
      </c>
      <c r="N704" s="24">
        <v>1687.65</v>
      </c>
      <c r="O704" s="22" t="str">
        <f>IF(Table2[[#This Row],[CouponCode]]="N/A", "Not Used", "Used")</f>
        <v>Not Used</v>
      </c>
    </row>
    <row r="705" spans="1:15" x14ac:dyDescent="0.3">
      <c r="A705" s="6" t="s">
        <v>717</v>
      </c>
      <c r="B705" s="2">
        <v>45007</v>
      </c>
      <c r="C705" s="6" t="s">
        <v>1915</v>
      </c>
      <c r="D705" s="6" t="s">
        <v>2409</v>
      </c>
      <c r="E705" s="9">
        <v>1</v>
      </c>
      <c r="F705" s="24">
        <v>92.79</v>
      </c>
      <c r="G705" t="s">
        <v>2882</v>
      </c>
      <c r="H705" s="6" t="s">
        <v>3069</v>
      </c>
      <c r="I705" s="6" t="s">
        <v>3074</v>
      </c>
      <c r="J705" s="6" t="s">
        <v>3778</v>
      </c>
      <c r="K705" s="9">
        <v>3</v>
      </c>
      <c r="L705" s="6" t="s">
        <v>4277</v>
      </c>
      <c r="M705" s="6" t="s">
        <v>4280</v>
      </c>
      <c r="N705" s="24">
        <v>92.79</v>
      </c>
      <c r="O705" s="22" t="str">
        <f>IF(Table2[[#This Row],[CouponCode]]="N/A", "Not Used", "Used")</f>
        <v>Used</v>
      </c>
    </row>
    <row r="706" spans="1:15" x14ac:dyDescent="0.3">
      <c r="A706" s="6" t="s">
        <v>718</v>
      </c>
      <c r="B706" s="2">
        <v>45080</v>
      </c>
      <c r="C706" s="6" t="s">
        <v>1916</v>
      </c>
      <c r="D706" s="6" t="s">
        <v>2409</v>
      </c>
      <c r="E706" s="9">
        <v>4</v>
      </c>
      <c r="F706" s="24">
        <v>30.27</v>
      </c>
      <c r="G706" t="s">
        <v>2555</v>
      </c>
      <c r="H706" s="6" t="s">
        <v>3066</v>
      </c>
      <c r="I706" s="6" t="s">
        <v>3073</v>
      </c>
      <c r="J706" s="6" t="s">
        <v>3779</v>
      </c>
      <c r="K706" s="9">
        <v>9</v>
      </c>
      <c r="L706" s="6" t="s">
        <v>4276</v>
      </c>
      <c r="M706" s="6" t="s">
        <v>4282</v>
      </c>
      <c r="N706" s="24">
        <v>121.08</v>
      </c>
      <c r="O706" s="22" t="str">
        <f>IF(Table2[[#This Row],[CouponCode]]="N/A", "Not Used", "Used")</f>
        <v>Used</v>
      </c>
    </row>
    <row r="707" spans="1:15" x14ac:dyDescent="0.3">
      <c r="A707" s="6" t="s">
        <v>719</v>
      </c>
      <c r="B707" s="2">
        <v>45746</v>
      </c>
      <c r="C707" s="6" t="s">
        <v>1917</v>
      </c>
      <c r="D707" s="6" t="s">
        <v>2403</v>
      </c>
      <c r="E707" s="9">
        <v>2</v>
      </c>
      <c r="F707" s="24">
        <v>49.08</v>
      </c>
      <c r="G707" t="s">
        <v>2883</v>
      </c>
      <c r="H707" s="6" t="s">
        <v>3065</v>
      </c>
      <c r="I707" s="6" t="s">
        <v>3072</v>
      </c>
      <c r="J707" s="6" t="s">
        <v>3780</v>
      </c>
      <c r="K707" s="9">
        <v>7</v>
      </c>
      <c r="L707" s="6" t="s">
        <v>4276</v>
      </c>
      <c r="M707" s="6" t="s">
        <v>4278</v>
      </c>
      <c r="N707" s="24">
        <v>98.16</v>
      </c>
      <c r="O707" s="22" t="str">
        <f>IF(Table2[[#This Row],[CouponCode]]="N/A", "Not Used", "Used")</f>
        <v>Used</v>
      </c>
    </row>
    <row r="708" spans="1:15" x14ac:dyDescent="0.3">
      <c r="A708" s="6" t="s">
        <v>720</v>
      </c>
      <c r="B708" s="2">
        <v>45718</v>
      </c>
      <c r="C708" s="6" t="s">
        <v>1918</v>
      </c>
      <c r="D708" s="6" t="s">
        <v>2409</v>
      </c>
      <c r="E708" s="9">
        <v>5</v>
      </c>
      <c r="F708" s="24">
        <v>228.09</v>
      </c>
      <c r="G708" t="s">
        <v>2720</v>
      </c>
      <c r="H708" s="6" t="s">
        <v>3068</v>
      </c>
      <c r="I708" s="6" t="s">
        <v>3072</v>
      </c>
      <c r="J708" s="6" t="s">
        <v>3781</v>
      </c>
      <c r="K708" s="9">
        <v>9</v>
      </c>
      <c r="L708" s="6" t="s">
        <v>4276</v>
      </c>
      <c r="M708" s="6" t="s">
        <v>4281</v>
      </c>
      <c r="N708" s="24">
        <v>1140.45</v>
      </c>
      <c r="O708" s="22" t="str">
        <f>IF(Table2[[#This Row],[CouponCode]]="N/A", "Not Used", "Used")</f>
        <v>Used</v>
      </c>
    </row>
    <row r="709" spans="1:15" x14ac:dyDescent="0.3">
      <c r="A709" s="6" t="s">
        <v>721</v>
      </c>
      <c r="B709" s="2">
        <v>45597</v>
      </c>
      <c r="C709" s="6" t="s">
        <v>1919</v>
      </c>
      <c r="D709" s="6" t="s">
        <v>2406</v>
      </c>
      <c r="E709" s="9">
        <v>4</v>
      </c>
      <c r="F709" s="24">
        <v>650.04</v>
      </c>
      <c r="G709" t="s">
        <v>2487</v>
      </c>
      <c r="H709" s="6" t="s">
        <v>3068</v>
      </c>
      <c r="I709" s="6" t="s">
        <v>3071</v>
      </c>
      <c r="J709" s="6" t="s">
        <v>3782</v>
      </c>
      <c r="K709" s="9">
        <v>6</v>
      </c>
      <c r="L709" s="6" t="s">
        <v>4275</v>
      </c>
      <c r="M709" s="6" t="s">
        <v>4281</v>
      </c>
      <c r="N709" s="24">
        <v>2600.16</v>
      </c>
      <c r="O709" s="22" t="str">
        <f>IF(Table2[[#This Row],[CouponCode]]="N/A", "Not Used", "Used")</f>
        <v>Used</v>
      </c>
    </row>
    <row r="710" spans="1:15" x14ac:dyDescent="0.3">
      <c r="A710" s="6" t="s">
        <v>722</v>
      </c>
      <c r="B710" s="2">
        <v>45720</v>
      </c>
      <c r="C710" s="6" t="s">
        <v>1920</v>
      </c>
      <c r="D710" s="6" t="s">
        <v>2407</v>
      </c>
      <c r="E710" s="9">
        <v>1</v>
      </c>
      <c r="F710" s="24">
        <v>665.11</v>
      </c>
      <c r="G710" t="s">
        <v>2840</v>
      </c>
      <c r="H710" s="6" t="s">
        <v>3069</v>
      </c>
      <c r="I710" s="6" t="s">
        <v>3074</v>
      </c>
      <c r="J710" s="6" t="s">
        <v>3783</v>
      </c>
      <c r="K710" s="9">
        <v>3</v>
      </c>
      <c r="L710" s="6" t="s">
        <v>4276</v>
      </c>
      <c r="M710" s="6" t="s">
        <v>4278</v>
      </c>
      <c r="N710" s="24">
        <v>665.11</v>
      </c>
      <c r="O710" s="22" t="str">
        <f>IF(Table2[[#This Row],[CouponCode]]="N/A", "Not Used", "Used")</f>
        <v>Used</v>
      </c>
    </row>
    <row r="711" spans="1:15" x14ac:dyDescent="0.3">
      <c r="A711" s="6" t="s">
        <v>723</v>
      </c>
      <c r="B711" s="2">
        <v>45633</v>
      </c>
      <c r="C711" s="6" t="s">
        <v>1921</v>
      </c>
      <c r="D711" s="6" t="s">
        <v>2409</v>
      </c>
      <c r="E711" s="9">
        <v>1</v>
      </c>
      <c r="F711" s="24">
        <v>386.03</v>
      </c>
      <c r="G711" t="s">
        <v>2884</v>
      </c>
      <c r="H711" s="6" t="s">
        <v>3066</v>
      </c>
      <c r="I711" s="6" t="s">
        <v>3074</v>
      </c>
      <c r="J711" s="6" t="s">
        <v>3784</v>
      </c>
      <c r="K711" s="9">
        <v>4</v>
      </c>
      <c r="L711" s="6" t="s">
        <v>4276</v>
      </c>
      <c r="M711" s="6" t="s">
        <v>4282</v>
      </c>
      <c r="N711" s="24">
        <v>386.03</v>
      </c>
      <c r="O711" s="22" t="str">
        <f>IF(Table2[[#This Row],[CouponCode]]="N/A", "Not Used", "Used")</f>
        <v>Used</v>
      </c>
    </row>
    <row r="712" spans="1:15" x14ac:dyDescent="0.3">
      <c r="A712" s="6" t="s">
        <v>724</v>
      </c>
      <c r="B712" s="2">
        <v>45495</v>
      </c>
      <c r="C712" s="6" t="s">
        <v>1922</v>
      </c>
      <c r="D712" s="6" t="s">
        <v>2408</v>
      </c>
      <c r="E712" s="9">
        <v>5</v>
      </c>
      <c r="F712" s="24">
        <v>21.54</v>
      </c>
      <c r="G712" t="s">
        <v>2885</v>
      </c>
      <c r="H712" s="6" t="s">
        <v>3068</v>
      </c>
      <c r="I712" s="6" t="s">
        <v>3072</v>
      </c>
      <c r="J712" s="6" t="s">
        <v>3785</v>
      </c>
      <c r="K712" s="9">
        <v>10</v>
      </c>
      <c r="L712" s="6" t="s">
        <v>4283</v>
      </c>
      <c r="M712" s="6" t="s">
        <v>4282</v>
      </c>
      <c r="N712" s="24">
        <v>107.7</v>
      </c>
      <c r="O712" s="22" t="str">
        <f>IF(Table2[[#This Row],[CouponCode]]="N/A", "Not Used", "Used")</f>
        <v>Not Used</v>
      </c>
    </row>
    <row r="713" spans="1:15" x14ac:dyDescent="0.3">
      <c r="A713" s="6" t="s">
        <v>725</v>
      </c>
      <c r="B713" s="2">
        <v>45477</v>
      </c>
      <c r="C713" s="6" t="s">
        <v>1923</v>
      </c>
      <c r="D713" s="6" t="s">
        <v>2405</v>
      </c>
      <c r="E713" s="9">
        <v>2</v>
      </c>
      <c r="F713" s="24">
        <v>475.78</v>
      </c>
      <c r="G713" t="s">
        <v>2886</v>
      </c>
      <c r="H713" s="6" t="s">
        <v>3066</v>
      </c>
      <c r="I713" s="6" t="s">
        <v>3070</v>
      </c>
      <c r="J713" s="6" t="s">
        <v>3786</v>
      </c>
      <c r="K713" s="9">
        <v>2</v>
      </c>
      <c r="L713" s="6" t="s">
        <v>4277</v>
      </c>
      <c r="M713" s="6" t="s">
        <v>4282</v>
      </c>
      <c r="N713" s="24">
        <v>951.56</v>
      </c>
      <c r="O713" s="22" t="str">
        <f>IF(Table2[[#This Row],[CouponCode]]="N/A", "Not Used", "Used")</f>
        <v>Used</v>
      </c>
    </row>
    <row r="714" spans="1:15" x14ac:dyDescent="0.3">
      <c r="A714" s="6" t="s">
        <v>726</v>
      </c>
      <c r="B714" s="2">
        <v>45300</v>
      </c>
      <c r="C714" s="6" t="s">
        <v>1771</v>
      </c>
      <c r="D714" s="6" t="s">
        <v>2405</v>
      </c>
      <c r="E714" s="9">
        <v>2</v>
      </c>
      <c r="F714" s="24">
        <v>68.400000000000006</v>
      </c>
      <c r="G714" t="s">
        <v>2887</v>
      </c>
      <c r="H714" s="6" t="s">
        <v>3068</v>
      </c>
      <c r="I714" s="6" t="s">
        <v>3074</v>
      </c>
      <c r="J714" s="6" t="s">
        <v>3787</v>
      </c>
      <c r="K714" s="9">
        <v>7</v>
      </c>
      <c r="L714" s="6" t="s">
        <v>4276</v>
      </c>
      <c r="M714" s="6" t="s">
        <v>4280</v>
      </c>
      <c r="N714" s="24">
        <v>136.80000000000001</v>
      </c>
      <c r="O714" s="22" t="str">
        <f>IF(Table2[[#This Row],[CouponCode]]="N/A", "Not Used", "Used")</f>
        <v>Used</v>
      </c>
    </row>
    <row r="715" spans="1:15" x14ac:dyDescent="0.3">
      <c r="A715" s="6" t="s">
        <v>727</v>
      </c>
      <c r="B715" s="2">
        <v>45829</v>
      </c>
      <c r="C715" s="6" t="s">
        <v>1924</v>
      </c>
      <c r="D715" s="6" t="s">
        <v>2405</v>
      </c>
      <c r="E715" s="9">
        <v>4</v>
      </c>
      <c r="F715" s="24">
        <v>532.49</v>
      </c>
      <c r="G715" t="s">
        <v>2873</v>
      </c>
      <c r="H715" s="6" t="s">
        <v>3066</v>
      </c>
      <c r="I715" s="6" t="s">
        <v>3071</v>
      </c>
      <c r="J715" s="6" t="s">
        <v>3788</v>
      </c>
      <c r="K715" s="9">
        <v>6</v>
      </c>
      <c r="L715" s="6" t="s">
        <v>4275</v>
      </c>
      <c r="M715" s="6" t="s">
        <v>4281</v>
      </c>
      <c r="N715" s="24">
        <v>2129.96</v>
      </c>
      <c r="O715" s="22" t="str">
        <f>IF(Table2[[#This Row],[CouponCode]]="N/A", "Not Used", "Used")</f>
        <v>Used</v>
      </c>
    </row>
    <row r="716" spans="1:15" x14ac:dyDescent="0.3">
      <c r="A716" s="6" t="s">
        <v>728</v>
      </c>
      <c r="B716" s="2">
        <v>45037</v>
      </c>
      <c r="C716" s="6" t="s">
        <v>1925</v>
      </c>
      <c r="D716" s="6" t="s">
        <v>2408</v>
      </c>
      <c r="E716" s="9">
        <v>1</v>
      </c>
      <c r="F716" s="24">
        <v>51.73</v>
      </c>
      <c r="G716" t="s">
        <v>2660</v>
      </c>
      <c r="H716" s="6" t="s">
        <v>3065</v>
      </c>
      <c r="I716" s="6" t="s">
        <v>3074</v>
      </c>
      <c r="J716" s="6" t="s">
        <v>3789</v>
      </c>
      <c r="K716" s="9">
        <v>1</v>
      </c>
      <c r="L716" s="6" t="s">
        <v>4276</v>
      </c>
      <c r="M716" s="6" t="s">
        <v>4281</v>
      </c>
      <c r="N716" s="24">
        <v>51.73</v>
      </c>
      <c r="O716" s="22" t="str">
        <f>IF(Table2[[#This Row],[CouponCode]]="N/A", "Not Used", "Used")</f>
        <v>Used</v>
      </c>
    </row>
    <row r="717" spans="1:15" x14ac:dyDescent="0.3">
      <c r="A717" s="6" t="s">
        <v>729</v>
      </c>
      <c r="B717" s="2">
        <v>45499</v>
      </c>
      <c r="C717" s="6" t="s">
        <v>1926</v>
      </c>
      <c r="D717" s="6" t="s">
        <v>2407</v>
      </c>
      <c r="E717" s="9">
        <v>3</v>
      </c>
      <c r="F717" s="24">
        <v>653.63</v>
      </c>
      <c r="G717" t="s">
        <v>2888</v>
      </c>
      <c r="H717" s="6" t="s">
        <v>3066</v>
      </c>
      <c r="I717" s="6" t="s">
        <v>3073</v>
      </c>
      <c r="J717" s="6" t="s">
        <v>3790</v>
      </c>
      <c r="K717" s="9">
        <v>7</v>
      </c>
      <c r="L717" s="6" t="s">
        <v>4276</v>
      </c>
      <c r="M717" s="6" t="s">
        <v>4280</v>
      </c>
      <c r="N717" s="24">
        <v>1960.89</v>
      </c>
      <c r="O717" s="22" t="str">
        <f>IF(Table2[[#This Row],[CouponCode]]="N/A", "Not Used", "Used")</f>
        <v>Used</v>
      </c>
    </row>
    <row r="718" spans="1:15" x14ac:dyDescent="0.3">
      <c r="A718" s="6" t="s">
        <v>730</v>
      </c>
      <c r="B718" s="2">
        <v>45456</v>
      </c>
      <c r="C718" s="6" t="s">
        <v>1927</v>
      </c>
      <c r="D718" s="6" t="s">
        <v>2406</v>
      </c>
      <c r="E718" s="9">
        <v>3</v>
      </c>
      <c r="F718" s="24">
        <v>454.29</v>
      </c>
      <c r="G718" t="s">
        <v>2428</v>
      </c>
      <c r="H718" s="6" t="s">
        <v>3067</v>
      </c>
      <c r="I718" s="6" t="s">
        <v>3074</v>
      </c>
      <c r="J718" s="6" t="s">
        <v>3791</v>
      </c>
      <c r="K718" s="9">
        <v>4</v>
      </c>
      <c r="L718" s="6" t="s">
        <v>4277</v>
      </c>
      <c r="M718" s="6" t="s">
        <v>4282</v>
      </c>
      <c r="N718" s="24">
        <v>1362.87</v>
      </c>
      <c r="O718" s="22" t="str">
        <f>IF(Table2[[#This Row],[CouponCode]]="N/A", "Not Used", "Used")</f>
        <v>Used</v>
      </c>
    </row>
    <row r="719" spans="1:15" x14ac:dyDescent="0.3">
      <c r="A719" s="6" t="s">
        <v>731</v>
      </c>
      <c r="B719" s="2">
        <v>45215</v>
      </c>
      <c r="C719" s="6" t="s">
        <v>1928</v>
      </c>
      <c r="D719" s="6" t="s">
        <v>2406</v>
      </c>
      <c r="E719" s="9">
        <v>3</v>
      </c>
      <c r="F719" s="24">
        <v>122.11</v>
      </c>
      <c r="G719" t="s">
        <v>2889</v>
      </c>
      <c r="H719" s="6" t="s">
        <v>3066</v>
      </c>
      <c r="I719" s="6" t="s">
        <v>3073</v>
      </c>
      <c r="J719" s="6" t="s">
        <v>3792</v>
      </c>
      <c r="K719" s="9">
        <v>4</v>
      </c>
      <c r="L719" s="6" t="s">
        <v>4277</v>
      </c>
      <c r="M719" s="6" t="s">
        <v>4280</v>
      </c>
      <c r="N719" s="24">
        <v>366.33</v>
      </c>
      <c r="O719" s="22" t="str">
        <f>IF(Table2[[#This Row],[CouponCode]]="N/A", "Not Used", "Used")</f>
        <v>Used</v>
      </c>
    </row>
    <row r="720" spans="1:15" x14ac:dyDescent="0.3">
      <c r="A720" s="6" t="s">
        <v>732</v>
      </c>
      <c r="B720" s="2">
        <v>45024</v>
      </c>
      <c r="C720" s="6" t="s">
        <v>1929</v>
      </c>
      <c r="D720" s="6" t="s">
        <v>2408</v>
      </c>
      <c r="E720" s="9">
        <v>4</v>
      </c>
      <c r="F720" s="24">
        <v>64.739999999999995</v>
      </c>
      <c r="G720" t="s">
        <v>2890</v>
      </c>
      <c r="H720" s="6" t="s">
        <v>3068</v>
      </c>
      <c r="I720" s="6" t="s">
        <v>3071</v>
      </c>
      <c r="J720" s="6" t="s">
        <v>3793</v>
      </c>
      <c r="K720" s="9">
        <v>8</v>
      </c>
      <c r="L720" s="6" t="s">
        <v>4275</v>
      </c>
      <c r="M720" s="6" t="s">
        <v>4282</v>
      </c>
      <c r="N720" s="24">
        <v>258.95999999999998</v>
      </c>
      <c r="O720" s="22" t="str">
        <f>IF(Table2[[#This Row],[CouponCode]]="N/A", "Not Used", "Used")</f>
        <v>Used</v>
      </c>
    </row>
    <row r="721" spans="1:15" x14ac:dyDescent="0.3">
      <c r="A721" s="6" t="s">
        <v>733</v>
      </c>
      <c r="B721" s="2">
        <v>45312</v>
      </c>
      <c r="C721" s="6" t="s">
        <v>1930</v>
      </c>
      <c r="D721" s="6" t="s">
        <v>2408</v>
      </c>
      <c r="E721" s="9">
        <v>2</v>
      </c>
      <c r="F721" s="24">
        <v>681.06</v>
      </c>
      <c r="G721" t="s">
        <v>2891</v>
      </c>
      <c r="H721" s="6" t="s">
        <v>3065</v>
      </c>
      <c r="I721" s="6" t="s">
        <v>3070</v>
      </c>
      <c r="J721" s="6" t="s">
        <v>3794</v>
      </c>
      <c r="K721" s="9">
        <v>3</v>
      </c>
      <c r="L721" s="6" t="s">
        <v>4276</v>
      </c>
      <c r="M721" s="6" t="s">
        <v>4281</v>
      </c>
      <c r="N721" s="24">
        <v>1362.12</v>
      </c>
      <c r="O721" s="22" t="str">
        <f>IF(Table2[[#This Row],[CouponCode]]="N/A", "Not Used", "Used")</f>
        <v>Used</v>
      </c>
    </row>
    <row r="722" spans="1:15" x14ac:dyDescent="0.3">
      <c r="A722" s="6" t="s">
        <v>734</v>
      </c>
      <c r="B722" s="2">
        <v>45190</v>
      </c>
      <c r="C722" s="6" t="s">
        <v>1931</v>
      </c>
      <c r="D722" s="6" t="s">
        <v>2409</v>
      </c>
      <c r="E722" s="9">
        <v>5</v>
      </c>
      <c r="F722" s="24">
        <v>128.94999999999999</v>
      </c>
      <c r="G722" t="s">
        <v>2892</v>
      </c>
      <c r="H722" s="6" t="s">
        <v>3069</v>
      </c>
      <c r="I722" s="6" t="s">
        <v>3074</v>
      </c>
      <c r="J722" s="6" t="s">
        <v>3795</v>
      </c>
      <c r="K722" s="9">
        <v>10</v>
      </c>
      <c r="L722" s="6" t="s">
        <v>4276</v>
      </c>
      <c r="M722" s="6" t="s">
        <v>4278</v>
      </c>
      <c r="N722" s="24">
        <v>644.75</v>
      </c>
      <c r="O722" s="22" t="str">
        <f>IF(Table2[[#This Row],[CouponCode]]="N/A", "Not Used", "Used")</f>
        <v>Used</v>
      </c>
    </row>
    <row r="723" spans="1:15" x14ac:dyDescent="0.3">
      <c r="A723" s="6" t="s">
        <v>735</v>
      </c>
      <c r="B723" s="2">
        <v>45369</v>
      </c>
      <c r="C723" s="6" t="s">
        <v>1932</v>
      </c>
      <c r="D723" s="6" t="s">
        <v>2409</v>
      </c>
      <c r="E723" s="9">
        <v>2</v>
      </c>
      <c r="F723" s="24">
        <v>118.59</v>
      </c>
      <c r="G723" t="s">
        <v>2893</v>
      </c>
      <c r="H723" s="6" t="s">
        <v>3067</v>
      </c>
      <c r="I723" s="6" t="s">
        <v>3073</v>
      </c>
      <c r="J723" s="6" t="s">
        <v>3796</v>
      </c>
      <c r="K723" s="9">
        <v>2</v>
      </c>
      <c r="L723" s="6" t="s">
        <v>4283</v>
      </c>
      <c r="M723" s="6" t="s">
        <v>4280</v>
      </c>
      <c r="N723" s="24">
        <v>237.18</v>
      </c>
      <c r="O723" s="22" t="str">
        <f>IF(Table2[[#This Row],[CouponCode]]="N/A", "Not Used", "Used")</f>
        <v>Not Used</v>
      </c>
    </row>
    <row r="724" spans="1:15" x14ac:dyDescent="0.3">
      <c r="A724" s="6" t="s">
        <v>736</v>
      </c>
      <c r="B724" s="2">
        <v>45611</v>
      </c>
      <c r="C724" s="6" t="s">
        <v>1933</v>
      </c>
      <c r="D724" s="6" t="s">
        <v>2407</v>
      </c>
      <c r="E724" s="9">
        <v>1</v>
      </c>
      <c r="F724" s="24">
        <v>95.1</v>
      </c>
      <c r="G724" t="s">
        <v>2654</v>
      </c>
      <c r="H724" s="6" t="s">
        <v>3068</v>
      </c>
      <c r="I724" s="6" t="s">
        <v>3074</v>
      </c>
      <c r="J724" s="6" t="s">
        <v>3797</v>
      </c>
      <c r="K724" s="9">
        <v>1</v>
      </c>
      <c r="L724" s="6" t="s">
        <v>4277</v>
      </c>
      <c r="M724" s="6" t="s">
        <v>4278</v>
      </c>
      <c r="N724" s="24">
        <v>95.1</v>
      </c>
      <c r="O724" s="22" t="str">
        <f>IF(Table2[[#This Row],[CouponCode]]="N/A", "Not Used", "Used")</f>
        <v>Used</v>
      </c>
    </row>
    <row r="725" spans="1:15" x14ac:dyDescent="0.3">
      <c r="A725" s="6" t="s">
        <v>737</v>
      </c>
      <c r="B725" s="2">
        <v>45269</v>
      </c>
      <c r="C725" s="6" t="s">
        <v>1934</v>
      </c>
      <c r="D725" s="6" t="s">
        <v>2409</v>
      </c>
      <c r="E725" s="9">
        <v>3</v>
      </c>
      <c r="F725" s="24">
        <v>54.95</v>
      </c>
      <c r="G725" t="s">
        <v>2471</v>
      </c>
      <c r="H725" s="6" t="s">
        <v>3069</v>
      </c>
      <c r="I725" s="6" t="s">
        <v>3072</v>
      </c>
      <c r="J725" s="6" t="s">
        <v>3798</v>
      </c>
      <c r="K725" s="9">
        <v>8</v>
      </c>
      <c r="L725" s="6" t="s">
        <v>4275</v>
      </c>
      <c r="M725" s="6" t="s">
        <v>4279</v>
      </c>
      <c r="N725" s="24">
        <v>164.85</v>
      </c>
      <c r="O725" s="22" t="str">
        <f>IF(Table2[[#This Row],[CouponCode]]="N/A", "Not Used", "Used")</f>
        <v>Used</v>
      </c>
    </row>
    <row r="726" spans="1:15" x14ac:dyDescent="0.3">
      <c r="A726" s="6" t="s">
        <v>738</v>
      </c>
      <c r="B726" s="2">
        <v>45583</v>
      </c>
      <c r="C726" s="6" t="s">
        <v>1935</v>
      </c>
      <c r="D726" s="6" t="s">
        <v>2407</v>
      </c>
      <c r="E726" s="9">
        <v>3</v>
      </c>
      <c r="F726" s="24">
        <v>136.97</v>
      </c>
      <c r="G726" t="s">
        <v>2667</v>
      </c>
      <c r="H726" s="6" t="s">
        <v>3067</v>
      </c>
      <c r="I726" s="6" t="s">
        <v>3072</v>
      </c>
      <c r="J726" s="6" t="s">
        <v>3799</v>
      </c>
      <c r="K726" s="9">
        <v>4</v>
      </c>
      <c r="L726" s="6" t="s">
        <v>4276</v>
      </c>
      <c r="M726" s="6" t="s">
        <v>4279</v>
      </c>
      <c r="N726" s="24">
        <v>410.91</v>
      </c>
      <c r="O726" s="22" t="str">
        <f>IF(Table2[[#This Row],[CouponCode]]="N/A", "Not Used", "Used")</f>
        <v>Used</v>
      </c>
    </row>
    <row r="727" spans="1:15" x14ac:dyDescent="0.3">
      <c r="A727" s="6" t="s">
        <v>739</v>
      </c>
      <c r="B727" s="2">
        <v>44997</v>
      </c>
      <c r="C727" s="6" t="s">
        <v>1936</v>
      </c>
      <c r="D727" s="6" t="s">
        <v>2406</v>
      </c>
      <c r="E727" s="9">
        <v>2</v>
      </c>
      <c r="F727" s="24">
        <v>194.85</v>
      </c>
      <c r="G727" t="s">
        <v>2787</v>
      </c>
      <c r="H727" s="6" t="s">
        <v>3068</v>
      </c>
      <c r="I727" s="6" t="s">
        <v>3072</v>
      </c>
      <c r="J727" s="6" t="s">
        <v>3800</v>
      </c>
      <c r="K727" s="9">
        <v>5</v>
      </c>
      <c r="L727" s="6" t="s">
        <v>4283</v>
      </c>
      <c r="M727" s="6" t="s">
        <v>4279</v>
      </c>
      <c r="N727" s="24">
        <v>389.7</v>
      </c>
      <c r="O727" s="22" t="str">
        <f>IF(Table2[[#This Row],[CouponCode]]="N/A", "Not Used", "Used")</f>
        <v>Not Used</v>
      </c>
    </row>
    <row r="728" spans="1:15" x14ac:dyDescent="0.3">
      <c r="A728" s="6" t="s">
        <v>740</v>
      </c>
      <c r="B728" s="2">
        <v>45590</v>
      </c>
      <c r="C728" s="6" t="s">
        <v>1937</v>
      </c>
      <c r="D728" s="6" t="s">
        <v>2408</v>
      </c>
      <c r="E728" s="9">
        <v>4</v>
      </c>
      <c r="F728" s="24">
        <v>583.02</v>
      </c>
      <c r="G728" t="s">
        <v>2894</v>
      </c>
      <c r="H728" s="6" t="s">
        <v>3066</v>
      </c>
      <c r="I728" s="6" t="s">
        <v>3073</v>
      </c>
      <c r="J728" s="6" t="s">
        <v>3801</v>
      </c>
      <c r="K728" s="9">
        <v>4</v>
      </c>
      <c r="L728" s="6" t="s">
        <v>4276</v>
      </c>
      <c r="M728" s="6" t="s">
        <v>4281</v>
      </c>
      <c r="N728" s="24">
        <v>2332.08</v>
      </c>
      <c r="O728" s="22" t="str">
        <f>IF(Table2[[#This Row],[CouponCode]]="N/A", "Not Used", "Used")</f>
        <v>Used</v>
      </c>
    </row>
    <row r="729" spans="1:15" x14ac:dyDescent="0.3">
      <c r="A729" s="6" t="s">
        <v>741</v>
      </c>
      <c r="B729" s="2">
        <v>45564</v>
      </c>
      <c r="C729" s="6" t="s">
        <v>1938</v>
      </c>
      <c r="D729" s="6" t="s">
        <v>2406</v>
      </c>
      <c r="E729" s="9">
        <v>5</v>
      </c>
      <c r="F729" s="24">
        <v>95.75</v>
      </c>
      <c r="G729" t="s">
        <v>2748</v>
      </c>
      <c r="H729" s="6" t="s">
        <v>3066</v>
      </c>
      <c r="I729" s="6" t="s">
        <v>3070</v>
      </c>
      <c r="J729" s="6" t="s">
        <v>3802</v>
      </c>
      <c r="K729" s="9">
        <v>8</v>
      </c>
      <c r="L729" s="6" t="s">
        <v>4275</v>
      </c>
      <c r="M729" s="6" t="s">
        <v>4278</v>
      </c>
      <c r="N729" s="24">
        <v>478.75</v>
      </c>
      <c r="O729" s="22" t="str">
        <f>IF(Table2[[#This Row],[CouponCode]]="N/A", "Not Used", "Used")</f>
        <v>Used</v>
      </c>
    </row>
    <row r="730" spans="1:15" x14ac:dyDescent="0.3">
      <c r="A730" s="6" t="s">
        <v>742</v>
      </c>
      <c r="B730" s="2">
        <v>45502</v>
      </c>
      <c r="C730" s="6" t="s">
        <v>1939</v>
      </c>
      <c r="D730" s="6" t="s">
        <v>2409</v>
      </c>
      <c r="E730" s="9">
        <v>4</v>
      </c>
      <c r="F730" s="24">
        <v>325.76</v>
      </c>
      <c r="G730" t="s">
        <v>2895</v>
      </c>
      <c r="H730" s="6" t="s">
        <v>3068</v>
      </c>
      <c r="I730" s="6" t="s">
        <v>3070</v>
      </c>
      <c r="J730" s="6" t="s">
        <v>3803</v>
      </c>
      <c r="K730" s="9">
        <v>8</v>
      </c>
      <c r="L730" s="6" t="s">
        <v>4277</v>
      </c>
      <c r="M730" s="6" t="s">
        <v>4280</v>
      </c>
      <c r="N730" s="24">
        <v>1303.04</v>
      </c>
      <c r="O730" s="22" t="str">
        <f>IF(Table2[[#This Row],[CouponCode]]="N/A", "Not Used", "Used")</f>
        <v>Used</v>
      </c>
    </row>
    <row r="731" spans="1:15" x14ac:dyDescent="0.3">
      <c r="A731" s="6" t="s">
        <v>743</v>
      </c>
      <c r="B731" s="2">
        <v>45177</v>
      </c>
      <c r="C731" s="6" t="s">
        <v>1940</v>
      </c>
      <c r="D731" s="6" t="s">
        <v>2404</v>
      </c>
      <c r="E731" s="9">
        <v>4</v>
      </c>
      <c r="F731" s="24">
        <v>186.41</v>
      </c>
      <c r="G731" t="s">
        <v>2555</v>
      </c>
      <c r="H731" s="6" t="s">
        <v>3068</v>
      </c>
      <c r="I731" s="6" t="s">
        <v>3074</v>
      </c>
      <c r="J731" s="6" t="s">
        <v>3804</v>
      </c>
      <c r="K731" s="9">
        <v>6</v>
      </c>
      <c r="L731" s="6" t="s">
        <v>4275</v>
      </c>
      <c r="M731" s="6" t="s">
        <v>4282</v>
      </c>
      <c r="N731" s="24">
        <v>745.64</v>
      </c>
      <c r="O731" s="22" t="str">
        <f>IF(Table2[[#This Row],[CouponCode]]="N/A", "Not Used", "Used")</f>
        <v>Used</v>
      </c>
    </row>
    <row r="732" spans="1:15" x14ac:dyDescent="0.3">
      <c r="A732" s="6" t="s">
        <v>744</v>
      </c>
      <c r="B732" s="2">
        <v>45710</v>
      </c>
      <c r="C732" s="6" t="s">
        <v>1941</v>
      </c>
      <c r="D732" s="6" t="s">
        <v>2404</v>
      </c>
      <c r="E732" s="9">
        <v>1</v>
      </c>
      <c r="F732" s="24">
        <v>474.6</v>
      </c>
      <c r="G732" t="s">
        <v>2618</v>
      </c>
      <c r="H732" s="6" t="s">
        <v>3065</v>
      </c>
      <c r="I732" s="6" t="s">
        <v>3073</v>
      </c>
      <c r="J732" s="6" t="s">
        <v>3805</v>
      </c>
      <c r="K732" s="9">
        <v>4</v>
      </c>
      <c r="L732" s="6" t="s">
        <v>4275</v>
      </c>
      <c r="M732" s="6" t="s">
        <v>4280</v>
      </c>
      <c r="N732" s="24">
        <v>474.6</v>
      </c>
      <c r="O732" s="22" t="str">
        <f>IF(Table2[[#This Row],[CouponCode]]="N/A", "Not Used", "Used")</f>
        <v>Used</v>
      </c>
    </row>
    <row r="733" spans="1:15" x14ac:dyDescent="0.3">
      <c r="A733" s="6" t="s">
        <v>745</v>
      </c>
      <c r="B733" s="2">
        <v>45450</v>
      </c>
      <c r="C733" s="6" t="s">
        <v>1942</v>
      </c>
      <c r="D733" s="6" t="s">
        <v>2407</v>
      </c>
      <c r="E733" s="9">
        <v>5</v>
      </c>
      <c r="F733" s="24">
        <v>584.46</v>
      </c>
      <c r="G733" t="s">
        <v>2896</v>
      </c>
      <c r="H733" s="6" t="s">
        <v>3067</v>
      </c>
      <c r="I733" s="6" t="s">
        <v>3072</v>
      </c>
      <c r="J733" s="6" t="s">
        <v>3806</v>
      </c>
      <c r="K733" s="9">
        <v>8</v>
      </c>
      <c r="L733" s="6" t="s">
        <v>4283</v>
      </c>
      <c r="M733" s="6" t="s">
        <v>4280</v>
      </c>
      <c r="N733" s="24">
        <v>2922.3</v>
      </c>
      <c r="O733" s="22" t="str">
        <f>IF(Table2[[#This Row],[CouponCode]]="N/A", "Not Used", "Used")</f>
        <v>Not Used</v>
      </c>
    </row>
    <row r="734" spans="1:15" x14ac:dyDescent="0.3">
      <c r="A734" s="6" t="s">
        <v>746</v>
      </c>
      <c r="B734" s="2">
        <v>45723</v>
      </c>
      <c r="C734" s="6" t="s">
        <v>1943</v>
      </c>
      <c r="D734" s="6" t="s">
        <v>2408</v>
      </c>
      <c r="E734" s="9">
        <v>1</v>
      </c>
      <c r="F734" s="24">
        <v>132.05000000000001</v>
      </c>
      <c r="G734" t="s">
        <v>2876</v>
      </c>
      <c r="H734" s="6" t="s">
        <v>3066</v>
      </c>
      <c r="I734" s="6" t="s">
        <v>3073</v>
      </c>
      <c r="J734" s="6" t="s">
        <v>3807</v>
      </c>
      <c r="K734" s="9">
        <v>2</v>
      </c>
      <c r="L734" s="6" t="s">
        <v>4283</v>
      </c>
      <c r="M734" s="6" t="s">
        <v>4282</v>
      </c>
      <c r="N734" s="24">
        <v>132.05000000000001</v>
      </c>
      <c r="O734" s="22" t="str">
        <f>IF(Table2[[#This Row],[CouponCode]]="N/A", "Not Used", "Used")</f>
        <v>Not Used</v>
      </c>
    </row>
    <row r="735" spans="1:15" x14ac:dyDescent="0.3">
      <c r="A735" s="6" t="s">
        <v>747</v>
      </c>
      <c r="B735" s="2">
        <v>45264</v>
      </c>
      <c r="C735" s="6" t="s">
        <v>1944</v>
      </c>
      <c r="D735" s="6" t="s">
        <v>2405</v>
      </c>
      <c r="E735" s="9">
        <v>4</v>
      </c>
      <c r="F735" s="24">
        <v>494.84</v>
      </c>
      <c r="G735" t="s">
        <v>2869</v>
      </c>
      <c r="H735" s="6" t="s">
        <v>3069</v>
      </c>
      <c r="I735" s="6" t="s">
        <v>3072</v>
      </c>
      <c r="J735" s="6" t="s">
        <v>3808</v>
      </c>
      <c r="K735" s="9">
        <v>8</v>
      </c>
      <c r="L735" s="6" t="s">
        <v>4275</v>
      </c>
      <c r="M735" s="6" t="s">
        <v>4280</v>
      </c>
      <c r="N735" s="24">
        <v>1979.36</v>
      </c>
      <c r="O735" s="22" t="str">
        <f>IF(Table2[[#This Row],[CouponCode]]="N/A", "Not Used", "Used")</f>
        <v>Used</v>
      </c>
    </row>
    <row r="736" spans="1:15" x14ac:dyDescent="0.3">
      <c r="A736" s="6" t="s">
        <v>748</v>
      </c>
      <c r="B736" s="2">
        <v>45314</v>
      </c>
      <c r="C736" s="6" t="s">
        <v>1945</v>
      </c>
      <c r="D736" s="6" t="s">
        <v>2407</v>
      </c>
      <c r="E736" s="9">
        <v>4</v>
      </c>
      <c r="F736" s="24">
        <v>224.61</v>
      </c>
      <c r="G736" t="s">
        <v>2655</v>
      </c>
      <c r="H736" s="6" t="s">
        <v>3067</v>
      </c>
      <c r="I736" s="6" t="s">
        <v>3072</v>
      </c>
      <c r="J736" s="6" t="s">
        <v>3809</v>
      </c>
      <c r="K736" s="9">
        <v>6</v>
      </c>
      <c r="L736" s="6" t="s">
        <v>4277</v>
      </c>
      <c r="M736" s="6" t="s">
        <v>4281</v>
      </c>
      <c r="N736" s="24">
        <v>898.44</v>
      </c>
      <c r="O736" s="22" t="str">
        <f>IF(Table2[[#This Row],[CouponCode]]="N/A", "Not Used", "Used")</f>
        <v>Used</v>
      </c>
    </row>
    <row r="737" spans="1:15" x14ac:dyDescent="0.3">
      <c r="A737" s="6" t="s">
        <v>749</v>
      </c>
      <c r="B737" s="2">
        <v>45471</v>
      </c>
      <c r="C737" s="6" t="s">
        <v>1946</v>
      </c>
      <c r="D737" s="6" t="s">
        <v>2403</v>
      </c>
      <c r="E737" s="9">
        <v>4</v>
      </c>
      <c r="F737" s="24">
        <v>44.07</v>
      </c>
      <c r="G737" t="s">
        <v>2729</v>
      </c>
      <c r="H737" s="6" t="s">
        <v>3065</v>
      </c>
      <c r="I737" s="6" t="s">
        <v>3074</v>
      </c>
      <c r="J737" s="6" t="s">
        <v>3810</v>
      </c>
      <c r="K737" s="9">
        <v>6</v>
      </c>
      <c r="L737" s="6" t="s">
        <v>4283</v>
      </c>
      <c r="M737" s="6" t="s">
        <v>4280</v>
      </c>
      <c r="N737" s="24">
        <v>176.28</v>
      </c>
      <c r="O737" s="22" t="str">
        <f>IF(Table2[[#This Row],[CouponCode]]="N/A", "Not Used", "Used")</f>
        <v>Not Used</v>
      </c>
    </row>
    <row r="738" spans="1:15" x14ac:dyDescent="0.3">
      <c r="A738" s="6" t="s">
        <v>750</v>
      </c>
      <c r="B738" s="2">
        <v>45331</v>
      </c>
      <c r="C738" s="6" t="s">
        <v>1947</v>
      </c>
      <c r="D738" s="6" t="s">
        <v>2403</v>
      </c>
      <c r="E738" s="9">
        <v>5</v>
      </c>
      <c r="F738" s="24">
        <v>418.53</v>
      </c>
      <c r="G738" t="s">
        <v>2796</v>
      </c>
      <c r="H738" s="6" t="s">
        <v>3067</v>
      </c>
      <c r="I738" s="6" t="s">
        <v>3074</v>
      </c>
      <c r="J738" s="6" t="s">
        <v>3811</v>
      </c>
      <c r="K738" s="9">
        <v>6</v>
      </c>
      <c r="L738" s="6" t="s">
        <v>4276</v>
      </c>
      <c r="M738" s="6" t="s">
        <v>4282</v>
      </c>
      <c r="N738" s="24">
        <v>2092.65</v>
      </c>
      <c r="O738" s="22" t="str">
        <f>IF(Table2[[#This Row],[CouponCode]]="N/A", "Not Used", "Used")</f>
        <v>Used</v>
      </c>
    </row>
    <row r="739" spans="1:15" x14ac:dyDescent="0.3">
      <c r="A739" s="6" t="s">
        <v>751</v>
      </c>
      <c r="B739" s="2">
        <v>45294</v>
      </c>
      <c r="C739" s="6" t="s">
        <v>1948</v>
      </c>
      <c r="D739" s="6" t="s">
        <v>2404</v>
      </c>
      <c r="E739" s="9">
        <v>4</v>
      </c>
      <c r="F739" s="24">
        <v>532.87</v>
      </c>
      <c r="G739" t="s">
        <v>2897</v>
      </c>
      <c r="H739" s="6" t="s">
        <v>3069</v>
      </c>
      <c r="I739" s="6" t="s">
        <v>3074</v>
      </c>
      <c r="J739" s="6" t="s">
        <v>3812</v>
      </c>
      <c r="K739" s="9">
        <v>9</v>
      </c>
      <c r="L739" s="6" t="s">
        <v>4276</v>
      </c>
      <c r="M739" s="6" t="s">
        <v>4278</v>
      </c>
      <c r="N739" s="24">
        <v>2131.48</v>
      </c>
      <c r="O739" s="22" t="str">
        <f>IF(Table2[[#This Row],[CouponCode]]="N/A", "Not Used", "Used")</f>
        <v>Used</v>
      </c>
    </row>
    <row r="740" spans="1:15" x14ac:dyDescent="0.3">
      <c r="A740" s="6" t="s">
        <v>752</v>
      </c>
      <c r="B740" s="2">
        <v>45812</v>
      </c>
      <c r="C740" s="6" t="s">
        <v>1949</v>
      </c>
      <c r="D740" s="6" t="s">
        <v>2404</v>
      </c>
      <c r="E740" s="9">
        <v>2</v>
      </c>
      <c r="F740" s="24">
        <v>485.37</v>
      </c>
      <c r="G740" t="s">
        <v>2898</v>
      </c>
      <c r="H740" s="6" t="s">
        <v>3067</v>
      </c>
      <c r="I740" s="6" t="s">
        <v>3070</v>
      </c>
      <c r="J740" s="6" t="s">
        <v>3813</v>
      </c>
      <c r="K740" s="9">
        <v>5</v>
      </c>
      <c r="L740" s="6" t="s">
        <v>4275</v>
      </c>
      <c r="M740" s="6" t="s">
        <v>4280</v>
      </c>
      <c r="N740" s="24">
        <v>970.74</v>
      </c>
      <c r="O740" s="22" t="str">
        <f>IF(Table2[[#This Row],[CouponCode]]="N/A", "Not Used", "Used")</f>
        <v>Used</v>
      </c>
    </row>
    <row r="741" spans="1:15" x14ac:dyDescent="0.3">
      <c r="A741" s="6" t="s">
        <v>753</v>
      </c>
      <c r="B741" s="2">
        <v>45456</v>
      </c>
      <c r="C741" s="6" t="s">
        <v>1950</v>
      </c>
      <c r="D741" s="6" t="s">
        <v>2404</v>
      </c>
      <c r="E741" s="9">
        <v>4</v>
      </c>
      <c r="F741" s="24">
        <v>386.73</v>
      </c>
      <c r="G741" t="s">
        <v>2532</v>
      </c>
      <c r="H741" s="6" t="s">
        <v>3069</v>
      </c>
      <c r="I741" s="6" t="s">
        <v>3073</v>
      </c>
      <c r="J741" s="6" t="s">
        <v>3814</v>
      </c>
      <c r="K741" s="9">
        <v>4</v>
      </c>
      <c r="L741" s="6" t="s">
        <v>4275</v>
      </c>
      <c r="M741" s="6" t="s">
        <v>4281</v>
      </c>
      <c r="N741" s="24">
        <v>1546.92</v>
      </c>
      <c r="O741" s="22" t="str">
        <f>IF(Table2[[#This Row],[CouponCode]]="N/A", "Not Used", "Used")</f>
        <v>Used</v>
      </c>
    </row>
    <row r="742" spans="1:15" x14ac:dyDescent="0.3">
      <c r="A742" s="6" t="s">
        <v>754</v>
      </c>
      <c r="B742" s="2">
        <v>45493</v>
      </c>
      <c r="C742" s="6" t="s">
        <v>1951</v>
      </c>
      <c r="D742" s="6" t="s">
        <v>2409</v>
      </c>
      <c r="E742" s="9">
        <v>2</v>
      </c>
      <c r="F742" s="24">
        <v>377.47</v>
      </c>
      <c r="G742" t="s">
        <v>2749</v>
      </c>
      <c r="H742" s="6" t="s">
        <v>3069</v>
      </c>
      <c r="I742" s="6" t="s">
        <v>3074</v>
      </c>
      <c r="J742" s="6" t="s">
        <v>3815</v>
      </c>
      <c r="K742" s="9">
        <v>7</v>
      </c>
      <c r="L742" s="6" t="s">
        <v>4283</v>
      </c>
      <c r="M742" s="6" t="s">
        <v>4282</v>
      </c>
      <c r="N742" s="24">
        <v>754.94</v>
      </c>
      <c r="O742" s="22" t="str">
        <f>IF(Table2[[#This Row],[CouponCode]]="N/A", "Not Used", "Used")</f>
        <v>Not Used</v>
      </c>
    </row>
    <row r="743" spans="1:15" x14ac:dyDescent="0.3">
      <c r="A743" s="6" t="s">
        <v>755</v>
      </c>
      <c r="B743" s="2">
        <v>45680</v>
      </c>
      <c r="C743" s="6" t="s">
        <v>1952</v>
      </c>
      <c r="D743" s="6" t="s">
        <v>2403</v>
      </c>
      <c r="E743" s="9">
        <v>5</v>
      </c>
      <c r="F743" s="24">
        <v>332.64</v>
      </c>
      <c r="G743" t="s">
        <v>2899</v>
      </c>
      <c r="H743" s="6" t="s">
        <v>3068</v>
      </c>
      <c r="I743" s="6" t="s">
        <v>3073</v>
      </c>
      <c r="J743" s="6" t="s">
        <v>3816</v>
      </c>
      <c r="K743" s="9">
        <v>10</v>
      </c>
      <c r="L743" s="6" t="s">
        <v>4283</v>
      </c>
      <c r="M743" s="6" t="s">
        <v>4279</v>
      </c>
      <c r="N743" s="24">
        <v>1663.2</v>
      </c>
      <c r="O743" s="22" t="str">
        <f>IF(Table2[[#This Row],[CouponCode]]="N/A", "Not Used", "Used")</f>
        <v>Not Used</v>
      </c>
    </row>
    <row r="744" spans="1:15" x14ac:dyDescent="0.3">
      <c r="A744" s="6" t="s">
        <v>756</v>
      </c>
      <c r="B744" s="2">
        <v>45626</v>
      </c>
      <c r="C744" s="6" t="s">
        <v>1953</v>
      </c>
      <c r="D744" s="6" t="s">
        <v>2408</v>
      </c>
      <c r="E744" s="9">
        <v>3</v>
      </c>
      <c r="F744" s="24">
        <v>699.93</v>
      </c>
      <c r="G744" t="s">
        <v>2664</v>
      </c>
      <c r="H744" s="6" t="s">
        <v>3069</v>
      </c>
      <c r="I744" s="6" t="s">
        <v>3072</v>
      </c>
      <c r="J744" s="6" t="s">
        <v>3817</v>
      </c>
      <c r="K744" s="9">
        <v>7</v>
      </c>
      <c r="L744" s="6" t="s">
        <v>4275</v>
      </c>
      <c r="M744" s="6" t="s">
        <v>4282</v>
      </c>
      <c r="N744" s="24">
        <v>2099.79</v>
      </c>
      <c r="O744" s="22" t="str">
        <f>IF(Table2[[#This Row],[CouponCode]]="N/A", "Not Used", "Used")</f>
        <v>Used</v>
      </c>
    </row>
    <row r="745" spans="1:15" x14ac:dyDescent="0.3">
      <c r="A745" s="6" t="s">
        <v>757</v>
      </c>
      <c r="B745" s="2">
        <v>45565</v>
      </c>
      <c r="C745" s="6" t="s">
        <v>1954</v>
      </c>
      <c r="D745" s="6" t="s">
        <v>2403</v>
      </c>
      <c r="E745" s="9">
        <v>1</v>
      </c>
      <c r="F745" s="24">
        <v>576.35</v>
      </c>
      <c r="G745" t="s">
        <v>2448</v>
      </c>
      <c r="H745" s="6" t="s">
        <v>3068</v>
      </c>
      <c r="I745" s="6" t="s">
        <v>3072</v>
      </c>
      <c r="J745" s="6" t="s">
        <v>3818</v>
      </c>
      <c r="K745" s="9">
        <v>1</v>
      </c>
      <c r="L745" s="6" t="s">
        <v>4277</v>
      </c>
      <c r="M745" s="6" t="s">
        <v>4278</v>
      </c>
      <c r="N745" s="24">
        <v>576.35</v>
      </c>
      <c r="O745" s="22" t="str">
        <f>IF(Table2[[#This Row],[CouponCode]]="N/A", "Not Used", "Used")</f>
        <v>Used</v>
      </c>
    </row>
    <row r="746" spans="1:15" x14ac:dyDescent="0.3">
      <c r="A746" s="6" t="s">
        <v>758</v>
      </c>
      <c r="B746" s="2">
        <v>45455</v>
      </c>
      <c r="C746" s="6" t="s">
        <v>1955</v>
      </c>
      <c r="D746" s="6" t="s">
        <v>2405</v>
      </c>
      <c r="E746" s="9">
        <v>2</v>
      </c>
      <c r="F746" s="24">
        <v>461.37</v>
      </c>
      <c r="G746" t="s">
        <v>2900</v>
      </c>
      <c r="H746" s="6" t="s">
        <v>3069</v>
      </c>
      <c r="I746" s="6" t="s">
        <v>3073</v>
      </c>
      <c r="J746" s="6" t="s">
        <v>3819</v>
      </c>
      <c r="K746" s="9">
        <v>5</v>
      </c>
      <c r="L746" s="6" t="s">
        <v>4275</v>
      </c>
      <c r="M746" s="6" t="s">
        <v>4282</v>
      </c>
      <c r="N746" s="24">
        <v>922.74</v>
      </c>
      <c r="O746" s="22" t="str">
        <f>IF(Table2[[#This Row],[CouponCode]]="N/A", "Not Used", "Used")</f>
        <v>Used</v>
      </c>
    </row>
    <row r="747" spans="1:15" x14ac:dyDescent="0.3">
      <c r="A747" s="6" t="s">
        <v>759</v>
      </c>
      <c r="B747" s="2">
        <v>44987</v>
      </c>
      <c r="C747" s="6" t="s">
        <v>1956</v>
      </c>
      <c r="D747" s="6" t="s">
        <v>2407</v>
      </c>
      <c r="E747" s="9">
        <v>4</v>
      </c>
      <c r="F747" s="24">
        <v>111.3</v>
      </c>
      <c r="G747" t="s">
        <v>2901</v>
      </c>
      <c r="H747" s="6" t="s">
        <v>3065</v>
      </c>
      <c r="I747" s="6" t="s">
        <v>3074</v>
      </c>
      <c r="J747" s="6" t="s">
        <v>3820</v>
      </c>
      <c r="K747" s="9">
        <v>7</v>
      </c>
      <c r="L747" s="6" t="s">
        <v>4276</v>
      </c>
      <c r="M747" s="6" t="s">
        <v>4280</v>
      </c>
      <c r="N747" s="24">
        <v>445.2</v>
      </c>
      <c r="O747" s="22" t="str">
        <f>IF(Table2[[#This Row],[CouponCode]]="N/A", "Not Used", "Used")</f>
        <v>Used</v>
      </c>
    </row>
    <row r="748" spans="1:15" x14ac:dyDescent="0.3">
      <c r="A748" s="6" t="s">
        <v>760</v>
      </c>
      <c r="B748" s="2">
        <v>45712</v>
      </c>
      <c r="C748" s="6" t="s">
        <v>1957</v>
      </c>
      <c r="D748" s="6" t="s">
        <v>2409</v>
      </c>
      <c r="E748" s="9">
        <v>3</v>
      </c>
      <c r="F748" s="24">
        <v>661.89</v>
      </c>
      <c r="G748" t="s">
        <v>2902</v>
      </c>
      <c r="H748" s="6" t="s">
        <v>3066</v>
      </c>
      <c r="I748" s="6" t="s">
        <v>3071</v>
      </c>
      <c r="J748" s="6" t="s">
        <v>3821</v>
      </c>
      <c r="K748" s="9">
        <v>6</v>
      </c>
      <c r="L748" s="6" t="s">
        <v>4277</v>
      </c>
      <c r="M748" s="6" t="s">
        <v>4279</v>
      </c>
      <c r="N748" s="24">
        <v>1985.67</v>
      </c>
      <c r="O748" s="22" t="str">
        <f>IF(Table2[[#This Row],[CouponCode]]="N/A", "Not Used", "Used")</f>
        <v>Used</v>
      </c>
    </row>
    <row r="749" spans="1:15" x14ac:dyDescent="0.3">
      <c r="A749" s="6" t="s">
        <v>761</v>
      </c>
      <c r="B749" s="2">
        <v>45728</v>
      </c>
      <c r="C749" s="6" t="s">
        <v>1958</v>
      </c>
      <c r="D749" s="6" t="s">
        <v>2405</v>
      </c>
      <c r="E749" s="9">
        <v>2</v>
      </c>
      <c r="F749" s="24">
        <v>259.58</v>
      </c>
      <c r="G749" t="s">
        <v>2903</v>
      </c>
      <c r="H749" s="6" t="s">
        <v>3065</v>
      </c>
      <c r="I749" s="6" t="s">
        <v>3073</v>
      </c>
      <c r="J749" s="6" t="s">
        <v>3822</v>
      </c>
      <c r="K749" s="9">
        <v>7</v>
      </c>
      <c r="L749" s="6" t="s">
        <v>4276</v>
      </c>
      <c r="M749" s="6" t="s">
        <v>4278</v>
      </c>
      <c r="N749" s="24">
        <v>519.16</v>
      </c>
      <c r="O749" s="22" t="str">
        <f>IF(Table2[[#This Row],[CouponCode]]="N/A", "Not Used", "Used")</f>
        <v>Used</v>
      </c>
    </row>
    <row r="750" spans="1:15" x14ac:dyDescent="0.3">
      <c r="A750" s="6" t="s">
        <v>762</v>
      </c>
      <c r="B750" s="2">
        <v>45488</v>
      </c>
      <c r="C750" s="6" t="s">
        <v>1959</v>
      </c>
      <c r="D750" s="6" t="s">
        <v>2405</v>
      </c>
      <c r="E750" s="9">
        <v>3</v>
      </c>
      <c r="F750" s="24">
        <v>70.81</v>
      </c>
      <c r="G750" t="s">
        <v>2789</v>
      </c>
      <c r="H750" s="6" t="s">
        <v>3067</v>
      </c>
      <c r="I750" s="6" t="s">
        <v>3070</v>
      </c>
      <c r="J750" s="6" t="s">
        <v>3823</v>
      </c>
      <c r="K750" s="9">
        <v>8</v>
      </c>
      <c r="L750" s="6" t="s">
        <v>4276</v>
      </c>
      <c r="M750" s="6" t="s">
        <v>4279</v>
      </c>
      <c r="N750" s="24">
        <v>212.43</v>
      </c>
      <c r="O750" s="22" t="str">
        <f>IF(Table2[[#This Row],[CouponCode]]="N/A", "Not Used", "Used")</f>
        <v>Used</v>
      </c>
    </row>
    <row r="751" spans="1:15" x14ac:dyDescent="0.3">
      <c r="A751" s="6" t="s">
        <v>763</v>
      </c>
      <c r="B751" s="2">
        <v>45760</v>
      </c>
      <c r="C751" s="6" t="s">
        <v>1960</v>
      </c>
      <c r="D751" s="6" t="s">
        <v>2408</v>
      </c>
      <c r="E751" s="9">
        <v>1</v>
      </c>
      <c r="F751" s="24">
        <v>518.39</v>
      </c>
      <c r="G751" t="s">
        <v>2904</v>
      </c>
      <c r="H751" s="6" t="s">
        <v>3065</v>
      </c>
      <c r="I751" s="6" t="s">
        <v>3074</v>
      </c>
      <c r="J751" s="6" t="s">
        <v>3824</v>
      </c>
      <c r="K751" s="9">
        <v>4</v>
      </c>
      <c r="L751" s="6" t="s">
        <v>4276</v>
      </c>
      <c r="M751" s="6" t="s">
        <v>4278</v>
      </c>
      <c r="N751" s="24">
        <v>518.39</v>
      </c>
      <c r="O751" s="22" t="str">
        <f>IF(Table2[[#This Row],[CouponCode]]="N/A", "Not Used", "Used")</f>
        <v>Used</v>
      </c>
    </row>
    <row r="752" spans="1:15" x14ac:dyDescent="0.3">
      <c r="A752" s="6" t="s">
        <v>764</v>
      </c>
      <c r="B752" s="2">
        <v>44940</v>
      </c>
      <c r="C752" s="6" t="s">
        <v>1961</v>
      </c>
      <c r="D752" s="6" t="s">
        <v>2405</v>
      </c>
      <c r="E752" s="9">
        <v>4</v>
      </c>
      <c r="F752" s="24">
        <v>145.41</v>
      </c>
      <c r="G752" t="s">
        <v>2905</v>
      </c>
      <c r="H752" s="6" t="s">
        <v>3067</v>
      </c>
      <c r="I752" s="6" t="s">
        <v>3072</v>
      </c>
      <c r="J752" s="6" t="s">
        <v>3825</v>
      </c>
      <c r="K752" s="9">
        <v>7</v>
      </c>
      <c r="L752" s="6" t="s">
        <v>4276</v>
      </c>
      <c r="M752" s="6" t="s">
        <v>4280</v>
      </c>
      <c r="N752" s="24">
        <v>581.64</v>
      </c>
      <c r="O752" s="22" t="str">
        <f>IF(Table2[[#This Row],[CouponCode]]="N/A", "Not Used", "Used")</f>
        <v>Used</v>
      </c>
    </row>
    <row r="753" spans="1:15" x14ac:dyDescent="0.3">
      <c r="A753" s="6" t="s">
        <v>765</v>
      </c>
      <c r="B753" s="2">
        <v>44950</v>
      </c>
      <c r="C753" s="6" t="s">
        <v>1962</v>
      </c>
      <c r="D753" s="6" t="s">
        <v>2405</v>
      </c>
      <c r="E753" s="9">
        <v>2</v>
      </c>
      <c r="F753" s="24">
        <v>599.86</v>
      </c>
      <c r="G753" t="s">
        <v>2906</v>
      </c>
      <c r="H753" s="6" t="s">
        <v>3068</v>
      </c>
      <c r="I753" s="6" t="s">
        <v>3074</v>
      </c>
      <c r="J753" s="6" t="s">
        <v>3826</v>
      </c>
      <c r="K753" s="9">
        <v>7</v>
      </c>
      <c r="L753" s="6" t="s">
        <v>4276</v>
      </c>
      <c r="M753" s="6" t="s">
        <v>4281</v>
      </c>
      <c r="N753" s="24">
        <v>1199.72</v>
      </c>
      <c r="O753" s="22" t="str">
        <f>IF(Table2[[#This Row],[CouponCode]]="N/A", "Not Used", "Used")</f>
        <v>Used</v>
      </c>
    </row>
    <row r="754" spans="1:15" x14ac:dyDescent="0.3">
      <c r="A754" s="6" t="s">
        <v>766</v>
      </c>
      <c r="B754" s="2">
        <v>45568</v>
      </c>
      <c r="C754" s="6" t="s">
        <v>1963</v>
      </c>
      <c r="D754" s="6" t="s">
        <v>2404</v>
      </c>
      <c r="E754" s="9">
        <v>4</v>
      </c>
      <c r="F754" s="24">
        <v>429.37</v>
      </c>
      <c r="G754" t="s">
        <v>2648</v>
      </c>
      <c r="H754" s="6" t="s">
        <v>3067</v>
      </c>
      <c r="I754" s="6" t="s">
        <v>3073</v>
      </c>
      <c r="J754" s="6" t="s">
        <v>3827</v>
      </c>
      <c r="K754" s="9">
        <v>8</v>
      </c>
      <c r="L754" s="6" t="s">
        <v>4276</v>
      </c>
      <c r="M754" s="6" t="s">
        <v>4282</v>
      </c>
      <c r="N754" s="24">
        <v>1717.48</v>
      </c>
      <c r="O754" s="22" t="str">
        <f>IF(Table2[[#This Row],[CouponCode]]="N/A", "Not Used", "Used")</f>
        <v>Used</v>
      </c>
    </row>
    <row r="755" spans="1:15" x14ac:dyDescent="0.3">
      <c r="A755" s="6" t="s">
        <v>767</v>
      </c>
      <c r="B755" s="2">
        <v>45406</v>
      </c>
      <c r="C755" s="6" t="s">
        <v>1964</v>
      </c>
      <c r="D755" s="6" t="s">
        <v>2404</v>
      </c>
      <c r="E755" s="9">
        <v>2</v>
      </c>
      <c r="F755" s="24">
        <v>241.49</v>
      </c>
      <c r="G755" t="s">
        <v>2907</v>
      </c>
      <c r="H755" s="6" t="s">
        <v>3065</v>
      </c>
      <c r="I755" s="6" t="s">
        <v>3072</v>
      </c>
      <c r="J755" s="6" t="s">
        <v>3828</v>
      </c>
      <c r="K755" s="9">
        <v>7</v>
      </c>
      <c r="L755" s="6" t="s">
        <v>4276</v>
      </c>
      <c r="M755" s="6" t="s">
        <v>4278</v>
      </c>
      <c r="N755" s="24">
        <v>482.98</v>
      </c>
      <c r="O755" s="22" t="str">
        <f>IF(Table2[[#This Row],[CouponCode]]="N/A", "Not Used", "Used")</f>
        <v>Used</v>
      </c>
    </row>
    <row r="756" spans="1:15" x14ac:dyDescent="0.3">
      <c r="A756" s="6" t="s">
        <v>768</v>
      </c>
      <c r="B756" s="2">
        <v>45808</v>
      </c>
      <c r="C756" s="6" t="s">
        <v>1965</v>
      </c>
      <c r="D756" s="6" t="s">
        <v>2407</v>
      </c>
      <c r="E756" s="9">
        <v>2</v>
      </c>
      <c r="F756" s="24">
        <v>452.05</v>
      </c>
      <c r="G756" t="s">
        <v>2908</v>
      </c>
      <c r="H756" s="6" t="s">
        <v>3067</v>
      </c>
      <c r="I756" s="6" t="s">
        <v>3072</v>
      </c>
      <c r="J756" s="6" t="s">
        <v>3829</v>
      </c>
      <c r="K756" s="9">
        <v>3</v>
      </c>
      <c r="L756" s="6" t="s">
        <v>4277</v>
      </c>
      <c r="M756" s="6" t="s">
        <v>4280</v>
      </c>
      <c r="N756" s="24">
        <v>904.1</v>
      </c>
      <c r="O756" s="22" t="str">
        <f>IF(Table2[[#This Row],[CouponCode]]="N/A", "Not Used", "Used")</f>
        <v>Used</v>
      </c>
    </row>
    <row r="757" spans="1:15" x14ac:dyDescent="0.3">
      <c r="A757" s="6" t="s">
        <v>769</v>
      </c>
      <c r="B757" s="2">
        <v>45090</v>
      </c>
      <c r="C757" s="6" t="s">
        <v>1966</v>
      </c>
      <c r="D757" s="6" t="s">
        <v>2409</v>
      </c>
      <c r="E757" s="9">
        <v>3</v>
      </c>
      <c r="F757" s="24">
        <v>336.71</v>
      </c>
      <c r="G757" t="s">
        <v>2909</v>
      </c>
      <c r="H757" s="6" t="s">
        <v>3067</v>
      </c>
      <c r="I757" s="6" t="s">
        <v>3074</v>
      </c>
      <c r="J757" s="6" t="s">
        <v>3830</v>
      </c>
      <c r="K757" s="9">
        <v>4</v>
      </c>
      <c r="L757" s="6" t="s">
        <v>4283</v>
      </c>
      <c r="M757" s="6" t="s">
        <v>4280</v>
      </c>
      <c r="N757" s="24">
        <v>1010.13</v>
      </c>
      <c r="O757" s="22" t="str">
        <f>IF(Table2[[#This Row],[CouponCode]]="N/A", "Not Used", "Used")</f>
        <v>Not Used</v>
      </c>
    </row>
    <row r="758" spans="1:15" x14ac:dyDescent="0.3">
      <c r="A758" s="6" t="s">
        <v>770</v>
      </c>
      <c r="B758" s="2">
        <v>45470</v>
      </c>
      <c r="C758" s="6" t="s">
        <v>1967</v>
      </c>
      <c r="D758" s="6" t="s">
        <v>2404</v>
      </c>
      <c r="E758" s="9">
        <v>1</v>
      </c>
      <c r="F758" s="24">
        <v>283.69</v>
      </c>
      <c r="G758" t="s">
        <v>2464</v>
      </c>
      <c r="H758" s="6" t="s">
        <v>3068</v>
      </c>
      <c r="I758" s="6" t="s">
        <v>3070</v>
      </c>
      <c r="J758" s="6" t="s">
        <v>3831</v>
      </c>
      <c r="K758" s="9">
        <v>6</v>
      </c>
      <c r="L758" s="6" t="s">
        <v>4283</v>
      </c>
      <c r="M758" s="6" t="s">
        <v>4282</v>
      </c>
      <c r="N758" s="24">
        <v>283.69</v>
      </c>
      <c r="O758" s="22" t="str">
        <f>IF(Table2[[#This Row],[CouponCode]]="N/A", "Not Used", "Used")</f>
        <v>Not Used</v>
      </c>
    </row>
    <row r="759" spans="1:15" x14ac:dyDescent="0.3">
      <c r="A759" s="6" t="s">
        <v>771</v>
      </c>
      <c r="B759" s="2">
        <v>45344</v>
      </c>
      <c r="C759" s="6" t="s">
        <v>1968</v>
      </c>
      <c r="D759" s="6" t="s">
        <v>2409</v>
      </c>
      <c r="E759" s="9">
        <v>1</v>
      </c>
      <c r="F759" s="24">
        <v>157.72</v>
      </c>
      <c r="G759" t="s">
        <v>2581</v>
      </c>
      <c r="H759" s="6" t="s">
        <v>3065</v>
      </c>
      <c r="I759" s="6" t="s">
        <v>3073</v>
      </c>
      <c r="J759" s="6" t="s">
        <v>3832</v>
      </c>
      <c r="K759" s="9">
        <v>2</v>
      </c>
      <c r="L759" s="6" t="s">
        <v>4276</v>
      </c>
      <c r="M759" s="6" t="s">
        <v>4282</v>
      </c>
      <c r="N759" s="24">
        <v>157.72</v>
      </c>
      <c r="O759" s="22" t="str">
        <f>IF(Table2[[#This Row],[CouponCode]]="N/A", "Not Used", "Used")</f>
        <v>Used</v>
      </c>
    </row>
    <row r="760" spans="1:15" x14ac:dyDescent="0.3">
      <c r="A760" s="6" t="s">
        <v>772</v>
      </c>
      <c r="B760" s="2">
        <v>45011</v>
      </c>
      <c r="C760" s="6" t="s">
        <v>1969</v>
      </c>
      <c r="D760" s="6" t="s">
        <v>2405</v>
      </c>
      <c r="E760" s="9">
        <v>3</v>
      </c>
      <c r="F760" s="24">
        <v>624.84</v>
      </c>
      <c r="G760" t="s">
        <v>2479</v>
      </c>
      <c r="H760" s="6" t="s">
        <v>3067</v>
      </c>
      <c r="I760" s="6" t="s">
        <v>3071</v>
      </c>
      <c r="J760" s="6" t="s">
        <v>3833</v>
      </c>
      <c r="K760" s="9">
        <v>8</v>
      </c>
      <c r="L760" s="6" t="s">
        <v>4277</v>
      </c>
      <c r="M760" s="6" t="s">
        <v>4281</v>
      </c>
      <c r="N760" s="24">
        <v>1874.52</v>
      </c>
      <c r="O760" s="22" t="str">
        <f>IF(Table2[[#This Row],[CouponCode]]="N/A", "Not Used", "Used")</f>
        <v>Used</v>
      </c>
    </row>
    <row r="761" spans="1:15" x14ac:dyDescent="0.3">
      <c r="A761" s="6" t="s">
        <v>773</v>
      </c>
      <c r="B761" s="2">
        <v>45131</v>
      </c>
      <c r="C761" s="6" t="s">
        <v>1970</v>
      </c>
      <c r="D761" s="6" t="s">
        <v>2409</v>
      </c>
      <c r="E761" s="9">
        <v>3</v>
      </c>
      <c r="F761" s="24">
        <v>308.01</v>
      </c>
      <c r="G761" t="s">
        <v>2910</v>
      </c>
      <c r="H761" s="6" t="s">
        <v>3069</v>
      </c>
      <c r="I761" s="6" t="s">
        <v>3074</v>
      </c>
      <c r="J761" s="6" t="s">
        <v>3834</v>
      </c>
      <c r="K761" s="9">
        <v>3</v>
      </c>
      <c r="L761" s="6" t="s">
        <v>4276</v>
      </c>
      <c r="M761" s="6" t="s">
        <v>4281</v>
      </c>
      <c r="N761" s="24">
        <v>924.03</v>
      </c>
      <c r="O761" s="22" t="str">
        <f>IF(Table2[[#This Row],[CouponCode]]="N/A", "Not Used", "Used")</f>
        <v>Used</v>
      </c>
    </row>
    <row r="762" spans="1:15" x14ac:dyDescent="0.3">
      <c r="A762" s="6" t="s">
        <v>774</v>
      </c>
      <c r="B762" s="2">
        <v>45706</v>
      </c>
      <c r="C762" s="6" t="s">
        <v>1971</v>
      </c>
      <c r="D762" s="6" t="s">
        <v>2409</v>
      </c>
      <c r="E762" s="9">
        <v>1</v>
      </c>
      <c r="F762" s="24">
        <v>39.56</v>
      </c>
      <c r="G762" t="s">
        <v>2570</v>
      </c>
      <c r="H762" s="6" t="s">
        <v>3065</v>
      </c>
      <c r="I762" s="6" t="s">
        <v>3071</v>
      </c>
      <c r="J762" s="6" t="s">
        <v>3835</v>
      </c>
      <c r="K762" s="9">
        <v>5</v>
      </c>
      <c r="L762" s="6" t="s">
        <v>4283</v>
      </c>
      <c r="M762" s="6" t="s">
        <v>4282</v>
      </c>
      <c r="N762" s="24">
        <v>39.56</v>
      </c>
      <c r="O762" s="22" t="str">
        <f>IF(Table2[[#This Row],[CouponCode]]="N/A", "Not Used", "Used")</f>
        <v>Not Used</v>
      </c>
    </row>
    <row r="763" spans="1:15" x14ac:dyDescent="0.3">
      <c r="A763" s="6" t="s">
        <v>775</v>
      </c>
      <c r="B763" s="2">
        <v>45079</v>
      </c>
      <c r="C763" s="6" t="s">
        <v>1972</v>
      </c>
      <c r="D763" s="6" t="s">
        <v>2409</v>
      </c>
      <c r="E763" s="9">
        <v>4</v>
      </c>
      <c r="F763" s="24">
        <v>37.76</v>
      </c>
      <c r="G763" t="s">
        <v>2911</v>
      </c>
      <c r="H763" s="6" t="s">
        <v>3065</v>
      </c>
      <c r="I763" s="6" t="s">
        <v>3073</v>
      </c>
      <c r="J763" s="6" t="s">
        <v>3836</v>
      </c>
      <c r="K763" s="9">
        <v>7</v>
      </c>
      <c r="L763" s="6" t="s">
        <v>4283</v>
      </c>
      <c r="M763" s="6" t="s">
        <v>4282</v>
      </c>
      <c r="N763" s="24">
        <v>151.04</v>
      </c>
      <c r="O763" s="22" t="str">
        <f>IF(Table2[[#This Row],[CouponCode]]="N/A", "Not Used", "Used")</f>
        <v>Not Used</v>
      </c>
    </row>
    <row r="764" spans="1:15" x14ac:dyDescent="0.3">
      <c r="A764" s="6" t="s">
        <v>776</v>
      </c>
      <c r="B764" s="2">
        <v>45552</v>
      </c>
      <c r="C764" s="6" t="s">
        <v>1973</v>
      </c>
      <c r="D764" s="6" t="s">
        <v>2404</v>
      </c>
      <c r="E764" s="9">
        <v>3</v>
      </c>
      <c r="F764" s="24">
        <v>76.959999999999994</v>
      </c>
      <c r="G764" t="s">
        <v>2494</v>
      </c>
      <c r="H764" s="6" t="s">
        <v>3069</v>
      </c>
      <c r="I764" s="6" t="s">
        <v>3072</v>
      </c>
      <c r="J764" s="6" t="s">
        <v>3837</v>
      </c>
      <c r="K764" s="9">
        <v>8</v>
      </c>
      <c r="L764" s="6" t="s">
        <v>4276</v>
      </c>
      <c r="M764" s="6" t="s">
        <v>4280</v>
      </c>
      <c r="N764" s="24">
        <v>230.88</v>
      </c>
      <c r="O764" s="22" t="str">
        <f>IF(Table2[[#This Row],[CouponCode]]="N/A", "Not Used", "Used")</f>
        <v>Used</v>
      </c>
    </row>
    <row r="765" spans="1:15" x14ac:dyDescent="0.3">
      <c r="A765" s="6" t="s">
        <v>777</v>
      </c>
      <c r="B765" s="2">
        <v>45022</v>
      </c>
      <c r="C765" s="6" t="s">
        <v>1974</v>
      </c>
      <c r="D765" s="6" t="s">
        <v>2408</v>
      </c>
      <c r="E765" s="9">
        <v>1</v>
      </c>
      <c r="F765" s="24">
        <v>569.96</v>
      </c>
      <c r="G765" t="s">
        <v>2501</v>
      </c>
      <c r="H765" s="6" t="s">
        <v>3066</v>
      </c>
      <c r="I765" s="6" t="s">
        <v>3073</v>
      </c>
      <c r="J765" s="6" t="s">
        <v>3838</v>
      </c>
      <c r="K765" s="9">
        <v>4</v>
      </c>
      <c r="L765" s="6" t="s">
        <v>4276</v>
      </c>
      <c r="M765" s="6" t="s">
        <v>4280</v>
      </c>
      <c r="N765" s="24">
        <v>569.96</v>
      </c>
      <c r="O765" s="22" t="str">
        <f>IF(Table2[[#This Row],[CouponCode]]="N/A", "Not Used", "Used")</f>
        <v>Used</v>
      </c>
    </row>
    <row r="766" spans="1:15" x14ac:dyDescent="0.3">
      <c r="A766" s="6" t="s">
        <v>778</v>
      </c>
      <c r="B766" s="2">
        <v>45361</v>
      </c>
      <c r="C766" s="6" t="s">
        <v>1975</v>
      </c>
      <c r="D766" s="6" t="s">
        <v>2408</v>
      </c>
      <c r="E766" s="9">
        <v>5</v>
      </c>
      <c r="F766" s="24">
        <v>627.42999999999995</v>
      </c>
      <c r="G766" t="s">
        <v>2565</v>
      </c>
      <c r="H766" s="6" t="s">
        <v>3067</v>
      </c>
      <c r="I766" s="6" t="s">
        <v>3071</v>
      </c>
      <c r="J766" s="6" t="s">
        <v>3839</v>
      </c>
      <c r="K766" s="9">
        <v>10</v>
      </c>
      <c r="L766" s="6" t="s">
        <v>4276</v>
      </c>
      <c r="M766" s="6" t="s">
        <v>4280</v>
      </c>
      <c r="N766" s="24">
        <v>3137.15</v>
      </c>
      <c r="O766" s="22" t="str">
        <f>IF(Table2[[#This Row],[CouponCode]]="N/A", "Not Used", "Used")</f>
        <v>Used</v>
      </c>
    </row>
    <row r="767" spans="1:15" x14ac:dyDescent="0.3">
      <c r="A767" s="6" t="s">
        <v>779</v>
      </c>
      <c r="B767" s="2">
        <v>45205</v>
      </c>
      <c r="C767" s="6" t="s">
        <v>1976</v>
      </c>
      <c r="D767" s="6" t="s">
        <v>2408</v>
      </c>
      <c r="E767" s="9">
        <v>2</v>
      </c>
      <c r="F767" s="24">
        <v>534.91</v>
      </c>
      <c r="G767" t="s">
        <v>2888</v>
      </c>
      <c r="H767" s="6" t="s">
        <v>3065</v>
      </c>
      <c r="I767" s="6" t="s">
        <v>3072</v>
      </c>
      <c r="J767" s="6" t="s">
        <v>3840</v>
      </c>
      <c r="K767" s="9">
        <v>5</v>
      </c>
      <c r="L767" s="6" t="s">
        <v>4275</v>
      </c>
      <c r="M767" s="6" t="s">
        <v>4282</v>
      </c>
      <c r="N767" s="24">
        <v>1069.82</v>
      </c>
      <c r="O767" s="22" t="str">
        <f>IF(Table2[[#This Row],[CouponCode]]="N/A", "Not Used", "Used")</f>
        <v>Used</v>
      </c>
    </row>
    <row r="768" spans="1:15" x14ac:dyDescent="0.3">
      <c r="A768" s="6" t="s">
        <v>780</v>
      </c>
      <c r="B768" s="2">
        <v>44948</v>
      </c>
      <c r="C768" s="6" t="s">
        <v>1977</v>
      </c>
      <c r="D768" s="6" t="s">
        <v>2407</v>
      </c>
      <c r="E768" s="9">
        <v>2</v>
      </c>
      <c r="F768" s="24">
        <v>278.88</v>
      </c>
      <c r="G768" t="s">
        <v>2704</v>
      </c>
      <c r="H768" s="6" t="s">
        <v>3065</v>
      </c>
      <c r="I768" s="6" t="s">
        <v>3074</v>
      </c>
      <c r="J768" s="6" t="s">
        <v>3841</v>
      </c>
      <c r="K768" s="9">
        <v>3</v>
      </c>
      <c r="L768" s="6" t="s">
        <v>4276</v>
      </c>
      <c r="M768" s="6" t="s">
        <v>4279</v>
      </c>
      <c r="N768" s="24">
        <v>557.76</v>
      </c>
      <c r="O768" s="22" t="str">
        <f>IF(Table2[[#This Row],[CouponCode]]="N/A", "Not Used", "Used")</f>
        <v>Used</v>
      </c>
    </row>
    <row r="769" spans="1:15" x14ac:dyDescent="0.3">
      <c r="A769" s="6" t="s">
        <v>781</v>
      </c>
      <c r="B769" s="2">
        <v>45765</v>
      </c>
      <c r="C769" s="6" t="s">
        <v>1978</v>
      </c>
      <c r="D769" s="6" t="s">
        <v>2405</v>
      </c>
      <c r="E769" s="9">
        <v>2</v>
      </c>
      <c r="F769" s="24">
        <v>323.22000000000003</v>
      </c>
      <c r="G769" t="s">
        <v>2912</v>
      </c>
      <c r="H769" s="6" t="s">
        <v>3067</v>
      </c>
      <c r="I769" s="6" t="s">
        <v>3073</v>
      </c>
      <c r="J769" s="6" t="s">
        <v>3842</v>
      </c>
      <c r="K769" s="9">
        <v>7</v>
      </c>
      <c r="L769" s="6" t="s">
        <v>4283</v>
      </c>
      <c r="M769" s="6" t="s">
        <v>4278</v>
      </c>
      <c r="N769" s="24">
        <v>646.44000000000005</v>
      </c>
      <c r="O769" s="22" t="str">
        <f>IF(Table2[[#This Row],[CouponCode]]="N/A", "Not Used", "Used")</f>
        <v>Not Used</v>
      </c>
    </row>
    <row r="770" spans="1:15" x14ac:dyDescent="0.3">
      <c r="A770" s="6" t="s">
        <v>782</v>
      </c>
      <c r="B770" s="2">
        <v>45173</v>
      </c>
      <c r="C770" s="6" t="s">
        <v>1979</v>
      </c>
      <c r="D770" s="6" t="s">
        <v>2405</v>
      </c>
      <c r="E770" s="9">
        <v>5</v>
      </c>
      <c r="F770" s="24">
        <v>653.46</v>
      </c>
      <c r="G770" t="s">
        <v>2913</v>
      </c>
      <c r="H770" s="6" t="s">
        <v>3069</v>
      </c>
      <c r="I770" s="6" t="s">
        <v>3071</v>
      </c>
      <c r="J770" s="6" t="s">
        <v>3843</v>
      </c>
      <c r="K770" s="9">
        <v>9</v>
      </c>
      <c r="L770" s="6" t="s">
        <v>4277</v>
      </c>
      <c r="M770" s="6" t="s">
        <v>4280</v>
      </c>
      <c r="N770" s="24">
        <v>3267.3</v>
      </c>
      <c r="O770" s="22" t="str">
        <f>IF(Table2[[#This Row],[CouponCode]]="N/A", "Not Used", "Used")</f>
        <v>Used</v>
      </c>
    </row>
    <row r="771" spans="1:15" x14ac:dyDescent="0.3">
      <c r="A771" s="6" t="s">
        <v>783</v>
      </c>
      <c r="B771" s="2">
        <v>45113</v>
      </c>
      <c r="C771" s="6" t="s">
        <v>1980</v>
      </c>
      <c r="D771" s="6" t="s">
        <v>2407</v>
      </c>
      <c r="E771" s="9">
        <v>4</v>
      </c>
      <c r="F771" s="24">
        <v>678.55</v>
      </c>
      <c r="G771" t="s">
        <v>2438</v>
      </c>
      <c r="H771" s="6" t="s">
        <v>3069</v>
      </c>
      <c r="I771" s="6" t="s">
        <v>3073</v>
      </c>
      <c r="J771" s="6" t="s">
        <v>3844</v>
      </c>
      <c r="K771" s="9">
        <v>5</v>
      </c>
      <c r="L771" s="6" t="s">
        <v>4283</v>
      </c>
      <c r="M771" s="6" t="s">
        <v>4280</v>
      </c>
      <c r="N771" s="24">
        <v>2714.2</v>
      </c>
      <c r="O771" s="22" t="str">
        <f>IF(Table2[[#This Row],[CouponCode]]="N/A", "Not Used", "Used")</f>
        <v>Not Used</v>
      </c>
    </row>
    <row r="772" spans="1:15" x14ac:dyDescent="0.3">
      <c r="A772" s="6" t="s">
        <v>784</v>
      </c>
      <c r="B772" s="2">
        <v>45333</v>
      </c>
      <c r="C772" s="6" t="s">
        <v>1981</v>
      </c>
      <c r="D772" s="6" t="s">
        <v>2409</v>
      </c>
      <c r="E772" s="9">
        <v>1</v>
      </c>
      <c r="F772" s="24">
        <v>314.38</v>
      </c>
      <c r="G772" t="s">
        <v>2757</v>
      </c>
      <c r="H772" s="6" t="s">
        <v>3066</v>
      </c>
      <c r="I772" s="6" t="s">
        <v>3072</v>
      </c>
      <c r="J772" s="6" t="s">
        <v>3845</v>
      </c>
      <c r="K772" s="9">
        <v>6</v>
      </c>
      <c r="L772" s="6" t="s">
        <v>4283</v>
      </c>
      <c r="M772" s="6" t="s">
        <v>4282</v>
      </c>
      <c r="N772" s="24">
        <v>314.38</v>
      </c>
      <c r="O772" s="22" t="str">
        <f>IF(Table2[[#This Row],[CouponCode]]="N/A", "Not Used", "Used")</f>
        <v>Not Used</v>
      </c>
    </row>
    <row r="773" spans="1:15" x14ac:dyDescent="0.3">
      <c r="A773" s="6" t="s">
        <v>785</v>
      </c>
      <c r="B773" s="2">
        <v>45455</v>
      </c>
      <c r="C773" s="6" t="s">
        <v>1982</v>
      </c>
      <c r="D773" s="6" t="s">
        <v>2404</v>
      </c>
      <c r="E773" s="9">
        <v>3</v>
      </c>
      <c r="F773" s="24">
        <v>692.44</v>
      </c>
      <c r="G773" t="s">
        <v>2724</v>
      </c>
      <c r="H773" s="6" t="s">
        <v>3065</v>
      </c>
      <c r="I773" s="6" t="s">
        <v>3071</v>
      </c>
      <c r="J773" s="6" t="s">
        <v>3846</v>
      </c>
      <c r="K773" s="9">
        <v>8</v>
      </c>
      <c r="L773" s="6" t="s">
        <v>4276</v>
      </c>
      <c r="M773" s="6" t="s">
        <v>4282</v>
      </c>
      <c r="N773" s="24">
        <v>2077.3200000000002</v>
      </c>
      <c r="O773" s="22" t="str">
        <f>IF(Table2[[#This Row],[CouponCode]]="N/A", "Not Used", "Used")</f>
        <v>Used</v>
      </c>
    </row>
    <row r="774" spans="1:15" x14ac:dyDescent="0.3">
      <c r="A774" s="6" t="s">
        <v>786</v>
      </c>
      <c r="B774" s="2">
        <v>45501</v>
      </c>
      <c r="C774" s="6" t="s">
        <v>1983</v>
      </c>
      <c r="D774" s="6" t="s">
        <v>2403</v>
      </c>
      <c r="E774" s="9">
        <v>1</v>
      </c>
      <c r="F774" s="24">
        <v>604.87</v>
      </c>
      <c r="G774" t="s">
        <v>2914</v>
      </c>
      <c r="H774" s="6" t="s">
        <v>3066</v>
      </c>
      <c r="I774" s="6" t="s">
        <v>3073</v>
      </c>
      <c r="J774" s="6" t="s">
        <v>3847</v>
      </c>
      <c r="K774" s="9">
        <v>4</v>
      </c>
      <c r="L774" s="6" t="s">
        <v>4283</v>
      </c>
      <c r="M774" s="6" t="s">
        <v>4278</v>
      </c>
      <c r="N774" s="24">
        <v>604.87</v>
      </c>
      <c r="O774" s="22" t="str">
        <f>IF(Table2[[#This Row],[CouponCode]]="N/A", "Not Used", "Used")</f>
        <v>Not Used</v>
      </c>
    </row>
    <row r="775" spans="1:15" x14ac:dyDescent="0.3">
      <c r="A775" s="6" t="s">
        <v>787</v>
      </c>
      <c r="B775" s="2">
        <v>45836</v>
      </c>
      <c r="C775" s="6" t="s">
        <v>1984</v>
      </c>
      <c r="D775" s="6" t="s">
        <v>2404</v>
      </c>
      <c r="E775" s="9">
        <v>2</v>
      </c>
      <c r="F775" s="24">
        <v>512.33000000000004</v>
      </c>
      <c r="G775" t="s">
        <v>2915</v>
      </c>
      <c r="H775" s="6" t="s">
        <v>3069</v>
      </c>
      <c r="I775" s="6" t="s">
        <v>3071</v>
      </c>
      <c r="J775" s="6" t="s">
        <v>3848</v>
      </c>
      <c r="K775" s="9">
        <v>7</v>
      </c>
      <c r="L775" s="6" t="s">
        <v>4283</v>
      </c>
      <c r="M775" s="6" t="s">
        <v>4281</v>
      </c>
      <c r="N775" s="24">
        <v>1024.6600000000001</v>
      </c>
      <c r="O775" s="22" t="str">
        <f>IF(Table2[[#This Row],[CouponCode]]="N/A", "Not Used", "Used")</f>
        <v>Not Used</v>
      </c>
    </row>
    <row r="776" spans="1:15" x14ac:dyDescent="0.3">
      <c r="A776" s="6" t="s">
        <v>788</v>
      </c>
      <c r="B776" s="2">
        <v>45762</v>
      </c>
      <c r="C776" s="6" t="s">
        <v>1985</v>
      </c>
      <c r="D776" s="6" t="s">
        <v>2406</v>
      </c>
      <c r="E776" s="9">
        <v>3</v>
      </c>
      <c r="F776" s="24">
        <v>20.54</v>
      </c>
      <c r="G776" t="s">
        <v>2916</v>
      </c>
      <c r="H776" s="6" t="s">
        <v>3067</v>
      </c>
      <c r="I776" s="6" t="s">
        <v>3071</v>
      </c>
      <c r="J776" s="6" t="s">
        <v>3849</v>
      </c>
      <c r="K776" s="9">
        <v>3</v>
      </c>
      <c r="L776" s="6" t="s">
        <v>4276</v>
      </c>
      <c r="M776" s="6" t="s">
        <v>4278</v>
      </c>
      <c r="N776" s="24">
        <v>61.62</v>
      </c>
      <c r="O776" s="22" t="str">
        <f>IF(Table2[[#This Row],[CouponCode]]="N/A", "Not Used", "Used")</f>
        <v>Used</v>
      </c>
    </row>
    <row r="777" spans="1:15" x14ac:dyDescent="0.3">
      <c r="A777" s="6" t="s">
        <v>789</v>
      </c>
      <c r="B777" s="2">
        <v>44989</v>
      </c>
      <c r="C777" s="6" t="s">
        <v>1986</v>
      </c>
      <c r="D777" s="6" t="s">
        <v>2404</v>
      </c>
      <c r="E777" s="9">
        <v>2</v>
      </c>
      <c r="F777" s="24">
        <v>625.22</v>
      </c>
      <c r="G777" t="s">
        <v>2431</v>
      </c>
      <c r="H777" s="6" t="s">
        <v>3066</v>
      </c>
      <c r="I777" s="6" t="s">
        <v>3071</v>
      </c>
      <c r="J777" s="6" t="s">
        <v>3850</v>
      </c>
      <c r="K777" s="9">
        <v>5</v>
      </c>
      <c r="L777" s="6" t="s">
        <v>4283</v>
      </c>
      <c r="M777" s="6" t="s">
        <v>4282</v>
      </c>
      <c r="N777" s="24">
        <v>1250.44</v>
      </c>
      <c r="O777" s="22" t="str">
        <f>IF(Table2[[#This Row],[CouponCode]]="N/A", "Not Used", "Used")</f>
        <v>Not Used</v>
      </c>
    </row>
    <row r="778" spans="1:15" x14ac:dyDescent="0.3">
      <c r="A778" s="6" t="s">
        <v>790</v>
      </c>
      <c r="B778" s="2">
        <v>45159</v>
      </c>
      <c r="C778" s="6" t="s">
        <v>1987</v>
      </c>
      <c r="D778" s="6" t="s">
        <v>2405</v>
      </c>
      <c r="E778" s="9">
        <v>1</v>
      </c>
      <c r="F778" s="24">
        <v>21.19</v>
      </c>
      <c r="G778" t="s">
        <v>2917</v>
      </c>
      <c r="H778" s="6" t="s">
        <v>3069</v>
      </c>
      <c r="I778" s="6" t="s">
        <v>3072</v>
      </c>
      <c r="J778" s="6" t="s">
        <v>3851</v>
      </c>
      <c r="K778" s="9">
        <v>5</v>
      </c>
      <c r="L778" s="6" t="s">
        <v>4277</v>
      </c>
      <c r="M778" s="6" t="s">
        <v>4282</v>
      </c>
      <c r="N778" s="24">
        <v>21.19</v>
      </c>
      <c r="O778" s="22" t="str">
        <f>IF(Table2[[#This Row],[CouponCode]]="N/A", "Not Used", "Used")</f>
        <v>Used</v>
      </c>
    </row>
    <row r="779" spans="1:15" x14ac:dyDescent="0.3">
      <c r="A779" s="6" t="s">
        <v>791</v>
      </c>
      <c r="B779" s="2">
        <v>45737</v>
      </c>
      <c r="C779" s="6" t="s">
        <v>1988</v>
      </c>
      <c r="D779" s="6" t="s">
        <v>2406</v>
      </c>
      <c r="E779" s="9">
        <v>5</v>
      </c>
      <c r="F779" s="24">
        <v>64.489999999999995</v>
      </c>
      <c r="G779" t="s">
        <v>2432</v>
      </c>
      <c r="H779" s="6" t="s">
        <v>3066</v>
      </c>
      <c r="I779" s="6" t="s">
        <v>3071</v>
      </c>
      <c r="J779" s="6" t="s">
        <v>3852</v>
      </c>
      <c r="K779" s="9">
        <v>7</v>
      </c>
      <c r="L779" s="6" t="s">
        <v>4283</v>
      </c>
      <c r="M779" s="6" t="s">
        <v>4281</v>
      </c>
      <c r="N779" s="24">
        <v>322.45</v>
      </c>
      <c r="O779" s="22" t="str">
        <f>IF(Table2[[#This Row],[CouponCode]]="N/A", "Not Used", "Used")</f>
        <v>Not Used</v>
      </c>
    </row>
    <row r="780" spans="1:15" x14ac:dyDescent="0.3">
      <c r="A780" s="6" t="s">
        <v>792</v>
      </c>
      <c r="B780" s="2">
        <v>45044</v>
      </c>
      <c r="C780" s="6" t="s">
        <v>1989</v>
      </c>
      <c r="D780" s="6" t="s">
        <v>2408</v>
      </c>
      <c r="E780" s="9">
        <v>4</v>
      </c>
      <c r="F780" s="24">
        <v>246.85</v>
      </c>
      <c r="G780" t="s">
        <v>2918</v>
      </c>
      <c r="H780" s="6" t="s">
        <v>3067</v>
      </c>
      <c r="I780" s="6" t="s">
        <v>3070</v>
      </c>
      <c r="J780" s="6" t="s">
        <v>3853</v>
      </c>
      <c r="K780" s="9">
        <v>8</v>
      </c>
      <c r="L780" s="6" t="s">
        <v>4277</v>
      </c>
      <c r="M780" s="6" t="s">
        <v>4282</v>
      </c>
      <c r="N780" s="24">
        <v>987.4</v>
      </c>
      <c r="O780" s="22" t="str">
        <f>IF(Table2[[#This Row],[CouponCode]]="N/A", "Not Used", "Used")</f>
        <v>Used</v>
      </c>
    </row>
    <row r="781" spans="1:15" x14ac:dyDescent="0.3">
      <c r="A781" s="6" t="s">
        <v>793</v>
      </c>
      <c r="B781" s="2">
        <v>45261</v>
      </c>
      <c r="C781" s="6" t="s">
        <v>1990</v>
      </c>
      <c r="D781" s="6" t="s">
        <v>2404</v>
      </c>
      <c r="E781" s="9">
        <v>3</v>
      </c>
      <c r="F781" s="24">
        <v>588.74</v>
      </c>
      <c r="G781" t="s">
        <v>2919</v>
      </c>
      <c r="H781" s="6" t="s">
        <v>3065</v>
      </c>
      <c r="I781" s="6" t="s">
        <v>3074</v>
      </c>
      <c r="J781" s="6" t="s">
        <v>3854</v>
      </c>
      <c r="K781" s="9">
        <v>8</v>
      </c>
      <c r="L781" s="6" t="s">
        <v>4276</v>
      </c>
      <c r="M781" s="6" t="s">
        <v>4280</v>
      </c>
      <c r="N781" s="24">
        <v>1766.22</v>
      </c>
      <c r="O781" s="22" t="str">
        <f>IF(Table2[[#This Row],[CouponCode]]="N/A", "Not Used", "Used")</f>
        <v>Used</v>
      </c>
    </row>
    <row r="782" spans="1:15" x14ac:dyDescent="0.3">
      <c r="A782" s="6" t="s">
        <v>794</v>
      </c>
      <c r="B782" s="2">
        <v>45382</v>
      </c>
      <c r="C782" s="6" t="s">
        <v>1991</v>
      </c>
      <c r="D782" s="6" t="s">
        <v>2408</v>
      </c>
      <c r="E782" s="9">
        <v>4</v>
      </c>
      <c r="F782" s="24">
        <v>184.48</v>
      </c>
      <c r="G782" t="s">
        <v>2755</v>
      </c>
      <c r="H782" s="6" t="s">
        <v>3066</v>
      </c>
      <c r="I782" s="6" t="s">
        <v>3071</v>
      </c>
      <c r="J782" s="6" t="s">
        <v>3855</v>
      </c>
      <c r="K782" s="9">
        <v>4</v>
      </c>
      <c r="L782" s="6" t="s">
        <v>4277</v>
      </c>
      <c r="M782" s="6" t="s">
        <v>4282</v>
      </c>
      <c r="N782" s="24">
        <v>737.92</v>
      </c>
      <c r="O782" s="22" t="str">
        <f>IF(Table2[[#This Row],[CouponCode]]="N/A", "Not Used", "Used")</f>
        <v>Used</v>
      </c>
    </row>
    <row r="783" spans="1:15" x14ac:dyDescent="0.3">
      <c r="A783" s="6" t="s">
        <v>795</v>
      </c>
      <c r="B783" s="2">
        <v>45301</v>
      </c>
      <c r="C783" s="6" t="s">
        <v>1992</v>
      </c>
      <c r="D783" s="6" t="s">
        <v>2404</v>
      </c>
      <c r="E783" s="9">
        <v>5</v>
      </c>
      <c r="F783" s="24">
        <v>524.26</v>
      </c>
      <c r="G783" t="s">
        <v>2415</v>
      </c>
      <c r="H783" s="6" t="s">
        <v>3068</v>
      </c>
      <c r="I783" s="6" t="s">
        <v>3073</v>
      </c>
      <c r="J783" s="6" t="s">
        <v>3856</v>
      </c>
      <c r="K783" s="9">
        <v>5</v>
      </c>
      <c r="L783" s="6" t="s">
        <v>4276</v>
      </c>
      <c r="M783" s="6" t="s">
        <v>4279</v>
      </c>
      <c r="N783" s="24">
        <v>2621.3000000000002</v>
      </c>
      <c r="O783" s="22" t="str">
        <f>IF(Table2[[#This Row],[CouponCode]]="N/A", "Not Used", "Used")</f>
        <v>Used</v>
      </c>
    </row>
    <row r="784" spans="1:15" x14ac:dyDescent="0.3">
      <c r="A784" s="6" t="s">
        <v>796</v>
      </c>
      <c r="B784" s="2">
        <v>45515</v>
      </c>
      <c r="C784" s="6" t="s">
        <v>1993</v>
      </c>
      <c r="D784" s="6" t="s">
        <v>2403</v>
      </c>
      <c r="E784" s="9">
        <v>2</v>
      </c>
      <c r="F784" s="24">
        <v>493.63</v>
      </c>
      <c r="G784" t="s">
        <v>2824</v>
      </c>
      <c r="H784" s="6" t="s">
        <v>3066</v>
      </c>
      <c r="I784" s="6" t="s">
        <v>3072</v>
      </c>
      <c r="J784" s="6" t="s">
        <v>3857</v>
      </c>
      <c r="K784" s="9">
        <v>6</v>
      </c>
      <c r="L784" s="6" t="s">
        <v>4275</v>
      </c>
      <c r="M784" s="6" t="s">
        <v>4279</v>
      </c>
      <c r="N784" s="24">
        <v>987.26</v>
      </c>
      <c r="O784" s="22" t="str">
        <f>IF(Table2[[#This Row],[CouponCode]]="N/A", "Not Used", "Used")</f>
        <v>Used</v>
      </c>
    </row>
    <row r="785" spans="1:15" x14ac:dyDescent="0.3">
      <c r="A785" s="6" t="s">
        <v>797</v>
      </c>
      <c r="B785" s="2">
        <v>45803</v>
      </c>
      <c r="C785" s="6" t="s">
        <v>1994</v>
      </c>
      <c r="D785" s="6" t="s">
        <v>2407</v>
      </c>
      <c r="E785" s="9">
        <v>1</v>
      </c>
      <c r="F785" s="24">
        <v>438.34</v>
      </c>
      <c r="G785" t="s">
        <v>2888</v>
      </c>
      <c r="H785" s="6" t="s">
        <v>3068</v>
      </c>
      <c r="I785" s="6" t="s">
        <v>3072</v>
      </c>
      <c r="J785" s="6" t="s">
        <v>3858</v>
      </c>
      <c r="K785" s="9">
        <v>5</v>
      </c>
      <c r="L785" s="6" t="s">
        <v>4276</v>
      </c>
      <c r="M785" s="6" t="s">
        <v>4281</v>
      </c>
      <c r="N785" s="24">
        <v>438.34</v>
      </c>
      <c r="O785" s="22" t="str">
        <f>IF(Table2[[#This Row],[CouponCode]]="N/A", "Not Used", "Used")</f>
        <v>Used</v>
      </c>
    </row>
    <row r="786" spans="1:15" x14ac:dyDescent="0.3">
      <c r="A786" s="6" t="s">
        <v>798</v>
      </c>
      <c r="B786" s="2">
        <v>45793</v>
      </c>
      <c r="C786" s="6" t="s">
        <v>1995</v>
      </c>
      <c r="D786" s="6" t="s">
        <v>2408</v>
      </c>
      <c r="E786" s="9">
        <v>1</v>
      </c>
      <c r="F786" s="24">
        <v>325.81</v>
      </c>
      <c r="G786" t="s">
        <v>2459</v>
      </c>
      <c r="H786" s="6" t="s">
        <v>3067</v>
      </c>
      <c r="I786" s="6" t="s">
        <v>3074</v>
      </c>
      <c r="J786" s="6" t="s">
        <v>3859</v>
      </c>
      <c r="K786" s="9">
        <v>1</v>
      </c>
      <c r="L786" s="6" t="s">
        <v>4277</v>
      </c>
      <c r="M786" s="6" t="s">
        <v>4279</v>
      </c>
      <c r="N786" s="24">
        <v>325.81</v>
      </c>
      <c r="O786" s="22" t="str">
        <f>IF(Table2[[#This Row],[CouponCode]]="N/A", "Not Used", "Used")</f>
        <v>Used</v>
      </c>
    </row>
    <row r="787" spans="1:15" x14ac:dyDescent="0.3">
      <c r="A787" s="6" t="s">
        <v>799</v>
      </c>
      <c r="B787" s="2">
        <v>45136</v>
      </c>
      <c r="C787" s="6" t="s">
        <v>1996</v>
      </c>
      <c r="D787" s="6" t="s">
        <v>2406</v>
      </c>
      <c r="E787" s="9">
        <v>1</v>
      </c>
      <c r="F787" s="24">
        <v>176.1</v>
      </c>
      <c r="G787" t="s">
        <v>2920</v>
      </c>
      <c r="H787" s="6" t="s">
        <v>3067</v>
      </c>
      <c r="I787" s="6" t="s">
        <v>3074</v>
      </c>
      <c r="J787" s="6" t="s">
        <v>3860</v>
      </c>
      <c r="K787" s="9">
        <v>1</v>
      </c>
      <c r="L787" s="6" t="s">
        <v>4275</v>
      </c>
      <c r="M787" s="6" t="s">
        <v>4278</v>
      </c>
      <c r="N787" s="24">
        <v>176.1</v>
      </c>
      <c r="O787" s="22" t="str">
        <f>IF(Table2[[#This Row],[CouponCode]]="N/A", "Not Used", "Used")</f>
        <v>Used</v>
      </c>
    </row>
    <row r="788" spans="1:15" x14ac:dyDescent="0.3">
      <c r="A788" s="6" t="s">
        <v>800</v>
      </c>
      <c r="B788" s="2">
        <v>45161</v>
      </c>
      <c r="C788" s="6" t="s">
        <v>1997</v>
      </c>
      <c r="D788" s="6" t="s">
        <v>2406</v>
      </c>
      <c r="E788" s="9">
        <v>5</v>
      </c>
      <c r="F788" s="24">
        <v>45.31</v>
      </c>
      <c r="G788" t="s">
        <v>2921</v>
      </c>
      <c r="H788" s="6" t="s">
        <v>3066</v>
      </c>
      <c r="I788" s="6" t="s">
        <v>3071</v>
      </c>
      <c r="J788" s="6" t="s">
        <v>3861</v>
      </c>
      <c r="K788" s="9">
        <v>8</v>
      </c>
      <c r="L788" s="6" t="s">
        <v>4283</v>
      </c>
      <c r="M788" s="6" t="s">
        <v>4279</v>
      </c>
      <c r="N788" s="24">
        <v>226.55</v>
      </c>
      <c r="O788" s="22" t="str">
        <f>IF(Table2[[#This Row],[CouponCode]]="N/A", "Not Used", "Used")</f>
        <v>Not Used</v>
      </c>
    </row>
    <row r="789" spans="1:15" x14ac:dyDescent="0.3">
      <c r="A789" s="6" t="s">
        <v>801</v>
      </c>
      <c r="B789" s="2">
        <v>45368</v>
      </c>
      <c r="C789" s="6" t="s">
        <v>1998</v>
      </c>
      <c r="D789" s="6" t="s">
        <v>2409</v>
      </c>
      <c r="E789" s="9">
        <v>4</v>
      </c>
      <c r="F789" s="24">
        <v>221.96</v>
      </c>
      <c r="G789" t="s">
        <v>2922</v>
      </c>
      <c r="H789" s="6" t="s">
        <v>3069</v>
      </c>
      <c r="I789" s="6" t="s">
        <v>3073</v>
      </c>
      <c r="J789" s="6" t="s">
        <v>3862</v>
      </c>
      <c r="K789" s="9">
        <v>7</v>
      </c>
      <c r="L789" s="6" t="s">
        <v>4283</v>
      </c>
      <c r="M789" s="6" t="s">
        <v>4282</v>
      </c>
      <c r="N789" s="24">
        <v>887.84</v>
      </c>
      <c r="O789" s="22" t="str">
        <f>IF(Table2[[#This Row],[CouponCode]]="N/A", "Not Used", "Used")</f>
        <v>Not Used</v>
      </c>
    </row>
    <row r="790" spans="1:15" x14ac:dyDescent="0.3">
      <c r="A790" s="6" t="s">
        <v>802</v>
      </c>
      <c r="B790" s="2">
        <v>45232</v>
      </c>
      <c r="C790" s="6" t="s">
        <v>1999</v>
      </c>
      <c r="D790" s="6" t="s">
        <v>2406</v>
      </c>
      <c r="E790" s="9">
        <v>2</v>
      </c>
      <c r="F790" s="24">
        <v>601.42999999999995</v>
      </c>
      <c r="G790" t="s">
        <v>2923</v>
      </c>
      <c r="H790" s="6" t="s">
        <v>3066</v>
      </c>
      <c r="I790" s="6" t="s">
        <v>3074</v>
      </c>
      <c r="J790" s="6" t="s">
        <v>3863</v>
      </c>
      <c r="K790" s="9">
        <v>5</v>
      </c>
      <c r="L790" s="6" t="s">
        <v>4276</v>
      </c>
      <c r="M790" s="6" t="s">
        <v>4278</v>
      </c>
      <c r="N790" s="24">
        <v>1202.8599999999999</v>
      </c>
      <c r="O790" s="22" t="str">
        <f>IF(Table2[[#This Row],[CouponCode]]="N/A", "Not Used", "Used")</f>
        <v>Used</v>
      </c>
    </row>
    <row r="791" spans="1:15" x14ac:dyDescent="0.3">
      <c r="A791" s="6" t="s">
        <v>803</v>
      </c>
      <c r="B791" s="2">
        <v>45155</v>
      </c>
      <c r="C791" s="6" t="s">
        <v>2000</v>
      </c>
      <c r="D791" s="6" t="s">
        <v>2405</v>
      </c>
      <c r="E791" s="9">
        <v>5</v>
      </c>
      <c r="F791" s="24">
        <v>691.28</v>
      </c>
      <c r="G791" t="s">
        <v>2924</v>
      </c>
      <c r="H791" s="6" t="s">
        <v>3066</v>
      </c>
      <c r="I791" s="6" t="s">
        <v>3073</v>
      </c>
      <c r="J791" s="6" t="s">
        <v>3864</v>
      </c>
      <c r="K791" s="9">
        <v>10</v>
      </c>
      <c r="L791" s="6" t="s">
        <v>4275</v>
      </c>
      <c r="M791" s="6" t="s">
        <v>4280</v>
      </c>
      <c r="N791" s="24">
        <v>3456.4</v>
      </c>
      <c r="O791" s="22" t="str">
        <f>IF(Table2[[#This Row],[CouponCode]]="N/A", "Not Used", "Used")</f>
        <v>Used</v>
      </c>
    </row>
    <row r="792" spans="1:15" x14ac:dyDescent="0.3">
      <c r="A792" s="6" t="s">
        <v>804</v>
      </c>
      <c r="B792" s="2">
        <v>45549</v>
      </c>
      <c r="C792" s="6" t="s">
        <v>2001</v>
      </c>
      <c r="D792" s="6" t="s">
        <v>2408</v>
      </c>
      <c r="E792" s="9">
        <v>4</v>
      </c>
      <c r="F792" s="24">
        <v>417.89</v>
      </c>
      <c r="G792" t="s">
        <v>2925</v>
      </c>
      <c r="H792" s="6" t="s">
        <v>3068</v>
      </c>
      <c r="I792" s="6" t="s">
        <v>3074</v>
      </c>
      <c r="J792" s="6" t="s">
        <v>3865</v>
      </c>
      <c r="K792" s="9">
        <v>4</v>
      </c>
      <c r="L792" s="6" t="s">
        <v>4283</v>
      </c>
      <c r="M792" s="6" t="s">
        <v>4282</v>
      </c>
      <c r="N792" s="24">
        <v>1671.56</v>
      </c>
      <c r="O792" s="22" t="str">
        <f>IF(Table2[[#This Row],[CouponCode]]="N/A", "Not Used", "Used")</f>
        <v>Not Used</v>
      </c>
    </row>
    <row r="793" spans="1:15" x14ac:dyDescent="0.3">
      <c r="A793" s="6" t="s">
        <v>805</v>
      </c>
      <c r="B793" s="2">
        <v>45304</v>
      </c>
      <c r="C793" s="6" t="s">
        <v>2002</v>
      </c>
      <c r="D793" s="6" t="s">
        <v>2406</v>
      </c>
      <c r="E793" s="9">
        <v>4</v>
      </c>
      <c r="F793" s="24">
        <v>409.28</v>
      </c>
      <c r="G793" t="s">
        <v>2434</v>
      </c>
      <c r="H793" s="6" t="s">
        <v>3069</v>
      </c>
      <c r="I793" s="6" t="s">
        <v>3074</v>
      </c>
      <c r="J793" s="6" t="s">
        <v>3866</v>
      </c>
      <c r="K793" s="9">
        <v>8</v>
      </c>
      <c r="L793" s="6" t="s">
        <v>4283</v>
      </c>
      <c r="M793" s="6" t="s">
        <v>4280</v>
      </c>
      <c r="N793" s="24">
        <v>1637.12</v>
      </c>
      <c r="O793" s="22" t="str">
        <f>IF(Table2[[#This Row],[CouponCode]]="N/A", "Not Used", "Used")</f>
        <v>Not Used</v>
      </c>
    </row>
    <row r="794" spans="1:15" x14ac:dyDescent="0.3">
      <c r="A794" s="6" t="s">
        <v>806</v>
      </c>
      <c r="B794" s="2">
        <v>45093</v>
      </c>
      <c r="C794" s="6" t="s">
        <v>2003</v>
      </c>
      <c r="D794" s="6" t="s">
        <v>2409</v>
      </c>
      <c r="E794" s="9">
        <v>2</v>
      </c>
      <c r="F794" s="24">
        <v>356.35</v>
      </c>
      <c r="G794" t="s">
        <v>2926</v>
      </c>
      <c r="H794" s="6" t="s">
        <v>3065</v>
      </c>
      <c r="I794" s="6" t="s">
        <v>3072</v>
      </c>
      <c r="J794" s="6" t="s">
        <v>3867</v>
      </c>
      <c r="K794" s="9">
        <v>6</v>
      </c>
      <c r="L794" s="6" t="s">
        <v>4277</v>
      </c>
      <c r="M794" s="6" t="s">
        <v>4281</v>
      </c>
      <c r="N794" s="24">
        <v>712.7</v>
      </c>
      <c r="O794" s="22" t="str">
        <f>IF(Table2[[#This Row],[CouponCode]]="N/A", "Not Used", "Used")</f>
        <v>Used</v>
      </c>
    </row>
    <row r="795" spans="1:15" x14ac:dyDescent="0.3">
      <c r="A795" s="6" t="s">
        <v>807</v>
      </c>
      <c r="B795" s="2">
        <v>45397</v>
      </c>
      <c r="C795" s="6" t="s">
        <v>2004</v>
      </c>
      <c r="D795" s="6" t="s">
        <v>2406</v>
      </c>
      <c r="E795" s="9">
        <v>5</v>
      </c>
      <c r="F795" s="24">
        <v>170.22</v>
      </c>
      <c r="G795" t="s">
        <v>2745</v>
      </c>
      <c r="H795" s="6" t="s">
        <v>3065</v>
      </c>
      <c r="I795" s="6" t="s">
        <v>3073</v>
      </c>
      <c r="J795" s="6" t="s">
        <v>3868</v>
      </c>
      <c r="K795" s="9">
        <v>8</v>
      </c>
      <c r="L795" s="6" t="s">
        <v>4283</v>
      </c>
      <c r="M795" s="6" t="s">
        <v>4279</v>
      </c>
      <c r="N795" s="24">
        <v>851.1</v>
      </c>
      <c r="O795" s="22" t="str">
        <f>IF(Table2[[#This Row],[CouponCode]]="N/A", "Not Used", "Used")</f>
        <v>Not Used</v>
      </c>
    </row>
    <row r="796" spans="1:15" x14ac:dyDescent="0.3">
      <c r="A796" s="6" t="s">
        <v>808</v>
      </c>
      <c r="B796" s="2">
        <v>44994</v>
      </c>
      <c r="C796" s="6" t="s">
        <v>2005</v>
      </c>
      <c r="D796" s="6" t="s">
        <v>2407</v>
      </c>
      <c r="E796" s="9">
        <v>4</v>
      </c>
      <c r="F796" s="24">
        <v>384.85</v>
      </c>
      <c r="G796" t="s">
        <v>2927</v>
      </c>
      <c r="H796" s="6" t="s">
        <v>3066</v>
      </c>
      <c r="I796" s="6" t="s">
        <v>3073</v>
      </c>
      <c r="J796" s="6" t="s">
        <v>3869</v>
      </c>
      <c r="K796" s="9">
        <v>9</v>
      </c>
      <c r="L796" s="6" t="s">
        <v>4276</v>
      </c>
      <c r="M796" s="6" t="s">
        <v>4278</v>
      </c>
      <c r="N796" s="24">
        <v>1539.4</v>
      </c>
      <c r="O796" s="22" t="str">
        <f>IF(Table2[[#This Row],[CouponCode]]="N/A", "Not Used", "Used")</f>
        <v>Used</v>
      </c>
    </row>
    <row r="797" spans="1:15" x14ac:dyDescent="0.3">
      <c r="A797" s="6" t="s">
        <v>809</v>
      </c>
      <c r="B797" s="2">
        <v>45616</v>
      </c>
      <c r="C797" s="6" t="s">
        <v>2006</v>
      </c>
      <c r="D797" s="6" t="s">
        <v>2408</v>
      </c>
      <c r="E797" s="9">
        <v>4</v>
      </c>
      <c r="F797" s="24">
        <v>115.77</v>
      </c>
      <c r="G797" t="s">
        <v>2928</v>
      </c>
      <c r="H797" s="6" t="s">
        <v>3066</v>
      </c>
      <c r="I797" s="6" t="s">
        <v>3074</v>
      </c>
      <c r="J797" s="6" t="s">
        <v>3870</v>
      </c>
      <c r="K797" s="9">
        <v>7</v>
      </c>
      <c r="L797" s="6" t="s">
        <v>4275</v>
      </c>
      <c r="M797" s="6" t="s">
        <v>4278</v>
      </c>
      <c r="N797" s="24">
        <v>463.08</v>
      </c>
      <c r="O797" s="22" t="str">
        <f>IF(Table2[[#This Row],[CouponCode]]="N/A", "Not Used", "Used")</f>
        <v>Used</v>
      </c>
    </row>
    <row r="798" spans="1:15" x14ac:dyDescent="0.3">
      <c r="A798" s="6" t="s">
        <v>810</v>
      </c>
      <c r="B798" s="2">
        <v>45776</v>
      </c>
      <c r="C798" s="6" t="s">
        <v>2007</v>
      </c>
      <c r="D798" s="6" t="s">
        <v>2404</v>
      </c>
      <c r="E798" s="9">
        <v>3</v>
      </c>
      <c r="F798" s="24">
        <v>579.54999999999995</v>
      </c>
      <c r="G798" t="s">
        <v>2599</v>
      </c>
      <c r="H798" s="6" t="s">
        <v>3068</v>
      </c>
      <c r="I798" s="6" t="s">
        <v>3072</v>
      </c>
      <c r="J798" s="6" t="s">
        <v>3871</v>
      </c>
      <c r="K798" s="9">
        <v>8</v>
      </c>
      <c r="L798" s="6" t="s">
        <v>4277</v>
      </c>
      <c r="M798" s="6" t="s">
        <v>4281</v>
      </c>
      <c r="N798" s="24">
        <v>1738.65</v>
      </c>
      <c r="O798" s="22" t="str">
        <f>IF(Table2[[#This Row],[CouponCode]]="N/A", "Not Used", "Used")</f>
        <v>Used</v>
      </c>
    </row>
    <row r="799" spans="1:15" x14ac:dyDescent="0.3">
      <c r="A799" s="6" t="s">
        <v>811</v>
      </c>
      <c r="B799" s="2">
        <v>44984</v>
      </c>
      <c r="C799" s="6" t="s">
        <v>2008</v>
      </c>
      <c r="D799" s="6" t="s">
        <v>2408</v>
      </c>
      <c r="E799" s="9">
        <v>2</v>
      </c>
      <c r="F799" s="24">
        <v>438.76</v>
      </c>
      <c r="G799" t="s">
        <v>2929</v>
      </c>
      <c r="H799" s="6" t="s">
        <v>3065</v>
      </c>
      <c r="I799" s="6" t="s">
        <v>3072</v>
      </c>
      <c r="J799" s="6" t="s">
        <v>3872</v>
      </c>
      <c r="K799" s="9">
        <v>2</v>
      </c>
      <c r="L799" s="6" t="s">
        <v>4283</v>
      </c>
      <c r="M799" s="6" t="s">
        <v>4281</v>
      </c>
      <c r="N799" s="24">
        <v>877.52</v>
      </c>
      <c r="O799" s="22" t="str">
        <f>IF(Table2[[#This Row],[CouponCode]]="N/A", "Not Used", "Used")</f>
        <v>Not Used</v>
      </c>
    </row>
    <row r="800" spans="1:15" x14ac:dyDescent="0.3">
      <c r="A800" s="6" t="s">
        <v>812</v>
      </c>
      <c r="B800" s="2">
        <v>45796</v>
      </c>
      <c r="C800" s="6" t="s">
        <v>2009</v>
      </c>
      <c r="D800" s="6" t="s">
        <v>2404</v>
      </c>
      <c r="E800" s="9">
        <v>5</v>
      </c>
      <c r="F800" s="24">
        <v>488.35</v>
      </c>
      <c r="G800" t="s">
        <v>2672</v>
      </c>
      <c r="H800" s="6" t="s">
        <v>3065</v>
      </c>
      <c r="I800" s="6" t="s">
        <v>3072</v>
      </c>
      <c r="J800" s="6" t="s">
        <v>3873</v>
      </c>
      <c r="K800" s="9">
        <v>9</v>
      </c>
      <c r="L800" s="6" t="s">
        <v>4276</v>
      </c>
      <c r="M800" s="6" t="s">
        <v>4280</v>
      </c>
      <c r="N800" s="24">
        <v>2441.75</v>
      </c>
      <c r="O800" s="22" t="str">
        <f>IF(Table2[[#This Row],[CouponCode]]="N/A", "Not Used", "Used")</f>
        <v>Used</v>
      </c>
    </row>
    <row r="801" spans="1:15" x14ac:dyDescent="0.3">
      <c r="A801" s="6" t="s">
        <v>813</v>
      </c>
      <c r="B801" s="2">
        <v>45032</v>
      </c>
      <c r="C801" s="6" t="s">
        <v>2010</v>
      </c>
      <c r="D801" s="6" t="s">
        <v>2408</v>
      </c>
      <c r="E801" s="9">
        <v>4</v>
      </c>
      <c r="F801" s="24">
        <v>328.56</v>
      </c>
      <c r="G801" t="s">
        <v>2638</v>
      </c>
      <c r="H801" s="6" t="s">
        <v>3065</v>
      </c>
      <c r="I801" s="6" t="s">
        <v>3072</v>
      </c>
      <c r="J801" s="6" t="s">
        <v>3874</v>
      </c>
      <c r="K801" s="9">
        <v>4</v>
      </c>
      <c r="L801" s="6" t="s">
        <v>4276</v>
      </c>
      <c r="M801" s="6" t="s">
        <v>4280</v>
      </c>
      <c r="N801" s="24">
        <v>1314.24</v>
      </c>
      <c r="O801" s="22" t="str">
        <f>IF(Table2[[#This Row],[CouponCode]]="N/A", "Not Used", "Used")</f>
        <v>Used</v>
      </c>
    </row>
    <row r="802" spans="1:15" x14ac:dyDescent="0.3">
      <c r="A802" s="6" t="s">
        <v>814</v>
      </c>
      <c r="B802" s="2">
        <v>45744</v>
      </c>
      <c r="C802" s="6" t="s">
        <v>2011</v>
      </c>
      <c r="D802" s="6" t="s">
        <v>2405</v>
      </c>
      <c r="E802" s="9">
        <v>1</v>
      </c>
      <c r="F802" s="24">
        <v>68.39</v>
      </c>
      <c r="G802" t="s">
        <v>2930</v>
      </c>
      <c r="H802" s="6" t="s">
        <v>3066</v>
      </c>
      <c r="I802" s="6" t="s">
        <v>3072</v>
      </c>
      <c r="J802" s="6" t="s">
        <v>3875</v>
      </c>
      <c r="K802" s="9">
        <v>3</v>
      </c>
      <c r="L802" s="6" t="s">
        <v>4277</v>
      </c>
      <c r="M802" s="6" t="s">
        <v>4281</v>
      </c>
      <c r="N802" s="24">
        <v>68.39</v>
      </c>
      <c r="O802" s="22" t="str">
        <f>IF(Table2[[#This Row],[CouponCode]]="N/A", "Not Used", "Used")</f>
        <v>Used</v>
      </c>
    </row>
    <row r="803" spans="1:15" x14ac:dyDescent="0.3">
      <c r="A803" s="6" t="s">
        <v>815</v>
      </c>
      <c r="B803" s="2">
        <v>45049</v>
      </c>
      <c r="C803" s="6" t="s">
        <v>1241</v>
      </c>
      <c r="D803" s="6" t="s">
        <v>2407</v>
      </c>
      <c r="E803" s="9">
        <v>4</v>
      </c>
      <c r="F803" s="24">
        <v>595.62</v>
      </c>
      <c r="G803" t="s">
        <v>2931</v>
      </c>
      <c r="H803" s="6" t="s">
        <v>3065</v>
      </c>
      <c r="I803" s="6" t="s">
        <v>3074</v>
      </c>
      <c r="J803" s="6" t="s">
        <v>3876</v>
      </c>
      <c r="K803" s="9">
        <v>8</v>
      </c>
      <c r="L803" s="6" t="s">
        <v>4276</v>
      </c>
      <c r="M803" s="6" t="s">
        <v>4281</v>
      </c>
      <c r="N803" s="24">
        <v>2382.48</v>
      </c>
      <c r="O803" s="22" t="str">
        <f>IF(Table2[[#This Row],[CouponCode]]="N/A", "Not Used", "Used")</f>
        <v>Used</v>
      </c>
    </row>
    <row r="804" spans="1:15" x14ac:dyDescent="0.3">
      <c r="A804" s="6" t="s">
        <v>816</v>
      </c>
      <c r="B804" s="2">
        <v>45339</v>
      </c>
      <c r="C804" s="6" t="s">
        <v>2012</v>
      </c>
      <c r="D804" s="6" t="s">
        <v>2406</v>
      </c>
      <c r="E804" s="9">
        <v>5</v>
      </c>
      <c r="F804" s="24">
        <v>644.64</v>
      </c>
      <c r="G804" t="s">
        <v>2932</v>
      </c>
      <c r="H804" s="6" t="s">
        <v>3068</v>
      </c>
      <c r="I804" s="6" t="s">
        <v>3071</v>
      </c>
      <c r="J804" s="6" t="s">
        <v>3877</v>
      </c>
      <c r="K804" s="9">
        <v>6</v>
      </c>
      <c r="L804" s="6" t="s">
        <v>4276</v>
      </c>
      <c r="M804" s="6" t="s">
        <v>4280</v>
      </c>
      <c r="N804" s="24">
        <v>3223.2</v>
      </c>
      <c r="O804" s="22" t="str">
        <f>IF(Table2[[#This Row],[CouponCode]]="N/A", "Not Used", "Used")</f>
        <v>Used</v>
      </c>
    </row>
    <row r="805" spans="1:15" x14ac:dyDescent="0.3">
      <c r="A805" s="6" t="s">
        <v>817</v>
      </c>
      <c r="B805" s="2">
        <v>45158</v>
      </c>
      <c r="C805" s="6" t="s">
        <v>2013</v>
      </c>
      <c r="D805" s="6" t="s">
        <v>2403</v>
      </c>
      <c r="E805" s="9">
        <v>5</v>
      </c>
      <c r="F805" s="24">
        <v>397.81</v>
      </c>
      <c r="G805" t="s">
        <v>2454</v>
      </c>
      <c r="H805" s="6" t="s">
        <v>3065</v>
      </c>
      <c r="I805" s="6" t="s">
        <v>3072</v>
      </c>
      <c r="J805" s="6" t="s">
        <v>3878</v>
      </c>
      <c r="K805" s="9">
        <v>5</v>
      </c>
      <c r="L805" s="6" t="s">
        <v>4275</v>
      </c>
      <c r="M805" s="6" t="s">
        <v>4279</v>
      </c>
      <c r="N805" s="24">
        <v>1989.05</v>
      </c>
      <c r="O805" s="22" t="str">
        <f>IF(Table2[[#This Row],[CouponCode]]="N/A", "Not Used", "Used")</f>
        <v>Used</v>
      </c>
    </row>
    <row r="806" spans="1:15" x14ac:dyDescent="0.3">
      <c r="A806" s="6" t="s">
        <v>818</v>
      </c>
      <c r="B806" s="2">
        <v>45292</v>
      </c>
      <c r="C806" s="6" t="s">
        <v>2014</v>
      </c>
      <c r="D806" s="6" t="s">
        <v>2406</v>
      </c>
      <c r="E806" s="9">
        <v>3</v>
      </c>
      <c r="F806" s="24">
        <v>236.5</v>
      </c>
      <c r="G806" t="s">
        <v>2933</v>
      </c>
      <c r="H806" s="6" t="s">
        <v>3066</v>
      </c>
      <c r="I806" s="6" t="s">
        <v>3073</v>
      </c>
      <c r="J806" s="6" t="s">
        <v>3879</v>
      </c>
      <c r="K806" s="9">
        <v>8</v>
      </c>
      <c r="L806" s="6" t="s">
        <v>4276</v>
      </c>
      <c r="M806" s="6" t="s">
        <v>4280</v>
      </c>
      <c r="N806" s="24">
        <v>709.5</v>
      </c>
      <c r="O806" s="22" t="str">
        <f>IF(Table2[[#This Row],[CouponCode]]="N/A", "Not Used", "Used")</f>
        <v>Used</v>
      </c>
    </row>
    <row r="807" spans="1:15" x14ac:dyDescent="0.3">
      <c r="A807" s="6" t="s">
        <v>819</v>
      </c>
      <c r="B807" s="2">
        <v>45580</v>
      </c>
      <c r="C807" s="6" t="s">
        <v>2015</v>
      </c>
      <c r="D807" s="6" t="s">
        <v>2408</v>
      </c>
      <c r="E807" s="9">
        <v>5</v>
      </c>
      <c r="F807" s="24">
        <v>472.01</v>
      </c>
      <c r="G807" t="s">
        <v>2934</v>
      </c>
      <c r="H807" s="6" t="s">
        <v>3068</v>
      </c>
      <c r="I807" s="6" t="s">
        <v>3071</v>
      </c>
      <c r="J807" s="6" t="s">
        <v>3880</v>
      </c>
      <c r="K807" s="9">
        <v>10</v>
      </c>
      <c r="L807" s="6" t="s">
        <v>4275</v>
      </c>
      <c r="M807" s="6" t="s">
        <v>4280</v>
      </c>
      <c r="N807" s="24">
        <v>2360.0500000000002</v>
      </c>
      <c r="O807" s="22" t="str">
        <f>IF(Table2[[#This Row],[CouponCode]]="N/A", "Not Used", "Used")</f>
        <v>Used</v>
      </c>
    </row>
    <row r="808" spans="1:15" x14ac:dyDescent="0.3">
      <c r="A808" s="6" t="s">
        <v>820</v>
      </c>
      <c r="B808" s="2">
        <v>45170</v>
      </c>
      <c r="C808" s="6" t="s">
        <v>2016</v>
      </c>
      <c r="D808" s="6" t="s">
        <v>2406</v>
      </c>
      <c r="E808" s="9">
        <v>5</v>
      </c>
      <c r="F808" s="24">
        <v>253.75</v>
      </c>
      <c r="G808" t="s">
        <v>2650</v>
      </c>
      <c r="H808" s="6" t="s">
        <v>3066</v>
      </c>
      <c r="I808" s="6" t="s">
        <v>3074</v>
      </c>
      <c r="J808" s="6" t="s">
        <v>3881</v>
      </c>
      <c r="K808" s="9">
        <v>9</v>
      </c>
      <c r="L808" s="6" t="s">
        <v>4277</v>
      </c>
      <c r="M808" s="6" t="s">
        <v>4278</v>
      </c>
      <c r="N808" s="24">
        <v>1268.75</v>
      </c>
      <c r="O808" s="22" t="str">
        <f>IF(Table2[[#This Row],[CouponCode]]="N/A", "Not Used", "Used")</f>
        <v>Used</v>
      </c>
    </row>
    <row r="809" spans="1:15" x14ac:dyDescent="0.3">
      <c r="A809" s="6" t="s">
        <v>821</v>
      </c>
      <c r="B809" s="2">
        <v>45606</v>
      </c>
      <c r="C809" s="6" t="s">
        <v>2017</v>
      </c>
      <c r="D809" s="6" t="s">
        <v>2403</v>
      </c>
      <c r="E809" s="9">
        <v>3</v>
      </c>
      <c r="F809" s="24">
        <v>676.21</v>
      </c>
      <c r="G809" t="s">
        <v>2935</v>
      </c>
      <c r="H809" s="6" t="s">
        <v>3066</v>
      </c>
      <c r="I809" s="6" t="s">
        <v>3073</v>
      </c>
      <c r="J809" s="6" t="s">
        <v>3882</v>
      </c>
      <c r="K809" s="9">
        <v>5</v>
      </c>
      <c r="L809" s="6" t="s">
        <v>4275</v>
      </c>
      <c r="M809" s="6" t="s">
        <v>4282</v>
      </c>
      <c r="N809" s="24">
        <v>2028.63</v>
      </c>
      <c r="O809" s="22" t="str">
        <f>IF(Table2[[#This Row],[CouponCode]]="N/A", "Not Used", "Used")</f>
        <v>Used</v>
      </c>
    </row>
    <row r="810" spans="1:15" x14ac:dyDescent="0.3">
      <c r="A810" s="6" t="s">
        <v>822</v>
      </c>
      <c r="B810" s="2">
        <v>45335</v>
      </c>
      <c r="C810" s="6" t="s">
        <v>2018</v>
      </c>
      <c r="D810" s="6" t="s">
        <v>2409</v>
      </c>
      <c r="E810" s="9">
        <v>3</v>
      </c>
      <c r="F810" s="24">
        <v>134.05000000000001</v>
      </c>
      <c r="G810" t="s">
        <v>2936</v>
      </c>
      <c r="H810" s="6" t="s">
        <v>3067</v>
      </c>
      <c r="I810" s="6" t="s">
        <v>3070</v>
      </c>
      <c r="J810" s="6" t="s">
        <v>3883</v>
      </c>
      <c r="K810" s="9">
        <v>3</v>
      </c>
      <c r="L810" s="6" t="s">
        <v>4283</v>
      </c>
      <c r="M810" s="6" t="s">
        <v>4282</v>
      </c>
      <c r="N810" s="24">
        <v>402.15</v>
      </c>
      <c r="O810" s="22" t="str">
        <f>IF(Table2[[#This Row],[CouponCode]]="N/A", "Not Used", "Used")</f>
        <v>Not Used</v>
      </c>
    </row>
    <row r="811" spans="1:15" x14ac:dyDescent="0.3">
      <c r="A811" s="6" t="s">
        <v>823</v>
      </c>
      <c r="B811" s="2">
        <v>45391</v>
      </c>
      <c r="C811" s="6" t="s">
        <v>2019</v>
      </c>
      <c r="D811" s="6" t="s">
        <v>2409</v>
      </c>
      <c r="E811" s="9">
        <v>5</v>
      </c>
      <c r="F811" s="24">
        <v>217.43</v>
      </c>
      <c r="G811" t="s">
        <v>2470</v>
      </c>
      <c r="H811" s="6" t="s">
        <v>3065</v>
      </c>
      <c r="I811" s="6" t="s">
        <v>3070</v>
      </c>
      <c r="J811" s="6" t="s">
        <v>3884</v>
      </c>
      <c r="K811" s="9">
        <v>10</v>
      </c>
      <c r="L811" s="6" t="s">
        <v>4275</v>
      </c>
      <c r="M811" s="6" t="s">
        <v>4278</v>
      </c>
      <c r="N811" s="24">
        <v>1087.1500000000001</v>
      </c>
      <c r="O811" s="22" t="str">
        <f>IF(Table2[[#This Row],[CouponCode]]="N/A", "Not Used", "Used")</f>
        <v>Used</v>
      </c>
    </row>
    <row r="812" spans="1:15" x14ac:dyDescent="0.3">
      <c r="A812" s="6" t="s">
        <v>824</v>
      </c>
      <c r="B812" s="2">
        <v>45077</v>
      </c>
      <c r="C812" s="6" t="s">
        <v>2020</v>
      </c>
      <c r="D812" s="6" t="s">
        <v>2405</v>
      </c>
      <c r="E812" s="9">
        <v>1</v>
      </c>
      <c r="F812" s="24">
        <v>553.55999999999995</v>
      </c>
      <c r="G812" t="s">
        <v>2937</v>
      </c>
      <c r="H812" s="6" t="s">
        <v>3067</v>
      </c>
      <c r="I812" s="6" t="s">
        <v>3071</v>
      </c>
      <c r="J812" s="6" t="s">
        <v>3885</v>
      </c>
      <c r="K812" s="9">
        <v>5</v>
      </c>
      <c r="L812" s="6" t="s">
        <v>4283</v>
      </c>
      <c r="M812" s="6" t="s">
        <v>4279</v>
      </c>
      <c r="N812" s="24">
        <v>553.55999999999995</v>
      </c>
      <c r="O812" s="22" t="str">
        <f>IF(Table2[[#This Row],[CouponCode]]="N/A", "Not Used", "Used")</f>
        <v>Not Used</v>
      </c>
    </row>
    <row r="813" spans="1:15" x14ac:dyDescent="0.3">
      <c r="A813" s="6" t="s">
        <v>825</v>
      </c>
      <c r="B813" s="2">
        <v>45235</v>
      </c>
      <c r="C813" s="6" t="s">
        <v>2021</v>
      </c>
      <c r="D813" s="6" t="s">
        <v>2408</v>
      </c>
      <c r="E813" s="9">
        <v>2</v>
      </c>
      <c r="F813" s="24">
        <v>28.55</v>
      </c>
      <c r="G813" t="s">
        <v>2907</v>
      </c>
      <c r="H813" s="6" t="s">
        <v>3068</v>
      </c>
      <c r="I813" s="6" t="s">
        <v>3070</v>
      </c>
      <c r="J813" s="6" t="s">
        <v>3886</v>
      </c>
      <c r="K813" s="9">
        <v>7</v>
      </c>
      <c r="L813" s="6" t="s">
        <v>4275</v>
      </c>
      <c r="M813" s="6" t="s">
        <v>4280</v>
      </c>
      <c r="N813" s="24">
        <v>57.1</v>
      </c>
      <c r="O813" s="22" t="str">
        <f>IF(Table2[[#This Row],[CouponCode]]="N/A", "Not Used", "Used")</f>
        <v>Used</v>
      </c>
    </row>
    <row r="814" spans="1:15" x14ac:dyDescent="0.3">
      <c r="A814" s="6" t="s">
        <v>826</v>
      </c>
      <c r="B814" s="2">
        <v>45317</v>
      </c>
      <c r="C814" s="6" t="s">
        <v>2022</v>
      </c>
      <c r="D814" s="6" t="s">
        <v>2404</v>
      </c>
      <c r="E814" s="9">
        <v>2</v>
      </c>
      <c r="F814" s="24">
        <v>255.26</v>
      </c>
      <c r="G814" t="s">
        <v>2638</v>
      </c>
      <c r="H814" s="6" t="s">
        <v>3067</v>
      </c>
      <c r="I814" s="6" t="s">
        <v>3071</v>
      </c>
      <c r="J814" s="6" t="s">
        <v>3887</v>
      </c>
      <c r="K814" s="9">
        <v>6</v>
      </c>
      <c r="L814" s="6" t="s">
        <v>4276</v>
      </c>
      <c r="M814" s="6" t="s">
        <v>4282</v>
      </c>
      <c r="N814" s="24">
        <v>510.52</v>
      </c>
      <c r="O814" s="22" t="str">
        <f>IF(Table2[[#This Row],[CouponCode]]="N/A", "Not Used", "Used")</f>
        <v>Used</v>
      </c>
    </row>
    <row r="815" spans="1:15" x14ac:dyDescent="0.3">
      <c r="A815" s="6" t="s">
        <v>827</v>
      </c>
      <c r="B815" s="2">
        <v>45731</v>
      </c>
      <c r="C815" s="6" t="s">
        <v>2023</v>
      </c>
      <c r="D815" s="6" t="s">
        <v>2408</v>
      </c>
      <c r="E815" s="9">
        <v>5</v>
      </c>
      <c r="F815" s="24">
        <v>292.54000000000002</v>
      </c>
      <c r="G815" t="s">
        <v>2649</v>
      </c>
      <c r="H815" s="6" t="s">
        <v>3065</v>
      </c>
      <c r="I815" s="6" t="s">
        <v>3071</v>
      </c>
      <c r="J815" s="6" t="s">
        <v>3888</v>
      </c>
      <c r="K815" s="9">
        <v>8</v>
      </c>
      <c r="L815" s="6" t="s">
        <v>4276</v>
      </c>
      <c r="M815" s="6" t="s">
        <v>4280</v>
      </c>
      <c r="N815" s="24">
        <v>1462.7</v>
      </c>
      <c r="O815" s="22" t="str">
        <f>IF(Table2[[#This Row],[CouponCode]]="N/A", "Not Used", "Used")</f>
        <v>Used</v>
      </c>
    </row>
    <row r="816" spans="1:15" x14ac:dyDescent="0.3">
      <c r="A816" s="6" t="s">
        <v>828</v>
      </c>
      <c r="B816" s="2">
        <v>45637</v>
      </c>
      <c r="C816" s="6" t="s">
        <v>2024</v>
      </c>
      <c r="D816" s="6" t="s">
        <v>2406</v>
      </c>
      <c r="E816" s="9">
        <v>4</v>
      </c>
      <c r="F816" s="24">
        <v>147.51</v>
      </c>
      <c r="G816" t="s">
        <v>2938</v>
      </c>
      <c r="H816" s="6" t="s">
        <v>3065</v>
      </c>
      <c r="I816" s="6" t="s">
        <v>3074</v>
      </c>
      <c r="J816" s="6" t="s">
        <v>3889</v>
      </c>
      <c r="K816" s="9">
        <v>4</v>
      </c>
      <c r="L816" s="6" t="s">
        <v>4277</v>
      </c>
      <c r="M816" s="6" t="s">
        <v>4278</v>
      </c>
      <c r="N816" s="24">
        <v>590.04</v>
      </c>
      <c r="O816" s="22" t="str">
        <f>IF(Table2[[#This Row],[CouponCode]]="N/A", "Not Used", "Used")</f>
        <v>Used</v>
      </c>
    </row>
    <row r="817" spans="1:15" x14ac:dyDescent="0.3">
      <c r="A817" s="6" t="s">
        <v>829</v>
      </c>
      <c r="B817" s="2">
        <v>45508</v>
      </c>
      <c r="C817" s="6" t="s">
        <v>2025</v>
      </c>
      <c r="D817" s="6" t="s">
        <v>2407</v>
      </c>
      <c r="E817" s="9">
        <v>3</v>
      </c>
      <c r="F817" s="24">
        <v>569.84</v>
      </c>
      <c r="G817" t="s">
        <v>2939</v>
      </c>
      <c r="H817" s="6" t="s">
        <v>3068</v>
      </c>
      <c r="I817" s="6" t="s">
        <v>3071</v>
      </c>
      <c r="J817" s="6" t="s">
        <v>3890</v>
      </c>
      <c r="K817" s="9">
        <v>8</v>
      </c>
      <c r="L817" s="6" t="s">
        <v>4277</v>
      </c>
      <c r="M817" s="6" t="s">
        <v>4278</v>
      </c>
      <c r="N817" s="24">
        <v>1709.52</v>
      </c>
      <c r="O817" s="22" t="str">
        <f>IF(Table2[[#This Row],[CouponCode]]="N/A", "Not Used", "Used")</f>
        <v>Used</v>
      </c>
    </row>
    <row r="818" spans="1:15" x14ac:dyDescent="0.3">
      <c r="A818" s="6" t="s">
        <v>830</v>
      </c>
      <c r="B818" s="2">
        <v>45343</v>
      </c>
      <c r="C818" s="6" t="s">
        <v>2026</v>
      </c>
      <c r="D818" s="6" t="s">
        <v>2405</v>
      </c>
      <c r="E818" s="9">
        <v>5</v>
      </c>
      <c r="F818" s="24">
        <v>574.79</v>
      </c>
      <c r="G818" t="s">
        <v>2601</v>
      </c>
      <c r="H818" s="6" t="s">
        <v>3067</v>
      </c>
      <c r="I818" s="6" t="s">
        <v>3074</v>
      </c>
      <c r="J818" s="6" t="s">
        <v>3891</v>
      </c>
      <c r="K818" s="9">
        <v>8</v>
      </c>
      <c r="L818" s="6" t="s">
        <v>4277</v>
      </c>
      <c r="M818" s="6" t="s">
        <v>4279</v>
      </c>
      <c r="N818" s="24">
        <v>2873.95</v>
      </c>
      <c r="O818" s="22" t="str">
        <f>IF(Table2[[#This Row],[CouponCode]]="N/A", "Not Used", "Used")</f>
        <v>Used</v>
      </c>
    </row>
    <row r="819" spans="1:15" x14ac:dyDescent="0.3">
      <c r="A819" s="6" t="s">
        <v>831</v>
      </c>
      <c r="B819" s="2">
        <v>45204</v>
      </c>
      <c r="C819" s="6" t="s">
        <v>2027</v>
      </c>
      <c r="D819" s="6" t="s">
        <v>2406</v>
      </c>
      <c r="E819" s="9">
        <v>4</v>
      </c>
      <c r="F819" s="24">
        <v>598.19000000000005</v>
      </c>
      <c r="G819" t="s">
        <v>2940</v>
      </c>
      <c r="H819" s="6" t="s">
        <v>3067</v>
      </c>
      <c r="I819" s="6" t="s">
        <v>3073</v>
      </c>
      <c r="J819" s="6" t="s">
        <v>3892</v>
      </c>
      <c r="K819" s="9">
        <v>7</v>
      </c>
      <c r="L819" s="6" t="s">
        <v>4277</v>
      </c>
      <c r="M819" s="6" t="s">
        <v>4280</v>
      </c>
      <c r="N819" s="24">
        <v>2392.7600000000002</v>
      </c>
      <c r="O819" s="22" t="str">
        <f>IF(Table2[[#This Row],[CouponCode]]="N/A", "Not Used", "Used")</f>
        <v>Used</v>
      </c>
    </row>
    <row r="820" spans="1:15" x14ac:dyDescent="0.3">
      <c r="A820" s="6" t="s">
        <v>832</v>
      </c>
      <c r="B820" s="2">
        <v>44987</v>
      </c>
      <c r="C820" s="6" t="s">
        <v>2028</v>
      </c>
      <c r="D820" s="6" t="s">
        <v>2404</v>
      </c>
      <c r="E820" s="9">
        <v>4</v>
      </c>
      <c r="F820" s="24">
        <v>390.84</v>
      </c>
      <c r="G820" t="s">
        <v>2868</v>
      </c>
      <c r="H820" s="6" t="s">
        <v>3067</v>
      </c>
      <c r="I820" s="6" t="s">
        <v>3071</v>
      </c>
      <c r="J820" s="6" t="s">
        <v>3893</v>
      </c>
      <c r="K820" s="9">
        <v>9</v>
      </c>
      <c r="L820" s="6" t="s">
        <v>4277</v>
      </c>
      <c r="M820" s="6" t="s">
        <v>4279</v>
      </c>
      <c r="N820" s="24">
        <v>1563.36</v>
      </c>
      <c r="O820" s="22" t="str">
        <f>IF(Table2[[#This Row],[CouponCode]]="N/A", "Not Used", "Used")</f>
        <v>Used</v>
      </c>
    </row>
    <row r="821" spans="1:15" x14ac:dyDescent="0.3">
      <c r="A821" s="6" t="s">
        <v>833</v>
      </c>
      <c r="B821" s="2">
        <v>45563</v>
      </c>
      <c r="C821" s="6" t="s">
        <v>2029</v>
      </c>
      <c r="D821" s="6" t="s">
        <v>2404</v>
      </c>
      <c r="E821" s="9">
        <v>2</v>
      </c>
      <c r="F821" s="24">
        <v>398.45</v>
      </c>
      <c r="G821" t="s">
        <v>2941</v>
      </c>
      <c r="H821" s="6" t="s">
        <v>3065</v>
      </c>
      <c r="I821" s="6" t="s">
        <v>3071</v>
      </c>
      <c r="J821" s="6" t="s">
        <v>3894</v>
      </c>
      <c r="K821" s="9">
        <v>7</v>
      </c>
      <c r="L821" s="6" t="s">
        <v>4275</v>
      </c>
      <c r="M821" s="6" t="s">
        <v>4282</v>
      </c>
      <c r="N821" s="24">
        <v>796.9</v>
      </c>
      <c r="O821" s="22" t="str">
        <f>IF(Table2[[#This Row],[CouponCode]]="N/A", "Not Used", "Used")</f>
        <v>Used</v>
      </c>
    </row>
    <row r="822" spans="1:15" x14ac:dyDescent="0.3">
      <c r="A822" s="6" t="s">
        <v>834</v>
      </c>
      <c r="B822" s="2">
        <v>45073</v>
      </c>
      <c r="C822" s="6" t="s">
        <v>2030</v>
      </c>
      <c r="D822" s="6" t="s">
        <v>2404</v>
      </c>
      <c r="E822" s="9">
        <v>5</v>
      </c>
      <c r="F822" s="24">
        <v>623.80999999999995</v>
      </c>
      <c r="G822" t="s">
        <v>2706</v>
      </c>
      <c r="H822" s="6" t="s">
        <v>3069</v>
      </c>
      <c r="I822" s="6" t="s">
        <v>3072</v>
      </c>
      <c r="J822" s="6" t="s">
        <v>3895</v>
      </c>
      <c r="K822" s="9">
        <v>6</v>
      </c>
      <c r="L822" s="6" t="s">
        <v>4276</v>
      </c>
      <c r="M822" s="6" t="s">
        <v>4280</v>
      </c>
      <c r="N822" s="24">
        <v>3119.05</v>
      </c>
      <c r="O822" s="22" t="str">
        <f>IF(Table2[[#This Row],[CouponCode]]="N/A", "Not Used", "Used")</f>
        <v>Used</v>
      </c>
    </row>
    <row r="823" spans="1:15" x14ac:dyDescent="0.3">
      <c r="A823" s="6" t="s">
        <v>835</v>
      </c>
      <c r="B823" s="2">
        <v>45640</v>
      </c>
      <c r="C823" s="6" t="s">
        <v>2031</v>
      </c>
      <c r="D823" s="6" t="s">
        <v>2408</v>
      </c>
      <c r="E823" s="9">
        <v>4</v>
      </c>
      <c r="F823" s="24">
        <v>174.49</v>
      </c>
      <c r="G823" t="s">
        <v>2698</v>
      </c>
      <c r="H823" s="6" t="s">
        <v>3067</v>
      </c>
      <c r="I823" s="6" t="s">
        <v>3073</v>
      </c>
      <c r="J823" s="6" t="s">
        <v>3896</v>
      </c>
      <c r="K823" s="9">
        <v>5</v>
      </c>
      <c r="L823" s="6" t="s">
        <v>4275</v>
      </c>
      <c r="M823" s="6" t="s">
        <v>4281</v>
      </c>
      <c r="N823" s="24">
        <v>697.96</v>
      </c>
      <c r="O823" s="22" t="str">
        <f>IF(Table2[[#This Row],[CouponCode]]="N/A", "Not Used", "Used")</f>
        <v>Used</v>
      </c>
    </row>
    <row r="824" spans="1:15" x14ac:dyDescent="0.3">
      <c r="A824" s="6" t="s">
        <v>836</v>
      </c>
      <c r="B824" s="2">
        <v>45731</v>
      </c>
      <c r="C824" s="6" t="s">
        <v>2032</v>
      </c>
      <c r="D824" s="6" t="s">
        <v>2404</v>
      </c>
      <c r="E824" s="9">
        <v>1</v>
      </c>
      <c r="F824" s="24">
        <v>479.56</v>
      </c>
      <c r="G824" t="s">
        <v>2476</v>
      </c>
      <c r="H824" s="6" t="s">
        <v>3068</v>
      </c>
      <c r="I824" s="6" t="s">
        <v>3072</v>
      </c>
      <c r="J824" s="6" t="s">
        <v>3897</v>
      </c>
      <c r="K824" s="9">
        <v>1</v>
      </c>
      <c r="L824" s="6" t="s">
        <v>4275</v>
      </c>
      <c r="M824" s="6" t="s">
        <v>4282</v>
      </c>
      <c r="N824" s="24">
        <v>479.56</v>
      </c>
      <c r="O824" s="22" t="str">
        <f>IF(Table2[[#This Row],[CouponCode]]="N/A", "Not Used", "Used")</f>
        <v>Used</v>
      </c>
    </row>
    <row r="825" spans="1:15" x14ac:dyDescent="0.3">
      <c r="A825" s="6" t="s">
        <v>837</v>
      </c>
      <c r="B825" s="2">
        <v>45572</v>
      </c>
      <c r="C825" s="6" t="s">
        <v>2033</v>
      </c>
      <c r="D825" s="6" t="s">
        <v>2408</v>
      </c>
      <c r="E825" s="9">
        <v>4</v>
      </c>
      <c r="F825" s="24">
        <v>653.13</v>
      </c>
      <c r="G825" t="s">
        <v>2942</v>
      </c>
      <c r="H825" s="6" t="s">
        <v>3067</v>
      </c>
      <c r="I825" s="6" t="s">
        <v>3070</v>
      </c>
      <c r="J825" s="6" t="s">
        <v>3898</v>
      </c>
      <c r="K825" s="9">
        <v>8</v>
      </c>
      <c r="L825" s="6" t="s">
        <v>4277</v>
      </c>
      <c r="M825" s="6" t="s">
        <v>4278</v>
      </c>
      <c r="N825" s="24">
        <v>2612.52</v>
      </c>
      <c r="O825" s="22" t="str">
        <f>IF(Table2[[#This Row],[CouponCode]]="N/A", "Not Used", "Used")</f>
        <v>Used</v>
      </c>
    </row>
    <row r="826" spans="1:15" x14ac:dyDescent="0.3">
      <c r="A826" s="6" t="s">
        <v>838</v>
      </c>
      <c r="B826" s="2">
        <v>45167</v>
      </c>
      <c r="C826" s="6" t="s">
        <v>2034</v>
      </c>
      <c r="D826" s="6" t="s">
        <v>2403</v>
      </c>
      <c r="E826" s="9">
        <v>3</v>
      </c>
      <c r="F826" s="24">
        <v>481.1</v>
      </c>
      <c r="G826" t="s">
        <v>2943</v>
      </c>
      <c r="H826" s="6" t="s">
        <v>3067</v>
      </c>
      <c r="I826" s="6" t="s">
        <v>3072</v>
      </c>
      <c r="J826" s="6" t="s">
        <v>3899</v>
      </c>
      <c r="K826" s="9">
        <v>3</v>
      </c>
      <c r="L826" s="6" t="s">
        <v>4276</v>
      </c>
      <c r="M826" s="6" t="s">
        <v>4281</v>
      </c>
      <c r="N826" s="24">
        <v>1443.3</v>
      </c>
      <c r="O826" s="22" t="str">
        <f>IF(Table2[[#This Row],[CouponCode]]="N/A", "Not Used", "Used")</f>
        <v>Used</v>
      </c>
    </row>
    <row r="827" spans="1:15" x14ac:dyDescent="0.3">
      <c r="A827" s="6" t="s">
        <v>839</v>
      </c>
      <c r="B827" s="2">
        <v>45742</v>
      </c>
      <c r="C827" s="6" t="s">
        <v>2035</v>
      </c>
      <c r="D827" s="6" t="s">
        <v>2409</v>
      </c>
      <c r="E827" s="9">
        <v>5</v>
      </c>
      <c r="F827" s="24">
        <v>271.69</v>
      </c>
      <c r="G827" t="s">
        <v>2944</v>
      </c>
      <c r="H827" s="6" t="s">
        <v>3066</v>
      </c>
      <c r="I827" s="6" t="s">
        <v>3072</v>
      </c>
      <c r="J827" s="6" t="s">
        <v>3900</v>
      </c>
      <c r="K827" s="9">
        <v>7</v>
      </c>
      <c r="L827" s="6" t="s">
        <v>4276</v>
      </c>
      <c r="M827" s="6" t="s">
        <v>4278</v>
      </c>
      <c r="N827" s="24">
        <v>1358.45</v>
      </c>
      <c r="O827" s="22" t="str">
        <f>IF(Table2[[#This Row],[CouponCode]]="N/A", "Not Used", "Used")</f>
        <v>Used</v>
      </c>
    </row>
    <row r="828" spans="1:15" x14ac:dyDescent="0.3">
      <c r="A828" s="6" t="s">
        <v>840</v>
      </c>
      <c r="B828" s="2">
        <v>45724</v>
      </c>
      <c r="C828" s="6" t="s">
        <v>2036</v>
      </c>
      <c r="D828" s="6" t="s">
        <v>2407</v>
      </c>
      <c r="E828" s="9">
        <v>3</v>
      </c>
      <c r="F828" s="24">
        <v>463.81</v>
      </c>
      <c r="G828" t="s">
        <v>2570</v>
      </c>
      <c r="H828" s="6" t="s">
        <v>3066</v>
      </c>
      <c r="I828" s="6" t="s">
        <v>3072</v>
      </c>
      <c r="J828" s="6" t="s">
        <v>3901</v>
      </c>
      <c r="K828" s="9">
        <v>8</v>
      </c>
      <c r="L828" s="6" t="s">
        <v>4277</v>
      </c>
      <c r="M828" s="6" t="s">
        <v>4280</v>
      </c>
      <c r="N828" s="24">
        <v>1391.43</v>
      </c>
      <c r="O828" s="22" t="str">
        <f>IF(Table2[[#This Row],[CouponCode]]="N/A", "Not Used", "Used")</f>
        <v>Used</v>
      </c>
    </row>
    <row r="829" spans="1:15" x14ac:dyDescent="0.3">
      <c r="A829" s="6" t="s">
        <v>841</v>
      </c>
      <c r="B829" s="2">
        <v>45071</v>
      </c>
      <c r="C829" s="6" t="s">
        <v>2037</v>
      </c>
      <c r="D829" s="6" t="s">
        <v>2405</v>
      </c>
      <c r="E829" s="9">
        <v>2</v>
      </c>
      <c r="F829" s="24">
        <v>639.88</v>
      </c>
      <c r="G829" t="s">
        <v>2597</v>
      </c>
      <c r="H829" s="6" t="s">
        <v>3069</v>
      </c>
      <c r="I829" s="6" t="s">
        <v>3073</v>
      </c>
      <c r="J829" s="6" t="s">
        <v>3902</v>
      </c>
      <c r="K829" s="9">
        <v>5</v>
      </c>
      <c r="L829" s="6" t="s">
        <v>4277</v>
      </c>
      <c r="M829" s="6" t="s">
        <v>4278</v>
      </c>
      <c r="N829" s="24">
        <v>1279.76</v>
      </c>
      <c r="O829" s="22" t="str">
        <f>IF(Table2[[#This Row],[CouponCode]]="N/A", "Not Used", "Used")</f>
        <v>Used</v>
      </c>
    </row>
    <row r="830" spans="1:15" x14ac:dyDescent="0.3">
      <c r="A830" s="6" t="s">
        <v>842</v>
      </c>
      <c r="B830" s="2">
        <v>45497</v>
      </c>
      <c r="C830" s="6" t="s">
        <v>2038</v>
      </c>
      <c r="D830" s="6" t="s">
        <v>2406</v>
      </c>
      <c r="E830" s="9">
        <v>4</v>
      </c>
      <c r="F830" s="24">
        <v>404.58</v>
      </c>
      <c r="G830" t="s">
        <v>2945</v>
      </c>
      <c r="H830" s="6" t="s">
        <v>3069</v>
      </c>
      <c r="I830" s="6" t="s">
        <v>3070</v>
      </c>
      <c r="J830" s="6" t="s">
        <v>3903</v>
      </c>
      <c r="K830" s="9">
        <v>5</v>
      </c>
      <c r="L830" s="6" t="s">
        <v>4276</v>
      </c>
      <c r="M830" s="6" t="s">
        <v>4278</v>
      </c>
      <c r="N830" s="24">
        <v>1618.32</v>
      </c>
      <c r="O830" s="22" t="str">
        <f>IF(Table2[[#This Row],[CouponCode]]="N/A", "Not Used", "Used")</f>
        <v>Used</v>
      </c>
    </row>
    <row r="831" spans="1:15" x14ac:dyDescent="0.3">
      <c r="A831" s="6" t="s">
        <v>843</v>
      </c>
      <c r="B831" s="2">
        <v>44962</v>
      </c>
      <c r="C831" s="6" t="s">
        <v>2039</v>
      </c>
      <c r="D831" s="6" t="s">
        <v>2403</v>
      </c>
      <c r="E831" s="9">
        <v>1</v>
      </c>
      <c r="F831" s="24">
        <v>76.930000000000007</v>
      </c>
      <c r="G831" t="s">
        <v>2946</v>
      </c>
      <c r="H831" s="6" t="s">
        <v>3065</v>
      </c>
      <c r="I831" s="6" t="s">
        <v>3073</v>
      </c>
      <c r="J831" s="6" t="s">
        <v>3904</v>
      </c>
      <c r="K831" s="9">
        <v>6</v>
      </c>
      <c r="L831" s="6" t="s">
        <v>4277</v>
      </c>
      <c r="M831" s="6" t="s">
        <v>4278</v>
      </c>
      <c r="N831" s="24">
        <v>76.930000000000007</v>
      </c>
      <c r="O831" s="22" t="str">
        <f>IF(Table2[[#This Row],[CouponCode]]="N/A", "Not Used", "Used")</f>
        <v>Used</v>
      </c>
    </row>
    <row r="832" spans="1:15" x14ac:dyDescent="0.3">
      <c r="A832" s="6" t="s">
        <v>844</v>
      </c>
      <c r="B832" s="2">
        <v>45637</v>
      </c>
      <c r="C832" s="6" t="s">
        <v>2040</v>
      </c>
      <c r="D832" s="6" t="s">
        <v>2405</v>
      </c>
      <c r="E832" s="9">
        <v>4</v>
      </c>
      <c r="F832" s="24">
        <v>190.64</v>
      </c>
      <c r="G832" t="s">
        <v>2947</v>
      </c>
      <c r="H832" s="6" t="s">
        <v>3069</v>
      </c>
      <c r="I832" s="6" t="s">
        <v>3073</v>
      </c>
      <c r="J832" s="6" t="s">
        <v>3905</v>
      </c>
      <c r="K832" s="9">
        <v>5</v>
      </c>
      <c r="L832" s="6" t="s">
        <v>4275</v>
      </c>
      <c r="M832" s="6" t="s">
        <v>4280</v>
      </c>
      <c r="N832" s="24">
        <v>762.56</v>
      </c>
      <c r="O832" s="22" t="str">
        <f>IF(Table2[[#This Row],[CouponCode]]="N/A", "Not Used", "Used")</f>
        <v>Used</v>
      </c>
    </row>
    <row r="833" spans="1:15" x14ac:dyDescent="0.3">
      <c r="A833" s="6" t="s">
        <v>845</v>
      </c>
      <c r="B833" s="2">
        <v>45278</v>
      </c>
      <c r="C833" s="6" t="s">
        <v>2041</v>
      </c>
      <c r="D833" s="6" t="s">
        <v>2407</v>
      </c>
      <c r="E833" s="9">
        <v>2</v>
      </c>
      <c r="F833" s="24">
        <v>88.73</v>
      </c>
      <c r="G833" t="s">
        <v>2851</v>
      </c>
      <c r="H833" s="6" t="s">
        <v>3066</v>
      </c>
      <c r="I833" s="6" t="s">
        <v>3074</v>
      </c>
      <c r="J833" s="6" t="s">
        <v>3906</v>
      </c>
      <c r="K833" s="9">
        <v>5</v>
      </c>
      <c r="L833" s="6" t="s">
        <v>4283</v>
      </c>
      <c r="M833" s="6" t="s">
        <v>4282</v>
      </c>
      <c r="N833" s="24">
        <v>177.46</v>
      </c>
      <c r="O833" s="22" t="str">
        <f>IF(Table2[[#This Row],[CouponCode]]="N/A", "Not Used", "Used")</f>
        <v>Not Used</v>
      </c>
    </row>
    <row r="834" spans="1:15" x14ac:dyDescent="0.3">
      <c r="A834" s="6" t="s">
        <v>846</v>
      </c>
      <c r="B834" s="2">
        <v>45363</v>
      </c>
      <c r="C834" s="6" t="s">
        <v>2042</v>
      </c>
      <c r="D834" s="6" t="s">
        <v>2406</v>
      </c>
      <c r="E834" s="9">
        <v>5</v>
      </c>
      <c r="F834" s="24">
        <v>485.71</v>
      </c>
      <c r="G834" t="s">
        <v>2423</v>
      </c>
      <c r="H834" s="6" t="s">
        <v>3066</v>
      </c>
      <c r="I834" s="6" t="s">
        <v>3074</v>
      </c>
      <c r="J834" s="6" t="s">
        <v>3907</v>
      </c>
      <c r="K834" s="9">
        <v>10</v>
      </c>
      <c r="L834" s="6" t="s">
        <v>4275</v>
      </c>
      <c r="M834" s="6" t="s">
        <v>4279</v>
      </c>
      <c r="N834" s="24">
        <v>2428.5500000000002</v>
      </c>
      <c r="O834" s="22" t="str">
        <f>IF(Table2[[#This Row],[CouponCode]]="N/A", "Not Used", "Used")</f>
        <v>Used</v>
      </c>
    </row>
    <row r="835" spans="1:15" x14ac:dyDescent="0.3">
      <c r="A835" s="6" t="s">
        <v>847</v>
      </c>
      <c r="B835" s="2">
        <v>45730</v>
      </c>
      <c r="C835" s="6" t="s">
        <v>2043</v>
      </c>
      <c r="D835" s="6" t="s">
        <v>2404</v>
      </c>
      <c r="E835" s="9">
        <v>5</v>
      </c>
      <c r="F835" s="24">
        <v>78.290000000000006</v>
      </c>
      <c r="G835" t="s">
        <v>2948</v>
      </c>
      <c r="H835" s="6" t="s">
        <v>3067</v>
      </c>
      <c r="I835" s="6" t="s">
        <v>3070</v>
      </c>
      <c r="J835" s="6" t="s">
        <v>3908</v>
      </c>
      <c r="K835" s="9">
        <v>5</v>
      </c>
      <c r="L835" s="6" t="s">
        <v>4277</v>
      </c>
      <c r="M835" s="6" t="s">
        <v>4279</v>
      </c>
      <c r="N835" s="24">
        <v>391.45</v>
      </c>
      <c r="O835" s="22" t="str">
        <f>IF(Table2[[#This Row],[CouponCode]]="N/A", "Not Used", "Used")</f>
        <v>Used</v>
      </c>
    </row>
    <row r="836" spans="1:15" x14ac:dyDescent="0.3">
      <c r="A836" s="6" t="s">
        <v>848</v>
      </c>
      <c r="B836" s="2">
        <v>45393</v>
      </c>
      <c r="C836" s="6" t="s">
        <v>2044</v>
      </c>
      <c r="D836" s="6" t="s">
        <v>2407</v>
      </c>
      <c r="E836" s="9">
        <v>5</v>
      </c>
      <c r="F836" s="24">
        <v>22.14</v>
      </c>
      <c r="G836" t="s">
        <v>2616</v>
      </c>
      <c r="H836" s="6" t="s">
        <v>3069</v>
      </c>
      <c r="I836" s="6" t="s">
        <v>3072</v>
      </c>
      <c r="J836" s="6" t="s">
        <v>3909</v>
      </c>
      <c r="K836" s="9">
        <v>10</v>
      </c>
      <c r="L836" s="6" t="s">
        <v>4283</v>
      </c>
      <c r="M836" s="6" t="s">
        <v>4278</v>
      </c>
      <c r="N836" s="24">
        <v>110.7</v>
      </c>
      <c r="O836" s="22" t="str">
        <f>IF(Table2[[#This Row],[CouponCode]]="N/A", "Not Used", "Used")</f>
        <v>Not Used</v>
      </c>
    </row>
    <row r="837" spans="1:15" x14ac:dyDescent="0.3">
      <c r="A837" s="6" t="s">
        <v>849</v>
      </c>
      <c r="B837" s="2">
        <v>45377</v>
      </c>
      <c r="C837" s="6" t="s">
        <v>2045</v>
      </c>
      <c r="D837" s="6" t="s">
        <v>2409</v>
      </c>
      <c r="E837" s="9">
        <v>1</v>
      </c>
      <c r="F837" s="24">
        <v>679.65</v>
      </c>
      <c r="G837" t="s">
        <v>2949</v>
      </c>
      <c r="H837" s="6" t="s">
        <v>3065</v>
      </c>
      <c r="I837" s="6" t="s">
        <v>3070</v>
      </c>
      <c r="J837" s="6" t="s">
        <v>3910</v>
      </c>
      <c r="K837" s="9">
        <v>6</v>
      </c>
      <c r="L837" s="6" t="s">
        <v>4276</v>
      </c>
      <c r="M837" s="6" t="s">
        <v>4282</v>
      </c>
      <c r="N837" s="24">
        <v>679.65</v>
      </c>
      <c r="O837" s="22" t="str">
        <f>IF(Table2[[#This Row],[CouponCode]]="N/A", "Not Used", "Used")</f>
        <v>Used</v>
      </c>
    </row>
    <row r="838" spans="1:15" x14ac:dyDescent="0.3">
      <c r="A838" s="6" t="s">
        <v>850</v>
      </c>
      <c r="B838" s="2">
        <v>44959</v>
      </c>
      <c r="C838" s="6" t="s">
        <v>2046</v>
      </c>
      <c r="D838" s="6" t="s">
        <v>2404</v>
      </c>
      <c r="E838" s="9">
        <v>1</v>
      </c>
      <c r="F838" s="24">
        <v>178.44</v>
      </c>
      <c r="G838" t="s">
        <v>2860</v>
      </c>
      <c r="H838" s="6" t="s">
        <v>3067</v>
      </c>
      <c r="I838" s="6" t="s">
        <v>3071</v>
      </c>
      <c r="J838" s="6" t="s">
        <v>3911</v>
      </c>
      <c r="K838" s="9">
        <v>2</v>
      </c>
      <c r="L838" s="6" t="s">
        <v>4276</v>
      </c>
      <c r="M838" s="6" t="s">
        <v>4282</v>
      </c>
      <c r="N838" s="24">
        <v>178.44</v>
      </c>
      <c r="O838" s="22" t="str">
        <f>IF(Table2[[#This Row],[CouponCode]]="N/A", "Not Used", "Used")</f>
        <v>Used</v>
      </c>
    </row>
    <row r="839" spans="1:15" x14ac:dyDescent="0.3">
      <c r="A839" s="6" t="s">
        <v>851</v>
      </c>
      <c r="B839" s="2">
        <v>45822</v>
      </c>
      <c r="C839" s="6" t="s">
        <v>2047</v>
      </c>
      <c r="D839" s="6" t="s">
        <v>2406</v>
      </c>
      <c r="E839" s="9">
        <v>5</v>
      </c>
      <c r="F839" s="24">
        <v>655.55</v>
      </c>
      <c r="G839" t="s">
        <v>2839</v>
      </c>
      <c r="H839" s="6" t="s">
        <v>3066</v>
      </c>
      <c r="I839" s="6" t="s">
        <v>3073</v>
      </c>
      <c r="J839" s="6" t="s">
        <v>3912</v>
      </c>
      <c r="K839" s="9">
        <v>5</v>
      </c>
      <c r="L839" s="6" t="s">
        <v>4283</v>
      </c>
      <c r="M839" s="6" t="s">
        <v>4280</v>
      </c>
      <c r="N839" s="24">
        <v>3277.75</v>
      </c>
      <c r="O839" s="22" t="str">
        <f>IF(Table2[[#This Row],[CouponCode]]="N/A", "Not Used", "Used")</f>
        <v>Not Used</v>
      </c>
    </row>
    <row r="840" spans="1:15" x14ac:dyDescent="0.3">
      <c r="A840" s="6" t="s">
        <v>852</v>
      </c>
      <c r="B840" s="2">
        <v>45393</v>
      </c>
      <c r="C840" s="6" t="s">
        <v>2048</v>
      </c>
      <c r="D840" s="6" t="s">
        <v>2409</v>
      </c>
      <c r="E840" s="9">
        <v>4</v>
      </c>
      <c r="F840" s="24">
        <v>577.08000000000004</v>
      </c>
      <c r="G840" t="s">
        <v>2475</v>
      </c>
      <c r="H840" s="6" t="s">
        <v>3066</v>
      </c>
      <c r="I840" s="6" t="s">
        <v>3074</v>
      </c>
      <c r="J840" s="6" t="s">
        <v>3913</v>
      </c>
      <c r="K840" s="9">
        <v>8</v>
      </c>
      <c r="L840" s="6" t="s">
        <v>4283</v>
      </c>
      <c r="M840" s="6" t="s">
        <v>4281</v>
      </c>
      <c r="N840" s="24">
        <v>2308.3200000000002</v>
      </c>
      <c r="O840" s="22" t="str">
        <f>IF(Table2[[#This Row],[CouponCode]]="N/A", "Not Used", "Used")</f>
        <v>Not Used</v>
      </c>
    </row>
    <row r="841" spans="1:15" x14ac:dyDescent="0.3">
      <c r="A841" s="6" t="s">
        <v>853</v>
      </c>
      <c r="B841" s="2">
        <v>45162</v>
      </c>
      <c r="C841" s="6" t="s">
        <v>2049</v>
      </c>
      <c r="D841" s="6" t="s">
        <v>2406</v>
      </c>
      <c r="E841" s="9">
        <v>3</v>
      </c>
      <c r="F841" s="24">
        <v>197.97</v>
      </c>
      <c r="G841" t="s">
        <v>2902</v>
      </c>
      <c r="H841" s="6" t="s">
        <v>3066</v>
      </c>
      <c r="I841" s="6" t="s">
        <v>3071</v>
      </c>
      <c r="J841" s="6" t="s">
        <v>3914</v>
      </c>
      <c r="K841" s="9">
        <v>5</v>
      </c>
      <c r="L841" s="6" t="s">
        <v>4283</v>
      </c>
      <c r="M841" s="6" t="s">
        <v>4282</v>
      </c>
      <c r="N841" s="24">
        <v>593.91</v>
      </c>
      <c r="O841" s="22" t="str">
        <f>IF(Table2[[#This Row],[CouponCode]]="N/A", "Not Used", "Used")</f>
        <v>Not Used</v>
      </c>
    </row>
    <row r="842" spans="1:15" x14ac:dyDescent="0.3">
      <c r="A842" s="6" t="s">
        <v>854</v>
      </c>
      <c r="B842" s="2">
        <v>45305</v>
      </c>
      <c r="C842" s="6" t="s">
        <v>2050</v>
      </c>
      <c r="D842" s="6" t="s">
        <v>2406</v>
      </c>
      <c r="E842" s="9">
        <v>3</v>
      </c>
      <c r="F842" s="24">
        <v>411.95</v>
      </c>
      <c r="G842" t="s">
        <v>2774</v>
      </c>
      <c r="H842" s="6" t="s">
        <v>3067</v>
      </c>
      <c r="I842" s="6" t="s">
        <v>3073</v>
      </c>
      <c r="J842" s="6" t="s">
        <v>3915</v>
      </c>
      <c r="K842" s="9">
        <v>7</v>
      </c>
      <c r="L842" s="6" t="s">
        <v>4276</v>
      </c>
      <c r="M842" s="6" t="s">
        <v>4279</v>
      </c>
      <c r="N842" s="24">
        <v>1235.8499999999999</v>
      </c>
      <c r="O842" s="22" t="str">
        <f>IF(Table2[[#This Row],[CouponCode]]="N/A", "Not Used", "Used")</f>
        <v>Used</v>
      </c>
    </row>
    <row r="843" spans="1:15" x14ac:dyDescent="0.3">
      <c r="A843" s="6" t="s">
        <v>855</v>
      </c>
      <c r="B843" s="2">
        <v>45554</v>
      </c>
      <c r="C843" s="6" t="s">
        <v>2051</v>
      </c>
      <c r="D843" s="6" t="s">
        <v>2407</v>
      </c>
      <c r="E843" s="9">
        <v>2</v>
      </c>
      <c r="F843" s="24">
        <v>443.22</v>
      </c>
      <c r="G843" t="s">
        <v>2950</v>
      </c>
      <c r="H843" s="6" t="s">
        <v>3067</v>
      </c>
      <c r="I843" s="6" t="s">
        <v>3073</v>
      </c>
      <c r="J843" s="6" t="s">
        <v>3916</v>
      </c>
      <c r="K843" s="9">
        <v>5</v>
      </c>
      <c r="L843" s="6" t="s">
        <v>4283</v>
      </c>
      <c r="M843" s="6" t="s">
        <v>4281</v>
      </c>
      <c r="N843" s="24">
        <v>886.44</v>
      </c>
      <c r="O843" s="22" t="str">
        <f>IF(Table2[[#This Row],[CouponCode]]="N/A", "Not Used", "Used")</f>
        <v>Not Used</v>
      </c>
    </row>
    <row r="844" spans="1:15" x14ac:dyDescent="0.3">
      <c r="A844" s="6" t="s">
        <v>856</v>
      </c>
      <c r="B844" s="2">
        <v>45784</v>
      </c>
      <c r="C844" s="6" t="s">
        <v>2052</v>
      </c>
      <c r="D844" s="6" t="s">
        <v>2408</v>
      </c>
      <c r="E844" s="9">
        <v>3</v>
      </c>
      <c r="F844" s="24">
        <v>364.14</v>
      </c>
      <c r="G844" t="s">
        <v>2877</v>
      </c>
      <c r="H844" s="6" t="s">
        <v>3066</v>
      </c>
      <c r="I844" s="6" t="s">
        <v>3074</v>
      </c>
      <c r="J844" s="6" t="s">
        <v>3917</v>
      </c>
      <c r="K844" s="9">
        <v>7</v>
      </c>
      <c r="L844" s="6" t="s">
        <v>4277</v>
      </c>
      <c r="M844" s="6" t="s">
        <v>4279</v>
      </c>
      <c r="N844" s="24">
        <v>1092.42</v>
      </c>
      <c r="O844" s="22" t="str">
        <f>IF(Table2[[#This Row],[CouponCode]]="N/A", "Not Used", "Used")</f>
        <v>Used</v>
      </c>
    </row>
    <row r="845" spans="1:15" x14ac:dyDescent="0.3">
      <c r="A845" s="6" t="s">
        <v>857</v>
      </c>
      <c r="B845" s="2">
        <v>45790</v>
      </c>
      <c r="C845" s="6" t="s">
        <v>2053</v>
      </c>
      <c r="D845" s="6" t="s">
        <v>2409</v>
      </c>
      <c r="E845" s="9">
        <v>3</v>
      </c>
      <c r="F845" s="24">
        <v>430.06</v>
      </c>
      <c r="G845" t="s">
        <v>2951</v>
      </c>
      <c r="H845" s="6" t="s">
        <v>3068</v>
      </c>
      <c r="I845" s="6" t="s">
        <v>3071</v>
      </c>
      <c r="J845" s="6" t="s">
        <v>3918</v>
      </c>
      <c r="K845" s="9">
        <v>8</v>
      </c>
      <c r="L845" s="6" t="s">
        <v>4276</v>
      </c>
      <c r="M845" s="6" t="s">
        <v>4278</v>
      </c>
      <c r="N845" s="24">
        <v>1290.18</v>
      </c>
      <c r="O845" s="22" t="str">
        <f>IF(Table2[[#This Row],[CouponCode]]="N/A", "Not Used", "Used")</f>
        <v>Used</v>
      </c>
    </row>
    <row r="846" spans="1:15" x14ac:dyDescent="0.3">
      <c r="A846" s="6" t="s">
        <v>858</v>
      </c>
      <c r="B846" s="2">
        <v>45630</v>
      </c>
      <c r="C846" s="6" t="s">
        <v>2054</v>
      </c>
      <c r="D846" s="6" t="s">
        <v>2406</v>
      </c>
      <c r="E846" s="9">
        <v>1</v>
      </c>
      <c r="F846" s="24">
        <v>320.92</v>
      </c>
      <c r="G846" t="s">
        <v>2952</v>
      </c>
      <c r="H846" s="6" t="s">
        <v>3066</v>
      </c>
      <c r="I846" s="6" t="s">
        <v>3072</v>
      </c>
      <c r="J846" s="6" t="s">
        <v>3919</v>
      </c>
      <c r="K846" s="9">
        <v>5</v>
      </c>
      <c r="L846" s="6" t="s">
        <v>4276</v>
      </c>
      <c r="M846" s="6" t="s">
        <v>4281</v>
      </c>
      <c r="N846" s="24">
        <v>320.92</v>
      </c>
      <c r="O846" s="22" t="str">
        <f>IF(Table2[[#This Row],[CouponCode]]="N/A", "Not Used", "Used")</f>
        <v>Used</v>
      </c>
    </row>
    <row r="847" spans="1:15" x14ac:dyDescent="0.3">
      <c r="A847" s="6" t="s">
        <v>859</v>
      </c>
      <c r="B847" s="2">
        <v>45207</v>
      </c>
      <c r="C847" s="6" t="s">
        <v>2055</v>
      </c>
      <c r="D847" s="6" t="s">
        <v>2404</v>
      </c>
      <c r="E847" s="9">
        <v>3</v>
      </c>
      <c r="F847" s="24">
        <v>107.36</v>
      </c>
      <c r="G847" t="s">
        <v>2953</v>
      </c>
      <c r="H847" s="6" t="s">
        <v>3068</v>
      </c>
      <c r="I847" s="6" t="s">
        <v>3073</v>
      </c>
      <c r="J847" s="6" t="s">
        <v>3920</v>
      </c>
      <c r="K847" s="9">
        <v>5</v>
      </c>
      <c r="L847" s="6" t="s">
        <v>4276</v>
      </c>
      <c r="M847" s="6" t="s">
        <v>4282</v>
      </c>
      <c r="N847" s="24">
        <v>322.08</v>
      </c>
      <c r="O847" s="22" t="str">
        <f>IF(Table2[[#This Row],[CouponCode]]="N/A", "Not Used", "Used")</f>
        <v>Used</v>
      </c>
    </row>
    <row r="848" spans="1:15" x14ac:dyDescent="0.3">
      <c r="A848" s="6" t="s">
        <v>860</v>
      </c>
      <c r="B848" s="2">
        <v>45477</v>
      </c>
      <c r="C848" s="6" t="s">
        <v>2056</v>
      </c>
      <c r="D848" s="6" t="s">
        <v>2409</v>
      </c>
      <c r="E848" s="9">
        <v>2</v>
      </c>
      <c r="F848" s="24">
        <v>359.86</v>
      </c>
      <c r="G848" t="s">
        <v>2954</v>
      </c>
      <c r="H848" s="6" t="s">
        <v>3065</v>
      </c>
      <c r="I848" s="6" t="s">
        <v>3071</v>
      </c>
      <c r="J848" s="6" t="s">
        <v>3921</v>
      </c>
      <c r="K848" s="9">
        <v>4</v>
      </c>
      <c r="L848" s="6" t="s">
        <v>4283</v>
      </c>
      <c r="M848" s="6" t="s">
        <v>4279</v>
      </c>
      <c r="N848" s="24">
        <v>719.72</v>
      </c>
      <c r="O848" s="22" t="str">
        <f>IF(Table2[[#This Row],[CouponCode]]="N/A", "Not Used", "Used")</f>
        <v>Not Used</v>
      </c>
    </row>
    <row r="849" spans="1:15" x14ac:dyDescent="0.3">
      <c r="A849" s="6" t="s">
        <v>861</v>
      </c>
      <c r="B849" s="2">
        <v>45614</v>
      </c>
      <c r="C849" s="6" t="s">
        <v>2057</v>
      </c>
      <c r="D849" s="6" t="s">
        <v>2407</v>
      </c>
      <c r="E849" s="9">
        <v>4</v>
      </c>
      <c r="F849" s="24">
        <v>434.23</v>
      </c>
      <c r="G849" t="s">
        <v>2657</v>
      </c>
      <c r="H849" s="6" t="s">
        <v>3066</v>
      </c>
      <c r="I849" s="6" t="s">
        <v>3070</v>
      </c>
      <c r="J849" s="6" t="s">
        <v>3922</v>
      </c>
      <c r="K849" s="9">
        <v>8</v>
      </c>
      <c r="L849" s="6" t="s">
        <v>4276</v>
      </c>
      <c r="M849" s="6" t="s">
        <v>4280</v>
      </c>
      <c r="N849" s="24">
        <v>1736.92</v>
      </c>
      <c r="O849" s="22" t="str">
        <f>IF(Table2[[#This Row],[CouponCode]]="N/A", "Not Used", "Used")</f>
        <v>Used</v>
      </c>
    </row>
    <row r="850" spans="1:15" x14ac:dyDescent="0.3">
      <c r="A850" s="6" t="s">
        <v>862</v>
      </c>
      <c r="B850" s="2">
        <v>44927</v>
      </c>
      <c r="C850" s="6" t="s">
        <v>2058</v>
      </c>
      <c r="D850" s="6" t="s">
        <v>2406</v>
      </c>
      <c r="E850" s="9">
        <v>2</v>
      </c>
      <c r="F850" s="24">
        <v>645.85</v>
      </c>
      <c r="G850" t="s">
        <v>2466</v>
      </c>
      <c r="H850" s="6" t="s">
        <v>3066</v>
      </c>
      <c r="I850" s="6" t="s">
        <v>3070</v>
      </c>
      <c r="J850" s="6" t="s">
        <v>3923</v>
      </c>
      <c r="K850" s="9">
        <v>5</v>
      </c>
      <c r="L850" s="6" t="s">
        <v>4283</v>
      </c>
      <c r="M850" s="6" t="s">
        <v>4279</v>
      </c>
      <c r="N850" s="24">
        <v>1291.7</v>
      </c>
      <c r="O850" s="22" t="str">
        <f>IF(Table2[[#This Row],[CouponCode]]="N/A", "Not Used", "Used")</f>
        <v>Not Used</v>
      </c>
    </row>
    <row r="851" spans="1:15" x14ac:dyDescent="0.3">
      <c r="A851" s="6" t="s">
        <v>863</v>
      </c>
      <c r="B851" s="2">
        <v>45817</v>
      </c>
      <c r="C851" s="6" t="s">
        <v>2059</v>
      </c>
      <c r="D851" s="6" t="s">
        <v>2407</v>
      </c>
      <c r="E851" s="9">
        <v>4</v>
      </c>
      <c r="F851" s="24">
        <v>214.35</v>
      </c>
      <c r="G851" t="s">
        <v>2943</v>
      </c>
      <c r="H851" s="6" t="s">
        <v>3065</v>
      </c>
      <c r="I851" s="6" t="s">
        <v>3071</v>
      </c>
      <c r="J851" s="6" t="s">
        <v>3924</v>
      </c>
      <c r="K851" s="9">
        <v>7</v>
      </c>
      <c r="L851" s="6" t="s">
        <v>4277</v>
      </c>
      <c r="M851" s="6" t="s">
        <v>4279</v>
      </c>
      <c r="N851" s="24">
        <v>857.4</v>
      </c>
      <c r="O851" s="22" t="str">
        <f>IF(Table2[[#This Row],[CouponCode]]="N/A", "Not Used", "Used")</f>
        <v>Used</v>
      </c>
    </row>
    <row r="852" spans="1:15" x14ac:dyDescent="0.3">
      <c r="A852" s="6" t="s">
        <v>864</v>
      </c>
      <c r="B852" s="2">
        <v>45774</v>
      </c>
      <c r="C852" s="6" t="s">
        <v>2060</v>
      </c>
      <c r="D852" s="6" t="s">
        <v>2403</v>
      </c>
      <c r="E852" s="9">
        <v>3</v>
      </c>
      <c r="F852" s="24">
        <v>638.5</v>
      </c>
      <c r="G852" t="s">
        <v>2893</v>
      </c>
      <c r="H852" s="6" t="s">
        <v>3065</v>
      </c>
      <c r="I852" s="6" t="s">
        <v>3071</v>
      </c>
      <c r="J852" s="6" t="s">
        <v>3925</v>
      </c>
      <c r="K852" s="9">
        <v>4</v>
      </c>
      <c r="L852" s="6" t="s">
        <v>4276</v>
      </c>
      <c r="M852" s="6" t="s">
        <v>4278</v>
      </c>
      <c r="N852" s="24">
        <v>1915.5</v>
      </c>
      <c r="O852" s="22" t="str">
        <f>IF(Table2[[#This Row],[CouponCode]]="N/A", "Not Used", "Used")</f>
        <v>Used</v>
      </c>
    </row>
    <row r="853" spans="1:15" x14ac:dyDescent="0.3">
      <c r="A853" s="6" t="s">
        <v>865</v>
      </c>
      <c r="B853" s="2">
        <v>45272</v>
      </c>
      <c r="C853" s="6" t="s">
        <v>2061</v>
      </c>
      <c r="D853" s="6" t="s">
        <v>2408</v>
      </c>
      <c r="E853" s="9">
        <v>1</v>
      </c>
      <c r="F853" s="24">
        <v>365.57</v>
      </c>
      <c r="G853" t="s">
        <v>2482</v>
      </c>
      <c r="H853" s="6" t="s">
        <v>3066</v>
      </c>
      <c r="I853" s="6" t="s">
        <v>3071</v>
      </c>
      <c r="J853" s="6" t="s">
        <v>3926</v>
      </c>
      <c r="K853" s="9">
        <v>5</v>
      </c>
      <c r="L853" s="6" t="s">
        <v>4275</v>
      </c>
      <c r="M853" s="6" t="s">
        <v>4280</v>
      </c>
      <c r="N853" s="24">
        <v>365.57</v>
      </c>
      <c r="O853" s="22" t="str">
        <f>IF(Table2[[#This Row],[CouponCode]]="N/A", "Not Used", "Used")</f>
        <v>Used</v>
      </c>
    </row>
    <row r="854" spans="1:15" x14ac:dyDescent="0.3">
      <c r="A854" s="6" t="s">
        <v>866</v>
      </c>
      <c r="B854" s="2">
        <v>45589</v>
      </c>
      <c r="C854" s="6" t="s">
        <v>2062</v>
      </c>
      <c r="D854" s="6" t="s">
        <v>2409</v>
      </c>
      <c r="E854" s="9">
        <v>3</v>
      </c>
      <c r="F854" s="24">
        <v>568.04999999999995</v>
      </c>
      <c r="G854" t="s">
        <v>2955</v>
      </c>
      <c r="H854" s="6" t="s">
        <v>3068</v>
      </c>
      <c r="I854" s="6" t="s">
        <v>3074</v>
      </c>
      <c r="J854" s="6" t="s">
        <v>3927</v>
      </c>
      <c r="K854" s="9">
        <v>6</v>
      </c>
      <c r="L854" s="6" t="s">
        <v>4275</v>
      </c>
      <c r="M854" s="6" t="s">
        <v>4282</v>
      </c>
      <c r="N854" s="24">
        <v>1704.15</v>
      </c>
      <c r="O854" s="22" t="str">
        <f>IF(Table2[[#This Row],[CouponCode]]="N/A", "Not Used", "Used")</f>
        <v>Used</v>
      </c>
    </row>
    <row r="855" spans="1:15" x14ac:dyDescent="0.3">
      <c r="A855" s="6" t="s">
        <v>867</v>
      </c>
      <c r="B855" s="2">
        <v>45215</v>
      </c>
      <c r="C855" s="6" t="s">
        <v>2063</v>
      </c>
      <c r="D855" s="6" t="s">
        <v>2407</v>
      </c>
      <c r="E855" s="9">
        <v>3</v>
      </c>
      <c r="F855" s="24">
        <v>490.01</v>
      </c>
      <c r="G855" t="s">
        <v>2663</v>
      </c>
      <c r="H855" s="6" t="s">
        <v>3069</v>
      </c>
      <c r="I855" s="6" t="s">
        <v>3072</v>
      </c>
      <c r="J855" s="6" t="s">
        <v>3928</v>
      </c>
      <c r="K855" s="9">
        <v>4</v>
      </c>
      <c r="L855" s="6" t="s">
        <v>4275</v>
      </c>
      <c r="M855" s="6" t="s">
        <v>4281</v>
      </c>
      <c r="N855" s="24">
        <v>1470.03</v>
      </c>
      <c r="O855" s="22" t="str">
        <f>IF(Table2[[#This Row],[CouponCode]]="N/A", "Not Used", "Used")</f>
        <v>Used</v>
      </c>
    </row>
    <row r="856" spans="1:15" x14ac:dyDescent="0.3">
      <c r="A856" s="6" t="s">
        <v>868</v>
      </c>
      <c r="B856" s="2">
        <v>45821</v>
      </c>
      <c r="C856" s="6" t="s">
        <v>2064</v>
      </c>
      <c r="D856" s="6" t="s">
        <v>2408</v>
      </c>
      <c r="E856" s="9">
        <v>3</v>
      </c>
      <c r="F856" s="24">
        <v>372.6</v>
      </c>
      <c r="G856" t="s">
        <v>2759</v>
      </c>
      <c r="H856" s="6" t="s">
        <v>3067</v>
      </c>
      <c r="I856" s="6" t="s">
        <v>3073</v>
      </c>
      <c r="J856" s="6" t="s">
        <v>3929</v>
      </c>
      <c r="K856" s="9">
        <v>7</v>
      </c>
      <c r="L856" s="6" t="s">
        <v>4277</v>
      </c>
      <c r="M856" s="6" t="s">
        <v>4279</v>
      </c>
      <c r="N856" s="24">
        <v>1117.8</v>
      </c>
      <c r="O856" s="22" t="str">
        <f>IF(Table2[[#This Row],[CouponCode]]="N/A", "Not Used", "Used")</f>
        <v>Used</v>
      </c>
    </row>
    <row r="857" spans="1:15" x14ac:dyDescent="0.3">
      <c r="A857" s="6" t="s">
        <v>869</v>
      </c>
      <c r="B857" s="2">
        <v>45071</v>
      </c>
      <c r="C857" s="6" t="s">
        <v>2065</v>
      </c>
      <c r="D857" s="6" t="s">
        <v>2403</v>
      </c>
      <c r="E857" s="9">
        <v>5</v>
      </c>
      <c r="F857" s="24">
        <v>240.61</v>
      </c>
      <c r="G857" t="s">
        <v>2624</v>
      </c>
      <c r="H857" s="6" t="s">
        <v>3067</v>
      </c>
      <c r="I857" s="6" t="s">
        <v>3070</v>
      </c>
      <c r="J857" s="6" t="s">
        <v>3930</v>
      </c>
      <c r="K857" s="9">
        <v>10</v>
      </c>
      <c r="L857" s="6" t="s">
        <v>4276</v>
      </c>
      <c r="M857" s="6" t="s">
        <v>4280</v>
      </c>
      <c r="N857" s="24">
        <v>1203.05</v>
      </c>
      <c r="O857" s="22" t="str">
        <f>IF(Table2[[#This Row],[CouponCode]]="N/A", "Not Used", "Used")</f>
        <v>Used</v>
      </c>
    </row>
    <row r="858" spans="1:15" x14ac:dyDescent="0.3">
      <c r="A858" s="6" t="s">
        <v>870</v>
      </c>
      <c r="B858" s="2">
        <v>45446</v>
      </c>
      <c r="C858" s="6" t="s">
        <v>2066</v>
      </c>
      <c r="D858" s="6" t="s">
        <v>2404</v>
      </c>
      <c r="E858" s="9">
        <v>1</v>
      </c>
      <c r="F858" s="24">
        <v>586.62</v>
      </c>
      <c r="G858" t="s">
        <v>2452</v>
      </c>
      <c r="H858" s="6" t="s">
        <v>3065</v>
      </c>
      <c r="I858" s="6" t="s">
        <v>3070</v>
      </c>
      <c r="J858" s="6" t="s">
        <v>3931</v>
      </c>
      <c r="K858" s="9">
        <v>5</v>
      </c>
      <c r="L858" s="6" t="s">
        <v>4283</v>
      </c>
      <c r="M858" s="6" t="s">
        <v>4281</v>
      </c>
      <c r="N858" s="24">
        <v>586.62</v>
      </c>
      <c r="O858" s="22" t="str">
        <f>IF(Table2[[#This Row],[CouponCode]]="N/A", "Not Used", "Used")</f>
        <v>Not Used</v>
      </c>
    </row>
    <row r="859" spans="1:15" x14ac:dyDescent="0.3">
      <c r="A859" s="6" t="s">
        <v>871</v>
      </c>
      <c r="B859" s="2">
        <v>45361</v>
      </c>
      <c r="C859" s="6" t="s">
        <v>2067</v>
      </c>
      <c r="D859" s="6" t="s">
        <v>2404</v>
      </c>
      <c r="E859" s="9">
        <v>3</v>
      </c>
      <c r="F859" s="24">
        <v>257.83999999999997</v>
      </c>
      <c r="G859" t="s">
        <v>2594</v>
      </c>
      <c r="H859" s="6" t="s">
        <v>3066</v>
      </c>
      <c r="I859" s="6" t="s">
        <v>3073</v>
      </c>
      <c r="J859" s="6" t="s">
        <v>3932</v>
      </c>
      <c r="K859" s="9">
        <v>4</v>
      </c>
      <c r="L859" s="6" t="s">
        <v>4283</v>
      </c>
      <c r="M859" s="6" t="s">
        <v>4278</v>
      </c>
      <c r="N859" s="24">
        <v>773.52</v>
      </c>
      <c r="O859" s="22" t="str">
        <f>IF(Table2[[#This Row],[CouponCode]]="N/A", "Not Used", "Used")</f>
        <v>Not Used</v>
      </c>
    </row>
    <row r="860" spans="1:15" x14ac:dyDescent="0.3">
      <c r="A860" s="6" t="s">
        <v>872</v>
      </c>
      <c r="B860" s="2">
        <v>45158</v>
      </c>
      <c r="C860" s="6" t="s">
        <v>2068</v>
      </c>
      <c r="D860" s="6" t="s">
        <v>2405</v>
      </c>
      <c r="E860" s="9">
        <v>5</v>
      </c>
      <c r="F860" s="24">
        <v>435.66</v>
      </c>
      <c r="G860" t="s">
        <v>2428</v>
      </c>
      <c r="H860" s="6" t="s">
        <v>3066</v>
      </c>
      <c r="I860" s="6" t="s">
        <v>3074</v>
      </c>
      <c r="J860" s="6" t="s">
        <v>3933</v>
      </c>
      <c r="K860" s="9">
        <v>9</v>
      </c>
      <c r="L860" s="6" t="s">
        <v>4283</v>
      </c>
      <c r="M860" s="6" t="s">
        <v>4281</v>
      </c>
      <c r="N860" s="24">
        <v>2178.3000000000002</v>
      </c>
      <c r="O860" s="22" t="str">
        <f>IF(Table2[[#This Row],[CouponCode]]="N/A", "Not Used", "Used")</f>
        <v>Not Used</v>
      </c>
    </row>
    <row r="861" spans="1:15" x14ac:dyDescent="0.3">
      <c r="A861" s="6" t="s">
        <v>873</v>
      </c>
      <c r="B861" s="2">
        <v>45532</v>
      </c>
      <c r="C861" s="6" t="s">
        <v>2069</v>
      </c>
      <c r="D861" s="6" t="s">
        <v>2406</v>
      </c>
      <c r="E861" s="9">
        <v>5</v>
      </c>
      <c r="F861" s="24">
        <v>261.33</v>
      </c>
      <c r="G861" t="s">
        <v>2842</v>
      </c>
      <c r="H861" s="6" t="s">
        <v>3067</v>
      </c>
      <c r="I861" s="6" t="s">
        <v>3072</v>
      </c>
      <c r="J861" s="6" t="s">
        <v>3934</v>
      </c>
      <c r="K861" s="9">
        <v>5</v>
      </c>
      <c r="L861" s="6" t="s">
        <v>4275</v>
      </c>
      <c r="M861" s="6" t="s">
        <v>4279</v>
      </c>
      <c r="N861" s="24">
        <v>1306.6500000000001</v>
      </c>
      <c r="O861" s="22" t="str">
        <f>IF(Table2[[#This Row],[CouponCode]]="N/A", "Not Used", "Used")</f>
        <v>Used</v>
      </c>
    </row>
    <row r="862" spans="1:15" x14ac:dyDescent="0.3">
      <c r="A862" s="6" t="s">
        <v>874</v>
      </c>
      <c r="B862" s="2">
        <v>45314</v>
      </c>
      <c r="C862" s="6" t="s">
        <v>2070</v>
      </c>
      <c r="D862" s="6" t="s">
        <v>2407</v>
      </c>
      <c r="E862" s="9">
        <v>1</v>
      </c>
      <c r="F862" s="24">
        <v>422.54</v>
      </c>
      <c r="G862" t="s">
        <v>2699</v>
      </c>
      <c r="H862" s="6" t="s">
        <v>3069</v>
      </c>
      <c r="I862" s="6" t="s">
        <v>3073</v>
      </c>
      <c r="J862" s="6" t="s">
        <v>3935</v>
      </c>
      <c r="K862" s="9">
        <v>1</v>
      </c>
      <c r="L862" s="6" t="s">
        <v>4275</v>
      </c>
      <c r="M862" s="6" t="s">
        <v>4282</v>
      </c>
      <c r="N862" s="24">
        <v>422.54</v>
      </c>
      <c r="O862" s="22" t="str">
        <f>IF(Table2[[#This Row],[CouponCode]]="N/A", "Not Used", "Used")</f>
        <v>Used</v>
      </c>
    </row>
    <row r="863" spans="1:15" x14ac:dyDescent="0.3">
      <c r="A863" s="6" t="s">
        <v>875</v>
      </c>
      <c r="B863" s="2">
        <v>45004</v>
      </c>
      <c r="C863" s="6" t="s">
        <v>2071</v>
      </c>
      <c r="D863" s="6" t="s">
        <v>2409</v>
      </c>
      <c r="E863" s="9">
        <v>5</v>
      </c>
      <c r="F863" s="24">
        <v>330.45</v>
      </c>
      <c r="G863" t="s">
        <v>2956</v>
      </c>
      <c r="H863" s="6" t="s">
        <v>3068</v>
      </c>
      <c r="I863" s="6" t="s">
        <v>3070</v>
      </c>
      <c r="J863" s="6" t="s">
        <v>3936</v>
      </c>
      <c r="K863" s="9">
        <v>10</v>
      </c>
      <c r="L863" s="6" t="s">
        <v>4276</v>
      </c>
      <c r="M863" s="6" t="s">
        <v>4282</v>
      </c>
      <c r="N863" s="24">
        <v>1652.25</v>
      </c>
      <c r="O863" s="22" t="str">
        <f>IF(Table2[[#This Row],[CouponCode]]="N/A", "Not Used", "Used")</f>
        <v>Used</v>
      </c>
    </row>
    <row r="864" spans="1:15" x14ac:dyDescent="0.3">
      <c r="A864" s="6" t="s">
        <v>876</v>
      </c>
      <c r="B864" s="2">
        <v>45262</v>
      </c>
      <c r="C864" s="6" t="s">
        <v>2072</v>
      </c>
      <c r="D864" s="6" t="s">
        <v>2409</v>
      </c>
      <c r="E864" s="9">
        <v>3</v>
      </c>
      <c r="F864" s="24">
        <v>120.82</v>
      </c>
      <c r="G864" t="s">
        <v>2882</v>
      </c>
      <c r="H864" s="6" t="s">
        <v>3067</v>
      </c>
      <c r="I864" s="6" t="s">
        <v>3070</v>
      </c>
      <c r="J864" s="6" t="s">
        <v>3937</v>
      </c>
      <c r="K864" s="9">
        <v>5</v>
      </c>
      <c r="L864" s="6" t="s">
        <v>4275</v>
      </c>
      <c r="M864" s="6" t="s">
        <v>4279</v>
      </c>
      <c r="N864" s="24">
        <v>362.46</v>
      </c>
      <c r="O864" s="22" t="str">
        <f>IF(Table2[[#This Row],[CouponCode]]="N/A", "Not Used", "Used")</f>
        <v>Used</v>
      </c>
    </row>
    <row r="865" spans="1:15" x14ac:dyDescent="0.3">
      <c r="A865" s="6" t="s">
        <v>877</v>
      </c>
      <c r="B865" s="2">
        <v>45432</v>
      </c>
      <c r="C865" s="6" t="s">
        <v>2073</v>
      </c>
      <c r="D865" s="6" t="s">
        <v>2404</v>
      </c>
      <c r="E865" s="9">
        <v>1</v>
      </c>
      <c r="F865" s="24">
        <v>14.06</v>
      </c>
      <c r="G865" t="s">
        <v>2625</v>
      </c>
      <c r="H865" s="6" t="s">
        <v>3067</v>
      </c>
      <c r="I865" s="6" t="s">
        <v>3074</v>
      </c>
      <c r="J865" s="6" t="s">
        <v>3938</v>
      </c>
      <c r="K865" s="9">
        <v>5</v>
      </c>
      <c r="L865" s="6" t="s">
        <v>4275</v>
      </c>
      <c r="M865" s="6" t="s">
        <v>4279</v>
      </c>
      <c r="N865" s="24">
        <v>14.06</v>
      </c>
      <c r="O865" s="22" t="str">
        <f>IF(Table2[[#This Row],[CouponCode]]="N/A", "Not Used", "Used")</f>
        <v>Used</v>
      </c>
    </row>
    <row r="866" spans="1:15" x14ac:dyDescent="0.3">
      <c r="A866" s="6" t="s">
        <v>878</v>
      </c>
      <c r="B866" s="2">
        <v>45049</v>
      </c>
      <c r="C866" s="6" t="s">
        <v>2074</v>
      </c>
      <c r="D866" s="6" t="s">
        <v>2409</v>
      </c>
      <c r="E866" s="9">
        <v>1</v>
      </c>
      <c r="F866" s="24">
        <v>491.11</v>
      </c>
      <c r="G866" t="s">
        <v>2957</v>
      </c>
      <c r="H866" s="6" t="s">
        <v>3067</v>
      </c>
      <c r="I866" s="6" t="s">
        <v>3073</v>
      </c>
      <c r="J866" s="6" t="s">
        <v>3939</v>
      </c>
      <c r="K866" s="9">
        <v>4</v>
      </c>
      <c r="L866" s="6" t="s">
        <v>4275</v>
      </c>
      <c r="M866" s="6" t="s">
        <v>4281</v>
      </c>
      <c r="N866" s="24">
        <v>491.11</v>
      </c>
      <c r="O866" s="22" t="str">
        <f>IF(Table2[[#This Row],[CouponCode]]="N/A", "Not Used", "Used")</f>
        <v>Used</v>
      </c>
    </row>
    <row r="867" spans="1:15" x14ac:dyDescent="0.3">
      <c r="A867" s="6" t="s">
        <v>879</v>
      </c>
      <c r="B867" s="2">
        <v>45046</v>
      </c>
      <c r="C867" s="6" t="s">
        <v>2075</v>
      </c>
      <c r="D867" s="6" t="s">
        <v>2403</v>
      </c>
      <c r="E867" s="9">
        <v>4</v>
      </c>
      <c r="F867" s="24">
        <v>677.37</v>
      </c>
      <c r="G867" t="s">
        <v>2958</v>
      </c>
      <c r="H867" s="6" t="s">
        <v>3069</v>
      </c>
      <c r="I867" s="6" t="s">
        <v>3074</v>
      </c>
      <c r="J867" s="6" t="s">
        <v>3940</v>
      </c>
      <c r="K867" s="9">
        <v>8</v>
      </c>
      <c r="L867" s="6" t="s">
        <v>4275</v>
      </c>
      <c r="M867" s="6" t="s">
        <v>4282</v>
      </c>
      <c r="N867" s="24">
        <v>2709.48</v>
      </c>
      <c r="O867" s="22" t="str">
        <f>IF(Table2[[#This Row],[CouponCode]]="N/A", "Not Used", "Used")</f>
        <v>Used</v>
      </c>
    </row>
    <row r="868" spans="1:15" x14ac:dyDescent="0.3">
      <c r="A868" s="6" t="s">
        <v>880</v>
      </c>
      <c r="B868" s="2">
        <v>45499</v>
      </c>
      <c r="C868" s="6" t="s">
        <v>2076</v>
      </c>
      <c r="D868" s="6" t="s">
        <v>2409</v>
      </c>
      <c r="E868" s="9">
        <v>5</v>
      </c>
      <c r="F868" s="24">
        <v>189.25</v>
      </c>
      <c r="G868" t="s">
        <v>2959</v>
      </c>
      <c r="H868" s="6" t="s">
        <v>3065</v>
      </c>
      <c r="I868" s="6" t="s">
        <v>3071</v>
      </c>
      <c r="J868" s="6" t="s">
        <v>3941</v>
      </c>
      <c r="K868" s="9">
        <v>10</v>
      </c>
      <c r="L868" s="6" t="s">
        <v>4277</v>
      </c>
      <c r="M868" s="6" t="s">
        <v>4280</v>
      </c>
      <c r="N868" s="24">
        <v>946.25</v>
      </c>
      <c r="O868" s="22" t="str">
        <f>IF(Table2[[#This Row],[CouponCode]]="N/A", "Not Used", "Used")</f>
        <v>Used</v>
      </c>
    </row>
    <row r="869" spans="1:15" x14ac:dyDescent="0.3">
      <c r="A869" s="6" t="s">
        <v>881</v>
      </c>
      <c r="B869" s="2">
        <v>45438</v>
      </c>
      <c r="C869" s="6" t="s">
        <v>2077</v>
      </c>
      <c r="D869" s="6" t="s">
        <v>2407</v>
      </c>
      <c r="E869" s="9">
        <v>4</v>
      </c>
      <c r="F869" s="24">
        <v>142.58000000000001</v>
      </c>
      <c r="G869" t="s">
        <v>2960</v>
      </c>
      <c r="H869" s="6" t="s">
        <v>3069</v>
      </c>
      <c r="I869" s="6" t="s">
        <v>3073</v>
      </c>
      <c r="J869" s="6" t="s">
        <v>3942</v>
      </c>
      <c r="K869" s="9">
        <v>4</v>
      </c>
      <c r="L869" s="6" t="s">
        <v>4276</v>
      </c>
      <c r="M869" s="6" t="s">
        <v>4281</v>
      </c>
      <c r="N869" s="24">
        <v>570.32000000000005</v>
      </c>
      <c r="O869" s="22" t="str">
        <f>IF(Table2[[#This Row],[CouponCode]]="N/A", "Not Used", "Used")</f>
        <v>Used</v>
      </c>
    </row>
    <row r="870" spans="1:15" x14ac:dyDescent="0.3">
      <c r="A870" s="6" t="s">
        <v>882</v>
      </c>
      <c r="B870" s="2">
        <v>45472</v>
      </c>
      <c r="C870" s="6" t="s">
        <v>2078</v>
      </c>
      <c r="D870" s="6" t="s">
        <v>2403</v>
      </c>
      <c r="E870" s="9">
        <v>4</v>
      </c>
      <c r="F870" s="24">
        <v>316.32</v>
      </c>
      <c r="G870" t="s">
        <v>2961</v>
      </c>
      <c r="H870" s="6" t="s">
        <v>3065</v>
      </c>
      <c r="I870" s="6" t="s">
        <v>3073</v>
      </c>
      <c r="J870" s="6" t="s">
        <v>3943</v>
      </c>
      <c r="K870" s="9">
        <v>7</v>
      </c>
      <c r="L870" s="6" t="s">
        <v>4283</v>
      </c>
      <c r="M870" s="6" t="s">
        <v>4281</v>
      </c>
      <c r="N870" s="24">
        <v>1265.28</v>
      </c>
      <c r="O870" s="22" t="str">
        <f>IF(Table2[[#This Row],[CouponCode]]="N/A", "Not Used", "Used")</f>
        <v>Not Used</v>
      </c>
    </row>
    <row r="871" spans="1:15" x14ac:dyDescent="0.3">
      <c r="A871" s="6" t="s">
        <v>883</v>
      </c>
      <c r="B871" s="2">
        <v>45368</v>
      </c>
      <c r="C871" s="6" t="s">
        <v>2079</v>
      </c>
      <c r="D871" s="6" t="s">
        <v>2409</v>
      </c>
      <c r="E871" s="9">
        <v>2</v>
      </c>
      <c r="F871" s="24">
        <v>533.95000000000005</v>
      </c>
      <c r="G871" t="s">
        <v>2566</v>
      </c>
      <c r="H871" s="6" t="s">
        <v>3066</v>
      </c>
      <c r="I871" s="6" t="s">
        <v>3073</v>
      </c>
      <c r="J871" s="6" t="s">
        <v>3944</v>
      </c>
      <c r="K871" s="9">
        <v>5</v>
      </c>
      <c r="L871" s="6" t="s">
        <v>4277</v>
      </c>
      <c r="M871" s="6" t="s">
        <v>4282</v>
      </c>
      <c r="N871" s="24">
        <v>1067.9000000000001</v>
      </c>
      <c r="O871" s="22" t="str">
        <f>IF(Table2[[#This Row],[CouponCode]]="N/A", "Not Used", "Used")</f>
        <v>Used</v>
      </c>
    </row>
    <row r="872" spans="1:15" x14ac:dyDescent="0.3">
      <c r="A872" s="6" t="s">
        <v>884</v>
      </c>
      <c r="B872" s="2">
        <v>45809</v>
      </c>
      <c r="C872" s="6" t="s">
        <v>2080</v>
      </c>
      <c r="D872" s="6" t="s">
        <v>2404</v>
      </c>
      <c r="E872" s="9">
        <v>4</v>
      </c>
      <c r="F872" s="24">
        <v>470.09</v>
      </c>
      <c r="G872" t="s">
        <v>2962</v>
      </c>
      <c r="H872" s="6" t="s">
        <v>3065</v>
      </c>
      <c r="I872" s="6" t="s">
        <v>3073</v>
      </c>
      <c r="J872" s="6" t="s">
        <v>3945</v>
      </c>
      <c r="K872" s="9">
        <v>4</v>
      </c>
      <c r="L872" s="6" t="s">
        <v>4276</v>
      </c>
      <c r="M872" s="6" t="s">
        <v>4282</v>
      </c>
      <c r="N872" s="24">
        <v>1880.36</v>
      </c>
      <c r="O872" s="22" t="str">
        <f>IF(Table2[[#This Row],[CouponCode]]="N/A", "Not Used", "Used")</f>
        <v>Used</v>
      </c>
    </row>
    <row r="873" spans="1:15" x14ac:dyDescent="0.3">
      <c r="A873" s="6" t="s">
        <v>885</v>
      </c>
      <c r="B873" s="2">
        <v>45428</v>
      </c>
      <c r="C873" s="6" t="s">
        <v>2081</v>
      </c>
      <c r="D873" s="6" t="s">
        <v>2405</v>
      </c>
      <c r="E873" s="9">
        <v>3</v>
      </c>
      <c r="F873" s="24">
        <v>324.3</v>
      </c>
      <c r="G873" t="s">
        <v>2963</v>
      </c>
      <c r="H873" s="6" t="s">
        <v>3065</v>
      </c>
      <c r="I873" s="6" t="s">
        <v>3074</v>
      </c>
      <c r="J873" s="6" t="s">
        <v>3946</v>
      </c>
      <c r="K873" s="9">
        <v>8</v>
      </c>
      <c r="L873" s="6" t="s">
        <v>4276</v>
      </c>
      <c r="M873" s="6" t="s">
        <v>4280</v>
      </c>
      <c r="N873" s="24">
        <v>972.90000000000009</v>
      </c>
      <c r="O873" s="22" t="str">
        <f>IF(Table2[[#This Row],[CouponCode]]="N/A", "Not Used", "Used")</f>
        <v>Used</v>
      </c>
    </row>
    <row r="874" spans="1:15" x14ac:dyDescent="0.3">
      <c r="A874" s="6" t="s">
        <v>886</v>
      </c>
      <c r="B874" s="2">
        <v>45117</v>
      </c>
      <c r="C874" s="6" t="s">
        <v>2082</v>
      </c>
      <c r="D874" s="6" t="s">
        <v>2406</v>
      </c>
      <c r="E874" s="9">
        <v>4</v>
      </c>
      <c r="F874" s="24">
        <v>629.34</v>
      </c>
      <c r="G874" t="s">
        <v>2590</v>
      </c>
      <c r="H874" s="6" t="s">
        <v>3069</v>
      </c>
      <c r="I874" s="6" t="s">
        <v>3070</v>
      </c>
      <c r="J874" s="6" t="s">
        <v>3947</v>
      </c>
      <c r="K874" s="9">
        <v>7</v>
      </c>
      <c r="L874" s="6" t="s">
        <v>4283</v>
      </c>
      <c r="M874" s="6" t="s">
        <v>4280</v>
      </c>
      <c r="N874" s="24">
        <v>2517.36</v>
      </c>
      <c r="O874" s="22" t="str">
        <f>IF(Table2[[#This Row],[CouponCode]]="N/A", "Not Used", "Used")</f>
        <v>Not Used</v>
      </c>
    </row>
    <row r="875" spans="1:15" x14ac:dyDescent="0.3">
      <c r="A875" s="6" t="s">
        <v>887</v>
      </c>
      <c r="B875" s="2">
        <v>45424</v>
      </c>
      <c r="C875" s="6" t="s">
        <v>2083</v>
      </c>
      <c r="D875" s="6" t="s">
        <v>2409</v>
      </c>
      <c r="E875" s="9">
        <v>3</v>
      </c>
      <c r="F875" s="24">
        <v>136.84</v>
      </c>
      <c r="G875" t="s">
        <v>2964</v>
      </c>
      <c r="H875" s="6" t="s">
        <v>3069</v>
      </c>
      <c r="I875" s="6" t="s">
        <v>3073</v>
      </c>
      <c r="J875" s="6" t="s">
        <v>3948</v>
      </c>
      <c r="K875" s="9">
        <v>3</v>
      </c>
      <c r="L875" s="6" t="s">
        <v>4275</v>
      </c>
      <c r="M875" s="6" t="s">
        <v>4281</v>
      </c>
      <c r="N875" s="24">
        <v>410.52</v>
      </c>
      <c r="O875" s="22" t="str">
        <f>IF(Table2[[#This Row],[CouponCode]]="N/A", "Not Used", "Used")</f>
        <v>Used</v>
      </c>
    </row>
    <row r="876" spans="1:15" x14ac:dyDescent="0.3">
      <c r="A876" s="6" t="s">
        <v>888</v>
      </c>
      <c r="B876" s="2">
        <v>45230</v>
      </c>
      <c r="C876" s="6" t="s">
        <v>2084</v>
      </c>
      <c r="D876" s="6" t="s">
        <v>2406</v>
      </c>
      <c r="E876" s="9">
        <v>2</v>
      </c>
      <c r="F876" s="24">
        <v>488.9</v>
      </c>
      <c r="G876" t="s">
        <v>2886</v>
      </c>
      <c r="H876" s="6" t="s">
        <v>3069</v>
      </c>
      <c r="I876" s="6" t="s">
        <v>3073</v>
      </c>
      <c r="J876" s="6" t="s">
        <v>3949</v>
      </c>
      <c r="K876" s="9">
        <v>7</v>
      </c>
      <c r="L876" s="6" t="s">
        <v>4276</v>
      </c>
      <c r="M876" s="6" t="s">
        <v>4281</v>
      </c>
      <c r="N876" s="24">
        <v>977.8</v>
      </c>
      <c r="O876" s="22" t="str">
        <f>IF(Table2[[#This Row],[CouponCode]]="N/A", "Not Used", "Used")</f>
        <v>Used</v>
      </c>
    </row>
    <row r="877" spans="1:15" x14ac:dyDescent="0.3">
      <c r="A877" s="6" t="s">
        <v>889</v>
      </c>
      <c r="B877" s="2">
        <v>45141</v>
      </c>
      <c r="C877" s="6" t="s">
        <v>2085</v>
      </c>
      <c r="D877" s="6" t="s">
        <v>2408</v>
      </c>
      <c r="E877" s="9">
        <v>5</v>
      </c>
      <c r="F877" s="24">
        <v>133.38999999999999</v>
      </c>
      <c r="G877" t="s">
        <v>2496</v>
      </c>
      <c r="H877" s="6" t="s">
        <v>3067</v>
      </c>
      <c r="I877" s="6" t="s">
        <v>3073</v>
      </c>
      <c r="J877" s="6" t="s">
        <v>3950</v>
      </c>
      <c r="K877" s="9">
        <v>6</v>
      </c>
      <c r="L877" s="6" t="s">
        <v>4276</v>
      </c>
      <c r="M877" s="6" t="s">
        <v>4279</v>
      </c>
      <c r="N877" s="24">
        <v>666.94999999999993</v>
      </c>
      <c r="O877" s="22" t="str">
        <f>IF(Table2[[#This Row],[CouponCode]]="N/A", "Not Used", "Used")</f>
        <v>Used</v>
      </c>
    </row>
    <row r="878" spans="1:15" x14ac:dyDescent="0.3">
      <c r="A878" s="6" t="s">
        <v>890</v>
      </c>
      <c r="B878" s="2">
        <v>45452</v>
      </c>
      <c r="C878" s="6" t="s">
        <v>2086</v>
      </c>
      <c r="D878" s="6" t="s">
        <v>2406</v>
      </c>
      <c r="E878" s="9">
        <v>5</v>
      </c>
      <c r="F878" s="24">
        <v>608.91</v>
      </c>
      <c r="G878" t="s">
        <v>2900</v>
      </c>
      <c r="H878" s="6" t="s">
        <v>3068</v>
      </c>
      <c r="I878" s="6" t="s">
        <v>3074</v>
      </c>
      <c r="J878" s="6" t="s">
        <v>3951</v>
      </c>
      <c r="K878" s="9">
        <v>6</v>
      </c>
      <c r="L878" s="6" t="s">
        <v>4275</v>
      </c>
      <c r="M878" s="6" t="s">
        <v>4282</v>
      </c>
      <c r="N878" s="24">
        <v>3044.55</v>
      </c>
      <c r="O878" s="22" t="str">
        <f>IF(Table2[[#This Row],[CouponCode]]="N/A", "Not Used", "Used")</f>
        <v>Used</v>
      </c>
    </row>
    <row r="879" spans="1:15" x14ac:dyDescent="0.3">
      <c r="A879" s="6" t="s">
        <v>891</v>
      </c>
      <c r="B879" s="2">
        <v>45498</v>
      </c>
      <c r="C879" s="6" t="s">
        <v>2087</v>
      </c>
      <c r="D879" s="6" t="s">
        <v>2405</v>
      </c>
      <c r="E879" s="9">
        <v>1</v>
      </c>
      <c r="F879" s="24">
        <v>524.05999999999995</v>
      </c>
      <c r="G879" t="s">
        <v>2847</v>
      </c>
      <c r="H879" s="6" t="s">
        <v>3065</v>
      </c>
      <c r="I879" s="6" t="s">
        <v>3074</v>
      </c>
      <c r="J879" s="6" t="s">
        <v>3952</v>
      </c>
      <c r="K879" s="9">
        <v>3</v>
      </c>
      <c r="L879" s="6" t="s">
        <v>4276</v>
      </c>
      <c r="M879" s="6" t="s">
        <v>4280</v>
      </c>
      <c r="N879" s="24">
        <v>524.05999999999995</v>
      </c>
      <c r="O879" s="22" t="str">
        <f>IF(Table2[[#This Row],[CouponCode]]="N/A", "Not Used", "Used")</f>
        <v>Used</v>
      </c>
    </row>
    <row r="880" spans="1:15" x14ac:dyDescent="0.3">
      <c r="A880" s="6" t="s">
        <v>892</v>
      </c>
      <c r="B880" s="2">
        <v>45078</v>
      </c>
      <c r="C880" s="6" t="s">
        <v>2088</v>
      </c>
      <c r="D880" s="6" t="s">
        <v>2409</v>
      </c>
      <c r="E880" s="9">
        <v>2</v>
      </c>
      <c r="F880" s="24">
        <v>330.69</v>
      </c>
      <c r="G880" t="s">
        <v>2965</v>
      </c>
      <c r="H880" s="6" t="s">
        <v>3066</v>
      </c>
      <c r="I880" s="6" t="s">
        <v>3071</v>
      </c>
      <c r="J880" s="6" t="s">
        <v>3953</v>
      </c>
      <c r="K880" s="9">
        <v>5</v>
      </c>
      <c r="L880" s="6" t="s">
        <v>4275</v>
      </c>
      <c r="M880" s="6" t="s">
        <v>4282</v>
      </c>
      <c r="N880" s="24">
        <v>661.38</v>
      </c>
      <c r="O880" s="22" t="str">
        <f>IF(Table2[[#This Row],[CouponCode]]="N/A", "Not Used", "Used")</f>
        <v>Used</v>
      </c>
    </row>
    <row r="881" spans="1:15" x14ac:dyDescent="0.3">
      <c r="A881" s="6" t="s">
        <v>893</v>
      </c>
      <c r="B881" s="2">
        <v>45755</v>
      </c>
      <c r="C881" s="6" t="s">
        <v>2089</v>
      </c>
      <c r="D881" s="6" t="s">
        <v>2404</v>
      </c>
      <c r="E881" s="9">
        <v>2</v>
      </c>
      <c r="F881" s="24">
        <v>547.66999999999996</v>
      </c>
      <c r="G881" t="s">
        <v>2817</v>
      </c>
      <c r="H881" s="6" t="s">
        <v>3068</v>
      </c>
      <c r="I881" s="6" t="s">
        <v>3070</v>
      </c>
      <c r="J881" s="6" t="s">
        <v>3954</v>
      </c>
      <c r="K881" s="9">
        <v>3</v>
      </c>
      <c r="L881" s="6" t="s">
        <v>4283</v>
      </c>
      <c r="M881" s="6" t="s">
        <v>4278</v>
      </c>
      <c r="N881" s="24">
        <v>1095.3399999999999</v>
      </c>
      <c r="O881" s="22" t="str">
        <f>IF(Table2[[#This Row],[CouponCode]]="N/A", "Not Used", "Used")</f>
        <v>Not Used</v>
      </c>
    </row>
    <row r="882" spans="1:15" x14ac:dyDescent="0.3">
      <c r="A882" s="6" t="s">
        <v>894</v>
      </c>
      <c r="B882" s="2">
        <v>45728</v>
      </c>
      <c r="C882" s="6" t="s">
        <v>2090</v>
      </c>
      <c r="D882" s="6" t="s">
        <v>2408</v>
      </c>
      <c r="E882" s="9">
        <v>4</v>
      </c>
      <c r="F882" s="24">
        <v>233.7</v>
      </c>
      <c r="G882" t="s">
        <v>2620</v>
      </c>
      <c r="H882" s="6" t="s">
        <v>3066</v>
      </c>
      <c r="I882" s="6" t="s">
        <v>3070</v>
      </c>
      <c r="J882" s="6" t="s">
        <v>3955</v>
      </c>
      <c r="K882" s="9">
        <v>8</v>
      </c>
      <c r="L882" s="6" t="s">
        <v>4275</v>
      </c>
      <c r="M882" s="6" t="s">
        <v>4281</v>
      </c>
      <c r="N882" s="24">
        <v>934.8</v>
      </c>
      <c r="O882" s="22" t="str">
        <f>IF(Table2[[#This Row],[CouponCode]]="N/A", "Not Used", "Used")</f>
        <v>Used</v>
      </c>
    </row>
    <row r="883" spans="1:15" x14ac:dyDescent="0.3">
      <c r="A883" s="6" t="s">
        <v>895</v>
      </c>
      <c r="B883" s="2">
        <v>44929</v>
      </c>
      <c r="C883" s="6" t="s">
        <v>2091</v>
      </c>
      <c r="D883" s="6" t="s">
        <v>2405</v>
      </c>
      <c r="E883" s="9">
        <v>2</v>
      </c>
      <c r="F883" s="24">
        <v>448.85</v>
      </c>
      <c r="G883" t="s">
        <v>2966</v>
      </c>
      <c r="H883" s="6" t="s">
        <v>3067</v>
      </c>
      <c r="I883" s="6" t="s">
        <v>3074</v>
      </c>
      <c r="J883" s="6" t="s">
        <v>3956</v>
      </c>
      <c r="K883" s="9">
        <v>6</v>
      </c>
      <c r="L883" s="6" t="s">
        <v>4283</v>
      </c>
      <c r="M883" s="6" t="s">
        <v>4278</v>
      </c>
      <c r="N883" s="24">
        <v>897.7</v>
      </c>
      <c r="O883" s="22" t="str">
        <f>IF(Table2[[#This Row],[CouponCode]]="N/A", "Not Used", "Used")</f>
        <v>Not Used</v>
      </c>
    </row>
    <row r="884" spans="1:15" x14ac:dyDescent="0.3">
      <c r="A884" s="6" t="s">
        <v>896</v>
      </c>
      <c r="B884" s="2">
        <v>45836</v>
      </c>
      <c r="C884" s="6" t="s">
        <v>2092</v>
      </c>
      <c r="D884" s="6" t="s">
        <v>2404</v>
      </c>
      <c r="E884" s="9">
        <v>2</v>
      </c>
      <c r="F884" s="24">
        <v>274.12</v>
      </c>
      <c r="G884" t="s">
        <v>2501</v>
      </c>
      <c r="H884" s="6" t="s">
        <v>3069</v>
      </c>
      <c r="I884" s="6" t="s">
        <v>3073</v>
      </c>
      <c r="J884" s="6" t="s">
        <v>3957</v>
      </c>
      <c r="K884" s="9">
        <v>6</v>
      </c>
      <c r="L884" s="6" t="s">
        <v>4276</v>
      </c>
      <c r="M884" s="6" t="s">
        <v>4279</v>
      </c>
      <c r="N884" s="24">
        <v>548.24</v>
      </c>
      <c r="O884" s="22" t="str">
        <f>IF(Table2[[#This Row],[CouponCode]]="N/A", "Not Used", "Used")</f>
        <v>Used</v>
      </c>
    </row>
    <row r="885" spans="1:15" x14ac:dyDescent="0.3">
      <c r="A885" s="6" t="s">
        <v>897</v>
      </c>
      <c r="B885" s="2">
        <v>45790</v>
      </c>
      <c r="C885" s="6" t="s">
        <v>2093</v>
      </c>
      <c r="D885" s="6" t="s">
        <v>2407</v>
      </c>
      <c r="E885" s="9">
        <v>5</v>
      </c>
      <c r="F885" s="24">
        <v>561.48</v>
      </c>
      <c r="G885" t="s">
        <v>2967</v>
      </c>
      <c r="H885" s="6" t="s">
        <v>3066</v>
      </c>
      <c r="I885" s="6" t="s">
        <v>3073</v>
      </c>
      <c r="J885" s="6" t="s">
        <v>3958</v>
      </c>
      <c r="K885" s="9">
        <v>9</v>
      </c>
      <c r="L885" s="6" t="s">
        <v>4276</v>
      </c>
      <c r="M885" s="6" t="s">
        <v>4281</v>
      </c>
      <c r="N885" s="24">
        <v>2807.4</v>
      </c>
      <c r="O885" s="22" t="str">
        <f>IF(Table2[[#This Row],[CouponCode]]="N/A", "Not Used", "Used")</f>
        <v>Used</v>
      </c>
    </row>
    <row r="886" spans="1:15" x14ac:dyDescent="0.3">
      <c r="A886" s="6" t="s">
        <v>898</v>
      </c>
      <c r="B886" s="2">
        <v>45427</v>
      </c>
      <c r="C886" s="6" t="s">
        <v>2094</v>
      </c>
      <c r="D886" s="6" t="s">
        <v>2406</v>
      </c>
      <c r="E886" s="9">
        <v>1</v>
      </c>
      <c r="F886" s="24">
        <v>595.54</v>
      </c>
      <c r="G886" t="s">
        <v>2968</v>
      </c>
      <c r="H886" s="6" t="s">
        <v>3068</v>
      </c>
      <c r="I886" s="6" t="s">
        <v>3070</v>
      </c>
      <c r="J886" s="6" t="s">
        <v>3959</v>
      </c>
      <c r="K886" s="9">
        <v>4</v>
      </c>
      <c r="L886" s="6" t="s">
        <v>4283</v>
      </c>
      <c r="M886" s="6" t="s">
        <v>4278</v>
      </c>
      <c r="N886" s="24">
        <v>595.54</v>
      </c>
      <c r="O886" s="22" t="str">
        <f>IF(Table2[[#This Row],[CouponCode]]="N/A", "Not Used", "Used")</f>
        <v>Not Used</v>
      </c>
    </row>
    <row r="887" spans="1:15" x14ac:dyDescent="0.3">
      <c r="A887" s="6" t="s">
        <v>899</v>
      </c>
      <c r="B887" s="2">
        <v>45389</v>
      </c>
      <c r="C887" s="6" t="s">
        <v>2095</v>
      </c>
      <c r="D887" s="6" t="s">
        <v>2408</v>
      </c>
      <c r="E887" s="9">
        <v>4</v>
      </c>
      <c r="F887" s="24">
        <v>515.59</v>
      </c>
      <c r="G887" t="s">
        <v>2969</v>
      </c>
      <c r="H887" s="6" t="s">
        <v>3067</v>
      </c>
      <c r="I887" s="6" t="s">
        <v>3070</v>
      </c>
      <c r="J887" s="6" t="s">
        <v>3960</v>
      </c>
      <c r="K887" s="9">
        <v>7</v>
      </c>
      <c r="L887" s="6" t="s">
        <v>4276</v>
      </c>
      <c r="M887" s="6" t="s">
        <v>4282</v>
      </c>
      <c r="N887" s="24">
        <v>2062.36</v>
      </c>
      <c r="O887" s="22" t="str">
        <f>IF(Table2[[#This Row],[CouponCode]]="N/A", "Not Used", "Used")</f>
        <v>Used</v>
      </c>
    </row>
    <row r="888" spans="1:15" x14ac:dyDescent="0.3">
      <c r="A888" s="6" t="s">
        <v>900</v>
      </c>
      <c r="B888" s="2">
        <v>45224</v>
      </c>
      <c r="C888" s="6" t="s">
        <v>2096</v>
      </c>
      <c r="D888" s="6" t="s">
        <v>2404</v>
      </c>
      <c r="E888" s="9">
        <v>1</v>
      </c>
      <c r="F888" s="24">
        <v>460.13</v>
      </c>
      <c r="G888" t="s">
        <v>2970</v>
      </c>
      <c r="H888" s="6" t="s">
        <v>3067</v>
      </c>
      <c r="I888" s="6" t="s">
        <v>3072</v>
      </c>
      <c r="J888" s="6" t="s">
        <v>3961</v>
      </c>
      <c r="K888" s="9">
        <v>1</v>
      </c>
      <c r="L888" s="6" t="s">
        <v>4283</v>
      </c>
      <c r="M888" s="6" t="s">
        <v>4282</v>
      </c>
      <c r="N888" s="24">
        <v>460.13</v>
      </c>
      <c r="O888" s="22" t="str">
        <f>IF(Table2[[#This Row],[CouponCode]]="N/A", "Not Used", "Used")</f>
        <v>Not Used</v>
      </c>
    </row>
    <row r="889" spans="1:15" x14ac:dyDescent="0.3">
      <c r="A889" s="6" t="s">
        <v>901</v>
      </c>
      <c r="B889" s="2">
        <v>45645</v>
      </c>
      <c r="C889" s="6" t="s">
        <v>2097</v>
      </c>
      <c r="D889" s="6" t="s">
        <v>2406</v>
      </c>
      <c r="E889" s="9">
        <v>3</v>
      </c>
      <c r="F889" s="24">
        <v>171.66</v>
      </c>
      <c r="G889" t="s">
        <v>2971</v>
      </c>
      <c r="H889" s="6" t="s">
        <v>3065</v>
      </c>
      <c r="I889" s="6" t="s">
        <v>3073</v>
      </c>
      <c r="J889" s="6" t="s">
        <v>3962</v>
      </c>
      <c r="K889" s="9">
        <v>7</v>
      </c>
      <c r="L889" s="6" t="s">
        <v>4283</v>
      </c>
      <c r="M889" s="6" t="s">
        <v>4282</v>
      </c>
      <c r="N889" s="24">
        <v>514.98</v>
      </c>
      <c r="O889" s="22" t="str">
        <f>IF(Table2[[#This Row],[CouponCode]]="N/A", "Not Used", "Used")</f>
        <v>Not Used</v>
      </c>
    </row>
    <row r="890" spans="1:15" x14ac:dyDescent="0.3">
      <c r="A890" s="6" t="s">
        <v>902</v>
      </c>
      <c r="B890" s="2">
        <v>45496</v>
      </c>
      <c r="C890" s="6" t="s">
        <v>2098</v>
      </c>
      <c r="D890" s="6" t="s">
        <v>2408</v>
      </c>
      <c r="E890" s="9">
        <v>2</v>
      </c>
      <c r="F890" s="24">
        <v>266.95</v>
      </c>
      <c r="G890" t="s">
        <v>2972</v>
      </c>
      <c r="H890" s="6" t="s">
        <v>3067</v>
      </c>
      <c r="I890" s="6" t="s">
        <v>3074</v>
      </c>
      <c r="J890" s="6" t="s">
        <v>3963</v>
      </c>
      <c r="K890" s="9">
        <v>3</v>
      </c>
      <c r="L890" s="6" t="s">
        <v>4283</v>
      </c>
      <c r="M890" s="6" t="s">
        <v>4278</v>
      </c>
      <c r="N890" s="24">
        <v>533.9</v>
      </c>
      <c r="O890" s="22" t="str">
        <f>IF(Table2[[#This Row],[CouponCode]]="N/A", "Not Used", "Used")</f>
        <v>Not Used</v>
      </c>
    </row>
    <row r="891" spans="1:15" x14ac:dyDescent="0.3">
      <c r="A891" s="6" t="s">
        <v>903</v>
      </c>
      <c r="B891" s="2">
        <v>45592</v>
      </c>
      <c r="C891" s="6" t="s">
        <v>2099</v>
      </c>
      <c r="D891" s="6" t="s">
        <v>2403</v>
      </c>
      <c r="E891" s="9">
        <v>5</v>
      </c>
      <c r="F891" s="24">
        <v>650.72</v>
      </c>
      <c r="G891" t="s">
        <v>2973</v>
      </c>
      <c r="H891" s="6" t="s">
        <v>3067</v>
      </c>
      <c r="I891" s="6" t="s">
        <v>3071</v>
      </c>
      <c r="J891" s="6" t="s">
        <v>3964</v>
      </c>
      <c r="K891" s="9">
        <v>8</v>
      </c>
      <c r="L891" s="6" t="s">
        <v>4277</v>
      </c>
      <c r="M891" s="6" t="s">
        <v>4280</v>
      </c>
      <c r="N891" s="24">
        <v>3253.6</v>
      </c>
      <c r="O891" s="22" t="str">
        <f>IF(Table2[[#This Row],[CouponCode]]="N/A", "Not Used", "Used")</f>
        <v>Used</v>
      </c>
    </row>
    <row r="892" spans="1:15" x14ac:dyDescent="0.3">
      <c r="A892" s="6" t="s">
        <v>904</v>
      </c>
      <c r="B892" s="2">
        <v>45149</v>
      </c>
      <c r="C892" s="6" t="s">
        <v>2100</v>
      </c>
      <c r="D892" s="6" t="s">
        <v>2408</v>
      </c>
      <c r="E892" s="9">
        <v>3</v>
      </c>
      <c r="F892" s="24">
        <v>439.53</v>
      </c>
      <c r="G892" t="s">
        <v>2781</v>
      </c>
      <c r="H892" s="6" t="s">
        <v>3065</v>
      </c>
      <c r="I892" s="6" t="s">
        <v>3074</v>
      </c>
      <c r="J892" s="6" t="s">
        <v>3965</v>
      </c>
      <c r="K892" s="9">
        <v>5</v>
      </c>
      <c r="L892" s="6" t="s">
        <v>4283</v>
      </c>
      <c r="M892" s="6" t="s">
        <v>4282</v>
      </c>
      <c r="N892" s="24">
        <v>1318.59</v>
      </c>
      <c r="O892" s="22" t="str">
        <f>IF(Table2[[#This Row],[CouponCode]]="N/A", "Not Used", "Used")</f>
        <v>Not Used</v>
      </c>
    </row>
    <row r="893" spans="1:15" x14ac:dyDescent="0.3">
      <c r="A893" s="6" t="s">
        <v>905</v>
      </c>
      <c r="B893" s="2">
        <v>45241</v>
      </c>
      <c r="C893" s="6" t="s">
        <v>2101</v>
      </c>
      <c r="D893" s="6" t="s">
        <v>2403</v>
      </c>
      <c r="E893" s="9">
        <v>3</v>
      </c>
      <c r="F893" s="24">
        <v>654.54</v>
      </c>
      <c r="G893" t="s">
        <v>2974</v>
      </c>
      <c r="H893" s="6" t="s">
        <v>3069</v>
      </c>
      <c r="I893" s="6" t="s">
        <v>3072</v>
      </c>
      <c r="J893" s="6" t="s">
        <v>3966</v>
      </c>
      <c r="K893" s="9">
        <v>7</v>
      </c>
      <c r="L893" s="6" t="s">
        <v>4275</v>
      </c>
      <c r="M893" s="6" t="s">
        <v>4279</v>
      </c>
      <c r="N893" s="24">
        <v>1963.62</v>
      </c>
      <c r="O893" s="22" t="str">
        <f>IF(Table2[[#This Row],[CouponCode]]="N/A", "Not Used", "Used")</f>
        <v>Used</v>
      </c>
    </row>
    <row r="894" spans="1:15" x14ac:dyDescent="0.3">
      <c r="A894" s="6" t="s">
        <v>906</v>
      </c>
      <c r="B894" s="2">
        <v>45447</v>
      </c>
      <c r="C894" s="6" t="s">
        <v>2102</v>
      </c>
      <c r="D894" s="6" t="s">
        <v>2409</v>
      </c>
      <c r="E894" s="9">
        <v>1</v>
      </c>
      <c r="F894" s="24">
        <v>394.53</v>
      </c>
      <c r="G894" t="s">
        <v>2975</v>
      </c>
      <c r="H894" s="6" t="s">
        <v>3069</v>
      </c>
      <c r="I894" s="6" t="s">
        <v>3070</v>
      </c>
      <c r="J894" s="6" t="s">
        <v>3967</v>
      </c>
      <c r="K894" s="9">
        <v>2</v>
      </c>
      <c r="L894" s="6" t="s">
        <v>4276</v>
      </c>
      <c r="M894" s="6" t="s">
        <v>4279</v>
      </c>
      <c r="N894" s="24">
        <v>394.53</v>
      </c>
      <c r="O894" s="22" t="str">
        <f>IF(Table2[[#This Row],[CouponCode]]="N/A", "Not Used", "Used")</f>
        <v>Used</v>
      </c>
    </row>
    <row r="895" spans="1:15" x14ac:dyDescent="0.3">
      <c r="A895" s="6" t="s">
        <v>907</v>
      </c>
      <c r="B895" s="2">
        <v>45006</v>
      </c>
      <c r="C895" s="6" t="s">
        <v>2103</v>
      </c>
      <c r="D895" s="6" t="s">
        <v>2403</v>
      </c>
      <c r="E895" s="9">
        <v>1</v>
      </c>
      <c r="F895" s="24">
        <v>678.01</v>
      </c>
      <c r="G895" t="s">
        <v>2796</v>
      </c>
      <c r="H895" s="6" t="s">
        <v>3069</v>
      </c>
      <c r="I895" s="6" t="s">
        <v>3074</v>
      </c>
      <c r="J895" s="6" t="s">
        <v>3968</v>
      </c>
      <c r="K895" s="9">
        <v>4</v>
      </c>
      <c r="L895" s="6" t="s">
        <v>4276</v>
      </c>
      <c r="M895" s="6" t="s">
        <v>4279</v>
      </c>
      <c r="N895" s="24">
        <v>678.01</v>
      </c>
      <c r="O895" s="22" t="str">
        <f>IF(Table2[[#This Row],[CouponCode]]="N/A", "Not Used", "Used")</f>
        <v>Used</v>
      </c>
    </row>
    <row r="896" spans="1:15" x14ac:dyDescent="0.3">
      <c r="A896" s="6" t="s">
        <v>908</v>
      </c>
      <c r="B896" s="2">
        <v>45069</v>
      </c>
      <c r="C896" s="6" t="s">
        <v>2104</v>
      </c>
      <c r="D896" s="6" t="s">
        <v>2405</v>
      </c>
      <c r="E896" s="9">
        <v>3</v>
      </c>
      <c r="F896" s="24">
        <v>575.01</v>
      </c>
      <c r="G896" t="s">
        <v>2811</v>
      </c>
      <c r="H896" s="6" t="s">
        <v>3066</v>
      </c>
      <c r="I896" s="6" t="s">
        <v>3071</v>
      </c>
      <c r="J896" s="6" t="s">
        <v>3969</v>
      </c>
      <c r="K896" s="9">
        <v>8</v>
      </c>
      <c r="L896" s="6" t="s">
        <v>4277</v>
      </c>
      <c r="M896" s="6" t="s">
        <v>4278</v>
      </c>
      <c r="N896" s="24">
        <v>1725.03</v>
      </c>
      <c r="O896" s="22" t="str">
        <f>IF(Table2[[#This Row],[CouponCode]]="N/A", "Not Used", "Used")</f>
        <v>Used</v>
      </c>
    </row>
    <row r="897" spans="1:15" x14ac:dyDescent="0.3">
      <c r="A897" s="6" t="s">
        <v>909</v>
      </c>
      <c r="B897" s="2">
        <v>45239</v>
      </c>
      <c r="C897" s="6" t="s">
        <v>2105</v>
      </c>
      <c r="D897" s="6" t="s">
        <v>2406</v>
      </c>
      <c r="E897" s="9">
        <v>3</v>
      </c>
      <c r="F897" s="24">
        <v>154.63999999999999</v>
      </c>
      <c r="G897" t="s">
        <v>2976</v>
      </c>
      <c r="H897" s="6" t="s">
        <v>3065</v>
      </c>
      <c r="I897" s="6" t="s">
        <v>3074</v>
      </c>
      <c r="J897" s="6" t="s">
        <v>3970</v>
      </c>
      <c r="K897" s="9">
        <v>6</v>
      </c>
      <c r="L897" s="6" t="s">
        <v>4277</v>
      </c>
      <c r="M897" s="6" t="s">
        <v>4281</v>
      </c>
      <c r="N897" s="24">
        <v>463.92</v>
      </c>
      <c r="O897" s="22" t="str">
        <f>IF(Table2[[#This Row],[CouponCode]]="N/A", "Not Used", "Used")</f>
        <v>Used</v>
      </c>
    </row>
    <row r="898" spans="1:15" x14ac:dyDescent="0.3">
      <c r="A898" s="6" t="s">
        <v>910</v>
      </c>
      <c r="B898" s="2">
        <v>45583</v>
      </c>
      <c r="C898" s="6" t="s">
        <v>2106</v>
      </c>
      <c r="D898" s="6" t="s">
        <v>2409</v>
      </c>
      <c r="E898" s="9">
        <v>3</v>
      </c>
      <c r="F898" s="24">
        <v>147.29</v>
      </c>
      <c r="G898" t="s">
        <v>2419</v>
      </c>
      <c r="H898" s="6" t="s">
        <v>3068</v>
      </c>
      <c r="I898" s="6" t="s">
        <v>3070</v>
      </c>
      <c r="J898" s="6" t="s">
        <v>3971</v>
      </c>
      <c r="K898" s="9">
        <v>3</v>
      </c>
      <c r="L898" s="6" t="s">
        <v>4276</v>
      </c>
      <c r="M898" s="6" t="s">
        <v>4282</v>
      </c>
      <c r="N898" s="24">
        <v>441.87</v>
      </c>
      <c r="O898" s="22" t="str">
        <f>IF(Table2[[#This Row],[CouponCode]]="N/A", "Not Used", "Used")</f>
        <v>Used</v>
      </c>
    </row>
    <row r="899" spans="1:15" x14ac:dyDescent="0.3">
      <c r="A899" s="6" t="s">
        <v>911</v>
      </c>
      <c r="B899" s="2">
        <v>45538</v>
      </c>
      <c r="C899" s="6" t="s">
        <v>2107</v>
      </c>
      <c r="D899" s="6" t="s">
        <v>2408</v>
      </c>
      <c r="E899" s="9">
        <v>4</v>
      </c>
      <c r="F899" s="24">
        <v>481.48</v>
      </c>
      <c r="G899" t="s">
        <v>2589</v>
      </c>
      <c r="H899" s="6" t="s">
        <v>3068</v>
      </c>
      <c r="I899" s="6" t="s">
        <v>3073</v>
      </c>
      <c r="J899" s="6" t="s">
        <v>3972</v>
      </c>
      <c r="K899" s="9">
        <v>5</v>
      </c>
      <c r="L899" s="6" t="s">
        <v>4275</v>
      </c>
      <c r="M899" s="6" t="s">
        <v>4278</v>
      </c>
      <c r="N899" s="24">
        <v>1925.92</v>
      </c>
      <c r="O899" s="22" t="str">
        <f>IF(Table2[[#This Row],[CouponCode]]="N/A", "Not Used", "Used")</f>
        <v>Used</v>
      </c>
    </row>
    <row r="900" spans="1:15" x14ac:dyDescent="0.3">
      <c r="A900" s="6" t="s">
        <v>912</v>
      </c>
      <c r="B900" s="2">
        <v>45721</v>
      </c>
      <c r="C900" s="6" t="s">
        <v>2108</v>
      </c>
      <c r="D900" s="6" t="s">
        <v>2403</v>
      </c>
      <c r="E900" s="9">
        <v>3</v>
      </c>
      <c r="F900" s="24">
        <v>158.37</v>
      </c>
      <c r="G900" t="s">
        <v>2950</v>
      </c>
      <c r="H900" s="6" t="s">
        <v>3069</v>
      </c>
      <c r="I900" s="6" t="s">
        <v>3070</v>
      </c>
      <c r="J900" s="6" t="s">
        <v>3973</v>
      </c>
      <c r="K900" s="9">
        <v>6</v>
      </c>
      <c r="L900" s="6" t="s">
        <v>4283</v>
      </c>
      <c r="M900" s="6" t="s">
        <v>4279</v>
      </c>
      <c r="N900" s="24">
        <v>475.11</v>
      </c>
      <c r="O900" s="22" t="str">
        <f>IF(Table2[[#This Row],[CouponCode]]="N/A", "Not Used", "Used")</f>
        <v>Not Used</v>
      </c>
    </row>
    <row r="901" spans="1:15" x14ac:dyDescent="0.3">
      <c r="A901" s="6" t="s">
        <v>913</v>
      </c>
      <c r="B901" s="2">
        <v>45770</v>
      </c>
      <c r="C901" s="6" t="s">
        <v>2109</v>
      </c>
      <c r="D901" s="6" t="s">
        <v>2407</v>
      </c>
      <c r="E901" s="9">
        <v>2</v>
      </c>
      <c r="F901" s="24">
        <v>323.37</v>
      </c>
      <c r="G901" t="s">
        <v>2474</v>
      </c>
      <c r="H901" s="6" t="s">
        <v>3066</v>
      </c>
      <c r="I901" s="6" t="s">
        <v>3074</v>
      </c>
      <c r="J901" s="6" t="s">
        <v>3974</v>
      </c>
      <c r="K901" s="9">
        <v>3</v>
      </c>
      <c r="L901" s="6" t="s">
        <v>4275</v>
      </c>
      <c r="M901" s="6" t="s">
        <v>4278</v>
      </c>
      <c r="N901" s="24">
        <v>646.74</v>
      </c>
      <c r="O901" s="22" t="str">
        <f>IF(Table2[[#This Row],[CouponCode]]="N/A", "Not Used", "Used")</f>
        <v>Used</v>
      </c>
    </row>
    <row r="902" spans="1:15" x14ac:dyDescent="0.3">
      <c r="A902" s="6" t="s">
        <v>914</v>
      </c>
      <c r="B902" s="2">
        <v>45695</v>
      </c>
      <c r="C902" s="6" t="s">
        <v>2110</v>
      </c>
      <c r="D902" s="6" t="s">
        <v>2408</v>
      </c>
      <c r="E902" s="9">
        <v>5</v>
      </c>
      <c r="F902" s="24">
        <v>73.83</v>
      </c>
      <c r="G902" t="s">
        <v>2802</v>
      </c>
      <c r="H902" s="6" t="s">
        <v>3065</v>
      </c>
      <c r="I902" s="6" t="s">
        <v>3074</v>
      </c>
      <c r="J902" s="6" t="s">
        <v>3975</v>
      </c>
      <c r="K902" s="9">
        <v>9</v>
      </c>
      <c r="L902" s="6" t="s">
        <v>4283</v>
      </c>
      <c r="M902" s="6" t="s">
        <v>4278</v>
      </c>
      <c r="N902" s="24">
        <v>369.15</v>
      </c>
      <c r="O902" s="22" t="str">
        <f>IF(Table2[[#This Row],[CouponCode]]="N/A", "Not Used", "Used")</f>
        <v>Not Used</v>
      </c>
    </row>
    <row r="903" spans="1:15" x14ac:dyDescent="0.3">
      <c r="A903" s="6" t="s">
        <v>915</v>
      </c>
      <c r="B903" s="2">
        <v>45410</v>
      </c>
      <c r="C903" s="6" t="s">
        <v>2111</v>
      </c>
      <c r="D903" s="6" t="s">
        <v>2405</v>
      </c>
      <c r="E903" s="9">
        <v>1</v>
      </c>
      <c r="F903" s="24">
        <v>458.63</v>
      </c>
      <c r="G903" t="s">
        <v>2499</v>
      </c>
      <c r="H903" s="6" t="s">
        <v>3065</v>
      </c>
      <c r="I903" s="6" t="s">
        <v>3072</v>
      </c>
      <c r="J903" s="6" t="s">
        <v>3976</v>
      </c>
      <c r="K903" s="9">
        <v>4</v>
      </c>
      <c r="L903" s="6" t="s">
        <v>4277</v>
      </c>
      <c r="M903" s="6" t="s">
        <v>4279</v>
      </c>
      <c r="N903" s="24">
        <v>458.63</v>
      </c>
      <c r="O903" s="22" t="str">
        <f>IF(Table2[[#This Row],[CouponCode]]="N/A", "Not Used", "Used")</f>
        <v>Used</v>
      </c>
    </row>
    <row r="904" spans="1:15" x14ac:dyDescent="0.3">
      <c r="A904" s="6" t="s">
        <v>916</v>
      </c>
      <c r="B904" s="2">
        <v>45486</v>
      </c>
      <c r="C904" s="6" t="s">
        <v>2112</v>
      </c>
      <c r="D904" s="6" t="s">
        <v>2403</v>
      </c>
      <c r="E904" s="9">
        <v>4</v>
      </c>
      <c r="F904" s="24">
        <v>180.25</v>
      </c>
      <c r="G904" t="s">
        <v>2469</v>
      </c>
      <c r="H904" s="6" t="s">
        <v>3065</v>
      </c>
      <c r="I904" s="6" t="s">
        <v>3071</v>
      </c>
      <c r="J904" s="6" t="s">
        <v>3977</v>
      </c>
      <c r="K904" s="9">
        <v>7</v>
      </c>
      <c r="L904" s="6" t="s">
        <v>4283</v>
      </c>
      <c r="M904" s="6" t="s">
        <v>4281</v>
      </c>
      <c r="N904" s="24">
        <v>721</v>
      </c>
      <c r="O904" s="22" t="str">
        <f>IF(Table2[[#This Row],[CouponCode]]="N/A", "Not Used", "Used")</f>
        <v>Not Used</v>
      </c>
    </row>
    <row r="905" spans="1:15" x14ac:dyDescent="0.3">
      <c r="A905" s="6" t="s">
        <v>917</v>
      </c>
      <c r="B905" s="2">
        <v>45063</v>
      </c>
      <c r="C905" s="6" t="s">
        <v>2113</v>
      </c>
      <c r="D905" s="6" t="s">
        <v>2403</v>
      </c>
      <c r="E905" s="9">
        <v>3</v>
      </c>
      <c r="F905" s="24">
        <v>473.49</v>
      </c>
      <c r="G905" t="s">
        <v>2932</v>
      </c>
      <c r="H905" s="6" t="s">
        <v>3067</v>
      </c>
      <c r="I905" s="6" t="s">
        <v>3074</v>
      </c>
      <c r="J905" s="6" t="s">
        <v>3978</v>
      </c>
      <c r="K905" s="9">
        <v>7</v>
      </c>
      <c r="L905" s="6" t="s">
        <v>4283</v>
      </c>
      <c r="M905" s="6" t="s">
        <v>4280</v>
      </c>
      <c r="N905" s="24">
        <v>1420.47</v>
      </c>
      <c r="O905" s="22" t="str">
        <f>IF(Table2[[#This Row],[CouponCode]]="N/A", "Not Used", "Used")</f>
        <v>Not Used</v>
      </c>
    </row>
    <row r="906" spans="1:15" x14ac:dyDescent="0.3">
      <c r="A906" s="6" t="s">
        <v>918</v>
      </c>
      <c r="B906" s="2">
        <v>45693</v>
      </c>
      <c r="C906" s="6" t="s">
        <v>2114</v>
      </c>
      <c r="D906" s="6" t="s">
        <v>2403</v>
      </c>
      <c r="E906" s="9">
        <v>4</v>
      </c>
      <c r="F906" s="24">
        <v>237.43</v>
      </c>
      <c r="G906" t="s">
        <v>2758</v>
      </c>
      <c r="H906" s="6" t="s">
        <v>3069</v>
      </c>
      <c r="I906" s="6" t="s">
        <v>3071</v>
      </c>
      <c r="J906" s="6" t="s">
        <v>3979</v>
      </c>
      <c r="K906" s="9">
        <v>8</v>
      </c>
      <c r="L906" s="6" t="s">
        <v>4277</v>
      </c>
      <c r="M906" s="6" t="s">
        <v>4279</v>
      </c>
      <c r="N906" s="24">
        <v>949.72</v>
      </c>
      <c r="O906" s="22" t="str">
        <f>IF(Table2[[#This Row],[CouponCode]]="N/A", "Not Used", "Used")</f>
        <v>Used</v>
      </c>
    </row>
    <row r="907" spans="1:15" x14ac:dyDescent="0.3">
      <c r="A907" s="6" t="s">
        <v>919</v>
      </c>
      <c r="B907" s="2">
        <v>45253</v>
      </c>
      <c r="C907" s="6" t="s">
        <v>2115</v>
      </c>
      <c r="D907" s="6" t="s">
        <v>2408</v>
      </c>
      <c r="E907" s="9">
        <v>1</v>
      </c>
      <c r="F907" s="24">
        <v>442.39</v>
      </c>
      <c r="G907" t="s">
        <v>2677</v>
      </c>
      <c r="H907" s="6" t="s">
        <v>3068</v>
      </c>
      <c r="I907" s="6" t="s">
        <v>3074</v>
      </c>
      <c r="J907" s="6" t="s">
        <v>3980</v>
      </c>
      <c r="K907" s="9">
        <v>6</v>
      </c>
      <c r="L907" s="6" t="s">
        <v>4276</v>
      </c>
      <c r="M907" s="6" t="s">
        <v>4281</v>
      </c>
      <c r="N907" s="24">
        <v>442.39</v>
      </c>
      <c r="O907" s="22" t="str">
        <f>IF(Table2[[#This Row],[CouponCode]]="N/A", "Not Used", "Used")</f>
        <v>Used</v>
      </c>
    </row>
    <row r="908" spans="1:15" x14ac:dyDescent="0.3">
      <c r="A908" s="6" t="s">
        <v>920</v>
      </c>
      <c r="B908" s="2">
        <v>45538</v>
      </c>
      <c r="C908" s="6" t="s">
        <v>2116</v>
      </c>
      <c r="D908" s="6" t="s">
        <v>2403</v>
      </c>
      <c r="E908" s="9">
        <v>1</v>
      </c>
      <c r="F908" s="24">
        <v>62.12</v>
      </c>
      <c r="G908" t="s">
        <v>2977</v>
      </c>
      <c r="H908" s="6" t="s">
        <v>3069</v>
      </c>
      <c r="I908" s="6" t="s">
        <v>3072</v>
      </c>
      <c r="J908" s="6" t="s">
        <v>3981</v>
      </c>
      <c r="K908" s="9">
        <v>2</v>
      </c>
      <c r="L908" s="6" t="s">
        <v>4283</v>
      </c>
      <c r="M908" s="6" t="s">
        <v>4280</v>
      </c>
      <c r="N908" s="24">
        <v>62.12</v>
      </c>
      <c r="O908" s="22" t="str">
        <f>IF(Table2[[#This Row],[CouponCode]]="N/A", "Not Used", "Used")</f>
        <v>Not Used</v>
      </c>
    </row>
    <row r="909" spans="1:15" x14ac:dyDescent="0.3">
      <c r="A909" s="6" t="s">
        <v>921</v>
      </c>
      <c r="B909" s="2">
        <v>45508</v>
      </c>
      <c r="C909" s="6" t="s">
        <v>2117</v>
      </c>
      <c r="D909" s="6" t="s">
        <v>2409</v>
      </c>
      <c r="E909" s="9">
        <v>5</v>
      </c>
      <c r="F909" s="24">
        <v>298.39</v>
      </c>
      <c r="G909" t="s">
        <v>2534</v>
      </c>
      <c r="H909" s="6" t="s">
        <v>3068</v>
      </c>
      <c r="I909" s="6" t="s">
        <v>3071</v>
      </c>
      <c r="J909" s="6" t="s">
        <v>3982</v>
      </c>
      <c r="K909" s="9">
        <v>7</v>
      </c>
      <c r="L909" s="6" t="s">
        <v>4277</v>
      </c>
      <c r="M909" s="6" t="s">
        <v>4279</v>
      </c>
      <c r="N909" s="24">
        <v>1491.95</v>
      </c>
      <c r="O909" s="22" t="str">
        <f>IF(Table2[[#This Row],[CouponCode]]="N/A", "Not Used", "Used")</f>
        <v>Used</v>
      </c>
    </row>
    <row r="910" spans="1:15" x14ac:dyDescent="0.3">
      <c r="A910" s="6" t="s">
        <v>922</v>
      </c>
      <c r="B910" s="2">
        <v>45783</v>
      </c>
      <c r="C910" s="6" t="s">
        <v>2118</v>
      </c>
      <c r="D910" s="6" t="s">
        <v>2409</v>
      </c>
      <c r="E910" s="9">
        <v>2</v>
      </c>
      <c r="F910" s="24">
        <v>697.93</v>
      </c>
      <c r="G910" t="s">
        <v>2567</v>
      </c>
      <c r="H910" s="6" t="s">
        <v>3067</v>
      </c>
      <c r="I910" s="6" t="s">
        <v>3071</v>
      </c>
      <c r="J910" s="6" t="s">
        <v>3983</v>
      </c>
      <c r="K910" s="9">
        <v>2</v>
      </c>
      <c r="L910" s="6" t="s">
        <v>4275</v>
      </c>
      <c r="M910" s="6" t="s">
        <v>4282</v>
      </c>
      <c r="N910" s="24">
        <v>1395.86</v>
      </c>
      <c r="O910" s="22" t="str">
        <f>IF(Table2[[#This Row],[CouponCode]]="N/A", "Not Used", "Used")</f>
        <v>Used</v>
      </c>
    </row>
    <row r="911" spans="1:15" x14ac:dyDescent="0.3">
      <c r="A911" s="6" t="s">
        <v>923</v>
      </c>
      <c r="B911" s="2">
        <v>45439</v>
      </c>
      <c r="C911" s="6" t="s">
        <v>2119</v>
      </c>
      <c r="D911" s="6" t="s">
        <v>2405</v>
      </c>
      <c r="E911" s="9">
        <v>2</v>
      </c>
      <c r="F911" s="24">
        <v>291.85000000000002</v>
      </c>
      <c r="G911" t="s">
        <v>2431</v>
      </c>
      <c r="H911" s="6" t="s">
        <v>3069</v>
      </c>
      <c r="I911" s="6" t="s">
        <v>3070</v>
      </c>
      <c r="J911" s="6" t="s">
        <v>3984</v>
      </c>
      <c r="K911" s="9">
        <v>5</v>
      </c>
      <c r="L911" s="6" t="s">
        <v>4276</v>
      </c>
      <c r="M911" s="6" t="s">
        <v>4278</v>
      </c>
      <c r="N911" s="24">
        <v>583.70000000000005</v>
      </c>
      <c r="O911" s="22" t="str">
        <f>IF(Table2[[#This Row],[CouponCode]]="N/A", "Not Used", "Used")</f>
        <v>Used</v>
      </c>
    </row>
    <row r="912" spans="1:15" x14ac:dyDescent="0.3">
      <c r="A912" s="6" t="s">
        <v>924</v>
      </c>
      <c r="B912" s="2">
        <v>45443</v>
      </c>
      <c r="C912" s="6" t="s">
        <v>2120</v>
      </c>
      <c r="D912" s="6" t="s">
        <v>2407</v>
      </c>
      <c r="E912" s="9">
        <v>3</v>
      </c>
      <c r="F912" s="24">
        <v>308.98</v>
      </c>
      <c r="G912" t="s">
        <v>2481</v>
      </c>
      <c r="H912" s="6" t="s">
        <v>3069</v>
      </c>
      <c r="I912" s="6" t="s">
        <v>3073</v>
      </c>
      <c r="J912" s="6" t="s">
        <v>3985</v>
      </c>
      <c r="K912" s="9">
        <v>3</v>
      </c>
      <c r="L912" s="6" t="s">
        <v>4275</v>
      </c>
      <c r="M912" s="6" t="s">
        <v>4278</v>
      </c>
      <c r="N912" s="24">
        <v>926.94</v>
      </c>
      <c r="O912" s="22" t="str">
        <f>IF(Table2[[#This Row],[CouponCode]]="N/A", "Not Used", "Used")</f>
        <v>Used</v>
      </c>
    </row>
    <row r="913" spans="1:15" x14ac:dyDescent="0.3">
      <c r="A913" s="6" t="s">
        <v>925</v>
      </c>
      <c r="B913" s="2">
        <v>45517</v>
      </c>
      <c r="C913" s="6" t="s">
        <v>2121</v>
      </c>
      <c r="D913" s="6" t="s">
        <v>2409</v>
      </c>
      <c r="E913" s="9">
        <v>5</v>
      </c>
      <c r="F913" s="24">
        <v>396.86</v>
      </c>
      <c r="G913" t="s">
        <v>2520</v>
      </c>
      <c r="H913" s="6" t="s">
        <v>3069</v>
      </c>
      <c r="I913" s="6" t="s">
        <v>3071</v>
      </c>
      <c r="J913" s="6" t="s">
        <v>3986</v>
      </c>
      <c r="K913" s="9">
        <v>9</v>
      </c>
      <c r="L913" s="6" t="s">
        <v>4275</v>
      </c>
      <c r="M913" s="6" t="s">
        <v>4278</v>
      </c>
      <c r="N913" s="24">
        <v>1984.3</v>
      </c>
      <c r="O913" s="22" t="str">
        <f>IF(Table2[[#This Row],[CouponCode]]="N/A", "Not Used", "Used")</f>
        <v>Used</v>
      </c>
    </row>
    <row r="914" spans="1:15" x14ac:dyDescent="0.3">
      <c r="A914" s="6" t="s">
        <v>926</v>
      </c>
      <c r="B914" s="2">
        <v>45313</v>
      </c>
      <c r="C914" s="6" t="s">
        <v>2122</v>
      </c>
      <c r="D914" s="6" t="s">
        <v>2409</v>
      </c>
      <c r="E914" s="9">
        <v>2</v>
      </c>
      <c r="F914" s="24">
        <v>139.69</v>
      </c>
      <c r="G914" t="s">
        <v>2492</v>
      </c>
      <c r="H914" s="6" t="s">
        <v>3066</v>
      </c>
      <c r="I914" s="6" t="s">
        <v>3072</v>
      </c>
      <c r="J914" s="6" t="s">
        <v>3987</v>
      </c>
      <c r="K914" s="9">
        <v>7</v>
      </c>
      <c r="L914" s="6" t="s">
        <v>4276</v>
      </c>
      <c r="M914" s="6" t="s">
        <v>4280</v>
      </c>
      <c r="N914" s="24">
        <v>279.38</v>
      </c>
      <c r="O914" s="22" t="str">
        <f>IF(Table2[[#This Row],[CouponCode]]="N/A", "Not Used", "Used")</f>
        <v>Used</v>
      </c>
    </row>
    <row r="915" spans="1:15" x14ac:dyDescent="0.3">
      <c r="A915" s="6" t="s">
        <v>927</v>
      </c>
      <c r="B915" s="2">
        <v>44973</v>
      </c>
      <c r="C915" s="6" t="s">
        <v>2123</v>
      </c>
      <c r="D915" s="6" t="s">
        <v>2407</v>
      </c>
      <c r="E915" s="9">
        <v>5</v>
      </c>
      <c r="F915" s="24">
        <v>475.95</v>
      </c>
      <c r="G915" t="s">
        <v>2583</v>
      </c>
      <c r="H915" s="6" t="s">
        <v>3067</v>
      </c>
      <c r="I915" s="6" t="s">
        <v>3072</v>
      </c>
      <c r="J915" s="6" t="s">
        <v>3988</v>
      </c>
      <c r="K915" s="9">
        <v>8</v>
      </c>
      <c r="L915" s="6" t="s">
        <v>4277</v>
      </c>
      <c r="M915" s="6" t="s">
        <v>4281</v>
      </c>
      <c r="N915" s="24">
        <v>2379.75</v>
      </c>
      <c r="O915" s="22" t="str">
        <f>IF(Table2[[#This Row],[CouponCode]]="N/A", "Not Used", "Used")</f>
        <v>Used</v>
      </c>
    </row>
    <row r="916" spans="1:15" x14ac:dyDescent="0.3">
      <c r="A916" s="6" t="s">
        <v>928</v>
      </c>
      <c r="B916" s="2">
        <v>45698</v>
      </c>
      <c r="C916" s="6" t="s">
        <v>2124</v>
      </c>
      <c r="D916" s="6" t="s">
        <v>2409</v>
      </c>
      <c r="E916" s="9">
        <v>1</v>
      </c>
      <c r="F916" s="24">
        <v>626.6</v>
      </c>
      <c r="G916" t="s">
        <v>2751</v>
      </c>
      <c r="H916" s="6" t="s">
        <v>3068</v>
      </c>
      <c r="I916" s="6" t="s">
        <v>3072</v>
      </c>
      <c r="J916" s="6" t="s">
        <v>3989</v>
      </c>
      <c r="K916" s="9">
        <v>4</v>
      </c>
      <c r="L916" s="6" t="s">
        <v>4277</v>
      </c>
      <c r="M916" s="6" t="s">
        <v>4281</v>
      </c>
      <c r="N916" s="24">
        <v>626.6</v>
      </c>
      <c r="O916" s="22" t="str">
        <f>IF(Table2[[#This Row],[CouponCode]]="N/A", "Not Used", "Used")</f>
        <v>Used</v>
      </c>
    </row>
    <row r="917" spans="1:15" x14ac:dyDescent="0.3">
      <c r="A917" s="6" t="s">
        <v>929</v>
      </c>
      <c r="B917" s="2">
        <v>45338</v>
      </c>
      <c r="C917" s="6" t="s">
        <v>2125</v>
      </c>
      <c r="D917" s="6" t="s">
        <v>2408</v>
      </c>
      <c r="E917" s="9">
        <v>4</v>
      </c>
      <c r="F917" s="24">
        <v>502.99</v>
      </c>
      <c r="G917" t="s">
        <v>2978</v>
      </c>
      <c r="H917" s="6" t="s">
        <v>3065</v>
      </c>
      <c r="I917" s="6" t="s">
        <v>3070</v>
      </c>
      <c r="J917" s="6" t="s">
        <v>3990</v>
      </c>
      <c r="K917" s="9">
        <v>4</v>
      </c>
      <c r="L917" s="6" t="s">
        <v>4277</v>
      </c>
      <c r="M917" s="6" t="s">
        <v>4279</v>
      </c>
      <c r="N917" s="24">
        <v>2011.96</v>
      </c>
      <c r="O917" s="22" t="str">
        <f>IF(Table2[[#This Row],[CouponCode]]="N/A", "Not Used", "Used")</f>
        <v>Used</v>
      </c>
    </row>
    <row r="918" spans="1:15" x14ac:dyDescent="0.3">
      <c r="A918" s="6" t="s">
        <v>930</v>
      </c>
      <c r="B918" s="2">
        <v>45464</v>
      </c>
      <c r="C918" s="6" t="s">
        <v>2126</v>
      </c>
      <c r="D918" s="6" t="s">
        <v>2407</v>
      </c>
      <c r="E918" s="9">
        <v>5</v>
      </c>
      <c r="F918" s="24">
        <v>578.83000000000004</v>
      </c>
      <c r="G918" t="s">
        <v>2913</v>
      </c>
      <c r="H918" s="6" t="s">
        <v>3069</v>
      </c>
      <c r="I918" s="6" t="s">
        <v>3072</v>
      </c>
      <c r="J918" s="6" t="s">
        <v>3991</v>
      </c>
      <c r="K918" s="9">
        <v>6</v>
      </c>
      <c r="L918" s="6" t="s">
        <v>4283</v>
      </c>
      <c r="M918" s="6" t="s">
        <v>4279</v>
      </c>
      <c r="N918" s="24">
        <v>2894.15</v>
      </c>
      <c r="O918" s="22" t="str">
        <f>IF(Table2[[#This Row],[CouponCode]]="N/A", "Not Used", "Used")</f>
        <v>Not Used</v>
      </c>
    </row>
    <row r="919" spans="1:15" x14ac:dyDescent="0.3">
      <c r="A919" s="6" t="s">
        <v>931</v>
      </c>
      <c r="B919" s="2">
        <v>45677</v>
      </c>
      <c r="C919" s="6" t="s">
        <v>2127</v>
      </c>
      <c r="D919" s="6" t="s">
        <v>2408</v>
      </c>
      <c r="E919" s="9">
        <v>5</v>
      </c>
      <c r="F919" s="24">
        <v>383.82</v>
      </c>
      <c r="G919" t="s">
        <v>2979</v>
      </c>
      <c r="H919" s="6" t="s">
        <v>3067</v>
      </c>
      <c r="I919" s="6" t="s">
        <v>3072</v>
      </c>
      <c r="J919" s="6" t="s">
        <v>3992</v>
      </c>
      <c r="K919" s="9">
        <v>7</v>
      </c>
      <c r="L919" s="6" t="s">
        <v>4276</v>
      </c>
      <c r="M919" s="6" t="s">
        <v>4282</v>
      </c>
      <c r="N919" s="24">
        <v>1919.1</v>
      </c>
      <c r="O919" s="22" t="str">
        <f>IF(Table2[[#This Row],[CouponCode]]="N/A", "Not Used", "Used")</f>
        <v>Used</v>
      </c>
    </row>
    <row r="920" spans="1:15" x14ac:dyDescent="0.3">
      <c r="A920" s="6" t="s">
        <v>932</v>
      </c>
      <c r="B920" s="2">
        <v>45832</v>
      </c>
      <c r="C920" s="6" t="s">
        <v>2128</v>
      </c>
      <c r="D920" s="6" t="s">
        <v>2408</v>
      </c>
      <c r="E920" s="9">
        <v>5</v>
      </c>
      <c r="F920" s="24">
        <v>368.25</v>
      </c>
      <c r="G920" t="s">
        <v>2417</v>
      </c>
      <c r="H920" s="6" t="s">
        <v>3066</v>
      </c>
      <c r="I920" s="6" t="s">
        <v>3073</v>
      </c>
      <c r="J920" s="6" t="s">
        <v>3993</v>
      </c>
      <c r="K920" s="9">
        <v>5</v>
      </c>
      <c r="L920" s="6" t="s">
        <v>4283</v>
      </c>
      <c r="M920" s="6" t="s">
        <v>4278</v>
      </c>
      <c r="N920" s="24">
        <v>1841.25</v>
      </c>
      <c r="O920" s="22" t="str">
        <f>IF(Table2[[#This Row],[CouponCode]]="N/A", "Not Used", "Used")</f>
        <v>Not Used</v>
      </c>
    </row>
    <row r="921" spans="1:15" x14ac:dyDescent="0.3">
      <c r="A921" s="6" t="s">
        <v>933</v>
      </c>
      <c r="B921" s="2">
        <v>45695</v>
      </c>
      <c r="C921" s="6" t="s">
        <v>2129</v>
      </c>
      <c r="D921" s="6" t="s">
        <v>2407</v>
      </c>
      <c r="E921" s="9">
        <v>2</v>
      </c>
      <c r="F921" s="24">
        <v>374.6</v>
      </c>
      <c r="G921" t="s">
        <v>2522</v>
      </c>
      <c r="H921" s="6" t="s">
        <v>3066</v>
      </c>
      <c r="I921" s="6" t="s">
        <v>3070</v>
      </c>
      <c r="J921" s="6" t="s">
        <v>3994</v>
      </c>
      <c r="K921" s="9">
        <v>3</v>
      </c>
      <c r="L921" s="6" t="s">
        <v>4276</v>
      </c>
      <c r="M921" s="6" t="s">
        <v>4279</v>
      </c>
      <c r="N921" s="24">
        <v>749.2</v>
      </c>
      <c r="O921" s="22" t="str">
        <f>IF(Table2[[#This Row],[CouponCode]]="N/A", "Not Used", "Used")</f>
        <v>Used</v>
      </c>
    </row>
    <row r="922" spans="1:15" x14ac:dyDescent="0.3">
      <c r="A922" s="6" t="s">
        <v>934</v>
      </c>
      <c r="B922" s="2">
        <v>45728</v>
      </c>
      <c r="C922" s="6" t="s">
        <v>2130</v>
      </c>
      <c r="D922" s="6" t="s">
        <v>2405</v>
      </c>
      <c r="E922" s="9">
        <v>2</v>
      </c>
      <c r="F922" s="24">
        <v>428.09</v>
      </c>
      <c r="G922" t="s">
        <v>2674</v>
      </c>
      <c r="H922" s="6" t="s">
        <v>3067</v>
      </c>
      <c r="I922" s="6" t="s">
        <v>3072</v>
      </c>
      <c r="J922" s="6" t="s">
        <v>3995</v>
      </c>
      <c r="K922" s="9">
        <v>6</v>
      </c>
      <c r="L922" s="6" t="s">
        <v>4283</v>
      </c>
      <c r="M922" s="6" t="s">
        <v>4278</v>
      </c>
      <c r="N922" s="24">
        <v>856.18</v>
      </c>
      <c r="O922" s="22" t="str">
        <f>IF(Table2[[#This Row],[CouponCode]]="N/A", "Not Used", "Used")</f>
        <v>Not Used</v>
      </c>
    </row>
    <row r="923" spans="1:15" x14ac:dyDescent="0.3">
      <c r="A923" s="6" t="s">
        <v>935</v>
      </c>
      <c r="B923" s="2">
        <v>45131</v>
      </c>
      <c r="C923" s="6" t="s">
        <v>2131</v>
      </c>
      <c r="D923" s="6" t="s">
        <v>2405</v>
      </c>
      <c r="E923" s="9">
        <v>1</v>
      </c>
      <c r="F923" s="24">
        <v>438.93</v>
      </c>
      <c r="G923" t="s">
        <v>2980</v>
      </c>
      <c r="H923" s="6" t="s">
        <v>3068</v>
      </c>
      <c r="I923" s="6" t="s">
        <v>3071</v>
      </c>
      <c r="J923" s="6" t="s">
        <v>3996</v>
      </c>
      <c r="K923" s="9">
        <v>3</v>
      </c>
      <c r="L923" s="6" t="s">
        <v>4275</v>
      </c>
      <c r="M923" s="6" t="s">
        <v>4279</v>
      </c>
      <c r="N923" s="24">
        <v>438.93</v>
      </c>
      <c r="O923" s="22" t="str">
        <f>IF(Table2[[#This Row],[CouponCode]]="N/A", "Not Used", "Used")</f>
        <v>Used</v>
      </c>
    </row>
    <row r="924" spans="1:15" x14ac:dyDescent="0.3">
      <c r="A924" s="6" t="s">
        <v>936</v>
      </c>
      <c r="B924" s="2">
        <v>45460</v>
      </c>
      <c r="C924" s="6" t="s">
        <v>2132</v>
      </c>
      <c r="D924" s="6" t="s">
        <v>2409</v>
      </c>
      <c r="E924" s="9">
        <v>2</v>
      </c>
      <c r="F924" s="24">
        <v>563.82000000000005</v>
      </c>
      <c r="G924" t="s">
        <v>2981</v>
      </c>
      <c r="H924" s="6" t="s">
        <v>3067</v>
      </c>
      <c r="I924" s="6" t="s">
        <v>3074</v>
      </c>
      <c r="J924" s="6" t="s">
        <v>3997</v>
      </c>
      <c r="K924" s="9">
        <v>3</v>
      </c>
      <c r="L924" s="6" t="s">
        <v>4283</v>
      </c>
      <c r="M924" s="6" t="s">
        <v>4278</v>
      </c>
      <c r="N924" s="24">
        <v>1127.6400000000001</v>
      </c>
      <c r="O924" s="22" t="str">
        <f>IF(Table2[[#This Row],[CouponCode]]="N/A", "Not Used", "Used")</f>
        <v>Not Used</v>
      </c>
    </row>
    <row r="925" spans="1:15" x14ac:dyDescent="0.3">
      <c r="A925" s="6" t="s">
        <v>937</v>
      </c>
      <c r="B925" s="2">
        <v>44968</v>
      </c>
      <c r="C925" s="6" t="s">
        <v>2133</v>
      </c>
      <c r="D925" s="6" t="s">
        <v>2407</v>
      </c>
      <c r="E925" s="9">
        <v>3</v>
      </c>
      <c r="F925" s="24">
        <v>649.92999999999995</v>
      </c>
      <c r="G925" t="s">
        <v>2979</v>
      </c>
      <c r="H925" s="6" t="s">
        <v>3067</v>
      </c>
      <c r="I925" s="6" t="s">
        <v>3074</v>
      </c>
      <c r="J925" s="6" t="s">
        <v>3998</v>
      </c>
      <c r="K925" s="9">
        <v>7</v>
      </c>
      <c r="L925" s="6" t="s">
        <v>4277</v>
      </c>
      <c r="M925" s="6" t="s">
        <v>4281</v>
      </c>
      <c r="N925" s="24">
        <v>1949.79</v>
      </c>
      <c r="O925" s="22" t="str">
        <f>IF(Table2[[#This Row],[CouponCode]]="N/A", "Not Used", "Used")</f>
        <v>Used</v>
      </c>
    </row>
    <row r="926" spans="1:15" x14ac:dyDescent="0.3">
      <c r="A926" s="6" t="s">
        <v>938</v>
      </c>
      <c r="B926" s="2">
        <v>45738</v>
      </c>
      <c r="C926" s="6" t="s">
        <v>2134</v>
      </c>
      <c r="D926" s="6" t="s">
        <v>2407</v>
      </c>
      <c r="E926" s="9">
        <v>5</v>
      </c>
      <c r="F926" s="24">
        <v>268.43</v>
      </c>
      <c r="G926" t="s">
        <v>2802</v>
      </c>
      <c r="H926" s="6" t="s">
        <v>3069</v>
      </c>
      <c r="I926" s="6" t="s">
        <v>3072</v>
      </c>
      <c r="J926" s="6" t="s">
        <v>3999</v>
      </c>
      <c r="K926" s="9">
        <v>5</v>
      </c>
      <c r="L926" s="6" t="s">
        <v>4275</v>
      </c>
      <c r="M926" s="6" t="s">
        <v>4280</v>
      </c>
      <c r="N926" s="24">
        <v>1342.15</v>
      </c>
      <c r="O926" s="22" t="str">
        <f>IF(Table2[[#This Row],[CouponCode]]="N/A", "Not Used", "Used")</f>
        <v>Used</v>
      </c>
    </row>
    <row r="927" spans="1:15" x14ac:dyDescent="0.3">
      <c r="A927" s="6" t="s">
        <v>939</v>
      </c>
      <c r="B927" s="2">
        <v>45646</v>
      </c>
      <c r="C927" s="6" t="s">
        <v>2135</v>
      </c>
      <c r="D927" s="6" t="s">
        <v>2403</v>
      </c>
      <c r="E927" s="9">
        <v>5</v>
      </c>
      <c r="F927" s="24">
        <v>502.47</v>
      </c>
      <c r="G927" t="s">
        <v>2733</v>
      </c>
      <c r="H927" s="6" t="s">
        <v>3066</v>
      </c>
      <c r="I927" s="6" t="s">
        <v>3070</v>
      </c>
      <c r="J927" s="6" t="s">
        <v>4000</v>
      </c>
      <c r="K927" s="9">
        <v>10</v>
      </c>
      <c r="L927" s="6" t="s">
        <v>4277</v>
      </c>
      <c r="M927" s="6" t="s">
        <v>4280</v>
      </c>
      <c r="N927" s="24">
        <v>2512.35</v>
      </c>
      <c r="O927" s="22" t="str">
        <f>IF(Table2[[#This Row],[CouponCode]]="N/A", "Not Used", "Used")</f>
        <v>Used</v>
      </c>
    </row>
    <row r="928" spans="1:15" x14ac:dyDescent="0.3">
      <c r="A928" s="6" t="s">
        <v>940</v>
      </c>
      <c r="B928" s="2">
        <v>45371</v>
      </c>
      <c r="C928" s="6" t="s">
        <v>2136</v>
      </c>
      <c r="D928" s="6" t="s">
        <v>2409</v>
      </c>
      <c r="E928" s="9">
        <v>1</v>
      </c>
      <c r="F928" s="24">
        <v>26.95</v>
      </c>
      <c r="G928" t="s">
        <v>2774</v>
      </c>
      <c r="H928" s="6" t="s">
        <v>3069</v>
      </c>
      <c r="I928" s="6" t="s">
        <v>3073</v>
      </c>
      <c r="J928" s="6" t="s">
        <v>4001</v>
      </c>
      <c r="K928" s="9">
        <v>1</v>
      </c>
      <c r="L928" s="6" t="s">
        <v>4277</v>
      </c>
      <c r="M928" s="6" t="s">
        <v>4280</v>
      </c>
      <c r="N928" s="24">
        <v>26.95</v>
      </c>
      <c r="O928" s="22" t="str">
        <f>IF(Table2[[#This Row],[CouponCode]]="N/A", "Not Used", "Used")</f>
        <v>Used</v>
      </c>
    </row>
    <row r="929" spans="1:15" x14ac:dyDescent="0.3">
      <c r="A929" s="6" t="s">
        <v>941</v>
      </c>
      <c r="B929" s="2">
        <v>44971</v>
      </c>
      <c r="C929" s="6" t="s">
        <v>2137</v>
      </c>
      <c r="D929" s="6" t="s">
        <v>2408</v>
      </c>
      <c r="E929" s="9">
        <v>4</v>
      </c>
      <c r="F929" s="24">
        <v>64.69</v>
      </c>
      <c r="G929" t="s">
        <v>2873</v>
      </c>
      <c r="H929" s="6" t="s">
        <v>3065</v>
      </c>
      <c r="I929" s="6" t="s">
        <v>3070</v>
      </c>
      <c r="J929" s="6" t="s">
        <v>4002</v>
      </c>
      <c r="K929" s="9">
        <v>7</v>
      </c>
      <c r="L929" s="6" t="s">
        <v>4277</v>
      </c>
      <c r="M929" s="6" t="s">
        <v>4282</v>
      </c>
      <c r="N929" s="24">
        <v>258.76</v>
      </c>
      <c r="O929" s="22" t="str">
        <f>IF(Table2[[#This Row],[CouponCode]]="N/A", "Not Used", "Used")</f>
        <v>Used</v>
      </c>
    </row>
    <row r="930" spans="1:15" x14ac:dyDescent="0.3">
      <c r="A930" s="6" t="s">
        <v>942</v>
      </c>
      <c r="B930" s="2">
        <v>45421</v>
      </c>
      <c r="C930" s="6" t="s">
        <v>2138</v>
      </c>
      <c r="D930" s="6" t="s">
        <v>2408</v>
      </c>
      <c r="E930" s="9">
        <v>3</v>
      </c>
      <c r="F930" s="24">
        <v>247.11</v>
      </c>
      <c r="G930" t="s">
        <v>2628</v>
      </c>
      <c r="H930" s="6" t="s">
        <v>3065</v>
      </c>
      <c r="I930" s="6" t="s">
        <v>3072</v>
      </c>
      <c r="J930" s="6" t="s">
        <v>4003</v>
      </c>
      <c r="K930" s="9">
        <v>3</v>
      </c>
      <c r="L930" s="6" t="s">
        <v>4277</v>
      </c>
      <c r="M930" s="6" t="s">
        <v>4279</v>
      </c>
      <c r="N930" s="24">
        <v>741.33</v>
      </c>
      <c r="O930" s="22" t="str">
        <f>IF(Table2[[#This Row],[CouponCode]]="N/A", "Not Used", "Used")</f>
        <v>Used</v>
      </c>
    </row>
    <row r="931" spans="1:15" x14ac:dyDescent="0.3">
      <c r="A931" s="6" t="s">
        <v>943</v>
      </c>
      <c r="B931" s="2">
        <v>45581</v>
      </c>
      <c r="C931" s="6" t="s">
        <v>2139</v>
      </c>
      <c r="D931" s="6" t="s">
        <v>2405</v>
      </c>
      <c r="E931" s="9">
        <v>2</v>
      </c>
      <c r="F931" s="24">
        <v>536.25</v>
      </c>
      <c r="G931" t="s">
        <v>2568</v>
      </c>
      <c r="H931" s="6" t="s">
        <v>3065</v>
      </c>
      <c r="I931" s="6" t="s">
        <v>3074</v>
      </c>
      <c r="J931" s="6" t="s">
        <v>4004</v>
      </c>
      <c r="K931" s="9">
        <v>3</v>
      </c>
      <c r="L931" s="6" t="s">
        <v>4283</v>
      </c>
      <c r="M931" s="6" t="s">
        <v>4280</v>
      </c>
      <c r="N931" s="24">
        <v>1072.5</v>
      </c>
      <c r="O931" s="22" t="str">
        <f>IF(Table2[[#This Row],[CouponCode]]="N/A", "Not Used", "Used")</f>
        <v>Not Used</v>
      </c>
    </row>
    <row r="932" spans="1:15" x14ac:dyDescent="0.3">
      <c r="A932" s="6" t="s">
        <v>944</v>
      </c>
      <c r="B932" s="2">
        <v>45642</v>
      </c>
      <c r="C932" s="6" t="s">
        <v>2140</v>
      </c>
      <c r="D932" s="6" t="s">
        <v>2404</v>
      </c>
      <c r="E932" s="9">
        <v>2</v>
      </c>
      <c r="F932" s="24">
        <v>456.04</v>
      </c>
      <c r="G932" t="s">
        <v>2427</v>
      </c>
      <c r="H932" s="6" t="s">
        <v>3065</v>
      </c>
      <c r="I932" s="6" t="s">
        <v>3072</v>
      </c>
      <c r="J932" s="6" t="s">
        <v>4005</v>
      </c>
      <c r="K932" s="9">
        <v>4</v>
      </c>
      <c r="L932" s="6" t="s">
        <v>4276</v>
      </c>
      <c r="M932" s="6" t="s">
        <v>4280</v>
      </c>
      <c r="N932" s="24">
        <v>912.08</v>
      </c>
      <c r="O932" s="22" t="str">
        <f>IF(Table2[[#This Row],[CouponCode]]="N/A", "Not Used", "Used")</f>
        <v>Used</v>
      </c>
    </row>
    <row r="933" spans="1:15" x14ac:dyDescent="0.3">
      <c r="A933" s="6" t="s">
        <v>945</v>
      </c>
      <c r="B933" s="2">
        <v>45292</v>
      </c>
      <c r="C933" s="6" t="s">
        <v>2141</v>
      </c>
      <c r="D933" s="6" t="s">
        <v>2407</v>
      </c>
      <c r="E933" s="9">
        <v>2</v>
      </c>
      <c r="F933" s="24">
        <v>40.229999999999997</v>
      </c>
      <c r="G933" t="s">
        <v>2460</v>
      </c>
      <c r="H933" s="6" t="s">
        <v>3067</v>
      </c>
      <c r="I933" s="6" t="s">
        <v>3071</v>
      </c>
      <c r="J933" s="6" t="s">
        <v>4006</v>
      </c>
      <c r="K933" s="9">
        <v>4</v>
      </c>
      <c r="L933" s="6" t="s">
        <v>4275</v>
      </c>
      <c r="M933" s="6" t="s">
        <v>4282</v>
      </c>
      <c r="N933" s="24">
        <v>80.459999999999994</v>
      </c>
      <c r="O933" s="22" t="str">
        <f>IF(Table2[[#This Row],[CouponCode]]="N/A", "Not Used", "Used")</f>
        <v>Used</v>
      </c>
    </row>
    <row r="934" spans="1:15" x14ac:dyDescent="0.3">
      <c r="A934" s="6" t="s">
        <v>946</v>
      </c>
      <c r="B934" s="2">
        <v>45011</v>
      </c>
      <c r="C934" s="6" t="s">
        <v>2142</v>
      </c>
      <c r="D934" s="6" t="s">
        <v>2408</v>
      </c>
      <c r="E934" s="9">
        <v>2</v>
      </c>
      <c r="F934" s="24">
        <v>72.39</v>
      </c>
      <c r="G934" t="s">
        <v>2982</v>
      </c>
      <c r="H934" s="6" t="s">
        <v>3066</v>
      </c>
      <c r="I934" s="6" t="s">
        <v>3073</v>
      </c>
      <c r="J934" s="6" t="s">
        <v>4007</v>
      </c>
      <c r="K934" s="9">
        <v>7</v>
      </c>
      <c r="L934" s="6" t="s">
        <v>4277</v>
      </c>
      <c r="M934" s="6" t="s">
        <v>4278</v>
      </c>
      <c r="N934" s="24">
        <v>144.78</v>
      </c>
      <c r="O934" s="22" t="str">
        <f>IF(Table2[[#This Row],[CouponCode]]="N/A", "Not Used", "Used")</f>
        <v>Used</v>
      </c>
    </row>
    <row r="935" spans="1:15" x14ac:dyDescent="0.3">
      <c r="A935" s="6" t="s">
        <v>947</v>
      </c>
      <c r="B935" s="2">
        <v>44952</v>
      </c>
      <c r="C935" s="6" t="s">
        <v>2143</v>
      </c>
      <c r="D935" s="6" t="s">
        <v>2403</v>
      </c>
      <c r="E935" s="9">
        <v>2</v>
      </c>
      <c r="F935" s="24">
        <v>394.16</v>
      </c>
      <c r="G935" t="s">
        <v>2617</v>
      </c>
      <c r="H935" s="6" t="s">
        <v>3066</v>
      </c>
      <c r="I935" s="6" t="s">
        <v>3070</v>
      </c>
      <c r="J935" s="6" t="s">
        <v>4008</v>
      </c>
      <c r="K935" s="9">
        <v>2</v>
      </c>
      <c r="L935" s="6" t="s">
        <v>4283</v>
      </c>
      <c r="M935" s="6" t="s">
        <v>4279</v>
      </c>
      <c r="N935" s="24">
        <v>788.32</v>
      </c>
      <c r="O935" s="22" t="str">
        <f>IF(Table2[[#This Row],[CouponCode]]="N/A", "Not Used", "Used")</f>
        <v>Not Used</v>
      </c>
    </row>
    <row r="936" spans="1:15" x14ac:dyDescent="0.3">
      <c r="A936" s="6" t="s">
        <v>948</v>
      </c>
      <c r="B936" s="2">
        <v>45809</v>
      </c>
      <c r="C936" s="6" t="s">
        <v>2144</v>
      </c>
      <c r="D936" s="6" t="s">
        <v>2408</v>
      </c>
      <c r="E936" s="9">
        <v>4</v>
      </c>
      <c r="F936" s="24">
        <v>119.84</v>
      </c>
      <c r="G936" t="s">
        <v>2604</v>
      </c>
      <c r="H936" s="6" t="s">
        <v>3068</v>
      </c>
      <c r="I936" s="6" t="s">
        <v>3070</v>
      </c>
      <c r="J936" s="6" t="s">
        <v>4009</v>
      </c>
      <c r="K936" s="9">
        <v>8</v>
      </c>
      <c r="L936" s="6" t="s">
        <v>4276</v>
      </c>
      <c r="M936" s="6" t="s">
        <v>4279</v>
      </c>
      <c r="N936" s="24">
        <v>479.36</v>
      </c>
      <c r="O936" s="22" t="str">
        <f>IF(Table2[[#This Row],[CouponCode]]="N/A", "Not Used", "Used")</f>
        <v>Used</v>
      </c>
    </row>
    <row r="937" spans="1:15" x14ac:dyDescent="0.3">
      <c r="A937" s="6" t="s">
        <v>949</v>
      </c>
      <c r="B937" s="2">
        <v>45254</v>
      </c>
      <c r="C937" s="6" t="s">
        <v>2145</v>
      </c>
      <c r="D937" s="6" t="s">
        <v>2404</v>
      </c>
      <c r="E937" s="9">
        <v>3</v>
      </c>
      <c r="F937" s="24">
        <v>692.71</v>
      </c>
      <c r="G937" t="s">
        <v>2692</v>
      </c>
      <c r="H937" s="6" t="s">
        <v>3067</v>
      </c>
      <c r="I937" s="6" t="s">
        <v>3073</v>
      </c>
      <c r="J937" s="6" t="s">
        <v>4010</v>
      </c>
      <c r="K937" s="9">
        <v>3</v>
      </c>
      <c r="L937" s="6" t="s">
        <v>4276</v>
      </c>
      <c r="M937" s="6" t="s">
        <v>4278</v>
      </c>
      <c r="N937" s="24">
        <v>2078.13</v>
      </c>
      <c r="O937" s="22" t="str">
        <f>IF(Table2[[#This Row],[CouponCode]]="N/A", "Not Used", "Used")</f>
        <v>Used</v>
      </c>
    </row>
    <row r="938" spans="1:15" x14ac:dyDescent="0.3">
      <c r="A938" s="6" t="s">
        <v>950</v>
      </c>
      <c r="B938" s="2">
        <v>45303</v>
      </c>
      <c r="C938" s="6" t="s">
        <v>2146</v>
      </c>
      <c r="D938" s="6" t="s">
        <v>2406</v>
      </c>
      <c r="E938" s="9">
        <v>4</v>
      </c>
      <c r="F938" s="24">
        <v>56.66</v>
      </c>
      <c r="G938" t="s">
        <v>2554</v>
      </c>
      <c r="H938" s="6" t="s">
        <v>3066</v>
      </c>
      <c r="I938" s="6" t="s">
        <v>3073</v>
      </c>
      <c r="J938" s="6" t="s">
        <v>4011</v>
      </c>
      <c r="K938" s="9">
        <v>4</v>
      </c>
      <c r="L938" s="6" t="s">
        <v>4275</v>
      </c>
      <c r="M938" s="6" t="s">
        <v>4278</v>
      </c>
      <c r="N938" s="24">
        <v>226.64</v>
      </c>
      <c r="O938" s="22" t="str">
        <f>IF(Table2[[#This Row],[CouponCode]]="N/A", "Not Used", "Used")</f>
        <v>Used</v>
      </c>
    </row>
    <row r="939" spans="1:15" x14ac:dyDescent="0.3">
      <c r="A939" s="6" t="s">
        <v>951</v>
      </c>
      <c r="B939" s="2">
        <v>45307</v>
      </c>
      <c r="C939" s="6" t="s">
        <v>2147</v>
      </c>
      <c r="D939" s="6" t="s">
        <v>2406</v>
      </c>
      <c r="E939" s="9">
        <v>2</v>
      </c>
      <c r="F939" s="24">
        <v>298.52999999999997</v>
      </c>
      <c r="G939" t="s">
        <v>2735</v>
      </c>
      <c r="H939" s="6" t="s">
        <v>3065</v>
      </c>
      <c r="I939" s="6" t="s">
        <v>3071</v>
      </c>
      <c r="J939" s="6" t="s">
        <v>4012</v>
      </c>
      <c r="K939" s="9">
        <v>5</v>
      </c>
      <c r="L939" s="6" t="s">
        <v>4277</v>
      </c>
      <c r="M939" s="6" t="s">
        <v>4280</v>
      </c>
      <c r="N939" s="24">
        <v>597.05999999999995</v>
      </c>
      <c r="O939" s="22" t="str">
        <f>IF(Table2[[#This Row],[CouponCode]]="N/A", "Not Used", "Used")</f>
        <v>Used</v>
      </c>
    </row>
    <row r="940" spans="1:15" x14ac:dyDescent="0.3">
      <c r="A940" s="6" t="s">
        <v>952</v>
      </c>
      <c r="B940" s="2">
        <v>45119</v>
      </c>
      <c r="C940" s="6" t="s">
        <v>2148</v>
      </c>
      <c r="D940" s="6" t="s">
        <v>2406</v>
      </c>
      <c r="E940" s="9">
        <v>3</v>
      </c>
      <c r="F940" s="24">
        <v>331.46</v>
      </c>
      <c r="G940" t="s">
        <v>2796</v>
      </c>
      <c r="H940" s="6" t="s">
        <v>3067</v>
      </c>
      <c r="I940" s="6" t="s">
        <v>3071</v>
      </c>
      <c r="J940" s="6" t="s">
        <v>4013</v>
      </c>
      <c r="K940" s="9">
        <v>6</v>
      </c>
      <c r="L940" s="6" t="s">
        <v>4277</v>
      </c>
      <c r="M940" s="6" t="s">
        <v>4279</v>
      </c>
      <c r="N940" s="24">
        <v>994.37999999999988</v>
      </c>
      <c r="O940" s="22" t="str">
        <f>IF(Table2[[#This Row],[CouponCode]]="N/A", "Not Used", "Used")</f>
        <v>Used</v>
      </c>
    </row>
    <row r="941" spans="1:15" x14ac:dyDescent="0.3">
      <c r="A941" s="6" t="s">
        <v>953</v>
      </c>
      <c r="B941" s="2">
        <v>45763</v>
      </c>
      <c r="C941" s="6" t="s">
        <v>2149</v>
      </c>
      <c r="D941" s="6" t="s">
        <v>2408</v>
      </c>
      <c r="E941" s="9">
        <v>2</v>
      </c>
      <c r="F941" s="24">
        <v>521.4</v>
      </c>
      <c r="G941" t="s">
        <v>2983</v>
      </c>
      <c r="H941" s="6" t="s">
        <v>3069</v>
      </c>
      <c r="I941" s="6" t="s">
        <v>3073</v>
      </c>
      <c r="J941" s="6" t="s">
        <v>4014</v>
      </c>
      <c r="K941" s="9">
        <v>7</v>
      </c>
      <c r="L941" s="6" t="s">
        <v>4275</v>
      </c>
      <c r="M941" s="6" t="s">
        <v>4278</v>
      </c>
      <c r="N941" s="24">
        <v>1042.8</v>
      </c>
      <c r="O941" s="22" t="str">
        <f>IF(Table2[[#This Row],[CouponCode]]="N/A", "Not Used", "Used")</f>
        <v>Used</v>
      </c>
    </row>
    <row r="942" spans="1:15" x14ac:dyDescent="0.3">
      <c r="A942" s="6" t="s">
        <v>954</v>
      </c>
      <c r="B942" s="2">
        <v>45012</v>
      </c>
      <c r="C942" s="6" t="s">
        <v>2150</v>
      </c>
      <c r="D942" s="6" t="s">
        <v>2407</v>
      </c>
      <c r="E942" s="9">
        <v>4</v>
      </c>
      <c r="F942" s="24">
        <v>305.32</v>
      </c>
      <c r="G942" t="s">
        <v>2984</v>
      </c>
      <c r="H942" s="6" t="s">
        <v>3066</v>
      </c>
      <c r="I942" s="6" t="s">
        <v>3071</v>
      </c>
      <c r="J942" s="6" t="s">
        <v>4015</v>
      </c>
      <c r="K942" s="9">
        <v>4</v>
      </c>
      <c r="L942" s="6" t="s">
        <v>4275</v>
      </c>
      <c r="M942" s="6" t="s">
        <v>4282</v>
      </c>
      <c r="N942" s="24">
        <v>1221.28</v>
      </c>
      <c r="O942" s="22" t="str">
        <f>IF(Table2[[#This Row],[CouponCode]]="N/A", "Not Used", "Used")</f>
        <v>Used</v>
      </c>
    </row>
    <row r="943" spans="1:15" x14ac:dyDescent="0.3">
      <c r="A943" s="6" t="s">
        <v>955</v>
      </c>
      <c r="B943" s="2">
        <v>45124</v>
      </c>
      <c r="C943" s="6" t="s">
        <v>1653</v>
      </c>
      <c r="D943" s="6" t="s">
        <v>2407</v>
      </c>
      <c r="E943" s="9">
        <v>5</v>
      </c>
      <c r="F943" s="24">
        <v>111.7</v>
      </c>
      <c r="G943" t="s">
        <v>2690</v>
      </c>
      <c r="H943" s="6" t="s">
        <v>3067</v>
      </c>
      <c r="I943" s="6" t="s">
        <v>3071</v>
      </c>
      <c r="J943" s="6" t="s">
        <v>4016</v>
      </c>
      <c r="K943" s="9">
        <v>9</v>
      </c>
      <c r="L943" s="6" t="s">
        <v>4276</v>
      </c>
      <c r="M943" s="6" t="s">
        <v>4280</v>
      </c>
      <c r="N943" s="24">
        <v>558.5</v>
      </c>
      <c r="O943" s="22" t="str">
        <f>IF(Table2[[#This Row],[CouponCode]]="N/A", "Not Used", "Used")</f>
        <v>Used</v>
      </c>
    </row>
    <row r="944" spans="1:15" x14ac:dyDescent="0.3">
      <c r="A944" s="6" t="s">
        <v>956</v>
      </c>
      <c r="B944" s="2">
        <v>45198</v>
      </c>
      <c r="C944" s="6" t="s">
        <v>2151</v>
      </c>
      <c r="D944" s="6" t="s">
        <v>2405</v>
      </c>
      <c r="E944" s="9">
        <v>1</v>
      </c>
      <c r="F944" s="24">
        <v>479.76</v>
      </c>
      <c r="G944" t="s">
        <v>2599</v>
      </c>
      <c r="H944" s="6" t="s">
        <v>3067</v>
      </c>
      <c r="I944" s="6" t="s">
        <v>3074</v>
      </c>
      <c r="J944" s="6" t="s">
        <v>4017</v>
      </c>
      <c r="K944" s="9">
        <v>1</v>
      </c>
      <c r="L944" s="6" t="s">
        <v>4283</v>
      </c>
      <c r="M944" s="6" t="s">
        <v>4280</v>
      </c>
      <c r="N944" s="24">
        <v>479.76</v>
      </c>
      <c r="O944" s="22" t="str">
        <f>IF(Table2[[#This Row],[CouponCode]]="N/A", "Not Used", "Used")</f>
        <v>Not Used</v>
      </c>
    </row>
    <row r="945" spans="1:15" x14ac:dyDescent="0.3">
      <c r="A945" s="6" t="s">
        <v>957</v>
      </c>
      <c r="B945" s="2">
        <v>45287</v>
      </c>
      <c r="C945" s="6" t="s">
        <v>2152</v>
      </c>
      <c r="D945" s="6" t="s">
        <v>2403</v>
      </c>
      <c r="E945" s="9">
        <v>3</v>
      </c>
      <c r="F945" s="24">
        <v>193.49</v>
      </c>
      <c r="G945" t="s">
        <v>2985</v>
      </c>
      <c r="H945" s="6" t="s">
        <v>3068</v>
      </c>
      <c r="I945" s="6" t="s">
        <v>3072</v>
      </c>
      <c r="J945" s="6" t="s">
        <v>4018</v>
      </c>
      <c r="K945" s="9">
        <v>6</v>
      </c>
      <c r="L945" s="6" t="s">
        <v>4276</v>
      </c>
      <c r="M945" s="6" t="s">
        <v>4281</v>
      </c>
      <c r="N945" s="24">
        <v>580.47</v>
      </c>
      <c r="O945" s="22" t="str">
        <f>IF(Table2[[#This Row],[CouponCode]]="N/A", "Not Used", "Used")</f>
        <v>Used</v>
      </c>
    </row>
    <row r="946" spans="1:15" x14ac:dyDescent="0.3">
      <c r="A946" s="6" t="s">
        <v>958</v>
      </c>
      <c r="B946" s="2">
        <v>45642</v>
      </c>
      <c r="C946" s="6" t="s">
        <v>2153</v>
      </c>
      <c r="D946" s="6" t="s">
        <v>2408</v>
      </c>
      <c r="E946" s="9">
        <v>2</v>
      </c>
      <c r="F946" s="24">
        <v>426.22</v>
      </c>
      <c r="G946" t="s">
        <v>2964</v>
      </c>
      <c r="H946" s="6" t="s">
        <v>3066</v>
      </c>
      <c r="I946" s="6" t="s">
        <v>3073</v>
      </c>
      <c r="J946" s="6" t="s">
        <v>4019</v>
      </c>
      <c r="K946" s="9">
        <v>7</v>
      </c>
      <c r="L946" s="6" t="s">
        <v>4277</v>
      </c>
      <c r="M946" s="6" t="s">
        <v>4282</v>
      </c>
      <c r="N946" s="24">
        <v>852.44</v>
      </c>
      <c r="O946" s="22" t="str">
        <f>IF(Table2[[#This Row],[CouponCode]]="N/A", "Not Used", "Used")</f>
        <v>Used</v>
      </c>
    </row>
    <row r="947" spans="1:15" x14ac:dyDescent="0.3">
      <c r="A947" s="6" t="s">
        <v>959</v>
      </c>
      <c r="B947" s="2">
        <v>45158</v>
      </c>
      <c r="C947" s="6" t="s">
        <v>2154</v>
      </c>
      <c r="D947" s="6" t="s">
        <v>2405</v>
      </c>
      <c r="E947" s="9">
        <v>5</v>
      </c>
      <c r="F947" s="24">
        <v>276.44</v>
      </c>
      <c r="G947" t="s">
        <v>2695</v>
      </c>
      <c r="H947" s="6" t="s">
        <v>3068</v>
      </c>
      <c r="I947" s="6" t="s">
        <v>3070</v>
      </c>
      <c r="J947" s="6" t="s">
        <v>4020</v>
      </c>
      <c r="K947" s="9">
        <v>10</v>
      </c>
      <c r="L947" s="6" t="s">
        <v>4276</v>
      </c>
      <c r="M947" s="6" t="s">
        <v>4279</v>
      </c>
      <c r="N947" s="24">
        <v>1382.2</v>
      </c>
      <c r="O947" s="22" t="str">
        <f>IF(Table2[[#This Row],[CouponCode]]="N/A", "Not Used", "Used")</f>
        <v>Used</v>
      </c>
    </row>
    <row r="948" spans="1:15" x14ac:dyDescent="0.3">
      <c r="A948" s="6" t="s">
        <v>960</v>
      </c>
      <c r="B948" s="2">
        <v>45416</v>
      </c>
      <c r="C948" s="6" t="s">
        <v>2155</v>
      </c>
      <c r="D948" s="6" t="s">
        <v>2404</v>
      </c>
      <c r="E948" s="9">
        <v>2</v>
      </c>
      <c r="F948" s="24">
        <v>404.96</v>
      </c>
      <c r="G948" t="s">
        <v>2684</v>
      </c>
      <c r="H948" s="6" t="s">
        <v>3069</v>
      </c>
      <c r="I948" s="6" t="s">
        <v>3070</v>
      </c>
      <c r="J948" s="6" t="s">
        <v>4021</v>
      </c>
      <c r="K948" s="9">
        <v>4</v>
      </c>
      <c r="L948" s="6" t="s">
        <v>4275</v>
      </c>
      <c r="M948" s="6" t="s">
        <v>4280</v>
      </c>
      <c r="N948" s="24">
        <v>809.92</v>
      </c>
      <c r="O948" s="22" t="str">
        <f>IF(Table2[[#This Row],[CouponCode]]="N/A", "Not Used", "Used")</f>
        <v>Used</v>
      </c>
    </row>
    <row r="949" spans="1:15" x14ac:dyDescent="0.3">
      <c r="A949" s="6" t="s">
        <v>961</v>
      </c>
      <c r="B949" s="2">
        <v>45176</v>
      </c>
      <c r="C949" s="6" t="s">
        <v>2156</v>
      </c>
      <c r="D949" s="6" t="s">
        <v>2404</v>
      </c>
      <c r="E949" s="9">
        <v>4</v>
      </c>
      <c r="F949" s="24">
        <v>465.66</v>
      </c>
      <c r="G949" t="s">
        <v>2642</v>
      </c>
      <c r="H949" s="6" t="s">
        <v>3066</v>
      </c>
      <c r="I949" s="6" t="s">
        <v>3072</v>
      </c>
      <c r="J949" s="6" t="s">
        <v>4022</v>
      </c>
      <c r="K949" s="9">
        <v>9</v>
      </c>
      <c r="L949" s="6" t="s">
        <v>4276</v>
      </c>
      <c r="M949" s="6" t="s">
        <v>4280</v>
      </c>
      <c r="N949" s="24">
        <v>1862.64</v>
      </c>
      <c r="O949" s="22" t="str">
        <f>IF(Table2[[#This Row],[CouponCode]]="N/A", "Not Used", "Used")</f>
        <v>Used</v>
      </c>
    </row>
    <row r="950" spans="1:15" x14ac:dyDescent="0.3">
      <c r="A950" s="6" t="s">
        <v>962</v>
      </c>
      <c r="B950" s="2">
        <v>45464</v>
      </c>
      <c r="C950" s="6" t="s">
        <v>1659</v>
      </c>
      <c r="D950" s="6" t="s">
        <v>2404</v>
      </c>
      <c r="E950" s="9">
        <v>2</v>
      </c>
      <c r="F950" s="24">
        <v>594.07000000000005</v>
      </c>
      <c r="G950" t="s">
        <v>2771</v>
      </c>
      <c r="H950" s="6" t="s">
        <v>3068</v>
      </c>
      <c r="I950" s="6" t="s">
        <v>3071</v>
      </c>
      <c r="J950" s="6" t="s">
        <v>4023</v>
      </c>
      <c r="K950" s="9">
        <v>2</v>
      </c>
      <c r="L950" s="6" t="s">
        <v>4283</v>
      </c>
      <c r="M950" s="6" t="s">
        <v>4282</v>
      </c>
      <c r="N950" s="24">
        <v>1188.1400000000001</v>
      </c>
      <c r="O950" s="22" t="str">
        <f>IF(Table2[[#This Row],[CouponCode]]="N/A", "Not Used", "Used")</f>
        <v>Not Used</v>
      </c>
    </row>
    <row r="951" spans="1:15" x14ac:dyDescent="0.3">
      <c r="A951" s="6" t="s">
        <v>963</v>
      </c>
      <c r="B951" s="2">
        <v>45239</v>
      </c>
      <c r="C951" s="6" t="s">
        <v>2157</v>
      </c>
      <c r="D951" s="6" t="s">
        <v>2409</v>
      </c>
      <c r="E951" s="9">
        <v>5</v>
      </c>
      <c r="F951" s="24">
        <v>110.38</v>
      </c>
      <c r="G951" t="s">
        <v>2732</v>
      </c>
      <c r="H951" s="6" t="s">
        <v>3069</v>
      </c>
      <c r="I951" s="6" t="s">
        <v>3074</v>
      </c>
      <c r="J951" s="6" t="s">
        <v>4024</v>
      </c>
      <c r="K951" s="9">
        <v>10</v>
      </c>
      <c r="L951" s="6" t="s">
        <v>4283</v>
      </c>
      <c r="M951" s="6" t="s">
        <v>4279</v>
      </c>
      <c r="N951" s="24">
        <v>551.9</v>
      </c>
      <c r="O951" s="22" t="str">
        <f>IF(Table2[[#This Row],[CouponCode]]="N/A", "Not Used", "Used")</f>
        <v>Not Used</v>
      </c>
    </row>
    <row r="952" spans="1:15" x14ac:dyDescent="0.3">
      <c r="A952" s="6" t="s">
        <v>964</v>
      </c>
      <c r="B952" s="2">
        <v>45443</v>
      </c>
      <c r="C952" s="6" t="s">
        <v>2158</v>
      </c>
      <c r="D952" s="6" t="s">
        <v>2408</v>
      </c>
      <c r="E952" s="9">
        <v>1</v>
      </c>
      <c r="F952" s="24">
        <v>596.24</v>
      </c>
      <c r="G952" t="s">
        <v>2428</v>
      </c>
      <c r="H952" s="6" t="s">
        <v>3067</v>
      </c>
      <c r="I952" s="6" t="s">
        <v>3072</v>
      </c>
      <c r="J952" s="6" t="s">
        <v>4025</v>
      </c>
      <c r="K952" s="9">
        <v>4</v>
      </c>
      <c r="L952" s="6" t="s">
        <v>4276</v>
      </c>
      <c r="M952" s="6" t="s">
        <v>4278</v>
      </c>
      <c r="N952" s="24">
        <v>596.24</v>
      </c>
      <c r="O952" s="22" t="str">
        <f>IF(Table2[[#This Row],[CouponCode]]="N/A", "Not Used", "Used")</f>
        <v>Used</v>
      </c>
    </row>
    <row r="953" spans="1:15" x14ac:dyDescent="0.3">
      <c r="A953" s="6" t="s">
        <v>965</v>
      </c>
      <c r="B953" s="2">
        <v>45495</v>
      </c>
      <c r="C953" s="6" t="s">
        <v>2159</v>
      </c>
      <c r="D953" s="6" t="s">
        <v>2407</v>
      </c>
      <c r="E953" s="9">
        <v>2</v>
      </c>
      <c r="F953" s="24">
        <v>306.24</v>
      </c>
      <c r="G953" t="s">
        <v>2637</v>
      </c>
      <c r="H953" s="6" t="s">
        <v>3066</v>
      </c>
      <c r="I953" s="6" t="s">
        <v>3072</v>
      </c>
      <c r="J953" s="6" t="s">
        <v>4026</v>
      </c>
      <c r="K953" s="9">
        <v>4</v>
      </c>
      <c r="L953" s="6" t="s">
        <v>4276</v>
      </c>
      <c r="M953" s="6" t="s">
        <v>4280</v>
      </c>
      <c r="N953" s="24">
        <v>612.48</v>
      </c>
      <c r="O953" s="22" t="str">
        <f>IF(Table2[[#This Row],[CouponCode]]="N/A", "Not Used", "Used")</f>
        <v>Used</v>
      </c>
    </row>
    <row r="954" spans="1:15" x14ac:dyDescent="0.3">
      <c r="A954" s="6" t="s">
        <v>966</v>
      </c>
      <c r="B954" s="2">
        <v>45715</v>
      </c>
      <c r="C954" s="6" t="s">
        <v>2160</v>
      </c>
      <c r="D954" s="6" t="s">
        <v>2403</v>
      </c>
      <c r="E954" s="9">
        <v>3</v>
      </c>
      <c r="F954" s="24">
        <v>503.39</v>
      </c>
      <c r="G954" t="s">
        <v>2986</v>
      </c>
      <c r="H954" s="6" t="s">
        <v>3066</v>
      </c>
      <c r="I954" s="6" t="s">
        <v>3074</v>
      </c>
      <c r="J954" s="6" t="s">
        <v>4027</v>
      </c>
      <c r="K954" s="9">
        <v>5</v>
      </c>
      <c r="L954" s="6" t="s">
        <v>4283</v>
      </c>
      <c r="M954" s="6" t="s">
        <v>4281</v>
      </c>
      <c r="N954" s="24">
        <v>1510.17</v>
      </c>
      <c r="O954" s="22" t="str">
        <f>IF(Table2[[#This Row],[CouponCode]]="N/A", "Not Used", "Used")</f>
        <v>Not Used</v>
      </c>
    </row>
    <row r="955" spans="1:15" x14ac:dyDescent="0.3">
      <c r="A955" s="6" t="s">
        <v>967</v>
      </c>
      <c r="B955" s="2">
        <v>44963</v>
      </c>
      <c r="C955" s="6" t="s">
        <v>2161</v>
      </c>
      <c r="D955" s="6" t="s">
        <v>2404</v>
      </c>
      <c r="E955" s="9">
        <v>1</v>
      </c>
      <c r="F955" s="24">
        <v>131.61000000000001</v>
      </c>
      <c r="G955" t="s">
        <v>2486</v>
      </c>
      <c r="H955" s="6" t="s">
        <v>3069</v>
      </c>
      <c r="I955" s="6" t="s">
        <v>3070</v>
      </c>
      <c r="J955" s="6" t="s">
        <v>4028</v>
      </c>
      <c r="K955" s="9">
        <v>2</v>
      </c>
      <c r="L955" s="6" t="s">
        <v>4276</v>
      </c>
      <c r="M955" s="6" t="s">
        <v>4281</v>
      </c>
      <c r="N955" s="24">
        <v>131.61000000000001</v>
      </c>
      <c r="O955" s="22" t="str">
        <f>IF(Table2[[#This Row],[CouponCode]]="N/A", "Not Used", "Used")</f>
        <v>Used</v>
      </c>
    </row>
    <row r="956" spans="1:15" x14ac:dyDescent="0.3">
      <c r="A956" s="6" t="s">
        <v>968</v>
      </c>
      <c r="B956" s="2">
        <v>45587</v>
      </c>
      <c r="C956" s="6" t="s">
        <v>2162</v>
      </c>
      <c r="D956" s="6" t="s">
        <v>2406</v>
      </c>
      <c r="E956" s="9">
        <v>3</v>
      </c>
      <c r="F956" s="24">
        <v>443.44</v>
      </c>
      <c r="G956" t="s">
        <v>2556</v>
      </c>
      <c r="H956" s="6" t="s">
        <v>3068</v>
      </c>
      <c r="I956" s="6" t="s">
        <v>3070</v>
      </c>
      <c r="J956" s="6" t="s">
        <v>4029</v>
      </c>
      <c r="K956" s="9">
        <v>3</v>
      </c>
      <c r="L956" s="6" t="s">
        <v>4276</v>
      </c>
      <c r="M956" s="6" t="s">
        <v>4282</v>
      </c>
      <c r="N956" s="24">
        <v>1330.32</v>
      </c>
      <c r="O956" s="22" t="str">
        <f>IF(Table2[[#This Row],[CouponCode]]="N/A", "Not Used", "Used")</f>
        <v>Used</v>
      </c>
    </row>
    <row r="957" spans="1:15" x14ac:dyDescent="0.3">
      <c r="A957" s="6" t="s">
        <v>969</v>
      </c>
      <c r="B957" s="2">
        <v>44949</v>
      </c>
      <c r="C957" s="6" t="s">
        <v>2163</v>
      </c>
      <c r="D957" s="6" t="s">
        <v>2406</v>
      </c>
      <c r="E957" s="9">
        <v>1</v>
      </c>
      <c r="F957" s="24">
        <v>408.13</v>
      </c>
      <c r="G957" t="s">
        <v>2623</v>
      </c>
      <c r="H957" s="6" t="s">
        <v>3068</v>
      </c>
      <c r="I957" s="6" t="s">
        <v>3070</v>
      </c>
      <c r="J957" s="6" t="s">
        <v>4030</v>
      </c>
      <c r="K957" s="9">
        <v>3</v>
      </c>
      <c r="L957" s="6" t="s">
        <v>4277</v>
      </c>
      <c r="M957" s="6" t="s">
        <v>4278</v>
      </c>
      <c r="N957" s="24">
        <v>408.13</v>
      </c>
      <c r="O957" s="22" t="str">
        <f>IF(Table2[[#This Row],[CouponCode]]="N/A", "Not Used", "Used")</f>
        <v>Used</v>
      </c>
    </row>
    <row r="958" spans="1:15" x14ac:dyDescent="0.3">
      <c r="A958" s="6" t="s">
        <v>970</v>
      </c>
      <c r="B958" s="2">
        <v>45393</v>
      </c>
      <c r="C958" s="6" t="s">
        <v>1995</v>
      </c>
      <c r="D958" s="6" t="s">
        <v>2404</v>
      </c>
      <c r="E958" s="9">
        <v>2</v>
      </c>
      <c r="F958" s="24">
        <v>160.97999999999999</v>
      </c>
      <c r="G958" t="s">
        <v>2987</v>
      </c>
      <c r="H958" s="6" t="s">
        <v>3065</v>
      </c>
      <c r="I958" s="6" t="s">
        <v>3073</v>
      </c>
      <c r="J958" s="6" t="s">
        <v>4031</v>
      </c>
      <c r="K958" s="9">
        <v>3</v>
      </c>
      <c r="L958" s="6" t="s">
        <v>4275</v>
      </c>
      <c r="M958" s="6" t="s">
        <v>4279</v>
      </c>
      <c r="N958" s="24">
        <v>321.95999999999998</v>
      </c>
      <c r="O958" s="22" t="str">
        <f>IF(Table2[[#This Row],[CouponCode]]="N/A", "Not Used", "Used")</f>
        <v>Used</v>
      </c>
    </row>
    <row r="959" spans="1:15" x14ac:dyDescent="0.3">
      <c r="A959" s="6" t="s">
        <v>971</v>
      </c>
      <c r="B959" s="2">
        <v>44938</v>
      </c>
      <c r="C959" s="6" t="s">
        <v>2164</v>
      </c>
      <c r="D959" s="6" t="s">
        <v>2403</v>
      </c>
      <c r="E959" s="9">
        <v>5</v>
      </c>
      <c r="F959" s="24">
        <v>643.89</v>
      </c>
      <c r="G959" t="s">
        <v>2988</v>
      </c>
      <c r="H959" s="6" t="s">
        <v>3069</v>
      </c>
      <c r="I959" s="6" t="s">
        <v>3072</v>
      </c>
      <c r="J959" s="6" t="s">
        <v>4032</v>
      </c>
      <c r="K959" s="9">
        <v>8</v>
      </c>
      <c r="L959" s="6" t="s">
        <v>4277</v>
      </c>
      <c r="M959" s="6" t="s">
        <v>4281</v>
      </c>
      <c r="N959" s="24">
        <v>3219.45</v>
      </c>
      <c r="O959" s="22" t="str">
        <f>IF(Table2[[#This Row],[CouponCode]]="N/A", "Not Used", "Used")</f>
        <v>Used</v>
      </c>
    </row>
    <row r="960" spans="1:15" x14ac:dyDescent="0.3">
      <c r="A960" s="6" t="s">
        <v>972</v>
      </c>
      <c r="B960" s="2">
        <v>45059</v>
      </c>
      <c r="C960" s="6" t="s">
        <v>2165</v>
      </c>
      <c r="D960" s="6" t="s">
        <v>2409</v>
      </c>
      <c r="E960" s="9">
        <v>3</v>
      </c>
      <c r="F960" s="24">
        <v>158.66</v>
      </c>
      <c r="G960" t="s">
        <v>2656</v>
      </c>
      <c r="H960" s="6" t="s">
        <v>3068</v>
      </c>
      <c r="I960" s="6" t="s">
        <v>3073</v>
      </c>
      <c r="J960" s="6" t="s">
        <v>4033</v>
      </c>
      <c r="K960" s="9">
        <v>7</v>
      </c>
      <c r="L960" s="6" t="s">
        <v>4277</v>
      </c>
      <c r="M960" s="6" t="s">
        <v>4280</v>
      </c>
      <c r="N960" s="24">
        <v>475.98</v>
      </c>
      <c r="O960" s="22" t="str">
        <f>IF(Table2[[#This Row],[CouponCode]]="N/A", "Not Used", "Used")</f>
        <v>Used</v>
      </c>
    </row>
    <row r="961" spans="1:15" x14ac:dyDescent="0.3">
      <c r="A961" s="6" t="s">
        <v>973</v>
      </c>
      <c r="B961" s="2">
        <v>45395</v>
      </c>
      <c r="C961" s="6" t="s">
        <v>2166</v>
      </c>
      <c r="D961" s="6" t="s">
        <v>2405</v>
      </c>
      <c r="E961" s="9">
        <v>2</v>
      </c>
      <c r="F961" s="24">
        <v>143.82</v>
      </c>
      <c r="G961" t="s">
        <v>2662</v>
      </c>
      <c r="H961" s="6" t="s">
        <v>3067</v>
      </c>
      <c r="I961" s="6" t="s">
        <v>3072</v>
      </c>
      <c r="J961" s="6" t="s">
        <v>4034</v>
      </c>
      <c r="K961" s="9">
        <v>6</v>
      </c>
      <c r="L961" s="6" t="s">
        <v>4275</v>
      </c>
      <c r="M961" s="6" t="s">
        <v>4278</v>
      </c>
      <c r="N961" s="24">
        <v>287.64</v>
      </c>
      <c r="O961" s="22" t="str">
        <f>IF(Table2[[#This Row],[CouponCode]]="N/A", "Not Used", "Used")</f>
        <v>Used</v>
      </c>
    </row>
    <row r="962" spans="1:15" x14ac:dyDescent="0.3">
      <c r="A962" s="6" t="s">
        <v>974</v>
      </c>
      <c r="B962" s="2">
        <v>45271</v>
      </c>
      <c r="C962" s="6" t="s">
        <v>2167</v>
      </c>
      <c r="D962" s="6" t="s">
        <v>2408</v>
      </c>
      <c r="E962" s="9">
        <v>3</v>
      </c>
      <c r="F962" s="24">
        <v>379.07</v>
      </c>
      <c r="G962" t="s">
        <v>2714</v>
      </c>
      <c r="H962" s="6" t="s">
        <v>3068</v>
      </c>
      <c r="I962" s="6" t="s">
        <v>3074</v>
      </c>
      <c r="J962" s="6" t="s">
        <v>4035</v>
      </c>
      <c r="K962" s="9">
        <v>3</v>
      </c>
      <c r="L962" s="6" t="s">
        <v>4277</v>
      </c>
      <c r="M962" s="6" t="s">
        <v>4282</v>
      </c>
      <c r="N962" s="24">
        <v>1137.21</v>
      </c>
      <c r="O962" s="22" t="str">
        <f>IF(Table2[[#This Row],[CouponCode]]="N/A", "Not Used", "Used")</f>
        <v>Used</v>
      </c>
    </row>
    <row r="963" spans="1:15" x14ac:dyDescent="0.3">
      <c r="A963" s="6" t="s">
        <v>975</v>
      </c>
      <c r="B963" s="2">
        <v>45607</v>
      </c>
      <c r="C963" s="6" t="s">
        <v>2168</v>
      </c>
      <c r="D963" s="6" t="s">
        <v>2404</v>
      </c>
      <c r="E963" s="9">
        <v>1</v>
      </c>
      <c r="F963" s="24">
        <v>601.36</v>
      </c>
      <c r="G963" t="s">
        <v>2685</v>
      </c>
      <c r="H963" s="6" t="s">
        <v>3066</v>
      </c>
      <c r="I963" s="6" t="s">
        <v>3070</v>
      </c>
      <c r="J963" s="6" t="s">
        <v>4036</v>
      </c>
      <c r="K963" s="9">
        <v>1</v>
      </c>
      <c r="L963" s="6" t="s">
        <v>4283</v>
      </c>
      <c r="M963" s="6" t="s">
        <v>4281</v>
      </c>
      <c r="N963" s="24">
        <v>601.36</v>
      </c>
      <c r="O963" s="22" t="str">
        <f>IF(Table2[[#This Row],[CouponCode]]="N/A", "Not Used", "Used")</f>
        <v>Not Used</v>
      </c>
    </row>
    <row r="964" spans="1:15" x14ac:dyDescent="0.3">
      <c r="A964" s="6" t="s">
        <v>976</v>
      </c>
      <c r="B964" s="2">
        <v>45541</v>
      </c>
      <c r="C964" s="6" t="s">
        <v>2169</v>
      </c>
      <c r="D964" s="6" t="s">
        <v>2404</v>
      </c>
      <c r="E964" s="9">
        <v>2</v>
      </c>
      <c r="F964" s="24">
        <v>142.08000000000001</v>
      </c>
      <c r="G964" t="s">
        <v>2621</v>
      </c>
      <c r="H964" s="6" t="s">
        <v>3068</v>
      </c>
      <c r="I964" s="6" t="s">
        <v>3073</v>
      </c>
      <c r="J964" s="6" t="s">
        <v>4037</v>
      </c>
      <c r="K964" s="9">
        <v>4</v>
      </c>
      <c r="L964" s="6" t="s">
        <v>4275</v>
      </c>
      <c r="M964" s="6" t="s">
        <v>4279</v>
      </c>
      <c r="N964" s="24">
        <v>284.16000000000003</v>
      </c>
      <c r="O964" s="22" t="str">
        <f>IF(Table2[[#This Row],[CouponCode]]="N/A", "Not Used", "Used")</f>
        <v>Used</v>
      </c>
    </row>
    <row r="965" spans="1:15" x14ac:dyDescent="0.3">
      <c r="A965" s="6" t="s">
        <v>977</v>
      </c>
      <c r="B965" s="2">
        <v>45362</v>
      </c>
      <c r="C965" s="6" t="s">
        <v>2170</v>
      </c>
      <c r="D965" s="6" t="s">
        <v>2406</v>
      </c>
      <c r="E965" s="9">
        <v>5</v>
      </c>
      <c r="F965" s="24">
        <v>530.34</v>
      </c>
      <c r="G965" t="s">
        <v>2572</v>
      </c>
      <c r="H965" s="6" t="s">
        <v>3066</v>
      </c>
      <c r="I965" s="6" t="s">
        <v>3070</v>
      </c>
      <c r="J965" s="6" t="s">
        <v>4038</v>
      </c>
      <c r="K965" s="9">
        <v>9</v>
      </c>
      <c r="L965" s="6" t="s">
        <v>4276</v>
      </c>
      <c r="M965" s="6" t="s">
        <v>4282</v>
      </c>
      <c r="N965" s="24">
        <v>2651.7</v>
      </c>
      <c r="O965" s="22" t="str">
        <f>IF(Table2[[#This Row],[CouponCode]]="N/A", "Not Used", "Used")</f>
        <v>Used</v>
      </c>
    </row>
    <row r="966" spans="1:15" x14ac:dyDescent="0.3">
      <c r="A966" s="6" t="s">
        <v>978</v>
      </c>
      <c r="B966" s="2">
        <v>45158</v>
      </c>
      <c r="C966" s="6" t="s">
        <v>2171</v>
      </c>
      <c r="D966" s="6" t="s">
        <v>2404</v>
      </c>
      <c r="E966" s="9">
        <v>5</v>
      </c>
      <c r="F966" s="24">
        <v>364.42</v>
      </c>
      <c r="G966" t="s">
        <v>2730</v>
      </c>
      <c r="H966" s="6" t="s">
        <v>3067</v>
      </c>
      <c r="I966" s="6" t="s">
        <v>3071</v>
      </c>
      <c r="J966" s="6" t="s">
        <v>4039</v>
      </c>
      <c r="K966" s="9">
        <v>10</v>
      </c>
      <c r="L966" s="6" t="s">
        <v>4275</v>
      </c>
      <c r="M966" s="6" t="s">
        <v>4279</v>
      </c>
      <c r="N966" s="24">
        <v>1822.1</v>
      </c>
      <c r="O966" s="22" t="str">
        <f>IF(Table2[[#This Row],[CouponCode]]="N/A", "Not Used", "Used")</f>
        <v>Used</v>
      </c>
    </row>
    <row r="967" spans="1:15" x14ac:dyDescent="0.3">
      <c r="A967" s="6" t="s">
        <v>979</v>
      </c>
      <c r="B967" s="2">
        <v>45826</v>
      </c>
      <c r="C967" s="6" t="s">
        <v>2172</v>
      </c>
      <c r="D967" s="6" t="s">
        <v>2408</v>
      </c>
      <c r="E967" s="9">
        <v>4</v>
      </c>
      <c r="F967" s="24">
        <v>578.28</v>
      </c>
      <c r="G967" t="s">
        <v>2641</v>
      </c>
      <c r="H967" s="6" t="s">
        <v>3068</v>
      </c>
      <c r="I967" s="6" t="s">
        <v>3071</v>
      </c>
      <c r="J967" s="6" t="s">
        <v>4040</v>
      </c>
      <c r="K967" s="9">
        <v>5</v>
      </c>
      <c r="L967" s="6" t="s">
        <v>4276</v>
      </c>
      <c r="M967" s="6" t="s">
        <v>4280</v>
      </c>
      <c r="N967" s="24">
        <v>2313.12</v>
      </c>
      <c r="O967" s="22" t="str">
        <f>IF(Table2[[#This Row],[CouponCode]]="N/A", "Not Used", "Used")</f>
        <v>Used</v>
      </c>
    </row>
    <row r="968" spans="1:15" x14ac:dyDescent="0.3">
      <c r="A968" s="6" t="s">
        <v>980</v>
      </c>
      <c r="B968" s="2">
        <v>45797</v>
      </c>
      <c r="C968" s="6" t="s">
        <v>2173</v>
      </c>
      <c r="D968" s="6" t="s">
        <v>2403</v>
      </c>
      <c r="E968" s="9">
        <v>5</v>
      </c>
      <c r="F968" s="24">
        <v>280.52</v>
      </c>
      <c r="G968" t="s">
        <v>2989</v>
      </c>
      <c r="H968" s="6" t="s">
        <v>3067</v>
      </c>
      <c r="I968" s="6" t="s">
        <v>3071</v>
      </c>
      <c r="J968" s="6" t="s">
        <v>4041</v>
      </c>
      <c r="K968" s="9">
        <v>7</v>
      </c>
      <c r="L968" s="6" t="s">
        <v>4277</v>
      </c>
      <c r="M968" s="6" t="s">
        <v>4281</v>
      </c>
      <c r="N968" s="24">
        <v>1402.6</v>
      </c>
      <c r="O968" s="22" t="str">
        <f>IF(Table2[[#This Row],[CouponCode]]="N/A", "Not Used", "Used")</f>
        <v>Used</v>
      </c>
    </row>
    <row r="969" spans="1:15" x14ac:dyDescent="0.3">
      <c r="A969" s="6" t="s">
        <v>981</v>
      </c>
      <c r="B969" s="2">
        <v>45783</v>
      </c>
      <c r="C969" s="6" t="s">
        <v>2174</v>
      </c>
      <c r="D969" s="6" t="s">
        <v>2405</v>
      </c>
      <c r="E969" s="9">
        <v>5</v>
      </c>
      <c r="F969" s="24">
        <v>638.91999999999996</v>
      </c>
      <c r="G969" t="s">
        <v>2990</v>
      </c>
      <c r="H969" s="6" t="s">
        <v>3067</v>
      </c>
      <c r="I969" s="6" t="s">
        <v>3072</v>
      </c>
      <c r="J969" s="6" t="s">
        <v>4042</v>
      </c>
      <c r="K969" s="9">
        <v>5</v>
      </c>
      <c r="L969" s="6" t="s">
        <v>4276</v>
      </c>
      <c r="M969" s="6" t="s">
        <v>4282</v>
      </c>
      <c r="N969" s="24">
        <v>3194.6</v>
      </c>
      <c r="O969" s="22" t="str">
        <f>IF(Table2[[#This Row],[CouponCode]]="N/A", "Not Used", "Used")</f>
        <v>Used</v>
      </c>
    </row>
    <row r="970" spans="1:15" x14ac:dyDescent="0.3">
      <c r="A970" s="6" t="s">
        <v>982</v>
      </c>
      <c r="B970" s="2">
        <v>45330</v>
      </c>
      <c r="C970" s="6" t="s">
        <v>2175</v>
      </c>
      <c r="D970" s="6" t="s">
        <v>2403</v>
      </c>
      <c r="E970" s="9">
        <v>4</v>
      </c>
      <c r="F970" s="24">
        <v>412.2</v>
      </c>
      <c r="G970" t="s">
        <v>2943</v>
      </c>
      <c r="H970" s="6" t="s">
        <v>3067</v>
      </c>
      <c r="I970" s="6" t="s">
        <v>3070</v>
      </c>
      <c r="J970" s="6" t="s">
        <v>4043</v>
      </c>
      <c r="K970" s="9">
        <v>6</v>
      </c>
      <c r="L970" s="6" t="s">
        <v>4277</v>
      </c>
      <c r="M970" s="6" t="s">
        <v>4279</v>
      </c>
      <c r="N970" s="24">
        <v>1648.8</v>
      </c>
      <c r="O970" s="22" t="str">
        <f>IF(Table2[[#This Row],[CouponCode]]="N/A", "Not Used", "Used")</f>
        <v>Used</v>
      </c>
    </row>
    <row r="971" spans="1:15" x14ac:dyDescent="0.3">
      <c r="A971" s="6" t="s">
        <v>983</v>
      </c>
      <c r="B971" s="2">
        <v>45813</v>
      </c>
      <c r="C971" s="6" t="s">
        <v>2176</v>
      </c>
      <c r="D971" s="6" t="s">
        <v>2409</v>
      </c>
      <c r="E971" s="9">
        <v>1</v>
      </c>
      <c r="F971" s="24">
        <v>440.34</v>
      </c>
      <c r="G971" t="s">
        <v>2991</v>
      </c>
      <c r="H971" s="6" t="s">
        <v>3068</v>
      </c>
      <c r="I971" s="6" t="s">
        <v>3070</v>
      </c>
      <c r="J971" s="6" t="s">
        <v>4044</v>
      </c>
      <c r="K971" s="9">
        <v>2</v>
      </c>
      <c r="L971" s="6" t="s">
        <v>4277</v>
      </c>
      <c r="M971" s="6" t="s">
        <v>4281</v>
      </c>
      <c r="N971" s="24">
        <v>440.34</v>
      </c>
      <c r="O971" s="22" t="str">
        <f>IF(Table2[[#This Row],[CouponCode]]="N/A", "Not Used", "Used")</f>
        <v>Used</v>
      </c>
    </row>
    <row r="972" spans="1:15" x14ac:dyDescent="0.3">
      <c r="A972" s="6" t="s">
        <v>984</v>
      </c>
      <c r="B972" s="2">
        <v>45542</v>
      </c>
      <c r="C972" s="6" t="s">
        <v>2177</v>
      </c>
      <c r="D972" s="6" t="s">
        <v>2409</v>
      </c>
      <c r="E972" s="9">
        <v>1</v>
      </c>
      <c r="F972" s="24">
        <v>627.15</v>
      </c>
      <c r="G972" t="s">
        <v>2992</v>
      </c>
      <c r="H972" s="6" t="s">
        <v>3069</v>
      </c>
      <c r="I972" s="6" t="s">
        <v>3073</v>
      </c>
      <c r="J972" s="6" t="s">
        <v>4045</v>
      </c>
      <c r="K972" s="9">
        <v>5</v>
      </c>
      <c r="L972" s="6" t="s">
        <v>4275</v>
      </c>
      <c r="M972" s="6" t="s">
        <v>4278</v>
      </c>
      <c r="N972" s="24">
        <v>627.15</v>
      </c>
      <c r="O972" s="22" t="str">
        <f>IF(Table2[[#This Row],[CouponCode]]="N/A", "Not Used", "Used")</f>
        <v>Used</v>
      </c>
    </row>
    <row r="973" spans="1:15" x14ac:dyDescent="0.3">
      <c r="A973" s="6" t="s">
        <v>985</v>
      </c>
      <c r="B973" s="2">
        <v>45439</v>
      </c>
      <c r="C973" s="6" t="s">
        <v>2178</v>
      </c>
      <c r="D973" s="6" t="s">
        <v>2403</v>
      </c>
      <c r="E973" s="9">
        <v>2</v>
      </c>
      <c r="F973" s="24">
        <v>605.26</v>
      </c>
      <c r="G973" t="s">
        <v>2415</v>
      </c>
      <c r="H973" s="6" t="s">
        <v>3069</v>
      </c>
      <c r="I973" s="6" t="s">
        <v>3071</v>
      </c>
      <c r="J973" s="6" t="s">
        <v>4046</v>
      </c>
      <c r="K973" s="9">
        <v>4</v>
      </c>
      <c r="L973" s="6" t="s">
        <v>4277</v>
      </c>
      <c r="M973" s="6" t="s">
        <v>4279</v>
      </c>
      <c r="N973" s="24">
        <v>1210.52</v>
      </c>
      <c r="O973" s="22" t="str">
        <f>IF(Table2[[#This Row],[CouponCode]]="N/A", "Not Used", "Used")</f>
        <v>Used</v>
      </c>
    </row>
    <row r="974" spans="1:15" x14ac:dyDescent="0.3">
      <c r="A974" s="6" t="s">
        <v>986</v>
      </c>
      <c r="B974" s="2">
        <v>45452</v>
      </c>
      <c r="C974" s="6" t="s">
        <v>2179</v>
      </c>
      <c r="D974" s="6" t="s">
        <v>2408</v>
      </c>
      <c r="E974" s="9">
        <v>1</v>
      </c>
      <c r="F974" s="24">
        <v>90.27</v>
      </c>
      <c r="G974" t="s">
        <v>2993</v>
      </c>
      <c r="H974" s="6" t="s">
        <v>3069</v>
      </c>
      <c r="I974" s="6" t="s">
        <v>3073</v>
      </c>
      <c r="J974" s="6" t="s">
        <v>4047</v>
      </c>
      <c r="K974" s="9">
        <v>5</v>
      </c>
      <c r="L974" s="6" t="s">
        <v>4275</v>
      </c>
      <c r="M974" s="6" t="s">
        <v>4281</v>
      </c>
      <c r="N974" s="24">
        <v>90.27</v>
      </c>
      <c r="O974" s="22" t="str">
        <f>IF(Table2[[#This Row],[CouponCode]]="N/A", "Not Used", "Used")</f>
        <v>Used</v>
      </c>
    </row>
    <row r="975" spans="1:15" x14ac:dyDescent="0.3">
      <c r="A975" s="6" t="s">
        <v>987</v>
      </c>
      <c r="B975" s="2">
        <v>45817</v>
      </c>
      <c r="C975" s="6" t="s">
        <v>2180</v>
      </c>
      <c r="D975" s="6" t="s">
        <v>2409</v>
      </c>
      <c r="E975" s="9">
        <v>5</v>
      </c>
      <c r="F975" s="24">
        <v>230.77</v>
      </c>
      <c r="G975" t="s">
        <v>2977</v>
      </c>
      <c r="H975" s="6" t="s">
        <v>3066</v>
      </c>
      <c r="I975" s="6" t="s">
        <v>3074</v>
      </c>
      <c r="J975" s="6" t="s">
        <v>4048</v>
      </c>
      <c r="K975" s="9">
        <v>10</v>
      </c>
      <c r="L975" s="6" t="s">
        <v>4277</v>
      </c>
      <c r="M975" s="6" t="s">
        <v>4279</v>
      </c>
      <c r="N975" s="24">
        <v>1153.8499999999999</v>
      </c>
      <c r="O975" s="22" t="str">
        <f>IF(Table2[[#This Row],[CouponCode]]="N/A", "Not Used", "Used")</f>
        <v>Used</v>
      </c>
    </row>
    <row r="976" spans="1:15" x14ac:dyDescent="0.3">
      <c r="A976" s="6" t="s">
        <v>988</v>
      </c>
      <c r="B976" s="2">
        <v>45196</v>
      </c>
      <c r="C976" s="6" t="s">
        <v>2181</v>
      </c>
      <c r="D976" s="6" t="s">
        <v>2409</v>
      </c>
      <c r="E976" s="9">
        <v>5</v>
      </c>
      <c r="F976" s="24">
        <v>266.77999999999997</v>
      </c>
      <c r="G976" t="s">
        <v>2673</v>
      </c>
      <c r="H976" s="6" t="s">
        <v>3068</v>
      </c>
      <c r="I976" s="6" t="s">
        <v>3071</v>
      </c>
      <c r="J976" s="6" t="s">
        <v>4049</v>
      </c>
      <c r="K976" s="9">
        <v>5</v>
      </c>
      <c r="L976" s="6" t="s">
        <v>4283</v>
      </c>
      <c r="M976" s="6" t="s">
        <v>4280</v>
      </c>
      <c r="N976" s="24">
        <v>1333.9</v>
      </c>
      <c r="O976" s="22" t="str">
        <f>IF(Table2[[#This Row],[CouponCode]]="N/A", "Not Used", "Used")</f>
        <v>Not Used</v>
      </c>
    </row>
    <row r="977" spans="1:15" x14ac:dyDescent="0.3">
      <c r="A977" s="6" t="s">
        <v>989</v>
      </c>
      <c r="B977" s="2">
        <v>45064</v>
      </c>
      <c r="C977" s="6" t="s">
        <v>2182</v>
      </c>
      <c r="D977" s="6" t="s">
        <v>2409</v>
      </c>
      <c r="E977" s="9">
        <v>1</v>
      </c>
      <c r="F977" s="24">
        <v>105.92</v>
      </c>
      <c r="G977" t="s">
        <v>2643</v>
      </c>
      <c r="H977" s="6" t="s">
        <v>3068</v>
      </c>
      <c r="I977" s="6" t="s">
        <v>3072</v>
      </c>
      <c r="J977" s="6" t="s">
        <v>4050</v>
      </c>
      <c r="K977" s="9">
        <v>6</v>
      </c>
      <c r="L977" s="6" t="s">
        <v>4275</v>
      </c>
      <c r="M977" s="6" t="s">
        <v>4280</v>
      </c>
      <c r="N977" s="24">
        <v>105.92</v>
      </c>
      <c r="O977" s="22" t="str">
        <f>IF(Table2[[#This Row],[CouponCode]]="N/A", "Not Used", "Used")</f>
        <v>Used</v>
      </c>
    </row>
    <row r="978" spans="1:15" x14ac:dyDescent="0.3">
      <c r="A978" s="6" t="s">
        <v>990</v>
      </c>
      <c r="B978" s="2">
        <v>45386</v>
      </c>
      <c r="C978" s="6" t="s">
        <v>2183</v>
      </c>
      <c r="D978" s="6" t="s">
        <v>2405</v>
      </c>
      <c r="E978" s="9">
        <v>3</v>
      </c>
      <c r="F978" s="24">
        <v>589.29999999999995</v>
      </c>
      <c r="G978" t="s">
        <v>2941</v>
      </c>
      <c r="H978" s="6" t="s">
        <v>3067</v>
      </c>
      <c r="I978" s="6" t="s">
        <v>3072</v>
      </c>
      <c r="J978" s="6" t="s">
        <v>4051</v>
      </c>
      <c r="K978" s="9">
        <v>6</v>
      </c>
      <c r="L978" s="6" t="s">
        <v>4277</v>
      </c>
      <c r="M978" s="6" t="s">
        <v>4279</v>
      </c>
      <c r="N978" s="24">
        <v>1767.9</v>
      </c>
      <c r="O978" s="22" t="str">
        <f>IF(Table2[[#This Row],[CouponCode]]="N/A", "Not Used", "Used")</f>
        <v>Used</v>
      </c>
    </row>
    <row r="979" spans="1:15" x14ac:dyDescent="0.3">
      <c r="A979" s="6" t="s">
        <v>991</v>
      </c>
      <c r="B979" s="2">
        <v>44954</v>
      </c>
      <c r="C979" s="6" t="s">
        <v>2184</v>
      </c>
      <c r="D979" s="6" t="s">
        <v>2406</v>
      </c>
      <c r="E979" s="9">
        <v>4</v>
      </c>
      <c r="F979" s="24">
        <v>649.47</v>
      </c>
      <c r="G979" t="s">
        <v>2994</v>
      </c>
      <c r="H979" s="6" t="s">
        <v>3069</v>
      </c>
      <c r="I979" s="6" t="s">
        <v>3074</v>
      </c>
      <c r="J979" s="6" t="s">
        <v>4052</v>
      </c>
      <c r="K979" s="9">
        <v>8</v>
      </c>
      <c r="L979" s="6" t="s">
        <v>4275</v>
      </c>
      <c r="M979" s="6" t="s">
        <v>4282</v>
      </c>
      <c r="N979" s="24">
        <v>2597.88</v>
      </c>
      <c r="O979" s="22" t="str">
        <f>IF(Table2[[#This Row],[CouponCode]]="N/A", "Not Used", "Used")</f>
        <v>Used</v>
      </c>
    </row>
    <row r="980" spans="1:15" x14ac:dyDescent="0.3">
      <c r="A980" s="6" t="s">
        <v>992</v>
      </c>
      <c r="B980" s="2">
        <v>45468</v>
      </c>
      <c r="C980" s="6" t="s">
        <v>2185</v>
      </c>
      <c r="D980" s="6" t="s">
        <v>2407</v>
      </c>
      <c r="E980" s="9">
        <v>4</v>
      </c>
      <c r="F980" s="24">
        <v>107.49</v>
      </c>
      <c r="G980" t="s">
        <v>2887</v>
      </c>
      <c r="H980" s="6" t="s">
        <v>3069</v>
      </c>
      <c r="I980" s="6" t="s">
        <v>3073</v>
      </c>
      <c r="J980" s="6" t="s">
        <v>4053</v>
      </c>
      <c r="K980" s="9">
        <v>5</v>
      </c>
      <c r="L980" s="6" t="s">
        <v>4283</v>
      </c>
      <c r="M980" s="6" t="s">
        <v>4282</v>
      </c>
      <c r="N980" s="24">
        <v>429.96</v>
      </c>
      <c r="O980" s="22" t="str">
        <f>IF(Table2[[#This Row],[CouponCode]]="N/A", "Not Used", "Used")</f>
        <v>Not Used</v>
      </c>
    </row>
    <row r="981" spans="1:15" x14ac:dyDescent="0.3">
      <c r="A981" s="6" t="s">
        <v>993</v>
      </c>
      <c r="B981" s="2">
        <v>45077</v>
      </c>
      <c r="C981" s="6" t="s">
        <v>2186</v>
      </c>
      <c r="D981" s="6" t="s">
        <v>2403</v>
      </c>
      <c r="E981" s="9">
        <v>3</v>
      </c>
      <c r="F981" s="24">
        <v>669.06</v>
      </c>
      <c r="G981" t="s">
        <v>2648</v>
      </c>
      <c r="H981" s="6" t="s">
        <v>3069</v>
      </c>
      <c r="I981" s="6" t="s">
        <v>3073</v>
      </c>
      <c r="J981" s="6" t="s">
        <v>4054</v>
      </c>
      <c r="K981" s="9">
        <v>7</v>
      </c>
      <c r="L981" s="6" t="s">
        <v>4275</v>
      </c>
      <c r="M981" s="6" t="s">
        <v>4281</v>
      </c>
      <c r="N981" s="24">
        <v>2007.18</v>
      </c>
      <c r="O981" s="22" t="str">
        <f>IF(Table2[[#This Row],[CouponCode]]="N/A", "Not Used", "Used")</f>
        <v>Used</v>
      </c>
    </row>
    <row r="982" spans="1:15" x14ac:dyDescent="0.3">
      <c r="A982" s="6" t="s">
        <v>994</v>
      </c>
      <c r="B982" s="2">
        <v>45213</v>
      </c>
      <c r="C982" s="6" t="s">
        <v>2187</v>
      </c>
      <c r="D982" s="6" t="s">
        <v>2406</v>
      </c>
      <c r="E982" s="9">
        <v>3</v>
      </c>
      <c r="F982" s="24">
        <v>69.650000000000006</v>
      </c>
      <c r="G982" t="s">
        <v>2995</v>
      </c>
      <c r="H982" s="6" t="s">
        <v>3069</v>
      </c>
      <c r="I982" s="6" t="s">
        <v>3073</v>
      </c>
      <c r="J982" s="6" t="s">
        <v>4055</v>
      </c>
      <c r="K982" s="9">
        <v>7</v>
      </c>
      <c r="L982" s="6" t="s">
        <v>4277</v>
      </c>
      <c r="M982" s="6" t="s">
        <v>4278</v>
      </c>
      <c r="N982" s="24">
        <v>208.95</v>
      </c>
      <c r="O982" s="22" t="str">
        <f>IF(Table2[[#This Row],[CouponCode]]="N/A", "Not Used", "Used")</f>
        <v>Used</v>
      </c>
    </row>
    <row r="983" spans="1:15" x14ac:dyDescent="0.3">
      <c r="A983" s="6" t="s">
        <v>995</v>
      </c>
      <c r="B983" s="2">
        <v>45256</v>
      </c>
      <c r="C983" s="6" t="s">
        <v>2188</v>
      </c>
      <c r="D983" s="6" t="s">
        <v>2404</v>
      </c>
      <c r="E983" s="9">
        <v>4</v>
      </c>
      <c r="F983" s="24">
        <v>136.83000000000001</v>
      </c>
      <c r="G983" t="s">
        <v>2996</v>
      </c>
      <c r="H983" s="6" t="s">
        <v>3065</v>
      </c>
      <c r="I983" s="6" t="s">
        <v>3074</v>
      </c>
      <c r="J983" s="6" t="s">
        <v>4056</v>
      </c>
      <c r="K983" s="9">
        <v>8</v>
      </c>
      <c r="L983" s="6" t="s">
        <v>4275</v>
      </c>
      <c r="M983" s="6" t="s">
        <v>4280</v>
      </c>
      <c r="N983" s="24">
        <v>547.32000000000005</v>
      </c>
      <c r="O983" s="22" t="str">
        <f>IF(Table2[[#This Row],[CouponCode]]="N/A", "Not Used", "Used")</f>
        <v>Used</v>
      </c>
    </row>
    <row r="984" spans="1:15" x14ac:dyDescent="0.3">
      <c r="A984" s="6" t="s">
        <v>996</v>
      </c>
      <c r="B984" s="2">
        <v>45541</v>
      </c>
      <c r="C984" s="6" t="s">
        <v>2189</v>
      </c>
      <c r="D984" s="6" t="s">
        <v>2403</v>
      </c>
      <c r="E984" s="9">
        <v>1</v>
      </c>
      <c r="F984" s="24">
        <v>304.11</v>
      </c>
      <c r="G984" t="s">
        <v>2889</v>
      </c>
      <c r="H984" s="6" t="s">
        <v>3068</v>
      </c>
      <c r="I984" s="6" t="s">
        <v>3070</v>
      </c>
      <c r="J984" s="6" t="s">
        <v>4057</v>
      </c>
      <c r="K984" s="9">
        <v>2</v>
      </c>
      <c r="L984" s="6" t="s">
        <v>4275</v>
      </c>
      <c r="M984" s="6" t="s">
        <v>4279</v>
      </c>
      <c r="N984" s="24">
        <v>304.11</v>
      </c>
      <c r="O984" s="22" t="str">
        <f>IF(Table2[[#This Row],[CouponCode]]="N/A", "Not Used", "Used")</f>
        <v>Used</v>
      </c>
    </row>
    <row r="985" spans="1:15" x14ac:dyDescent="0.3">
      <c r="A985" s="6" t="s">
        <v>997</v>
      </c>
      <c r="B985" s="2">
        <v>45620</v>
      </c>
      <c r="C985" s="6" t="s">
        <v>2190</v>
      </c>
      <c r="D985" s="6" t="s">
        <v>2403</v>
      </c>
      <c r="E985" s="9">
        <v>4</v>
      </c>
      <c r="F985" s="24">
        <v>296.27999999999997</v>
      </c>
      <c r="G985" t="s">
        <v>2997</v>
      </c>
      <c r="H985" s="6" t="s">
        <v>3068</v>
      </c>
      <c r="I985" s="6" t="s">
        <v>3070</v>
      </c>
      <c r="J985" s="6" t="s">
        <v>4058</v>
      </c>
      <c r="K985" s="9">
        <v>5</v>
      </c>
      <c r="L985" s="6" t="s">
        <v>4275</v>
      </c>
      <c r="M985" s="6" t="s">
        <v>4280</v>
      </c>
      <c r="N985" s="24">
        <v>1185.1199999999999</v>
      </c>
      <c r="O985" s="22" t="str">
        <f>IF(Table2[[#This Row],[CouponCode]]="N/A", "Not Used", "Used")</f>
        <v>Used</v>
      </c>
    </row>
    <row r="986" spans="1:15" x14ac:dyDescent="0.3">
      <c r="A986" s="6" t="s">
        <v>998</v>
      </c>
      <c r="B986" s="2">
        <v>45716</v>
      </c>
      <c r="C986" s="6" t="s">
        <v>2191</v>
      </c>
      <c r="D986" s="6" t="s">
        <v>2409</v>
      </c>
      <c r="E986" s="9">
        <v>1</v>
      </c>
      <c r="F986" s="24">
        <v>77.64</v>
      </c>
      <c r="G986" t="s">
        <v>2417</v>
      </c>
      <c r="H986" s="6" t="s">
        <v>3067</v>
      </c>
      <c r="I986" s="6" t="s">
        <v>3070</v>
      </c>
      <c r="J986" s="6" t="s">
        <v>4059</v>
      </c>
      <c r="K986" s="9">
        <v>1</v>
      </c>
      <c r="L986" s="6" t="s">
        <v>4276</v>
      </c>
      <c r="M986" s="6" t="s">
        <v>4281</v>
      </c>
      <c r="N986" s="24">
        <v>77.64</v>
      </c>
      <c r="O986" s="22" t="str">
        <f>IF(Table2[[#This Row],[CouponCode]]="N/A", "Not Used", "Used")</f>
        <v>Used</v>
      </c>
    </row>
    <row r="987" spans="1:15" x14ac:dyDescent="0.3">
      <c r="A987" s="6" t="s">
        <v>999</v>
      </c>
      <c r="B987" s="2">
        <v>45493</v>
      </c>
      <c r="C987" s="6" t="s">
        <v>2192</v>
      </c>
      <c r="D987" s="6" t="s">
        <v>2409</v>
      </c>
      <c r="E987" s="9">
        <v>1</v>
      </c>
      <c r="F987" s="24">
        <v>243.71</v>
      </c>
      <c r="G987" t="s">
        <v>2608</v>
      </c>
      <c r="H987" s="6" t="s">
        <v>3068</v>
      </c>
      <c r="I987" s="6" t="s">
        <v>3073</v>
      </c>
      <c r="J987" s="6" t="s">
        <v>4060</v>
      </c>
      <c r="K987" s="9">
        <v>6</v>
      </c>
      <c r="L987" s="6" t="s">
        <v>4275</v>
      </c>
      <c r="M987" s="6" t="s">
        <v>4282</v>
      </c>
      <c r="N987" s="24">
        <v>243.71</v>
      </c>
      <c r="O987" s="22" t="str">
        <f>IF(Table2[[#This Row],[CouponCode]]="N/A", "Not Used", "Used")</f>
        <v>Used</v>
      </c>
    </row>
    <row r="988" spans="1:15" x14ac:dyDescent="0.3">
      <c r="A988" s="6" t="s">
        <v>1000</v>
      </c>
      <c r="B988" s="2">
        <v>45542</v>
      </c>
      <c r="C988" s="6" t="s">
        <v>2193</v>
      </c>
      <c r="D988" s="6" t="s">
        <v>2408</v>
      </c>
      <c r="E988" s="9">
        <v>4</v>
      </c>
      <c r="F988" s="24">
        <v>644.96</v>
      </c>
      <c r="G988" t="s">
        <v>2501</v>
      </c>
      <c r="H988" s="6" t="s">
        <v>3067</v>
      </c>
      <c r="I988" s="6" t="s">
        <v>3074</v>
      </c>
      <c r="J988" s="6" t="s">
        <v>4061</v>
      </c>
      <c r="K988" s="9">
        <v>7</v>
      </c>
      <c r="L988" s="6" t="s">
        <v>4276</v>
      </c>
      <c r="M988" s="6" t="s">
        <v>4280</v>
      </c>
      <c r="N988" s="24">
        <v>2579.84</v>
      </c>
      <c r="O988" s="22" t="str">
        <f>IF(Table2[[#This Row],[CouponCode]]="N/A", "Not Used", "Used")</f>
        <v>Used</v>
      </c>
    </row>
    <row r="989" spans="1:15" x14ac:dyDescent="0.3">
      <c r="A989" s="6" t="s">
        <v>1001</v>
      </c>
      <c r="B989" s="2">
        <v>45813</v>
      </c>
      <c r="C989" s="6" t="s">
        <v>2194</v>
      </c>
      <c r="D989" s="6" t="s">
        <v>2404</v>
      </c>
      <c r="E989" s="9">
        <v>5</v>
      </c>
      <c r="F989" s="24">
        <v>283.73</v>
      </c>
      <c r="G989" t="s">
        <v>2752</v>
      </c>
      <c r="H989" s="6" t="s">
        <v>3068</v>
      </c>
      <c r="I989" s="6" t="s">
        <v>3074</v>
      </c>
      <c r="J989" s="6" t="s">
        <v>4062</v>
      </c>
      <c r="K989" s="9">
        <v>8</v>
      </c>
      <c r="L989" s="6" t="s">
        <v>4276</v>
      </c>
      <c r="M989" s="6" t="s">
        <v>4278</v>
      </c>
      <c r="N989" s="24">
        <v>1418.65</v>
      </c>
      <c r="O989" s="22" t="str">
        <f>IF(Table2[[#This Row],[CouponCode]]="N/A", "Not Used", "Used")</f>
        <v>Used</v>
      </c>
    </row>
    <row r="990" spans="1:15" x14ac:dyDescent="0.3">
      <c r="A990" s="6" t="s">
        <v>1002</v>
      </c>
      <c r="B990" s="2">
        <v>45692</v>
      </c>
      <c r="C990" s="6" t="s">
        <v>2195</v>
      </c>
      <c r="D990" s="6" t="s">
        <v>2409</v>
      </c>
      <c r="E990" s="9">
        <v>2</v>
      </c>
      <c r="F990" s="24">
        <v>629.55999999999995</v>
      </c>
      <c r="G990" t="s">
        <v>2687</v>
      </c>
      <c r="H990" s="6" t="s">
        <v>3068</v>
      </c>
      <c r="I990" s="6" t="s">
        <v>3071</v>
      </c>
      <c r="J990" s="6" t="s">
        <v>4063</v>
      </c>
      <c r="K990" s="9">
        <v>5</v>
      </c>
      <c r="L990" s="6" t="s">
        <v>4277</v>
      </c>
      <c r="M990" s="6" t="s">
        <v>4278</v>
      </c>
      <c r="N990" s="24">
        <v>1259.1199999999999</v>
      </c>
      <c r="O990" s="22" t="str">
        <f>IF(Table2[[#This Row],[CouponCode]]="N/A", "Not Used", "Used")</f>
        <v>Used</v>
      </c>
    </row>
    <row r="991" spans="1:15" x14ac:dyDescent="0.3">
      <c r="A991" s="6" t="s">
        <v>1003</v>
      </c>
      <c r="B991" s="2">
        <v>45008</v>
      </c>
      <c r="C991" s="6" t="s">
        <v>2196</v>
      </c>
      <c r="D991" s="6" t="s">
        <v>2408</v>
      </c>
      <c r="E991" s="9">
        <v>4</v>
      </c>
      <c r="F991" s="24">
        <v>246.11</v>
      </c>
      <c r="G991" t="s">
        <v>2998</v>
      </c>
      <c r="H991" s="6" t="s">
        <v>3067</v>
      </c>
      <c r="I991" s="6" t="s">
        <v>3074</v>
      </c>
      <c r="J991" s="6" t="s">
        <v>4064</v>
      </c>
      <c r="K991" s="9">
        <v>4</v>
      </c>
      <c r="L991" s="6" t="s">
        <v>4275</v>
      </c>
      <c r="M991" s="6" t="s">
        <v>4278</v>
      </c>
      <c r="N991" s="24">
        <v>984.44</v>
      </c>
      <c r="O991" s="22" t="str">
        <f>IF(Table2[[#This Row],[CouponCode]]="N/A", "Not Used", "Used")</f>
        <v>Used</v>
      </c>
    </row>
    <row r="992" spans="1:15" x14ac:dyDescent="0.3">
      <c r="A992" s="6" t="s">
        <v>1004</v>
      </c>
      <c r="B992" s="2">
        <v>45249</v>
      </c>
      <c r="C992" s="6" t="s">
        <v>2197</v>
      </c>
      <c r="D992" s="6" t="s">
        <v>2404</v>
      </c>
      <c r="E992" s="9">
        <v>2</v>
      </c>
      <c r="F992" s="24">
        <v>418.26</v>
      </c>
      <c r="G992" t="s">
        <v>2999</v>
      </c>
      <c r="H992" s="6" t="s">
        <v>3065</v>
      </c>
      <c r="I992" s="6" t="s">
        <v>3074</v>
      </c>
      <c r="J992" s="6" t="s">
        <v>4065</v>
      </c>
      <c r="K992" s="9">
        <v>2</v>
      </c>
      <c r="L992" s="6" t="s">
        <v>4275</v>
      </c>
      <c r="M992" s="6" t="s">
        <v>4282</v>
      </c>
      <c r="N992" s="24">
        <v>836.52</v>
      </c>
      <c r="O992" s="22" t="str">
        <f>IF(Table2[[#This Row],[CouponCode]]="N/A", "Not Used", "Used")</f>
        <v>Used</v>
      </c>
    </row>
    <row r="993" spans="1:15" x14ac:dyDescent="0.3">
      <c r="A993" s="6" t="s">
        <v>1005</v>
      </c>
      <c r="B993" s="2">
        <v>45421</v>
      </c>
      <c r="C993" s="6" t="s">
        <v>2198</v>
      </c>
      <c r="D993" s="6" t="s">
        <v>2409</v>
      </c>
      <c r="E993" s="9">
        <v>5</v>
      </c>
      <c r="F993" s="24">
        <v>127.18</v>
      </c>
      <c r="G993" t="s">
        <v>2538</v>
      </c>
      <c r="H993" s="6" t="s">
        <v>3065</v>
      </c>
      <c r="I993" s="6" t="s">
        <v>3071</v>
      </c>
      <c r="J993" s="6" t="s">
        <v>4066</v>
      </c>
      <c r="K993" s="9">
        <v>10</v>
      </c>
      <c r="L993" s="6" t="s">
        <v>4276</v>
      </c>
      <c r="M993" s="6" t="s">
        <v>4282</v>
      </c>
      <c r="N993" s="24">
        <v>635.90000000000009</v>
      </c>
      <c r="O993" s="22" t="str">
        <f>IF(Table2[[#This Row],[CouponCode]]="N/A", "Not Used", "Used")</f>
        <v>Used</v>
      </c>
    </row>
    <row r="994" spans="1:15" x14ac:dyDescent="0.3">
      <c r="A994" s="6" t="s">
        <v>1006</v>
      </c>
      <c r="B994" s="2">
        <v>45531</v>
      </c>
      <c r="C994" s="6" t="s">
        <v>2199</v>
      </c>
      <c r="D994" s="6" t="s">
        <v>2407</v>
      </c>
      <c r="E994" s="9">
        <v>3</v>
      </c>
      <c r="F994" s="24">
        <v>586.21</v>
      </c>
      <c r="G994" t="s">
        <v>2543</v>
      </c>
      <c r="H994" s="6" t="s">
        <v>3068</v>
      </c>
      <c r="I994" s="6" t="s">
        <v>3074</v>
      </c>
      <c r="J994" s="6" t="s">
        <v>4067</v>
      </c>
      <c r="K994" s="9">
        <v>4</v>
      </c>
      <c r="L994" s="6" t="s">
        <v>4277</v>
      </c>
      <c r="M994" s="6" t="s">
        <v>4279</v>
      </c>
      <c r="N994" s="24">
        <v>1758.63</v>
      </c>
      <c r="O994" s="22" t="str">
        <f>IF(Table2[[#This Row],[CouponCode]]="N/A", "Not Used", "Used")</f>
        <v>Used</v>
      </c>
    </row>
    <row r="995" spans="1:15" x14ac:dyDescent="0.3">
      <c r="A995" s="6" t="s">
        <v>1007</v>
      </c>
      <c r="B995" s="2">
        <v>45388</v>
      </c>
      <c r="C995" s="6" t="s">
        <v>2200</v>
      </c>
      <c r="D995" s="6" t="s">
        <v>2403</v>
      </c>
      <c r="E995" s="9">
        <v>3</v>
      </c>
      <c r="F995" s="24">
        <v>267.45</v>
      </c>
      <c r="G995" t="s">
        <v>3000</v>
      </c>
      <c r="H995" s="6" t="s">
        <v>3068</v>
      </c>
      <c r="I995" s="6" t="s">
        <v>3073</v>
      </c>
      <c r="J995" s="6" t="s">
        <v>4068</v>
      </c>
      <c r="K995" s="9">
        <v>5</v>
      </c>
      <c r="L995" s="6" t="s">
        <v>4277</v>
      </c>
      <c r="M995" s="6" t="s">
        <v>4278</v>
      </c>
      <c r="N995" s="24">
        <v>802.34999999999991</v>
      </c>
      <c r="O995" s="22" t="str">
        <f>IF(Table2[[#This Row],[CouponCode]]="N/A", "Not Used", "Used")</f>
        <v>Used</v>
      </c>
    </row>
    <row r="996" spans="1:15" x14ac:dyDescent="0.3">
      <c r="A996" s="6" t="s">
        <v>1008</v>
      </c>
      <c r="B996" s="2">
        <v>45470</v>
      </c>
      <c r="C996" s="6" t="s">
        <v>2201</v>
      </c>
      <c r="D996" s="6" t="s">
        <v>2405</v>
      </c>
      <c r="E996" s="9">
        <v>4</v>
      </c>
      <c r="F996" s="24">
        <v>615.65</v>
      </c>
      <c r="G996" t="s">
        <v>2486</v>
      </c>
      <c r="H996" s="6" t="s">
        <v>3065</v>
      </c>
      <c r="I996" s="6" t="s">
        <v>3073</v>
      </c>
      <c r="J996" s="6" t="s">
        <v>4069</v>
      </c>
      <c r="K996" s="9">
        <v>9</v>
      </c>
      <c r="L996" s="6" t="s">
        <v>4277</v>
      </c>
      <c r="M996" s="6" t="s">
        <v>4282</v>
      </c>
      <c r="N996" s="24">
        <v>2462.6</v>
      </c>
      <c r="O996" s="22" t="str">
        <f>IF(Table2[[#This Row],[CouponCode]]="N/A", "Not Used", "Used")</f>
        <v>Used</v>
      </c>
    </row>
    <row r="997" spans="1:15" x14ac:dyDescent="0.3">
      <c r="A997" s="6" t="s">
        <v>1009</v>
      </c>
      <c r="B997" s="2">
        <v>45248</v>
      </c>
      <c r="C997" s="6" t="s">
        <v>2202</v>
      </c>
      <c r="D997" s="6" t="s">
        <v>2403</v>
      </c>
      <c r="E997" s="9">
        <v>2</v>
      </c>
      <c r="F997" s="24">
        <v>113.29</v>
      </c>
      <c r="G997" t="s">
        <v>2801</v>
      </c>
      <c r="H997" s="6" t="s">
        <v>3069</v>
      </c>
      <c r="I997" s="6" t="s">
        <v>3074</v>
      </c>
      <c r="J997" s="6" t="s">
        <v>4070</v>
      </c>
      <c r="K997" s="9">
        <v>5</v>
      </c>
      <c r="L997" s="6" t="s">
        <v>4275</v>
      </c>
      <c r="M997" s="6" t="s">
        <v>4281</v>
      </c>
      <c r="N997" s="24">
        <v>226.58</v>
      </c>
      <c r="O997" s="22" t="str">
        <f>IF(Table2[[#This Row],[CouponCode]]="N/A", "Not Used", "Used")</f>
        <v>Used</v>
      </c>
    </row>
    <row r="998" spans="1:15" x14ac:dyDescent="0.3">
      <c r="A998" s="6" t="s">
        <v>1010</v>
      </c>
      <c r="B998" s="2">
        <v>45410</v>
      </c>
      <c r="C998" s="6" t="s">
        <v>2203</v>
      </c>
      <c r="D998" s="6" t="s">
        <v>2403</v>
      </c>
      <c r="E998" s="9">
        <v>4</v>
      </c>
      <c r="F998" s="24">
        <v>473.86</v>
      </c>
      <c r="G998" t="s">
        <v>2677</v>
      </c>
      <c r="H998" s="6" t="s">
        <v>3065</v>
      </c>
      <c r="I998" s="6" t="s">
        <v>3073</v>
      </c>
      <c r="J998" s="6" t="s">
        <v>4071</v>
      </c>
      <c r="K998" s="9">
        <v>7</v>
      </c>
      <c r="L998" s="6" t="s">
        <v>4275</v>
      </c>
      <c r="M998" s="6" t="s">
        <v>4281</v>
      </c>
      <c r="N998" s="24">
        <v>1895.44</v>
      </c>
      <c r="O998" s="22" t="str">
        <f>IF(Table2[[#This Row],[CouponCode]]="N/A", "Not Used", "Used")</f>
        <v>Used</v>
      </c>
    </row>
    <row r="999" spans="1:15" x14ac:dyDescent="0.3">
      <c r="A999" s="6" t="s">
        <v>1011</v>
      </c>
      <c r="B999" s="2">
        <v>45257</v>
      </c>
      <c r="C999" s="6" t="s">
        <v>2204</v>
      </c>
      <c r="D999" s="6" t="s">
        <v>2408</v>
      </c>
      <c r="E999" s="9">
        <v>3</v>
      </c>
      <c r="F999" s="24">
        <v>444.75</v>
      </c>
      <c r="G999" t="s">
        <v>2795</v>
      </c>
      <c r="H999" s="6" t="s">
        <v>3069</v>
      </c>
      <c r="I999" s="6" t="s">
        <v>3073</v>
      </c>
      <c r="J999" s="6" t="s">
        <v>4072</v>
      </c>
      <c r="K999" s="9">
        <v>6</v>
      </c>
      <c r="L999" s="6" t="s">
        <v>4275</v>
      </c>
      <c r="M999" s="6" t="s">
        <v>4281</v>
      </c>
      <c r="N999" s="24">
        <v>1334.25</v>
      </c>
      <c r="O999" s="22" t="str">
        <f>IF(Table2[[#This Row],[CouponCode]]="N/A", "Not Used", "Used")</f>
        <v>Used</v>
      </c>
    </row>
    <row r="1000" spans="1:15" x14ac:dyDescent="0.3">
      <c r="A1000" s="6" t="s">
        <v>1012</v>
      </c>
      <c r="B1000" s="2">
        <v>45065</v>
      </c>
      <c r="C1000" s="6" t="s">
        <v>2205</v>
      </c>
      <c r="D1000" s="6" t="s">
        <v>2404</v>
      </c>
      <c r="E1000" s="9">
        <v>2</v>
      </c>
      <c r="F1000" s="24">
        <v>183.67</v>
      </c>
      <c r="G1000" t="s">
        <v>2614</v>
      </c>
      <c r="H1000" s="6" t="s">
        <v>3065</v>
      </c>
      <c r="I1000" s="6" t="s">
        <v>3071</v>
      </c>
      <c r="J1000" s="6" t="s">
        <v>4073</v>
      </c>
      <c r="K1000" s="9">
        <v>6</v>
      </c>
      <c r="L1000" s="6" t="s">
        <v>4275</v>
      </c>
      <c r="M1000" s="6" t="s">
        <v>4282</v>
      </c>
      <c r="N1000" s="24">
        <v>367.34</v>
      </c>
      <c r="O1000" s="22" t="str">
        <f>IF(Table2[[#This Row],[CouponCode]]="N/A", "Not Used", "Used")</f>
        <v>Used</v>
      </c>
    </row>
    <row r="1001" spans="1:15" x14ac:dyDescent="0.3">
      <c r="A1001" s="6" t="s">
        <v>1013</v>
      </c>
      <c r="B1001" s="2">
        <v>45284</v>
      </c>
      <c r="C1001" s="6" t="s">
        <v>2206</v>
      </c>
      <c r="D1001" s="6" t="s">
        <v>2407</v>
      </c>
      <c r="E1001" s="9">
        <v>1</v>
      </c>
      <c r="F1001" s="24">
        <v>483.38</v>
      </c>
      <c r="G1001" t="s">
        <v>2741</v>
      </c>
      <c r="H1001" s="6" t="s">
        <v>3069</v>
      </c>
      <c r="I1001" s="6" t="s">
        <v>3074</v>
      </c>
      <c r="J1001" s="6" t="s">
        <v>4074</v>
      </c>
      <c r="K1001" s="9">
        <v>6</v>
      </c>
      <c r="L1001" s="6" t="s">
        <v>4276</v>
      </c>
      <c r="M1001" s="6" t="s">
        <v>4282</v>
      </c>
      <c r="N1001" s="24">
        <v>483.38</v>
      </c>
      <c r="O1001" s="22" t="str">
        <f>IF(Table2[[#This Row],[CouponCode]]="N/A", "Not Used", "Used")</f>
        <v>Used</v>
      </c>
    </row>
    <row r="1002" spans="1:15" x14ac:dyDescent="0.3">
      <c r="A1002" s="6" t="s">
        <v>1014</v>
      </c>
      <c r="B1002" s="2">
        <v>45098</v>
      </c>
      <c r="C1002" s="6" t="s">
        <v>2207</v>
      </c>
      <c r="D1002" s="6" t="s">
        <v>2407</v>
      </c>
      <c r="E1002" s="9">
        <v>5</v>
      </c>
      <c r="F1002" s="24">
        <v>260.93</v>
      </c>
      <c r="G1002" t="s">
        <v>3001</v>
      </c>
      <c r="H1002" s="6" t="s">
        <v>3066</v>
      </c>
      <c r="I1002" s="6" t="s">
        <v>3073</v>
      </c>
      <c r="J1002" s="6" t="s">
        <v>4075</v>
      </c>
      <c r="K1002" s="9">
        <v>9</v>
      </c>
      <c r="L1002" s="6" t="s">
        <v>4275</v>
      </c>
      <c r="M1002" s="6" t="s">
        <v>4280</v>
      </c>
      <c r="N1002" s="24">
        <v>1304.6500000000001</v>
      </c>
      <c r="O1002" s="22" t="str">
        <f>IF(Table2[[#This Row],[CouponCode]]="N/A", "Not Used", "Used")</f>
        <v>Used</v>
      </c>
    </row>
    <row r="1003" spans="1:15" x14ac:dyDescent="0.3">
      <c r="A1003" s="6" t="s">
        <v>1015</v>
      </c>
      <c r="B1003" s="2">
        <v>45268</v>
      </c>
      <c r="C1003" s="6" t="s">
        <v>2208</v>
      </c>
      <c r="D1003" s="6" t="s">
        <v>2407</v>
      </c>
      <c r="E1003" s="9">
        <v>2</v>
      </c>
      <c r="F1003" s="24">
        <v>253.68</v>
      </c>
      <c r="G1003" t="s">
        <v>2518</v>
      </c>
      <c r="H1003" s="6" t="s">
        <v>3068</v>
      </c>
      <c r="I1003" s="6" t="s">
        <v>3070</v>
      </c>
      <c r="J1003" s="6" t="s">
        <v>4076</v>
      </c>
      <c r="K1003" s="9">
        <v>6</v>
      </c>
      <c r="L1003" s="6" t="s">
        <v>4283</v>
      </c>
      <c r="M1003" s="6" t="s">
        <v>4279</v>
      </c>
      <c r="N1003" s="24">
        <v>507.36</v>
      </c>
      <c r="O1003" s="22" t="str">
        <f>IF(Table2[[#This Row],[CouponCode]]="N/A", "Not Used", "Used")</f>
        <v>Not Used</v>
      </c>
    </row>
    <row r="1004" spans="1:15" x14ac:dyDescent="0.3">
      <c r="A1004" s="6" t="s">
        <v>1016</v>
      </c>
      <c r="B1004" s="2">
        <v>45827</v>
      </c>
      <c r="C1004" s="6" t="s">
        <v>2209</v>
      </c>
      <c r="D1004" s="6" t="s">
        <v>2405</v>
      </c>
      <c r="E1004" s="9">
        <v>4</v>
      </c>
      <c r="F1004" s="24">
        <v>699.88</v>
      </c>
      <c r="G1004" t="s">
        <v>2505</v>
      </c>
      <c r="H1004" s="6" t="s">
        <v>3069</v>
      </c>
      <c r="I1004" s="6" t="s">
        <v>3074</v>
      </c>
      <c r="J1004" s="6" t="s">
        <v>4077</v>
      </c>
      <c r="K1004" s="9">
        <v>5</v>
      </c>
      <c r="L1004" s="6" t="s">
        <v>4277</v>
      </c>
      <c r="M1004" s="6" t="s">
        <v>4279</v>
      </c>
      <c r="N1004" s="24">
        <v>2799.52</v>
      </c>
      <c r="O1004" s="22" t="str">
        <f>IF(Table2[[#This Row],[CouponCode]]="N/A", "Not Used", "Used")</f>
        <v>Used</v>
      </c>
    </row>
    <row r="1005" spans="1:15" x14ac:dyDescent="0.3">
      <c r="A1005" s="6" t="s">
        <v>1017</v>
      </c>
      <c r="B1005" s="2">
        <v>44937</v>
      </c>
      <c r="C1005" s="6" t="s">
        <v>2210</v>
      </c>
      <c r="D1005" s="6" t="s">
        <v>2407</v>
      </c>
      <c r="E1005" s="9">
        <v>5</v>
      </c>
      <c r="F1005" s="24">
        <v>319.97000000000003</v>
      </c>
      <c r="G1005" t="s">
        <v>3001</v>
      </c>
      <c r="H1005" s="6" t="s">
        <v>3069</v>
      </c>
      <c r="I1005" s="6" t="s">
        <v>3070</v>
      </c>
      <c r="J1005" s="6" t="s">
        <v>4078</v>
      </c>
      <c r="K1005" s="9">
        <v>7</v>
      </c>
      <c r="L1005" s="6" t="s">
        <v>4275</v>
      </c>
      <c r="M1005" s="6" t="s">
        <v>4282</v>
      </c>
      <c r="N1005" s="24">
        <v>1599.85</v>
      </c>
      <c r="O1005" s="22" t="str">
        <f>IF(Table2[[#This Row],[CouponCode]]="N/A", "Not Used", "Used")</f>
        <v>Used</v>
      </c>
    </row>
    <row r="1006" spans="1:15" x14ac:dyDescent="0.3">
      <c r="A1006" s="6" t="s">
        <v>1018</v>
      </c>
      <c r="B1006" s="2">
        <v>45817</v>
      </c>
      <c r="C1006" s="6" t="s">
        <v>2211</v>
      </c>
      <c r="D1006" s="6" t="s">
        <v>2406</v>
      </c>
      <c r="E1006" s="9">
        <v>4</v>
      </c>
      <c r="F1006" s="24">
        <v>246.91</v>
      </c>
      <c r="G1006" t="s">
        <v>2436</v>
      </c>
      <c r="H1006" s="6" t="s">
        <v>3066</v>
      </c>
      <c r="I1006" s="6" t="s">
        <v>3074</v>
      </c>
      <c r="J1006" s="6" t="s">
        <v>4079</v>
      </c>
      <c r="K1006" s="9">
        <v>8</v>
      </c>
      <c r="L1006" s="6" t="s">
        <v>4275</v>
      </c>
      <c r="M1006" s="6" t="s">
        <v>4279</v>
      </c>
      <c r="N1006" s="24">
        <v>987.64</v>
      </c>
      <c r="O1006" s="22" t="str">
        <f>IF(Table2[[#This Row],[CouponCode]]="N/A", "Not Used", "Used")</f>
        <v>Used</v>
      </c>
    </row>
    <row r="1007" spans="1:15" x14ac:dyDescent="0.3">
      <c r="A1007" s="6" t="s">
        <v>1019</v>
      </c>
      <c r="B1007" s="2">
        <v>44987</v>
      </c>
      <c r="C1007" s="6" t="s">
        <v>2212</v>
      </c>
      <c r="D1007" s="6" t="s">
        <v>2407</v>
      </c>
      <c r="E1007" s="9">
        <v>3</v>
      </c>
      <c r="F1007" s="24">
        <v>392.85</v>
      </c>
      <c r="G1007" t="s">
        <v>2929</v>
      </c>
      <c r="H1007" s="6" t="s">
        <v>3067</v>
      </c>
      <c r="I1007" s="6" t="s">
        <v>3072</v>
      </c>
      <c r="J1007" s="6" t="s">
        <v>4080</v>
      </c>
      <c r="K1007" s="9">
        <v>6</v>
      </c>
      <c r="L1007" s="6" t="s">
        <v>4283</v>
      </c>
      <c r="M1007" s="6" t="s">
        <v>4282</v>
      </c>
      <c r="N1007" s="24">
        <v>1178.55</v>
      </c>
      <c r="O1007" s="22" t="str">
        <f>IF(Table2[[#This Row],[CouponCode]]="N/A", "Not Used", "Used")</f>
        <v>Not Used</v>
      </c>
    </row>
    <row r="1008" spans="1:15" x14ac:dyDescent="0.3">
      <c r="A1008" s="6" t="s">
        <v>1020</v>
      </c>
      <c r="B1008" s="2">
        <v>45439</v>
      </c>
      <c r="C1008" s="6" t="s">
        <v>2213</v>
      </c>
      <c r="D1008" s="6" t="s">
        <v>2405</v>
      </c>
      <c r="E1008" s="9">
        <v>5</v>
      </c>
      <c r="F1008" s="24">
        <v>420.98</v>
      </c>
      <c r="G1008" t="s">
        <v>2868</v>
      </c>
      <c r="H1008" s="6" t="s">
        <v>3069</v>
      </c>
      <c r="I1008" s="6" t="s">
        <v>3073</v>
      </c>
      <c r="J1008" s="6" t="s">
        <v>4081</v>
      </c>
      <c r="K1008" s="9">
        <v>7</v>
      </c>
      <c r="L1008" s="6" t="s">
        <v>4275</v>
      </c>
      <c r="M1008" s="6" t="s">
        <v>4281</v>
      </c>
      <c r="N1008" s="24">
        <v>2104.9</v>
      </c>
      <c r="O1008" s="22" t="str">
        <f>IF(Table2[[#This Row],[CouponCode]]="N/A", "Not Used", "Used")</f>
        <v>Used</v>
      </c>
    </row>
    <row r="1009" spans="1:15" x14ac:dyDescent="0.3">
      <c r="A1009" s="6" t="s">
        <v>1021</v>
      </c>
      <c r="B1009" s="2">
        <v>45371</v>
      </c>
      <c r="C1009" s="6" t="s">
        <v>1699</v>
      </c>
      <c r="D1009" s="6" t="s">
        <v>2403</v>
      </c>
      <c r="E1009" s="9">
        <v>2</v>
      </c>
      <c r="F1009" s="24">
        <v>73.260000000000005</v>
      </c>
      <c r="G1009" t="s">
        <v>2499</v>
      </c>
      <c r="H1009" s="6" t="s">
        <v>3069</v>
      </c>
      <c r="I1009" s="6" t="s">
        <v>3074</v>
      </c>
      <c r="J1009" s="6" t="s">
        <v>4082</v>
      </c>
      <c r="K1009" s="9">
        <v>4</v>
      </c>
      <c r="L1009" s="6" t="s">
        <v>4277</v>
      </c>
      <c r="M1009" s="6" t="s">
        <v>4281</v>
      </c>
      <c r="N1009" s="24">
        <v>146.52000000000001</v>
      </c>
      <c r="O1009" s="22" t="str">
        <f>IF(Table2[[#This Row],[CouponCode]]="N/A", "Not Used", "Used")</f>
        <v>Used</v>
      </c>
    </row>
    <row r="1010" spans="1:15" x14ac:dyDescent="0.3">
      <c r="A1010" s="6" t="s">
        <v>1022</v>
      </c>
      <c r="B1010" s="2">
        <v>44939</v>
      </c>
      <c r="C1010" s="6" t="s">
        <v>2214</v>
      </c>
      <c r="D1010" s="6" t="s">
        <v>2403</v>
      </c>
      <c r="E1010" s="9">
        <v>3</v>
      </c>
      <c r="F1010" s="24">
        <v>410.88</v>
      </c>
      <c r="G1010" t="s">
        <v>2916</v>
      </c>
      <c r="H1010" s="6" t="s">
        <v>3069</v>
      </c>
      <c r="I1010" s="6" t="s">
        <v>3073</v>
      </c>
      <c r="J1010" s="6" t="s">
        <v>4083</v>
      </c>
      <c r="K1010" s="9">
        <v>8</v>
      </c>
      <c r="L1010" s="6" t="s">
        <v>4276</v>
      </c>
      <c r="M1010" s="6" t="s">
        <v>4278</v>
      </c>
      <c r="N1010" s="24">
        <v>1232.6400000000001</v>
      </c>
      <c r="O1010" s="22" t="str">
        <f>IF(Table2[[#This Row],[CouponCode]]="N/A", "Not Used", "Used")</f>
        <v>Used</v>
      </c>
    </row>
    <row r="1011" spans="1:15" x14ac:dyDescent="0.3">
      <c r="A1011" s="6" t="s">
        <v>1023</v>
      </c>
      <c r="B1011" s="2">
        <v>45171</v>
      </c>
      <c r="C1011" s="6" t="s">
        <v>2215</v>
      </c>
      <c r="D1011" s="6" t="s">
        <v>2405</v>
      </c>
      <c r="E1011" s="9">
        <v>2</v>
      </c>
      <c r="F1011" s="24">
        <v>176.46</v>
      </c>
      <c r="G1011" t="s">
        <v>2796</v>
      </c>
      <c r="H1011" s="6" t="s">
        <v>3067</v>
      </c>
      <c r="I1011" s="6" t="s">
        <v>3073</v>
      </c>
      <c r="J1011" s="6" t="s">
        <v>4084</v>
      </c>
      <c r="K1011" s="9">
        <v>2</v>
      </c>
      <c r="L1011" s="6" t="s">
        <v>4276</v>
      </c>
      <c r="M1011" s="6" t="s">
        <v>4280</v>
      </c>
      <c r="N1011" s="24">
        <v>352.92</v>
      </c>
      <c r="O1011" s="22" t="str">
        <f>IF(Table2[[#This Row],[CouponCode]]="N/A", "Not Used", "Used")</f>
        <v>Used</v>
      </c>
    </row>
    <row r="1012" spans="1:15" x14ac:dyDescent="0.3">
      <c r="A1012" s="6" t="s">
        <v>1024</v>
      </c>
      <c r="B1012" s="2">
        <v>45016</v>
      </c>
      <c r="C1012" s="6" t="s">
        <v>2216</v>
      </c>
      <c r="D1012" s="6" t="s">
        <v>2403</v>
      </c>
      <c r="E1012" s="9">
        <v>3</v>
      </c>
      <c r="F1012" s="24">
        <v>659.57</v>
      </c>
      <c r="G1012" t="s">
        <v>2501</v>
      </c>
      <c r="H1012" s="6" t="s">
        <v>3067</v>
      </c>
      <c r="I1012" s="6" t="s">
        <v>3071</v>
      </c>
      <c r="J1012" s="6" t="s">
        <v>4085</v>
      </c>
      <c r="K1012" s="9">
        <v>6</v>
      </c>
      <c r="L1012" s="6" t="s">
        <v>4275</v>
      </c>
      <c r="M1012" s="6" t="s">
        <v>4280</v>
      </c>
      <c r="N1012" s="24">
        <v>1978.71</v>
      </c>
      <c r="O1012" s="22" t="str">
        <f>IF(Table2[[#This Row],[CouponCode]]="N/A", "Not Used", "Used")</f>
        <v>Used</v>
      </c>
    </row>
    <row r="1013" spans="1:15" x14ac:dyDescent="0.3">
      <c r="A1013" s="6" t="s">
        <v>1025</v>
      </c>
      <c r="B1013" s="2">
        <v>45629</v>
      </c>
      <c r="C1013" s="6" t="s">
        <v>2217</v>
      </c>
      <c r="D1013" s="6" t="s">
        <v>2404</v>
      </c>
      <c r="E1013" s="9">
        <v>2</v>
      </c>
      <c r="F1013" s="24">
        <v>478.36</v>
      </c>
      <c r="G1013" t="s">
        <v>2646</v>
      </c>
      <c r="H1013" s="6" t="s">
        <v>3066</v>
      </c>
      <c r="I1013" s="6" t="s">
        <v>3070</v>
      </c>
      <c r="J1013" s="6" t="s">
        <v>4086</v>
      </c>
      <c r="K1013" s="9">
        <v>3</v>
      </c>
      <c r="L1013" s="6" t="s">
        <v>4283</v>
      </c>
      <c r="M1013" s="6" t="s">
        <v>4282</v>
      </c>
      <c r="N1013" s="24">
        <v>956.72</v>
      </c>
      <c r="O1013" s="22" t="str">
        <f>IF(Table2[[#This Row],[CouponCode]]="N/A", "Not Used", "Used")</f>
        <v>Not Used</v>
      </c>
    </row>
    <row r="1014" spans="1:15" x14ac:dyDescent="0.3">
      <c r="A1014" s="6" t="s">
        <v>1026</v>
      </c>
      <c r="B1014" s="2">
        <v>45629</v>
      </c>
      <c r="C1014" s="6" t="s">
        <v>2218</v>
      </c>
      <c r="D1014" s="6" t="s">
        <v>2407</v>
      </c>
      <c r="E1014" s="9">
        <v>4</v>
      </c>
      <c r="F1014" s="24">
        <v>30.05</v>
      </c>
      <c r="G1014" t="s">
        <v>2676</v>
      </c>
      <c r="H1014" s="6" t="s">
        <v>3066</v>
      </c>
      <c r="I1014" s="6" t="s">
        <v>3072</v>
      </c>
      <c r="J1014" s="6" t="s">
        <v>4087</v>
      </c>
      <c r="K1014" s="9">
        <v>6</v>
      </c>
      <c r="L1014" s="6" t="s">
        <v>4283</v>
      </c>
      <c r="M1014" s="6" t="s">
        <v>4281</v>
      </c>
      <c r="N1014" s="24">
        <v>120.2</v>
      </c>
      <c r="O1014" s="22" t="str">
        <f>IF(Table2[[#This Row],[CouponCode]]="N/A", "Not Used", "Used")</f>
        <v>Not Used</v>
      </c>
    </row>
    <row r="1015" spans="1:15" x14ac:dyDescent="0.3">
      <c r="A1015" s="6" t="s">
        <v>1027</v>
      </c>
      <c r="B1015" s="2">
        <v>45773</v>
      </c>
      <c r="C1015" s="6" t="s">
        <v>2219</v>
      </c>
      <c r="D1015" s="6" t="s">
        <v>2408</v>
      </c>
      <c r="E1015" s="9">
        <v>4</v>
      </c>
      <c r="F1015" s="24">
        <v>300.56</v>
      </c>
      <c r="G1015" t="s">
        <v>2463</v>
      </c>
      <c r="H1015" s="6" t="s">
        <v>3069</v>
      </c>
      <c r="I1015" s="6" t="s">
        <v>3071</v>
      </c>
      <c r="J1015" s="6" t="s">
        <v>4088</v>
      </c>
      <c r="K1015" s="9">
        <v>9</v>
      </c>
      <c r="L1015" s="6" t="s">
        <v>4276</v>
      </c>
      <c r="M1015" s="6" t="s">
        <v>4281</v>
      </c>
      <c r="N1015" s="24">
        <v>1202.24</v>
      </c>
      <c r="O1015" s="22" t="str">
        <f>IF(Table2[[#This Row],[CouponCode]]="N/A", "Not Used", "Used")</f>
        <v>Used</v>
      </c>
    </row>
    <row r="1016" spans="1:15" x14ac:dyDescent="0.3">
      <c r="A1016" s="6" t="s">
        <v>1028</v>
      </c>
      <c r="B1016" s="2">
        <v>45326</v>
      </c>
      <c r="C1016" s="6" t="s">
        <v>2220</v>
      </c>
      <c r="D1016" s="6" t="s">
        <v>2405</v>
      </c>
      <c r="E1016" s="9">
        <v>5</v>
      </c>
      <c r="F1016" s="24">
        <v>226.45</v>
      </c>
      <c r="G1016" t="s">
        <v>2762</v>
      </c>
      <c r="H1016" s="6" t="s">
        <v>3065</v>
      </c>
      <c r="I1016" s="6" t="s">
        <v>3072</v>
      </c>
      <c r="J1016" s="6" t="s">
        <v>4089</v>
      </c>
      <c r="K1016" s="9">
        <v>6</v>
      </c>
      <c r="L1016" s="6" t="s">
        <v>4276</v>
      </c>
      <c r="M1016" s="6" t="s">
        <v>4280</v>
      </c>
      <c r="N1016" s="24">
        <v>1132.25</v>
      </c>
      <c r="O1016" s="22" t="str">
        <f>IF(Table2[[#This Row],[CouponCode]]="N/A", "Not Used", "Used")</f>
        <v>Used</v>
      </c>
    </row>
    <row r="1017" spans="1:15" x14ac:dyDescent="0.3">
      <c r="A1017" s="6" t="s">
        <v>1029</v>
      </c>
      <c r="B1017" s="2">
        <v>45317</v>
      </c>
      <c r="C1017" s="6" t="s">
        <v>2221</v>
      </c>
      <c r="D1017" s="6" t="s">
        <v>2407</v>
      </c>
      <c r="E1017" s="9">
        <v>2</v>
      </c>
      <c r="F1017" s="24">
        <v>349.4</v>
      </c>
      <c r="G1017" t="s">
        <v>2838</v>
      </c>
      <c r="H1017" s="6" t="s">
        <v>3066</v>
      </c>
      <c r="I1017" s="6" t="s">
        <v>3070</v>
      </c>
      <c r="J1017" s="6" t="s">
        <v>4090</v>
      </c>
      <c r="K1017" s="9">
        <v>2</v>
      </c>
      <c r="L1017" s="6" t="s">
        <v>4275</v>
      </c>
      <c r="M1017" s="6" t="s">
        <v>4278</v>
      </c>
      <c r="N1017" s="24">
        <v>698.8</v>
      </c>
      <c r="O1017" s="22" t="str">
        <f>IF(Table2[[#This Row],[CouponCode]]="N/A", "Not Used", "Used")</f>
        <v>Used</v>
      </c>
    </row>
    <row r="1018" spans="1:15" x14ac:dyDescent="0.3">
      <c r="A1018" s="6" t="s">
        <v>1030</v>
      </c>
      <c r="B1018" s="2">
        <v>45289</v>
      </c>
      <c r="C1018" s="6" t="s">
        <v>2222</v>
      </c>
      <c r="D1018" s="6" t="s">
        <v>2405</v>
      </c>
      <c r="E1018" s="9">
        <v>5</v>
      </c>
      <c r="F1018" s="24">
        <v>268.77999999999997</v>
      </c>
      <c r="G1018" t="s">
        <v>3002</v>
      </c>
      <c r="H1018" s="6" t="s">
        <v>3065</v>
      </c>
      <c r="I1018" s="6" t="s">
        <v>3073</v>
      </c>
      <c r="J1018" s="6" t="s">
        <v>4091</v>
      </c>
      <c r="K1018" s="9">
        <v>7</v>
      </c>
      <c r="L1018" s="6" t="s">
        <v>4277</v>
      </c>
      <c r="M1018" s="6" t="s">
        <v>4280</v>
      </c>
      <c r="N1018" s="24">
        <v>1343.9</v>
      </c>
      <c r="O1018" s="22" t="str">
        <f>IF(Table2[[#This Row],[CouponCode]]="N/A", "Not Used", "Used")</f>
        <v>Used</v>
      </c>
    </row>
    <row r="1019" spans="1:15" x14ac:dyDescent="0.3">
      <c r="A1019" s="6" t="s">
        <v>1031</v>
      </c>
      <c r="B1019" s="2">
        <v>45529</v>
      </c>
      <c r="C1019" s="6" t="s">
        <v>2223</v>
      </c>
      <c r="D1019" s="6" t="s">
        <v>2406</v>
      </c>
      <c r="E1019" s="9">
        <v>2</v>
      </c>
      <c r="F1019" s="24">
        <v>680.85</v>
      </c>
      <c r="G1019" t="s">
        <v>3003</v>
      </c>
      <c r="H1019" s="6" t="s">
        <v>3068</v>
      </c>
      <c r="I1019" s="6" t="s">
        <v>3073</v>
      </c>
      <c r="J1019" s="6" t="s">
        <v>4092</v>
      </c>
      <c r="K1019" s="9">
        <v>6</v>
      </c>
      <c r="L1019" s="6" t="s">
        <v>4276</v>
      </c>
      <c r="M1019" s="6" t="s">
        <v>4279</v>
      </c>
      <c r="N1019" s="24">
        <v>1361.7</v>
      </c>
      <c r="O1019" s="22" t="str">
        <f>IF(Table2[[#This Row],[CouponCode]]="N/A", "Not Used", "Used")</f>
        <v>Used</v>
      </c>
    </row>
    <row r="1020" spans="1:15" x14ac:dyDescent="0.3">
      <c r="A1020" s="6" t="s">
        <v>1032</v>
      </c>
      <c r="B1020" s="2">
        <v>45115</v>
      </c>
      <c r="C1020" s="6" t="s">
        <v>2224</v>
      </c>
      <c r="D1020" s="6" t="s">
        <v>2408</v>
      </c>
      <c r="E1020" s="9">
        <v>3</v>
      </c>
      <c r="F1020" s="24">
        <v>182.48</v>
      </c>
      <c r="G1020" t="s">
        <v>3004</v>
      </c>
      <c r="H1020" s="6" t="s">
        <v>3069</v>
      </c>
      <c r="I1020" s="6" t="s">
        <v>3073</v>
      </c>
      <c r="J1020" s="6" t="s">
        <v>4093</v>
      </c>
      <c r="K1020" s="9">
        <v>3</v>
      </c>
      <c r="L1020" s="6" t="s">
        <v>4283</v>
      </c>
      <c r="M1020" s="6" t="s">
        <v>4278</v>
      </c>
      <c r="N1020" s="24">
        <v>547.43999999999994</v>
      </c>
      <c r="O1020" s="22" t="str">
        <f>IF(Table2[[#This Row],[CouponCode]]="N/A", "Not Used", "Used")</f>
        <v>Not Used</v>
      </c>
    </row>
    <row r="1021" spans="1:15" x14ac:dyDescent="0.3">
      <c r="A1021" s="6" t="s">
        <v>1033</v>
      </c>
      <c r="B1021" s="2">
        <v>45388</v>
      </c>
      <c r="C1021" s="6" t="s">
        <v>2225</v>
      </c>
      <c r="D1021" s="6" t="s">
        <v>2409</v>
      </c>
      <c r="E1021" s="9">
        <v>1</v>
      </c>
      <c r="F1021" s="24">
        <v>277.08999999999997</v>
      </c>
      <c r="G1021" t="s">
        <v>2694</v>
      </c>
      <c r="H1021" s="6" t="s">
        <v>3069</v>
      </c>
      <c r="I1021" s="6" t="s">
        <v>3072</v>
      </c>
      <c r="J1021" s="6" t="s">
        <v>4094</v>
      </c>
      <c r="K1021" s="9">
        <v>2</v>
      </c>
      <c r="L1021" s="6" t="s">
        <v>4275</v>
      </c>
      <c r="M1021" s="6" t="s">
        <v>4279</v>
      </c>
      <c r="N1021" s="24">
        <v>277.08999999999997</v>
      </c>
      <c r="O1021" s="22" t="str">
        <f>IF(Table2[[#This Row],[CouponCode]]="N/A", "Not Used", "Used")</f>
        <v>Used</v>
      </c>
    </row>
    <row r="1022" spans="1:15" x14ac:dyDescent="0.3">
      <c r="A1022" s="6" t="s">
        <v>1034</v>
      </c>
      <c r="B1022" s="2">
        <v>45404</v>
      </c>
      <c r="C1022" s="6" t="s">
        <v>2226</v>
      </c>
      <c r="D1022" s="6" t="s">
        <v>2405</v>
      </c>
      <c r="E1022" s="9">
        <v>2</v>
      </c>
      <c r="F1022" s="24">
        <v>26.5</v>
      </c>
      <c r="G1022" t="s">
        <v>2714</v>
      </c>
      <c r="H1022" s="6" t="s">
        <v>3066</v>
      </c>
      <c r="I1022" s="6" t="s">
        <v>3073</v>
      </c>
      <c r="J1022" s="6" t="s">
        <v>4095</v>
      </c>
      <c r="K1022" s="9">
        <v>3</v>
      </c>
      <c r="L1022" s="6" t="s">
        <v>4275</v>
      </c>
      <c r="M1022" s="6" t="s">
        <v>4278</v>
      </c>
      <c r="N1022" s="24">
        <v>53</v>
      </c>
      <c r="O1022" s="22" t="str">
        <f>IF(Table2[[#This Row],[CouponCode]]="N/A", "Not Used", "Used")</f>
        <v>Used</v>
      </c>
    </row>
    <row r="1023" spans="1:15" x14ac:dyDescent="0.3">
      <c r="A1023" s="6" t="s">
        <v>1035</v>
      </c>
      <c r="B1023" s="2">
        <v>45222</v>
      </c>
      <c r="C1023" s="6" t="s">
        <v>2227</v>
      </c>
      <c r="D1023" s="6" t="s">
        <v>2404</v>
      </c>
      <c r="E1023" s="9">
        <v>3</v>
      </c>
      <c r="F1023" s="24">
        <v>315.27</v>
      </c>
      <c r="G1023" t="s">
        <v>2961</v>
      </c>
      <c r="H1023" s="6" t="s">
        <v>3067</v>
      </c>
      <c r="I1023" s="6" t="s">
        <v>3071</v>
      </c>
      <c r="J1023" s="6" t="s">
        <v>4096</v>
      </c>
      <c r="K1023" s="9">
        <v>4</v>
      </c>
      <c r="L1023" s="6" t="s">
        <v>4275</v>
      </c>
      <c r="M1023" s="6" t="s">
        <v>4280</v>
      </c>
      <c r="N1023" s="24">
        <v>945.81</v>
      </c>
      <c r="O1023" s="22" t="str">
        <f>IF(Table2[[#This Row],[CouponCode]]="N/A", "Not Used", "Used")</f>
        <v>Used</v>
      </c>
    </row>
    <row r="1024" spans="1:15" x14ac:dyDescent="0.3">
      <c r="A1024" s="6" t="s">
        <v>1036</v>
      </c>
      <c r="B1024" s="2">
        <v>45712</v>
      </c>
      <c r="C1024" s="6" t="s">
        <v>2228</v>
      </c>
      <c r="D1024" s="6" t="s">
        <v>2405</v>
      </c>
      <c r="E1024" s="9">
        <v>3</v>
      </c>
      <c r="F1024" s="24">
        <v>450.98</v>
      </c>
      <c r="G1024" t="s">
        <v>2877</v>
      </c>
      <c r="H1024" s="6" t="s">
        <v>3067</v>
      </c>
      <c r="I1024" s="6" t="s">
        <v>3070</v>
      </c>
      <c r="J1024" s="6" t="s">
        <v>4097</v>
      </c>
      <c r="K1024" s="9">
        <v>8</v>
      </c>
      <c r="L1024" s="6" t="s">
        <v>4275</v>
      </c>
      <c r="M1024" s="6" t="s">
        <v>4279</v>
      </c>
      <c r="N1024" s="24">
        <v>1352.94</v>
      </c>
      <c r="O1024" s="22" t="str">
        <f>IF(Table2[[#This Row],[CouponCode]]="N/A", "Not Used", "Used")</f>
        <v>Used</v>
      </c>
    </row>
    <row r="1025" spans="1:15" x14ac:dyDescent="0.3">
      <c r="A1025" s="6" t="s">
        <v>1037</v>
      </c>
      <c r="B1025" s="2">
        <v>45558</v>
      </c>
      <c r="C1025" s="6" t="s">
        <v>2229</v>
      </c>
      <c r="D1025" s="6" t="s">
        <v>2408</v>
      </c>
      <c r="E1025" s="9">
        <v>5</v>
      </c>
      <c r="F1025" s="24">
        <v>233.67</v>
      </c>
      <c r="G1025" t="s">
        <v>2493</v>
      </c>
      <c r="H1025" s="6" t="s">
        <v>3069</v>
      </c>
      <c r="I1025" s="6" t="s">
        <v>3070</v>
      </c>
      <c r="J1025" s="6" t="s">
        <v>4098</v>
      </c>
      <c r="K1025" s="9">
        <v>10</v>
      </c>
      <c r="L1025" s="6" t="s">
        <v>4283</v>
      </c>
      <c r="M1025" s="6" t="s">
        <v>4279</v>
      </c>
      <c r="N1025" s="24">
        <v>1168.3499999999999</v>
      </c>
      <c r="O1025" s="22" t="str">
        <f>IF(Table2[[#This Row],[CouponCode]]="N/A", "Not Used", "Used")</f>
        <v>Not Used</v>
      </c>
    </row>
    <row r="1026" spans="1:15" x14ac:dyDescent="0.3">
      <c r="A1026" s="6" t="s">
        <v>1038</v>
      </c>
      <c r="B1026" s="2">
        <v>45320</v>
      </c>
      <c r="C1026" s="6" t="s">
        <v>2230</v>
      </c>
      <c r="D1026" s="6" t="s">
        <v>2406</v>
      </c>
      <c r="E1026" s="9">
        <v>3</v>
      </c>
      <c r="F1026" s="24">
        <v>367.75</v>
      </c>
      <c r="G1026" t="s">
        <v>2769</v>
      </c>
      <c r="H1026" s="6" t="s">
        <v>3069</v>
      </c>
      <c r="I1026" s="6" t="s">
        <v>3074</v>
      </c>
      <c r="J1026" s="6" t="s">
        <v>4099</v>
      </c>
      <c r="K1026" s="9">
        <v>7</v>
      </c>
      <c r="L1026" s="6" t="s">
        <v>4276</v>
      </c>
      <c r="M1026" s="6" t="s">
        <v>4281</v>
      </c>
      <c r="N1026" s="24">
        <v>1103.25</v>
      </c>
      <c r="O1026" s="22" t="str">
        <f>IF(Table2[[#This Row],[CouponCode]]="N/A", "Not Used", "Used")</f>
        <v>Used</v>
      </c>
    </row>
    <row r="1027" spans="1:15" x14ac:dyDescent="0.3">
      <c r="A1027" s="6" t="s">
        <v>1039</v>
      </c>
      <c r="B1027" s="2">
        <v>45794</v>
      </c>
      <c r="C1027" s="6" t="s">
        <v>2231</v>
      </c>
      <c r="D1027" s="6" t="s">
        <v>2406</v>
      </c>
      <c r="E1027" s="9">
        <v>1</v>
      </c>
      <c r="F1027" s="24">
        <v>23.53</v>
      </c>
      <c r="G1027" t="s">
        <v>2548</v>
      </c>
      <c r="H1027" s="6" t="s">
        <v>3068</v>
      </c>
      <c r="I1027" s="6" t="s">
        <v>3073</v>
      </c>
      <c r="J1027" s="6" t="s">
        <v>4100</v>
      </c>
      <c r="K1027" s="9">
        <v>2</v>
      </c>
      <c r="L1027" s="6" t="s">
        <v>4276</v>
      </c>
      <c r="M1027" s="6" t="s">
        <v>4278</v>
      </c>
      <c r="N1027" s="24">
        <v>23.53</v>
      </c>
      <c r="O1027" s="22" t="str">
        <f>IF(Table2[[#This Row],[CouponCode]]="N/A", "Not Used", "Used")</f>
        <v>Used</v>
      </c>
    </row>
    <row r="1028" spans="1:15" x14ac:dyDescent="0.3">
      <c r="A1028" s="6" t="s">
        <v>1040</v>
      </c>
      <c r="B1028" s="2">
        <v>45047</v>
      </c>
      <c r="C1028" s="6" t="s">
        <v>2232</v>
      </c>
      <c r="D1028" s="6" t="s">
        <v>2403</v>
      </c>
      <c r="E1028" s="9">
        <v>1</v>
      </c>
      <c r="F1028" s="24">
        <v>677.48</v>
      </c>
      <c r="G1028" t="s">
        <v>2521</v>
      </c>
      <c r="H1028" s="6" t="s">
        <v>3066</v>
      </c>
      <c r="I1028" s="6" t="s">
        <v>3073</v>
      </c>
      <c r="J1028" s="6" t="s">
        <v>4101</v>
      </c>
      <c r="K1028" s="9">
        <v>1</v>
      </c>
      <c r="L1028" s="6" t="s">
        <v>4277</v>
      </c>
      <c r="M1028" s="6" t="s">
        <v>4281</v>
      </c>
      <c r="N1028" s="24">
        <v>677.48</v>
      </c>
      <c r="O1028" s="22" t="str">
        <f>IF(Table2[[#This Row],[CouponCode]]="N/A", "Not Used", "Used")</f>
        <v>Used</v>
      </c>
    </row>
    <row r="1029" spans="1:15" x14ac:dyDescent="0.3">
      <c r="A1029" s="6" t="s">
        <v>1041</v>
      </c>
      <c r="B1029" s="2">
        <v>45433</v>
      </c>
      <c r="C1029" s="6" t="s">
        <v>2233</v>
      </c>
      <c r="D1029" s="6" t="s">
        <v>2408</v>
      </c>
      <c r="E1029" s="9">
        <v>4</v>
      </c>
      <c r="F1029" s="24">
        <v>554.83000000000004</v>
      </c>
      <c r="G1029" t="s">
        <v>2908</v>
      </c>
      <c r="H1029" s="6" t="s">
        <v>3069</v>
      </c>
      <c r="I1029" s="6" t="s">
        <v>3072</v>
      </c>
      <c r="J1029" s="6" t="s">
        <v>4102</v>
      </c>
      <c r="K1029" s="9">
        <v>6</v>
      </c>
      <c r="L1029" s="6" t="s">
        <v>4283</v>
      </c>
      <c r="M1029" s="6" t="s">
        <v>4282</v>
      </c>
      <c r="N1029" s="24">
        <v>2219.3200000000002</v>
      </c>
      <c r="O1029" s="22" t="str">
        <f>IF(Table2[[#This Row],[CouponCode]]="N/A", "Not Used", "Used")</f>
        <v>Not Used</v>
      </c>
    </row>
    <row r="1030" spans="1:15" x14ac:dyDescent="0.3">
      <c r="A1030" s="6" t="s">
        <v>1042</v>
      </c>
      <c r="B1030" s="2">
        <v>44974</v>
      </c>
      <c r="C1030" s="6" t="s">
        <v>2234</v>
      </c>
      <c r="D1030" s="6" t="s">
        <v>2409</v>
      </c>
      <c r="E1030" s="9">
        <v>4</v>
      </c>
      <c r="F1030" s="24">
        <v>440.31</v>
      </c>
      <c r="G1030" t="s">
        <v>2610</v>
      </c>
      <c r="H1030" s="6" t="s">
        <v>3069</v>
      </c>
      <c r="I1030" s="6" t="s">
        <v>3071</v>
      </c>
      <c r="J1030" s="6" t="s">
        <v>4103</v>
      </c>
      <c r="K1030" s="9">
        <v>6</v>
      </c>
      <c r="L1030" s="6" t="s">
        <v>4283</v>
      </c>
      <c r="M1030" s="6" t="s">
        <v>4278</v>
      </c>
      <c r="N1030" s="24">
        <v>1761.24</v>
      </c>
      <c r="O1030" s="22" t="str">
        <f>IF(Table2[[#This Row],[CouponCode]]="N/A", "Not Used", "Used")</f>
        <v>Not Used</v>
      </c>
    </row>
    <row r="1031" spans="1:15" x14ac:dyDescent="0.3">
      <c r="A1031" s="6" t="s">
        <v>1043</v>
      </c>
      <c r="B1031" s="2">
        <v>45717</v>
      </c>
      <c r="C1031" s="6" t="s">
        <v>2235</v>
      </c>
      <c r="D1031" s="6" t="s">
        <v>2409</v>
      </c>
      <c r="E1031" s="9">
        <v>1</v>
      </c>
      <c r="F1031" s="24">
        <v>87.06</v>
      </c>
      <c r="G1031" t="s">
        <v>2988</v>
      </c>
      <c r="H1031" s="6" t="s">
        <v>3067</v>
      </c>
      <c r="I1031" s="6" t="s">
        <v>3070</v>
      </c>
      <c r="J1031" s="6" t="s">
        <v>4104</v>
      </c>
      <c r="K1031" s="9">
        <v>4</v>
      </c>
      <c r="L1031" s="6" t="s">
        <v>4276</v>
      </c>
      <c r="M1031" s="6" t="s">
        <v>4280</v>
      </c>
      <c r="N1031" s="24">
        <v>87.06</v>
      </c>
      <c r="O1031" s="22" t="str">
        <f>IF(Table2[[#This Row],[CouponCode]]="N/A", "Not Used", "Used")</f>
        <v>Used</v>
      </c>
    </row>
    <row r="1032" spans="1:15" x14ac:dyDescent="0.3">
      <c r="A1032" s="6" t="s">
        <v>1044</v>
      </c>
      <c r="B1032" s="2">
        <v>45201</v>
      </c>
      <c r="C1032" s="6" t="s">
        <v>2236</v>
      </c>
      <c r="D1032" s="6" t="s">
        <v>2404</v>
      </c>
      <c r="E1032" s="9">
        <v>4</v>
      </c>
      <c r="F1032" s="24">
        <v>245.28</v>
      </c>
      <c r="G1032" t="s">
        <v>3005</v>
      </c>
      <c r="H1032" s="6" t="s">
        <v>3067</v>
      </c>
      <c r="I1032" s="6" t="s">
        <v>3073</v>
      </c>
      <c r="J1032" s="6" t="s">
        <v>4105</v>
      </c>
      <c r="K1032" s="9">
        <v>6</v>
      </c>
      <c r="L1032" s="6" t="s">
        <v>4277</v>
      </c>
      <c r="M1032" s="6" t="s">
        <v>4280</v>
      </c>
      <c r="N1032" s="24">
        <v>981.12</v>
      </c>
      <c r="O1032" s="22" t="str">
        <f>IF(Table2[[#This Row],[CouponCode]]="N/A", "Not Used", "Used")</f>
        <v>Used</v>
      </c>
    </row>
    <row r="1033" spans="1:15" x14ac:dyDescent="0.3">
      <c r="A1033" s="6" t="s">
        <v>1045</v>
      </c>
      <c r="B1033" s="2">
        <v>44985</v>
      </c>
      <c r="C1033" s="6" t="s">
        <v>2237</v>
      </c>
      <c r="D1033" s="6" t="s">
        <v>2404</v>
      </c>
      <c r="E1033" s="9">
        <v>5</v>
      </c>
      <c r="F1033" s="24">
        <v>664.51</v>
      </c>
      <c r="G1033" t="s">
        <v>3006</v>
      </c>
      <c r="H1033" s="6" t="s">
        <v>3065</v>
      </c>
      <c r="I1033" s="6" t="s">
        <v>3074</v>
      </c>
      <c r="J1033" s="6" t="s">
        <v>4106</v>
      </c>
      <c r="K1033" s="9">
        <v>8</v>
      </c>
      <c r="L1033" s="6" t="s">
        <v>4275</v>
      </c>
      <c r="M1033" s="6" t="s">
        <v>4280</v>
      </c>
      <c r="N1033" s="24">
        <v>3322.55</v>
      </c>
      <c r="O1033" s="22" t="str">
        <f>IF(Table2[[#This Row],[CouponCode]]="N/A", "Not Used", "Used")</f>
        <v>Used</v>
      </c>
    </row>
    <row r="1034" spans="1:15" x14ac:dyDescent="0.3">
      <c r="A1034" s="6" t="s">
        <v>1046</v>
      </c>
      <c r="B1034" s="2">
        <v>45036</v>
      </c>
      <c r="C1034" s="6" t="s">
        <v>2238</v>
      </c>
      <c r="D1034" s="6" t="s">
        <v>2406</v>
      </c>
      <c r="E1034" s="9">
        <v>1</v>
      </c>
      <c r="F1034" s="24">
        <v>618.67999999999995</v>
      </c>
      <c r="G1034" t="s">
        <v>2653</v>
      </c>
      <c r="H1034" s="6" t="s">
        <v>3066</v>
      </c>
      <c r="I1034" s="6" t="s">
        <v>3073</v>
      </c>
      <c r="J1034" s="6" t="s">
        <v>4107</v>
      </c>
      <c r="K1034" s="9">
        <v>6</v>
      </c>
      <c r="L1034" s="6" t="s">
        <v>4277</v>
      </c>
      <c r="M1034" s="6" t="s">
        <v>4279</v>
      </c>
      <c r="N1034" s="24">
        <v>618.67999999999995</v>
      </c>
      <c r="O1034" s="22" t="str">
        <f>IF(Table2[[#This Row],[CouponCode]]="N/A", "Not Used", "Used")</f>
        <v>Used</v>
      </c>
    </row>
    <row r="1035" spans="1:15" x14ac:dyDescent="0.3">
      <c r="A1035" s="6" t="s">
        <v>1047</v>
      </c>
      <c r="B1035" s="2">
        <v>45650</v>
      </c>
      <c r="C1035" s="6" t="s">
        <v>2239</v>
      </c>
      <c r="D1035" s="6" t="s">
        <v>2403</v>
      </c>
      <c r="E1035" s="9">
        <v>1</v>
      </c>
      <c r="F1035" s="24">
        <v>370.85</v>
      </c>
      <c r="G1035" t="s">
        <v>3007</v>
      </c>
      <c r="H1035" s="6" t="s">
        <v>3068</v>
      </c>
      <c r="I1035" s="6" t="s">
        <v>3073</v>
      </c>
      <c r="J1035" s="6" t="s">
        <v>4108</v>
      </c>
      <c r="K1035" s="9">
        <v>2</v>
      </c>
      <c r="L1035" s="6" t="s">
        <v>4276</v>
      </c>
      <c r="M1035" s="6" t="s">
        <v>4279</v>
      </c>
      <c r="N1035" s="24">
        <v>370.85</v>
      </c>
      <c r="O1035" s="22" t="str">
        <f>IF(Table2[[#This Row],[CouponCode]]="N/A", "Not Used", "Used")</f>
        <v>Used</v>
      </c>
    </row>
    <row r="1036" spans="1:15" x14ac:dyDescent="0.3">
      <c r="A1036" s="6" t="s">
        <v>1048</v>
      </c>
      <c r="B1036" s="2">
        <v>45459</v>
      </c>
      <c r="C1036" s="6" t="s">
        <v>2240</v>
      </c>
      <c r="D1036" s="6" t="s">
        <v>2407</v>
      </c>
      <c r="E1036" s="9">
        <v>4</v>
      </c>
      <c r="F1036" s="24">
        <v>517.98</v>
      </c>
      <c r="G1036" t="s">
        <v>3008</v>
      </c>
      <c r="H1036" s="6" t="s">
        <v>3069</v>
      </c>
      <c r="I1036" s="6" t="s">
        <v>3071</v>
      </c>
      <c r="J1036" s="6" t="s">
        <v>4109</v>
      </c>
      <c r="K1036" s="9">
        <v>8</v>
      </c>
      <c r="L1036" s="6" t="s">
        <v>4276</v>
      </c>
      <c r="M1036" s="6" t="s">
        <v>4281</v>
      </c>
      <c r="N1036" s="24">
        <v>2071.92</v>
      </c>
      <c r="O1036" s="22" t="str">
        <f>IF(Table2[[#This Row],[CouponCode]]="N/A", "Not Used", "Used")</f>
        <v>Used</v>
      </c>
    </row>
    <row r="1037" spans="1:15" x14ac:dyDescent="0.3">
      <c r="A1037" s="6" t="s">
        <v>1049</v>
      </c>
      <c r="B1037" s="2">
        <v>45242</v>
      </c>
      <c r="C1037" s="6" t="s">
        <v>2241</v>
      </c>
      <c r="D1037" s="6" t="s">
        <v>2408</v>
      </c>
      <c r="E1037" s="9">
        <v>4</v>
      </c>
      <c r="F1037" s="24">
        <v>506.11</v>
      </c>
      <c r="G1037" t="s">
        <v>3009</v>
      </c>
      <c r="H1037" s="6" t="s">
        <v>3069</v>
      </c>
      <c r="I1037" s="6" t="s">
        <v>3071</v>
      </c>
      <c r="J1037" s="6" t="s">
        <v>4110</v>
      </c>
      <c r="K1037" s="9">
        <v>5</v>
      </c>
      <c r="L1037" s="6" t="s">
        <v>4283</v>
      </c>
      <c r="M1037" s="6" t="s">
        <v>4279</v>
      </c>
      <c r="N1037" s="24">
        <v>2024.44</v>
      </c>
      <c r="O1037" s="22" t="str">
        <f>IF(Table2[[#This Row],[CouponCode]]="N/A", "Not Used", "Used")</f>
        <v>Not Used</v>
      </c>
    </row>
    <row r="1038" spans="1:15" x14ac:dyDescent="0.3">
      <c r="A1038" s="6" t="s">
        <v>1050</v>
      </c>
      <c r="B1038" s="2">
        <v>45443</v>
      </c>
      <c r="C1038" s="6" t="s">
        <v>2242</v>
      </c>
      <c r="D1038" s="6" t="s">
        <v>2404</v>
      </c>
      <c r="E1038" s="9">
        <v>3</v>
      </c>
      <c r="F1038" s="24">
        <v>413.83</v>
      </c>
      <c r="G1038" t="s">
        <v>2474</v>
      </c>
      <c r="H1038" s="6" t="s">
        <v>3068</v>
      </c>
      <c r="I1038" s="6" t="s">
        <v>3070</v>
      </c>
      <c r="J1038" s="6" t="s">
        <v>4111</v>
      </c>
      <c r="K1038" s="9">
        <v>8</v>
      </c>
      <c r="L1038" s="6" t="s">
        <v>4275</v>
      </c>
      <c r="M1038" s="6" t="s">
        <v>4281</v>
      </c>
      <c r="N1038" s="24">
        <v>1241.49</v>
      </c>
      <c r="O1038" s="22" t="str">
        <f>IF(Table2[[#This Row],[CouponCode]]="N/A", "Not Used", "Used")</f>
        <v>Used</v>
      </c>
    </row>
    <row r="1039" spans="1:15" x14ac:dyDescent="0.3">
      <c r="A1039" s="6" t="s">
        <v>1051</v>
      </c>
      <c r="B1039" s="2">
        <v>45273</v>
      </c>
      <c r="C1039" s="6" t="s">
        <v>2243</v>
      </c>
      <c r="D1039" s="6" t="s">
        <v>2407</v>
      </c>
      <c r="E1039" s="9">
        <v>1</v>
      </c>
      <c r="F1039" s="24">
        <v>249.81</v>
      </c>
      <c r="G1039" t="s">
        <v>2875</v>
      </c>
      <c r="H1039" s="6" t="s">
        <v>3069</v>
      </c>
      <c r="I1039" s="6" t="s">
        <v>3074</v>
      </c>
      <c r="J1039" s="6" t="s">
        <v>4112</v>
      </c>
      <c r="K1039" s="9">
        <v>1</v>
      </c>
      <c r="L1039" s="6" t="s">
        <v>4275</v>
      </c>
      <c r="M1039" s="6" t="s">
        <v>4282</v>
      </c>
      <c r="N1039" s="24">
        <v>249.81</v>
      </c>
      <c r="O1039" s="22" t="str">
        <f>IF(Table2[[#This Row],[CouponCode]]="N/A", "Not Used", "Used")</f>
        <v>Used</v>
      </c>
    </row>
    <row r="1040" spans="1:15" x14ac:dyDescent="0.3">
      <c r="A1040" s="6" t="s">
        <v>1052</v>
      </c>
      <c r="B1040" s="2">
        <v>45731</v>
      </c>
      <c r="C1040" s="6" t="s">
        <v>2244</v>
      </c>
      <c r="D1040" s="6" t="s">
        <v>2405</v>
      </c>
      <c r="E1040" s="9">
        <v>3</v>
      </c>
      <c r="F1040" s="24">
        <v>362.53</v>
      </c>
      <c r="G1040" t="s">
        <v>3010</v>
      </c>
      <c r="H1040" s="6" t="s">
        <v>3065</v>
      </c>
      <c r="I1040" s="6" t="s">
        <v>3072</v>
      </c>
      <c r="J1040" s="6" t="s">
        <v>4113</v>
      </c>
      <c r="K1040" s="9">
        <v>5</v>
      </c>
      <c r="L1040" s="6" t="s">
        <v>4283</v>
      </c>
      <c r="M1040" s="6" t="s">
        <v>4281</v>
      </c>
      <c r="N1040" s="24">
        <v>1087.5899999999999</v>
      </c>
      <c r="O1040" s="22" t="str">
        <f>IF(Table2[[#This Row],[CouponCode]]="N/A", "Not Used", "Used")</f>
        <v>Not Used</v>
      </c>
    </row>
    <row r="1041" spans="1:15" x14ac:dyDescent="0.3">
      <c r="A1041" s="6" t="s">
        <v>1053</v>
      </c>
      <c r="B1041" s="2">
        <v>45836</v>
      </c>
      <c r="C1041" s="6" t="s">
        <v>2245</v>
      </c>
      <c r="D1041" s="6" t="s">
        <v>2409</v>
      </c>
      <c r="E1041" s="9">
        <v>2</v>
      </c>
      <c r="F1041" s="24">
        <v>299.23</v>
      </c>
      <c r="G1041" t="s">
        <v>3011</v>
      </c>
      <c r="H1041" s="6" t="s">
        <v>3067</v>
      </c>
      <c r="I1041" s="6" t="s">
        <v>3071</v>
      </c>
      <c r="J1041" s="6" t="s">
        <v>4114</v>
      </c>
      <c r="K1041" s="9">
        <v>2</v>
      </c>
      <c r="L1041" s="6" t="s">
        <v>4277</v>
      </c>
      <c r="M1041" s="6" t="s">
        <v>4278</v>
      </c>
      <c r="N1041" s="24">
        <v>598.46</v>
      </c>
      <c r="O1041" s="22" t="str">
        <f>IF(Table2[[#This Row],[CouponCode]]="N/A", "Not Used", "Used")</f>
        <v>Used</v>
      </c>
    </row>
    <row r="1042" spans="1:15" x14ac:dyDescent="0.3">
      <c r="A1042" s="6" t="s">
        <v>1054</v>
      </c>
      <c r="B1042" s="2">
        <v>45245</v>
      </c>
      <c r="C1042" s="6" t="s">
        <v>2246</v>
      </c>
      <c r="D1042" s="6" t="s">
        <v>2405</v>
      </c>
      <c r="E1042" s="9">
        <v>1</v>
      </c>
      <c r="F1042" s="24">
        <v>536.07000000000005</v>
      </c>
      <c r="G1042" t="s">
        <v>2817</v>
      </c>
      <c r="H1042" s="6" t="s">
        <v>3065</v>
      </c>
      <c r="I1042" s="6" t="s">
        <v>3073</v>
      </c>
      <c r="J1042" s="6" t="s">
        <v>4115</v>
      </c>
      <c r="K1042" s="9">
        <v>5</v>
      </c>
      <c r="L1042" s="6" t="s">
        <v>4276</v>
      </c>
      <c r="M1042" s="6" t="s">
        <v>4282</v>
      </c>
      <c r="N1042" s="24">
        <v>536.07000000000005</v>
      </c>
      <c r="O1042" s="22" t="str">
        <f>IF(Table2[[#This Row],[CouponCode]]="N/A", "Not Used", "Used")</f>
        <v>Used</v>
      </c>
    </row>
    <row r="1043" spans="1:15" x14ac:dyDescent="0.3">
      <c r="A1043" s="6" t="s">
        <v>1055</v>
      </c>
      <c r="B1043" s="2">
        <v>44968</v>
      </c>
      <c r="C1043" s="6" t="s">
        <v>2247</v>
      </c>
      <c r="D1043" s="6" t="s">
        <v>2403</v>
      </c>
      <c r="E1043" s="9">
        <v>4</v>
      </c>
      <c r="F1043" s="24">
        <v>558.9</v>
      </c>
      <c r="G1043" t="s">
        <v>2608</v>
      </c>
      <c r="H1043" s="6" t="s">
        <v>3068</v>
      </c>
      <c r="I1043" s="6" t="s">
        <v>3070</v>
      </c>
      <c r="J1043" s="6" t="s">
        <v>4116</v>
      </c>
      <c r="K1043" s="9">
        <v>9</v>
      </c>
      <c r="L1043" s="6" t="s">
        <v>4277</v>
      </c>
      <c r="M1043" s="6" t="s">
        <v>4282</v>
      </c>
      <c r="N1043" s="24">
        <v>2235.6</v>
      </c>
      <c r="O1043" s="22" t="str">
        <f>IF(Table2[[#This Row],[CouponCode]]="N/A", "Not Used", "Used")</f>
        <v>Used</v>
      </c>
    </row>
    <row r="1044" spans="1:15" x14ac:dyDescent="0.3">
      <c r="A1044" s="6" t="s">
        <v>1056</v>
      </c>
      <c r="B1044" s="2">
        <v>45635</v>
      </c>
      <c r="C1044" s="6" t="s">
        <v>2248</v>
      </c>
      <c r="D1044" s="6" t="s">
        <v>2405</v>
      </c>
      <c r="E1044" s="9">
        <v>2</v>
      </c>
      <c r="F1044" s="24">
        <v>409.75</v>
      </c>
      <c r="G1044" t="s">
        <v>2681</v>
      </c>
      <c r="H1044" s="6" t="s">
        <v>3065</v>
      </c>
      <c r="I1044" s="6" t="s">
        <v>3070</v>
      </c>
      <c r="J1044" s="6" t="s">
        <v>4117</v>
      </c>
      <c r="K1044" s="9">
        <v>2</v>
      </c>
      <c r="L1044" s="6" t="s">
        <v>4277</v>
      </c>
      <c r="M1044" s="6" t="s">
        <v>4281</v>
      </c>
      <c r="N1044" s="24">
        <v>819.5</v>
      </c>
      <c r="O1044" s="22" t="str">
        <f>IF(Table2[[#This Row],[CouponCode]]="N/A", "Not Used", "Used")</f>
        <v>Used</v>
      </c>
    </row>
    <row r="1045" spans="1:15" x14ac:dyDescent="0.3">
      <c r="A1045" s="6" t="s">
        <v>1057</v>
      </c>
      <c r="B1045" s="2">
        <v>45668</v>
      </c>
      <c r="C1045" s="6" t="s">
        <v>2249</v>
      </c>
      <c r="D1045" s="6" t="s">
        <v>2405</v>
      </c>
      <c r="E1045" s="9">
        <v>2</v>
      </c>
      <c r="F1045" s="24">
        <v>179.96</v>
      </c>
      <c r="G1045" t="s">
        <v>2991</v>
      </c>
      <c r="H1045" s="6" t="s">
        <v>3068</v>
      </c>
      <c r="I1045" s="6" t="s">
        <v>3070</v>
      </c>
      <c r="J1045" s="6" t="s">
        <v>4118</v>
      </c>
      <c r="K1045" s="9">
        <v>5</v>
      </c>
      <c r="L1045" s="6" t="s">
        <v>4283</v>
      </c>
      <c r="M1045" s="6" t="s">
        <v>4278</v>
      </c>
      <c r="N1045" s="24">
        <v>359.92</v>
      </c>
      <c r="O1045" s="22" t="str">
        <f>IF(Table2[[#This Row],[CouponCode]]="N/A", "Not Used", "Used")</f>
        <v>Not Used</v>
      </c>
    </row>
    <row r="1046" spans="1:15" x14ac:dyDescent="0.3">
      <c r="A1046" s="6" t="s">
        <v>1058</v>
      </c>
      <c r="B1046" s="2">
        <v>45830</v>
      </c>
      <c r="C1046" s="6" t="s">
        <v>2250</v>
      </c>
      <c r="D1046" s="6" t="s">
        <v>2407</v>
      </c>
      <c r="E1046" s="9">
        <v>1</v>
      </c>
      <c r="F1046" s="24">
        <v>38.49</v>
      </c>
      <c r="G1046" t="s">
        <v>3012</v>
      </c>
      <c r="H1046" s="6" t="s">
        <v>3067</v>
      </c>
      <c r="I1046" s="6" t="s">
        <v>3073</v>
      </c>
      <c r="J1046" s="6" t="s">
        <v>4119</v>
      </c>
      <c r="K1046" s="9">
        <v>4</v>
      </c>
      <c r="L1046" s="6" t="s">
        <v>4276</v>
      </c>
      <c r="M1046" s="6" t="s">
        <v>4279</v>
      </c>
      <c r="N1046" s="24">
        <v>38.49</v>
      </c>
      <c r="O1046" s="22" t="str">
        <f>IF(Table2[[#This Row],[CouponCode]]="N/A", "Not Used", "Used")</f>
        <v>Used</v>
      </c>
    </row>
    <row r="1047" spans="1:15" x14ac:dyDescent="0.3">
      <c r="A1047" s="6" t="s">
        <v>1059</v>
      </c>
      <c r="B1047" s="2">
        <v>45555</v>
      </c>
      <c r="C1047" s="6" t="s">
        <v>2251</v>
      </c>
      <c r="D1047" s="6" t="s">
        <v>2408</v>
      </c>
      <c r="E1047" s="9">
        <v>5</v>
      </c>
      <c r="F1047" s="24">
        <v>316.39999999999998</v>
      </c>
      <c r="G1047" t="s">
        <v>3013</v>
      </c>
      <c r="H1047" s="6" t="s">
        <v>3068</v>
      </c>
      <c r="I1047" s="6" t="s">
        <v>3072</v>
      </c>
      <c r="J1047" s="6" t="s">
        <v>4120</v>
      </c>
      <c r="K1047" s="9">
        <v>7</v>
      </c>
      <c r="L1047" s="6" t="s">
        <v>4283</v>
      </c>
      <c r="M1047" s="6" t="s">
        <v>4280</v>
      </c>
      <c r="N1047" s="24">
        <v>1582</v>
      </c>
      <c r="O1047" s="22" t="str">
        <f>IF(Table2[[#This Row],[CouponCode]]="N/A", "Not Used", "Used")</f>
        <v>Not Used</v>
      </c>
    </row>
    <row r="1048" spans="1:15" x14ac:dyDescent="0.3">
      <c r="A1048" s="6" t="s">
        <v>1060</v>
      </c>
      <c r="B1048" s="2">
        <v>45572</v>
      </c>
      <c r="C1048" s="6" t="s">
        <v>2252</v>
      </c>
      <c r="D1048" s="6" t="s">
        <v>2405</v>
      </c>
      <c r="E1048" s="9">
        <v>3</v>
      </c>
      <c r="F1048" s="24">
        <v>547.15</v>
      </c>
      <c r="G1048" t="s">
        <v>3014</v>
      </c>
      <c r="H1048" s="6" t="s">
        <v>3066</v>
      </c>
      <c r="I1048" s="6" t="s">
        <v>3070</v>
      </c>
      <c r="J1048" s="6" t="s">
        <v>4121</v>
      </c>
      <c r="K1048" s="9">
        <v>4</v>
      </c>
      <c r="L1048" s="6" t="s">
        <v>4277</v>
      </c>
      <c r="M1048" s="6" t="s">
        <v>4278</v>
      </c>
      <c r="N1048" s="24">
        <v>1641.45</v>
      </c>
      <c r="O1048" s="22" t="str">
        <f>IF(Table2[[#This Row],[CouponCode]]="N/A", "Not Used", "Used")</f>
        <v>Used</v>
      </c>
    </row>
    <row r="1049" spans="1:15" x14ac:dyDescent="0.3">
      <c r="A1049" s="6" t="s">
        <v>1061</v>
      </c>
      <c r="B1049" s="2">
        <v>45100</v>
      </c>
      <c r="C1049" s="6" t="s">
        <v>2253</v>
      </c>
      <c r="D1049" s="6" t="s">
        <v>2406</v>
      </c>
      <c r="E1049" s="9">
        <v>4</v>
      </c>
      <c r="F1049" s="24">
        <v>540.34</v>
      </c>
      <c r="G1049" t="s">
        <v>3015</v>
      </c>
      <c r="H1049" s="6" t="s">
        <v>3068</v>
      </c>
      <c r="I1049" s="6" t="s">
        <v>3070</v>
      </c>
      <c r="J1049" s="6" t="s">
        <v>4122</v>
      </c>
      <c r="K1049" s="9">
        <v>6</v>
      </c>
      <c r="L1049" s="6" t="s">
        <v>4277</v>
      </c>
      <c r="M1049" s="6" t="s">
        <v>4279</v>
      </c>
      <c r="N1049" s="24">
        <v>2161.36</v>
      </c>
      <c r="O1049" s="22" t="str">
        <f>IF(Table2[[#This Row],[CouponCode]]="N/A", "Not Used", "Used")</f>
        <v>Used</v>
      </c>
    </row>
    <row r="1050" spans="1:15" x14ac:dyDescent="0.3">
      <c r="A1050" s="6" t="s">
        <v>1062</v>
      </c>
      <c r="B1050" s="2">
        <v>45544</v>
      </c>
      <c r="C1050" s="6" t="s">
        <v>2254</v>
      </c>
      <c r="D1050" s="6" t="s">
        <v>2403</v>
      </c>
      <c r="E1050" s="9">
        <v>4</v>
      </c>
      <c r="F1050" s="24">
        <v>73.650000000000006</v>
      </c>
      <c r="G1050" t="s">
        <v>3016</v>
      </c>
      <c r="H1050" s="6" t="s">
        <v>3065</v>
      </c>
      <c r="I1050" s="6" t="s">
        <v>3070</v>
      </c>
      <c r="J1050" s="6" t="s">
        <v>4123</v>
      </c>
      <c r="K1050" s="9">
        <v>9</v>
      </c>
      <c r="L1050" s="6" t="s">
        <v>4283</v>
      </c>
      <c r="M1050" s="6" t="s">
        <v>4282</v>
      </c>
      <c r="N1050" s="24">
        <v>294.60000000000002</v>
      </c>
      <c r="O1050" s="22" t="str">
        <f>IF(Table2[[#This Row],[CouponCode]]="N/A", "Not Used", "Used")</f>
        <v>Not Used</v>
      </c>
    </row>
    <row r="1051" spans="1:15" x14ac:dyDescent="0.3">
      <c r="A1051" s="6" t="s">
        <v>1063</v>
      </c>
      <c r="B1051" s="2">
        <v>45491</v>
      </c>
      <c r="C1051" s="6" t="s">
        <v>2255</v>
      </c>
      <c r="D1051" s="6" t="s">
        <v>2409</v>
      </c>
      <c r="E1051" s="9">
        <v>5</v>
      </c>
      <c r="F1051" s="24">
        <v>391.86</v>
      </c>
      <c r="G1051" t="s">
        <v>2430</v>
      </c>
      <c r="H1051" s="6" t="s">
        <v>3067</v>
      </c>
      <c r="I1051" s="6" t="s">
        <v>3070</v>
      </c>
      <c r="J1051" s="6" t="s">
        <v>4124</v>
      </c>
      <c r="K1051" s="9">
        <v>6</v>
      </c>
      <c r="L1051" s="6" t="s">
        <v>4283</v>
      </c>
      <c r="M1051" s="6" t="s">
        <v>4278</v>
      </c>
      <c r="N1051" s="24">
        <v>1959.3</v>
      </c>
      <c r="O1051" s="22" t="str">
        <f>IF(Table2[[#This Row],[CouponCode]]="N/A", "Not Used", "Used")</f>
        <v>Not Used</v>
      </c>
    </row>
    <row r="1052" spans="1:15" x14ac:dyDescent="0.3">
      <c r="A1052" s="6" t="s">
        <v>1064</v>
      </c>
      <c r="B1052" s="2">
        <v>45158</v>
      </c>
      <c r="C1052" s="6" t="s">
        <v>2256</v>
      </c>
      <c r="D1052" s="6" t="s">
        <v>2408</v>
      </c>
      <c r="E1052" s="9">
        <v>5</v>
      </c>
      <c r="F1052" s="24">
        <v>69.7</v>
      </c>
      <c r="G1052" t="s">
        <v>2805</v>
      </c>
      <c r="H1052" s="6" t="s">
        <v>3066</v>
      </c>
      <c r="I1052" s="6" t="s">
        <v>3072</v>
      </c>
      <c r="J1052" s="6" t="s">
        <v>4125</v>
      </c>
      <c r="K1052" s="9">
        <v>9</v>
      </c>
      <c r="L1052" s="6" t="s">
        <v>4283</v>
      </c>
      <c r="M1052" s="6" t="s">
        <v>4278</v>
      </c>
      <c r="N1052" s="24">
        <v>348.5</v>
      </c>
      <c r="O1052" s="22" t="str">
        <f>IF(Table2[[#This Row],[CouponCode]]="N/A", "Not Used", "Used")</f>
        <v>Not Used</v>
      </c>
    </row>
    <row r="1053" spans="1:15" x14ac:dyDescent="0.3">
      <c r="A1053" s="6" t="s">
        <v>1065</v>
      </c>
      <c r="B1053" s="2">
        <v>45721</v>
      </c>
      <c r="C1053" s="6" t="s">
        <v>2257</v>
      </c>
      <c r="D1053" s="6" t="s">
        <v>2403</v>
      </c>
      <c r="E1053" s="9">
        <v>5</v>
      </c>
      <c r="F1053" s="24">
        <v>26.43</v>
      </c>
      <c r="G1053" t="s">
        <v>3017</v>
      </c>
      <c r="H1053" s="6" t="s">
        <v>3068</v>
      </c>
      <c r="I1053" s="6" t="s">
        <v>3070</v>
      </c>
      <c r="J1053" s="6" t="s">
        <v>4126</v>
      </c>
      <c r="K1053" s="9">
        <v>5</v>
      </c>
      <c r="L1053" s="6" t="s">
        <v>4276</v>
      </c>
      <c r="M1053" s="6" t="s">
        <v>4281</v>
      </c>
      <c r="N1053" s="24">
        <v>132.15</v>
      </c>
      <c r="O1053" s="22" t="str">
        <f>IF(Table2[[#This Row],[CouponCode]]="N/A", "Not Used", "Used")</f>
        <v>Used</v>
      </c>
    </row>
    <row r="1054" spans="1:15" x14ac:dyDescent="0.3">
      <c r="A1054" s="6" t="s">
        <v>1066</v>
      </c>
      <c r="B1054" s="2">
        <v>45180</v>
      </c>
      <c r="C1054" s="6" t="s">
        <v>2258</v>
      </c>
      <c r="D1054" s="6" t="s">
        <v>2405</v>
      </c>
      <c r="E1054" s="9">
        <v>1</v>
      </c>
      <c r="F1054" s="24">
        <v>531.74</v>
      </c>
      <c r="G1054" t="s">
        <v>3018</v>
      </c>
      <c r="H1054" s="6" t="s">
        <v>3066</v>
      </c>
      <c r="I1054" s="6" t="s">
        <v>3070</v>
      </c>
      <c r="J1054" s="6" t="s">
        <v>4127</v>
      </c>
      <c r="K1054" s="9">
        <v>1</v>
      </c>
      <c r="L1054" s="6" t="s">
        <v>4277</v>
      </c>
      <c r="M1054" s="6" t="s">
        <v>4282</v>
      </c>
      <c r="N1054" s="24">
        <v>531.74</v>
      </c>
      <c r="O1054" s="22" t="str">
        <f>IF(Table2[[#This Row],[CouponCode]]="N/A", "Not Used", "Used")</f>
        <v>Used</v>
      </c>
    </row>
    <row r="1055" spans="1:15" x14ac:dyDescent="0.3">
      <c r="A1055" s="6" t="s">
        <v>1067</v>
      </c>
      <c r="B1055" s="2">
        <v>45550</v>
      </c>
      <c r="C1055" s="6" t="s">
        <v>2259</v>
      </c>
      <c r="D1055" s="6" t="s">
        <v>2404</v>
      </c>
      <c r="E1055" s="9">
        <v>2</v>
      </c>
      <c r="F1055" s="24">
        <v>496.62</v>
      </c>
      <c r="G1055" t="s">
        <v>2984</v>
      </c>
      <c r="H1055" s="6" t="s">
        <v>3066</v>
      </c>
      <c r="I1055" s="6" t="s">
        <v>3074</v>
      </c>
      <c r="J1055" s="6" t="s">
        <v>4128</v>
      </c>
      <c r="K1055" s="9">
        <v>2</v>
      </c>
      <c r="L1055" s="6" t="s">
        <v>4275</v>
      </c>
      <c r="M1055" s="6" t="s">
        <v>4278</v>
      </c>
      <c r="N1055" s="24">
        <v>993.24</v>
      </c>
      <c r="O1055" s="22" t="str">
        <f>IF(Table2[[#This Row],[CouponCode]]="N/A", "Not Used", "Used")</f>
        <v>Used</v>
      </c>
    </row>
    <row r="1056" spans="1:15" x14ac:dyDescent="0.3">
      <c r="A1056" s="6" t="s">
        <v>1068</v>
      </c>
      <c r="B1056" s="2">
        <v>45259</v>
      </c>
      <c r="C1056" s="6" t="s">
        <v>2260</v>
      </c>
      <c r="D1056" s="6" t="s">
        <v>2407</v>
      </c>
      <c r="E1056" s="9">
        <v>1</v>
      </c>
      <c r="F1056" s="24">
        <v>660.66</v>
      </c>
      <c r="G1056" t="s">
        <v>2490</v>
      </c>
      <c r="H1056" s="6" t="s">
        <v>3065</v>
      </c>
      <c r="I1056" s="6" t="s">
        <v>3073</v>
      </c>
      <c r="J1056" s="6" t="s">
        <v>4129</v>
      </c>
      <c r="K1056" s="9">
        <v>3</v>
      </c>
      <c r="L1056" s="6" t="s">
        <v>4277</v>
      </c>
      <c r="M1056" s="6" t="s">
        <v>4278</v>
      </c>
      <c r="N1056" s="24">
        <v>660.66</v>
      </c>
      <c r="O1056" s="22" t="str">
        <f>IF(Table2[[#This Row],[CouponCode]]="N/A", "Not Used", "Used")</f>
        <v>Used</v>
      </c>
    </row>
    <row r="1057" spans="1:15" x14ac:dyDescent="0.3">
      <c r="A1057" s="6" t="s">
        <v>1069</v>
      </c>
      <c r="B1057" s="2">
        <v>45222</v>
      </c>
      <c r="C1057" s="6" t="s">
        <v>2261</v>
      </c>
      <c r="D1057" s="6" t="s">
        <v>2403</v>
      </c>
      <c r="E1057" s="9">
        <v>4</v>
      </c>
      <c r="F1057" s="24">
        <v>274.82</v>
      </c>
      <c r="G1057" t="s">
        <v>2817</v>
      </c>
      <c r="H1057" s="6" t="s">
        <v>3065</v>
      </c>
      <c r="I1057" s="6" t="s">
        <v>3073</v>
      </c>
      <c r="J1057" s="6" t="s">
        <v>4130</v>
      </c>
      <c r="K1057" s="9">
        <v>9</v>
      </c>
      <c r="L1057" s="6" t="s">
        <v>4277</v>
      </c>
      <c r="M1057" s="6" t="s">
        <v>4280</v>
      </c>
      <c r="N1057" s="24">
        <v>1099.28</v>
      </c>
      <c r="O1057" s="22" t="str">
        <f>IF(Table2[[#This Row],[CouponCode]]="N/A", "Not Used", "Used")</f>
        <v>Used</v>
      </c>
    </row>
    <row r="1058" spans="1:15" x14ac:dyDescent="0.3">
      <c r="A1058" s="6" t="s">
        <v>1070</v>
      </c>
      <c r="B1058" s="2">
        <v>45457</v>
      </c>
      <c r="C1058" s="6" t="s">
        <v>2262</v>
      </c>
      <c r="D1058" s="6" t="s">
        <v>2404</v>
      </c>
      <c r="E1058" s="9">
        <v>2</v>
      </c>
      <c r="F1058" s="24">
        <v>486.35</v>
      </c>
      <c r="G1058" t="s">
        <v>2566</v>
      </c>
      <c r="H1058" s="6" t="s">
        <v>3066</v>
      </c>
      <c r="I1058" s="6" t="s">
        <v>3074</v>
      </c>
      <c r="J1058" s="6" t="s">
        <v>4131</v>
      </c>
      <c r="K1058" s="9">
        <v>6</v>
      </c>
      <c r="L1058" s="6" t="s">
        <v>4275</v>
      </c>
      <c r="M1058" s="6" t="s">
        <v>4279</v>
      </c>
      <c r="N1058" s="24">
        <v>972.7</v>
      </c>
      <c r="O1058" s="22" t="str">
        <f>IF(Table2[[#This Row],[CouponCode]]="N/A", "Not Used", "Used")</f>
        <v>Used</v>
      </c>
    </row>
    <row r="1059" spans="1:15" x14ac:dyDescent="0.3">
      <c r="A1059" s="6" t="s">
        <v>1071</v>
      </c>
      <c r="B1059" s="2">
        <v>45559</v>
      </c>
      <c r="C1059" s="6" t="s">
        <v>2263</v>
      </c>
      <c r="D1059" s="6" t="s">
        <v>2408</v>
      </c>
      <c r="E1059" s="9">
        <v>3</v>
      </c>
      <c r="F1059" s="24">
        <v>428.88</v>
      </c>
      <c r="G1059" t="s">
        <v>2563</v>
      </c>
      <c r="H1059" s="6" t="s">
        <v>3065</v>
      </c>
      <c r="I1059" s="6" t="s">
        <v>3070</v>
      </c>
      <c r="J1059" s="6" t="s">
        <v>4132</v>
      </c>
      <c r="K1059" s="9">
        <v>3</v>
      </c>
      <c r="L1059" s="6" t="s">
        <v>4277</v>
      </c>
      <c r="M1059" s="6" t="s">
        <v>4281</v>
      </c>
      <c r="N1059" s="24">
        <v>1286.6400000000001</v>
      </c>
      <c r="O1059" s="22" t="str">
        <f>IF(Table2[[#This Row],[CouponCode]]="N/A", "Not Used", "Used")</f>
        <v>Used</v>
      </c>
    </row>
    <row r="1060" spans="1:15" x14ac:dyDescent="0.3">
      <c r="A1060" s="6" t="s">
        <v>1072</v>
      </c>
      <c r="B1060" s="2">
        <v>45177</v>
      </c>
      <c r="C1060" s="6" t="s">
        <v>2264</v>
      </c>
      <c r="D1060" s="6" t="s">
        <v>2409</v>
      </c>
      <c r="E1060" s="9">
        <v>2</v>
      </c>
      <c r="F1060" s="24">
        <v>412.14</v>
      </c>
      <c r="G1060" t="s">
        <v>2640</v>
      </c>
      <c r="H1060" s="6" t="s">
        <v>3067</v>
      </c>
      <c r="I1060" s="6" t="s">
        <v>3072</v>
      </c>
      <c r="J1060" s="6" t="s">
        <v>4133</v>
      </c>
      <c r="K1060" s="9">
        <v>2</v>
      </c>
      <c r="L1060" s="6" t="s">
        <v>4276</v>
      </c>
      <c r="M1060" s="6" t="s">
        <v>4278</v>
      </c>
      <c r="N1060" s="24">
        <v>824.28</v>
      </c>
      <c r="O1060" s="22" t="str">
        <f>IF(Table2[[#This Row],[CouponCode]]="N/A", "Not Used", "Used")</f>
        <v>Used</v>
      </c>
    </row>
    <row r="1061" spans="1:15" x14ac:dyDescent="0.3">
      <c r="A1061" s="6" t="s">
        <v>1073</v>
      </c>
      <c r="B1061" s="2">
        <v>45557</v>
      </c>
      <c r="C1061" s="6" t="s">
        <v>2265</v>
      </c>
      <c r="D1061" s="6" t="s">
        <v>2409</v>
      </c>
      <c r="E1061" s="9">
        <v>1</v>
      </c>
      <c r="F1061" s="24">
        <v>265.64</v>
      </c>
      <c r="G1061" t="s">
        <v>3019</v>
      </c>
      <c r="H1061" s="6" t="s">
        <v>3067</v>
      </c>
      <c r="I1061" s="6" t="s">
        <v>3072</v>
      </c>
      <c r="J1061" s="6" t="s">
        <v>4134</v>
      </c>
      <c r="K1061" s="9">
        <v>3</v>
      </c>
      <c r="L1061" s="6" t="s">
        <v>4277</v>
      </c>
      <c r="M1061" s="6" t="s">
        <v>4278</v>
      </c>
      <c r="N1061" s="24">
        <v>265.64</v>
      </c>
      <c r="O1061" s="22" t="str">
        <f>IF(Table2[[#This Row],[CouponCode]]="N/A", "Not Used", "Used")</f>
        <v>Used</v>
      </c>
    </row>
    <row r="1062" spans="1:15" x14ac:dyDescent="0.3">
      <c r="A1062" s="6" t="s">
        <v>1074</v>
      </c>
      <c r="B1062" s="2">
        <v>45419</v>
      </c>
      <c r="C1062" s="6" t="s">
        <v>2266</v>
      </c>
      <c r="D1062" s="6" t="s">
        <v>2405</v>
      </c>
      <c r="E1062" s="9">
        <v>2</v>
      </c>
      <c r="F1062" s="24">
        <v>273.43</v>
      </c>
      <c r="G1062" t="s">
        <v>2702</v>
      </c>
      <c r="H1062" s="6" t="s">
        <v>3069</v>
      </c>
      <c r="I1062" s="6" t="s">
        <v>3070</v>
      </c>
      <c r="J1062" s="6" t="s">
        <v>4135</v>
      </c>
      <c r="K1062" s="9">
        <v>7</v>
      </c>
      <c r="L1062" s="6" t="s">
        <v>4277</v>
      </c>
      <c r="M1062" s="6" t="s">
        <v>4279</v>
      </c>
      <c r="N1062" s="24">
        <v>546.86</v>
      </c>
      <c r="O1062" s="22" t="str">
        <f>IF(Table2[[#This Row],[CouponCode]]="N/A", "Not Used", "Used")</f>
        <v>Used</v>
      </c>
    </row>
    <row r="1063" spans="1:15" x14ac:dyDescent="0.3">
      <c r="A1063" s="6" t="s">
        <v>1075</v>
      </c>
      <c r="B1063" s="2">
        <v>45686</v>
      </c>
      <c r="C1063" s="6" t="s">
        <v>2267</v>
      </c>
      <c r="D1063" s="6" t="s">
        <v>2408</v>
      </c>
      <c r="E1063" s="9">
        <v>5</v>
      </c>
      <c r="F1063" s="24">
        <v>131.69999999999999</v>
      </c>
      <c r="G1063" t="s">
        <v>2442</v>
      </c>
      <c r="H1063" s="6" t="s">
        <v>3069</v>
      </c>
      <c r="I1063" s="6" t="s">
        <v>3070</v>
      </c>
      <c r="J1063" s="6" t="s">
        <v>4136</v>
      </c>
      <c r="K1063" s="9">
        <v>8</v>
      </c>
      <c r="L1063" s="6" t="s">
        <v>4276</v>
      </c>
      <c r="M1063" s="6" t="s">
        <v>4282</v>
      </c>
      <c r="N1063" s="24">
        <v>658.5</v>
      </c>
      <c r="O1063" s="22" t="str">
        <f>IF(Table2[[#This Row],[CouponCode]]="N/A", "Not Used", "Used")</f>
        <v>Used</v>
      </c>
    </row>
    <row r="1064" spans="1:15" x14ac:dyDescent="0.3">
      <c r="A1064" s="6" t="s">
        <v>1076</v>
      </c>
      <c r="B1064" s="2">
        <v>45161</v>
      </c>
      <c r="C1064" s="6" t="s">
        <v>2268</v>
      </c>
      <c r="D1064" s="6" t="s">
        <v>2406</v>
      </c>
      <c r="E1064" s="9">
        <v>5</v>
      </c>
      <c r="F1064" s="24">
        <v>85.52</v>
      </c>
      <c r="G1064" t="s">
        <v>2676</v>
      </c>
      <c r="H1064" s="6" t="s">
        <v>3068</v>
      </c>
      <c r="I1064" s="6" t="s">
        <v>3071</v>
      </c>
      <c r="J1064" s="6" t="s">
        <v>4137</v>
      </c>
      <c r="K1064" s="9">
        <v>5</v>
      </c>
      <c r="L1064" s="6" t="s">
        <v>4283</v>
      </c>
      <c r="M1064" s="6" t="s">
        <v>4281</v>
      </c>
      <c r="N1064" s="24">
        <v>427.6</v>
      </c>
      <c r="O1064" s="22" t="str">
        <f>IF(Table2[[#This Row],[CouponCode]]="N/A", "Not Used", "Used")</f>
        <v>Not Used</v>
      </c>
    </row>
    <row r="1065" spans="1:15" x14ac:dyDescent="0.3">
      <c r="A1065" s="6" t="s">
        <v>1077</v>
      </c>
      <c r="B1065" s="2">
        <v>45462</v>
      </c>
      <c r="C1065" s="6" t="s">
        <v>2269</v>
      </c>
      <c r="D1065" s="6" t="s">
        <v>2409</v>
      </c>
      <c r="E1065" s="9">
        <v>2</v>
      </c>
      <c r="F1065" s="24">
        <v>320.68</v>
      </c>
      <c r="G1065" t="s">
        <v>2564</v>
      </c>
      <c r="H1065" s="6" t="s">
        <v>3067</v>
      </c>
      <c r="I1065" s="6" t="s">
        <v>3070</v>
      </c>
      <c r="J1065" s="6" t="s">
        <v>4138</v>
      </c>
      <c r="K1065" s="9">
        <v>5</v>
      </c>
      <c r="L1065" s="6" t="s">
        <v>4276</v>
      </c>
      <c r="M1065" s="6" t="s">
        <v>4279</v>
      </c>
      <c r="N1065" s="24">
        <v>641.36</v>
      </c>
      <c r="O1065" s="22" t="str">
        <f>IF(Table2[[#This Row],[CouponCode]]="N/A", "Not Used", "Used")</f>
        <v>Used</v>
      </c>
    </row>
    <row r="1066" spans="1:15" x14ac:dyDescent="0.3">
      <c r="A1066" s="6" t="s">
        <v>1078</v>
      </c>
      <c r="B1066" s="2">
        <v>45700</v>
      </c>
      <c r="C1066" s="6" t="s">
        <v>2270</v>
      </c>
      <c r="D1066" s="6" t="s">
        <v>2408</v>
      </c>
      <c r="E1066" s="9">
        <v>4</v>
      </c>
      <c r="F1066" s="24">
        <v>198.81</v>
      </c>
      <c r="G1066" t="s">
        <v>2646</v>
      </c>
      <c r="H1066" s="6" t="s">
        <v>3069</v>
      </c>
      <c r="I1066" s="6" t="s">
        <v>3072</v>
      </c>
      <c r="J1066" s="6" t="s">
        <v>4139</v>
      </c>
      <c r="K1066" s="9">
        <v>9</v>
      </c>
      <c r="L1066" s="6" t="s">
        <v>4276</v>
      </c>
      <c r="M1066" s="6" t="s">
        <v>4279</v>
      </c>
      <c r="N1066" s="24">
        <v>795.24</v>
      </c>
      <c r="O1066" s="22" t="str">
        <f>IF(Table2[[#This Row],[CouponCode]]="N/A", "Not Used", "Used")</f>
        <v>Used</v>
      </c>
    </row>
    <row r="1067" spans="1:15" x14ac:dyDescent="0.3">
      <c r="A1067" s="6" t="s">
        <v>1079</v>
      </c>
      <c r="B1067" s="2">
        <v>45229</v>
      </c>
      <c r="C1067" s="6" t="s">
        <v>2271</v>
      </c>
      <c r="D1067" s="6" t="s">
        <v>2407</v>
      </c>
      <c r="E1067" s="9">
        <v>5</v>
      </c>
      <c r="F1067" s="24">
        <v>666.8</v>
      </c>
      <c r="G1067" t="s">
        <v>2746</v>
      </c>
      <c r="H1067" s="6" t="s">
        <v>3065</v>
      </c>
      <c r="I1067" s="6" t="s">
        <v>3073</v>
      </c>
      <c r="J1067" s="6" t="s">
        <v>4140</v>
      </c>
      <c r="K1067" s="9">
        <v>7</v>
      </c>
      <c r="L1067" s="6" t="s">
        <v>4275</v>
      </c>
      <c r="M1067" s="6" t="s">
        <v>4279</v>
      </c>
      <c r="N1067" s="24">
        <v>3334</v>
      </c>
      <c r="O1067" s="22" t="str">
        <f>IF(Table2[[#This Row],[CouponCode]]="N/A", "Not Used", "Used")</f>
        <v>Used</v>
      </c>
    </row>
    <row r="1068" spans="1:15" x14ac:dyDescent="0.3">
      <c r="A1068" s="6" t="s">
        <v>1080</v>
      </c>
      <c r="B1068" s="2">
        <v>45280</v>
      </c>
      <c r="C1068" s="6" t="s">
        <v>2272</v>
      </c>
      <c r="D1068" s="6" t="s">
        <v>2409</v>
      </c>
      <c r="E1068" s="9">
        <v>1</v>
      </c>
      <c r="F1068" s="24">
        <v>355.09</v>
      </c>
      <c r="G1068" t="s">
        <v>2878</v>
      </c>
      <c r="H1068" s="6" t="s">
        <v>3065</v>
      </c>
      <c r="I1068" s="6" t="s">
        <v>3071</v>
      </c>
      <c r="J1068" s="6" t="s">
        <v>4141</v>
      </c>
      <c r="K1068" s="9">
        <v>5</v>
      </c>
      <c r="L1068" s="6" t="s">
        <v>4275</v>
      </c>
      <c r="M1068" s="6" t="s">
        <v>4278</v>
      </c>
      <c r="N1068" s="24">
        <v>355.09</v>
      </c>
      <c r="O1068" s="22" t="str">
        <f>IF(Table2[[#This Row],[CouponCode]]="N/A", "Not Used", "Used")</f>
        <v>Used</v>
      </c>
    </row>
    <row r="1069" spans="1:15" x14ac:dyDescent="0.3">
      <c r="A1069" s="6" t="s">
        <v>1081</v>
      </c>
      <c r="B1069" s="2">
        <v>45083</v>
      </c>
      <c r="C1069" s="6" t="s">
        <v>2273</v>
      </c>
      <c r="D1069" s="6" t="s">
        <v>2404</v>
      </c>
      <c r="E1069" s="9">
        <v>2</v>
      </c>
      <c r="F1069" s="24">
        <v>316.2</v>
      </c>
      <c r="G1069" t="s">
        <v>2475</v>
      </c>
      <c r="H1069" s="6" t="s">
        <v>3066</v>
      </c>
      <c r="I1069" s="6" t="s">
        <v>3072</v>
      </c>
      <c r="J1069" s="6" t="s">
        <v>4142</v>
      </c>
      <c r="K1069" s="9">
        <v>2</v>
      </c>
      <c r="L1069" s="6" t="s">
        <v>4283</v>
      </c>
      <c r="M1069" s="6" t="s">
        <v>4278</v>
      </c>
      <c r="N1069" s="24">
        <v>632.4</v>
      </c>
      <c r="O1069" s="22" t="str">
        <f>IF(Table2[[#This Row],[CouponCode]]="N/A", "Not Used", "Used")</f>
        <v>Not Used</v>
      </c>
    </row>
    <row r="1070" spans="1:15" x14ac:dyDescent="0.3">
      <c r="A1070" s="6" t="s">
        <v>1082</v>
      </c>
      <c r="B1070" s="2">
        <v>45507</v>
      </c>
      <c r="C1070" s="6" t="s">
        <v>2274</v>
      </c>
      <c r="D1070" s="6" t="s">
        <v>2408</v>
      </c>
      <c r="E1070" s="9">
        <v>1</v>
      </c>
      <c r="F1070" s="24">
        <v>133.38999999999999</v>
      </c>
      <c r="G1070" t="s">
        <v>3020</v>
      </c>
      <c r="H1070" s="6" t="s">
        <v>3065</v>
      </c>
      <c r="I1070" s="6" t="s">
        <v>3070</v>
      </c>
      <c r="J1070" s="6" t="s">
        <v>4143</v>
      </c>
      <c r="K1070" s="9">
        <v>2</v>
      </c>
      <c r="L1070" s="6" t="s">
        <v>4275</v>
      </c>
      <c r="M1070" s="6" t="s">
        <v>4279</v>
      </c>
      <c r="N1070" s="24">
        <v>133.38999999999999</v>
      </c>
      <c r="O1070" s="22" t="str">
        <f>IF(Table2[[#This Row],[CouponCode]]="N/A", "Not Used", "Used")</f>
        <v>Used</v>
      </c>
    </row>
    <row r="1071" spans="1:15" x14ac:dyDescent="0.3">
      <c r="A1071" s="6" t="s">
        <v>1083</v>
      </c>
      <c r="B1071" s="2">
        <v>44982</v>
      </c>
      <c r="C1071" s="6" t="s">
        <v>2275</v>
      </c>
      <c r="D1071" s="6" t="s">
        <v>2403</v>
      </c>
      <c r="E1071" s="9">
        <v>1</v>
      </c>
      <c r="F1071" s="24">
        <v>454.23</v>
      </c>
      <c r="G1071" t="s">
        <v>2617</v>
      </c>
      <c r="H1071" s="6" t="s">
        <v>3068</v>
      </c>
      <c r="I1071" s="6" t="s">
        <v>3072</v>
      </c>
      <c r="J1071" s="6" t="s">
        <v>4144</v>
      </c>
      <c r="K1071" s="9">
        <v>3</v>
      </c>
      <c r="L1071" s="6" t="s">
        <v>4283</v>
      </c>
      <c r="M1071" s="6" t="s">
        <v>4281</v>
      </c>
      <c r="N1071" s="24">
        <v>454.23</v>
      </c>
      <c r="O1071" s="22" t="str">
        <f>IF(Table2[[#This Row],[CouponCode]]="N/A", "Not Used", "Used")</f>
        <v>Not Used</v>
      </c>
    </row>
    <row r="1072" spans="1:15" x14ac:dyDescent="0.3">
      <c r="A1072" s="6" t="s">
        <v>1084</v>
      </c>
      <c r="B1072" s="2">
        <v>45541</v>
      </c>
      <c r="C1072" s="6" t="s">
        <v>2276</v>
      </c>
      <c r="D1072" s="6" t="s">
        <v>2409</v>
      </c>
      <c r="E1072" s="9">
        <v>4</v>
      </c>
      <c r="F1072" s="24">
        <v>491.29</v>
      </c>
      <c r="G1072" t="s">
        <v>2485</v>
      </c>
      <c r="H1072" s="6" t="s">
        <v>3065</v>
      </c>
      <c r="I1072" s="6" t="s">
        <v>3074</v>
      </c>
      <c r="J1072" s="6" t="s">
        <v>4145</v>
      </c>
      <c r="K1072" s="9">
        <v>6</v>
      </c>
      <c r="L1072" s="6" t="s">
        <v>4283</v>
      </c>
      <c r="M1072" s="6" t="s">
        <v>4280</v>
      </c>
      <c r="N1072" s="24">
        <v>1965.16</v>
      </c>
      <c r="O1072" s="22" t="str">
        <f>IF(Table2[[#This Row],[CouponCode]]="N/A", "Not Used", "Used")</f>
        <v>Not Used</v>
      </c>
    </row>
    <row r="1073" spans="1:15" x14ac:dyDescent="0.3">
      <c r="A1073" s="6" t="s">
        <v>1085</v>
      </c>
      <c r="B1073" s="2">
        <v>45832</v>
      </c>
      <c r="C1073" s="6" t="s">
        <v>2277</v>
      </c>
      <c r="D1073" s="6" t="s">
        <v>2404</v>
      </c>
      <c r="E1073" s="9">
        <v>2</v>
      </c>
      <c r="F1073" s="24">
        <v>255.14</v>
      </c>
      <c r="G1073" t="s">
        <v>2717</v>
      </c>
      <c r="H1073" s="6" t="s">
        <v>3069</v>
      </c>
      <c r="I1073" s="6" t="s">
        <v>3070</v>
      </c>
      <c r="J1073" s="6" t="s">
        <v>4146</v>
      </c>
      <c r="K1073" s="9">
        <v>2</v>
      </c>
      <c r="L1073" s="6" t="s">
        <v>4283</v>
      </c>
      <c r="M1073" s="6" t="s">
        <v>4282</v>
      </c>
      <c r="N1073" s="24">
        <v>510.28</v>
      </c>
      <c r="O1073" s="22" t="str">
        <f>IF(Table2[[#This Row],[CouponCode]]="N/A", "Not Used", "Used")</f>
        <v>Not Used</v>
      </c>
    </row>
    <row r="1074" spans="1:15" x14ac:dyDescent="0.3">
      <c r="A1074" s="6" t="s">
        <v>1086</v>
      </c>
      <c r="B1074" s="2">
        <v>44983</v>
      </c>
      <c r="C1074" s="6" t="s">
        <v>2278</v>
      </c>
      <c r="D1074" s="6" t="s">
        <v>2403</v>
      </c>
      <c r="E1074" s="9">
        <v>1</v>
      </c>
      <c r="F1074" s="24">
        <v>392.61</v>
      </c>
      <c r="G1074" t="s">
        <v>2635</v>
      </c>
      <c r="H1074" s="6" t="s">
        <v>3068</v>
      </c>
      <c r="I1074" s="6" t="s">
        <v>3071</v>
      </c>
      <c r="J1074" s="6" t="s">
        <v>4147</v>
      </c>
      <c r="K1074" s="9">
        <v>4</v>
      </c>
      <c r="L1074" s="6" t="s">
        <v>4275</v>
      </c>
      <c r="M1074" s="6" t="s">
        <v>4279</v>
      </c>
      <c r="N1074" s="24">
        <v>392.61</v>
      </c>
      <c r="O1074" s="22" t="str">
        <f>IF(Table2[[#This Row],[CouponCode]]="N/A", "Not Used", "Used")</f>
        <v>Used</v>
      </c>
    </row>
    <row r="1075" spans="1:15" x14ac:dyDescent="0.3">
      <c r="A1075" s="6" t="s">
        <v>1087</v>
      </c>
      <c r="B1075" s="2">
        <v>45576</v>
      </c>
      <c r="C1075" s="6" t="s">
        <v>2279</v>
      </c>
      <c r="D1075" s="6" t="s">
        <v>2405</v>
      </c>
      <c r="E1075" s="9">
        <v>4</v>
      </c>
      <c r="F1075" s="24">
        <v>362.06</v>
      </c>
      <c r="G1075" t="s">
        <v>2631</v>
      </c>
      <c r="H1075" s="6" t="s">
        <v>3065</v>
      </c>
      <c r="I1075" s="6" t="s">
        <v>3072</v>
      </c>
      <c r="J1075" s="6" t="s">
        <v>4148</v>
      </c>
      <c r="K1075" s="9">
        <v>4</v>
      </c>
      <c r="L1075" s="6" t="s">
        <v>4283</v>
      </c>
      <c r="M1075" s="6" t="s">
        <v>4281</v>
      </c>
      <c r="N1075" s="24">
        <v>1448.24</v>
      </c>
      <c r="O1075" s="22" t="str">
        <f>IF(Table2[[#This Row],[CouponCode]]="N/A", "Not Used", "Used")</f>
        <v>Not Used</v>
      </c>
    </row>
    <row r="1076" spans="1:15" x14ac:dyDescent="0.3">
      <c r="A1076" s="6" t="s">
        <v>1088</v>
      </c>
      <c r="B1076" s="2">
        <v>45422</v>
      </c>
      <c r="C1076" s="6" t="s">
        <v>2280</v>
      </c>
      <c r="D1076" s="6" t="s">
        <v>2404</v>
      </c>
      <c r="E1076" s="9">
        <v>1</v>
      </c>
      <c r="F1076" s="24">
        <v>222.73</v>
      </c>
      <c r="G1076" t="s">
        <v>3021</v>
      </c>
      <c r="H1076" s="6" t="s">
        <v>3066</v>
      </c>
      <c r="I1076" s="6" t="s">
        <v>3072</v>
      </c>
      <c r="J1076" s="6" t="s">
        <v>4149</v>
      </c>
      <c r="K1076" s="9">
        <v>4</v>
      </c>
      <c r="L1076" s="6" t="s">
        <v>4283</v>
      </c>
      <c r="M1076" s="6" t="s">
        <v>4282</v>
      </c>
      <c r="N1076" s="24">
        <v>222.73</v>
      </c>
      <c r="O1076" s="22" t="str">
        <f>IF(Table2[[#This Row],[CouponCode]]="N/A", "Not Used", "Used")</f>
        <v>Not Used</v>
      </c>
    </row>
    <row r="1077" spans="1:15" x14ac:dyDescent="0.3">
      <c r="A1077" s="6" t="s">
        <v>1089</v>
      </c>
      <c r="B1077" s="2">
        <v>45535</v>
      </c>
      <c r="C1077" s="6" t="s">
        <v>2281</v>
      </c>
      <c r="D1077" s="6" t="s">
        <v>2403</v>
      </c>
      <c r="E1077" s="9">
        <v>2</v>
      </c>
      <c r="F1077" s="24">
        <v>552.63</v>
      </c>
      <c r="G1077" t="s">
        <v>2591</v>
      </c>
      <c r="H1077" s="6" t="s">
        <v>3065</v>
      </c>
      <c r="I1077" s="6" t="s">
        <v>3073</v>
      </c>
      <c r="J1077" s="6" t="s">
        <v>4150</v>
      </c>
      <c r="K1077" s="9">
        <v>7</v>
      </c>
      <c r="L1077" s="6" t="s">
        <v>4277</v>
      </c>
      <c r="M1077" s="6" t="s">
        <v>4278</v>
      </c>
      <c r="N1077" s="24">
        <v>1105.26</v>
      </c>
      <c r="O1077" s="22" t="str">
        <f>IF(Table2[[#This Row],[CouponCode]]="N/A", "Not Used", "Used")</f>
        <v>Used</v>
      </c>
    </row>
    <row r="1078" spans="1:15" x14ac:dyDescent="0.3">
      <c r="A1078" s="6" t="s">
        <v>1090</v>
      </c>
      <c r="B1078" s="2">
        <v>45054</v>
      </c>
      <c r="C1078" s="6" t="s">
        <v>2282</v>
      </c>
      <c r="D1078" s="6" t="s">
        <v>2408</v>
      </c>
      <c r="E1078" s="9">
        <v>4</v>
      </c>
      <c r="F1078" s="24">
        <v>686.61</v>
      </c>
      <c r="G1078" t="s">
        <v>3005</v>
      </c>
      <c r="H1078" s="6" t="s">
        <v>3069</v>
      </c>
      <c r="I1078" s="6" t="s">
        <v>3070</v>
      </c>
      <c r="J1078" s="6" t="s">
        <v>4151</v>
      </c>
      <c r="K1078" s="9">
        <v>6</v>
      </c>
      <c r="L1078" s="6" t="s">
        <v>4283</v>
      </c>
      <c r="M1078" s="6" t="s">
        <v>4279</v>
      </c>
      <c r="N1078" s="24">
        <v>2746.44</v>
      </c>
      <c r="O1078" s="22" t="str">
        <f>IF(Table2[[#This Row],[CouponCode]]="N/A", "Not Used", "Used")</f>
        <v>Not Used</v>
      </c>
    </row>
    <row r="1079" spans="1:15" x14ac:dyDescent="0.3">
      <c r="A1079" s="6" t="s">
        <v>1091</v>
      </c>
      <c r="B1079" s="2">
        <v>45723</v>
      </c>
      <c r="C1079" s="6" t="s">
        <v>2283</v>
      </c>
      <c r="D1079" s="6" t="s">
        <v>2407</v>
      </c>
      <c r="E1079" s="9">
        <v>3</v>
      </c>
      <c r="F1079" s="24">
        <v>305.16000000000003</v>
      </c>
      <c r="G1079" t="s">
        <v>2517</v>
      </c>
      <c r="H1079" s="6" t="s">
        <v>3067</v>
      </c>
      <c r="I1079" s="6" t="s">
        <v>3071</v>
      </c>
      <c r="J1079" s="6" t="s">
        <v>4152</v>
      </c>
      <c r="K1079" s="9">
        <v>8</v>
      </c>
      <c r="L1079" s="6" t="s">
        <v>4275</v>
      </c>
      <c r="M1079" s="6" t="s">
        <v>4279</v>
      </c>
      <c r="N1079" s="24">
        <v>915.48</v>
      </c>
      <c r="O1079" s="22" t="str">
        <f>IF(Table2[[#This Row],[CouponCode]]="N/A", "Not Used", "Used")</f>
        <v>Used</v>
      </c>
    </row>
    <row r="1080" spans="1:15" x14ac:dyDescent="0.3">
      <c r="A1080" s="6" t="s">
        <v>1092</v>
      </c>
      <c r="B1080" s="2">
        <v>45003</v>
      </c>
      <c r="C1080" s="6" t="s">
        <v>2284</v>
      </c>
      <c r="D1080" s="6" t="s">
        <v>2409</v>
      </c>
      <c r="E1080" s="9">
        <v>1</v>
      </c>
      <c r="F1080" s="24">
        <v>41.09</v>
      </c>
      <c r="G1080" t="s">
        <v>2437</v>
      </c>
      <c r="H1080" s="6" t="s">
        <v>3066</v>
      </c>
      <c r="I1080" s="6" t="s">
        <v>3072</v>
      </c>
      <c r="J1080" s="6" t="s">
        <v>4153</v>
      </c>
      <c r="K1080" s="9">
        <v>4</v>
      </c>
      <c r="L1080" s="6" t="s">
        <v>4277</v>
      </c>
      <c r="M1080" s="6" t="s">
        <v>4280</v>
      </c>
      <c r="N1080" s="24">
        <v>41.09</v>
      </c>
      <c r="O1080" s="22" t="str">
        <f>IF(Table2[[#This Row],[CouponCode]]="N/A", "Not Used", "Used")</f>
        <v>Used</v>
      </c>
    </row>
    <row r="1081" spans="1:15" x14ac:dyDescent="0.3">
      <c r="A1081" s="6" t="s">
        <v>1093</v>
      </c>
      <c r="B1081" s="2">
        <v>45463</v>
      </c>
      <c r="C1081" s="6" t="s">
        <v>2285</v>
      </c>
      <c r="D1081" s="6" t="s">
        <v>2404</v>
      </c>
      <c r="E1081" s="9">
        <v>5</v>
      </c>
      <c r="F1081" s="24">
        <v>634</v>
      </c>
      <c r="G1081" t="s">
        <v>2980</v>
      </c>
      <c r="H1081" s="6" t="s">
        <v>3068</v>
      </c>
      <c r="I1081" s="6" t="s">
        <v>3073</v>
      </c>
      <c r="J1081" s="6" t="s">
        <v>4154</v>
      </c>
      <c r="K1081" s="9">
        <v>8</v>
      </c>
      <c r="L1081" s="6" t="s">
        <v>4283</v>
      </c>
      <c r="M1081" s="6" t="s">
        <v>4280</v>
      </c>
      <c r="N1081" s="24">
        <v>3170</v>
      </c>
      <c r="O1081" s="22" t="str">
        <f>IF(Table2[[#This Row],[CouponCode]]="N/A", "Not Used", "Used")</f>
        <v>Not Used</v>
      </c>
    </row>
    <row r="1082" spans="1:15" x14ac:dyDescent="0.3">
      <c r="A1082" s="6" t="s">
        <v>1094</v>
      </c>
      <c r="B1082" s="2">
        <v>44946</v>
      </c>
      <c r="C1082" s="6" t="s">
        <v>2286</v>
      </c>
      <c r="D1082" s="6" t="s">
        <v>2408</v>
      </c>
      <c r="E1082" s="9">
        <v>5</v>
      </c>
      <c r="F1082" s="24">
        <v>464.74</v>
      </c>
      <c r="G1082" t="s">
        <v>3022</v>
      </c>
      <c r="H1082" s="6" t="s">
        <v>3068</v>
      </c>
      <c r="I1082" s="6" t="s">
        <v>3073</v>
      </c>
      <c r="J1082" s="6" t="s">
        <v>4155</v>
      </c>
      <c r="K1082" s="9">
        <v>7</v>
      </c>
      <c r="L1082" s="6" t="s">
        <v>4283</v>
      </c>
      <c r="M1082" s="6" t="s">
        <v>4279</v>
      </c>
      <c r="N1082" s="24">
        <v>2323.6999999999998</v>
      </c>
      <c r="O1082" s="22" t="str">
        <f>IF(Table2[[#This Row],[CouponCode]]="N/A", "Not Used", "Used")</f>
        <v>Not Used</v>
      </c>
    </row>
    <row r="1083" spans="1:15" x14ac:dyDescent="0.3">
      <c r="A1083" s="6" t="s">
        <v>1095</v>
      </c>
      <c r="B1083" s="2">
        <v>45037</v>
      </c>
      <c r="C1083" s="6" t="s">
        <v>2287</v>
      </c>
      <c r="D1083" s="6" t="s">
        <v>2403</v>
      </c>
      <c r="E1083" s="9">
        <v>4</v>
      </c>
      <c r="F1083" s="24">
        <v>425.6</v>
      </c>
      <c r="G1083" t="s">
        <v>2704</v>
      </c>
      <c r="H1083" s="6" t="s">
        <v>3067</v>
      </c>
      <c r="I1083" s="6" t="s">
        <v>3074</v>
      </c>
      <c r="J1083" s="6" t="s">
        <v>4156</v>
      </c>
      <c r="K1083" s="9">
        <v>5</v>
      </c>
      <c r="L1083" s="6" t="s">
        <v>4276</v>
      </c>
      <c r="M1083" s="6" t="s">
        <v>4282</v>
      </c>
      <c r="N1083" s="24">
        <v>1702.4</v>
      </c>
      <c r="O1083" s="22" t="str">
        <f>IF(Table2[[#This Row],[CouponCode]]="N/A", "Not Used", "Used")</f>
        <v>Used</v>
      </c>
    </row>
    <row r="1084" spans="1:15" x14ac:dyDescent="0.3">
      <c r="A1084" s="6" t="s">
        <v>1096</v>
      </c>
      <c r="B1084" s="2">
        <v>45205</v>
      </c>
      <c r="C1084" s="6" t="s">
        <v>2288</v>
      </c>
      <c r="D1084" s="6" t="s">
        <v>2406</v>
      </c>
      <c r="E1084" s="9">
        <v>3</v>
      </c>
      <c r="F1084" s="24">
        <v>573.22</v>
      </c>
      <c r="G1084" t="s">
        <v>3011</v>
      </c>
      <c r="H1084" s="6" t="s">
        <v>3065</v>
      </c>
      <c r="I1084" s="6" t="s">
        <v>3074</v>
      </c>
      <c r="J1084" s="6" t="s">
        <v>4157</v>
      </c>
      <c r="K1084" s="9">
        <v>5</v>
      </c>
      <c r="L1084" s="6" t="s">
        <v>4275</v>
      </c>
      <c r="M1084" s="6" t="s">
        <v>4280</v>
      </c>
      <c r="N1084" s="24">
        <v>1719.66</v>
      </c>
      <c r="O1084" s="22" t="str">
        <f>IF(Table2[[#This Row],[CouponCode]]="N/A", "Not Used", "Used")</f>
        <v>Used</v>
      </c>
    </row>
    <row r="1085" spans="1:15" x14ac:dyDescent="0.3">
      <c r="A1085" s="6" t="s">
        <v>1097</v>
      </c>
      <c r="B1085" s="2">
        <v>45482</v>
      </c>
      <c r="C1085" s="6" t="s">
        <v>2289</v>
      </c>
      <c r="D1085" s="6" t="s">
        <v>2406</v>
      </c>
      <c r="E1085" s="9">
        <v>1</v>
      </c>
      <c r="F1085" s="24">
        <v>123.28</v>
      </c>
      <c r="G1085" t="s">
        <v>2440</v>
      </c>
      <c r="H1085" s="6" t="s">
        <v>3067</v>
      </c>
      <c r="I1085" s="6" t="s">
        <v>3073</v>
      </c>
      <c r="J1085" s="6" t="s">
        <v>4158</v>
      </c>
      <c r="K1085" s="9">
        <v>3</v>
      </c>
      <c r="L1085" s="6" t="s">
        <v>4275</v>
      </c>
      <c r="M1085" s="6" t="s">
        <v>4280</v>
      </c>
      <c r="N1085" s="24">
        <v>123.28</v>
      </c>
      <c r="O1085" s="22" t="str">
        <f>IF(Table2[[#This Row],[CouponCode]]="N/A", "Not Used", "Used")</f>
        <v>Used</v>
      </c>
    </row>
    <row r="1086" spans="1:15" x14ac:dyDescent="0.3">
      <c r="A1086" s="6" t="s">
        <v>1098</v>
      </c>
      <c r="B1086" s="2">
        <v>44934</v>
      </c>
      <c r="C1086" s="6" t="s">
        <v>2290</v>
      </c>
      <c r="D1086" s="6" t="s">
        <v>2404</v>
      </c>
      <c r="E1086" s="9">
        <v>1</v>
      </c>
      <c r="F1086" s="24">
        <v>70.819999999999993</v>
      </c>
      <c r="G1086" t="s">
        <v>2445</v>
      </c>
      <c r="H1086" s="6" t="s">
        <v>3068</v>
      </c>
      <c r="I1086" s="6" t="s">
        <v>3074</v>
      </c>
      <c r="J1086" s="6" t="s">
        <v>4159</v>
      </c>
      <c r="K1086" s="9">
        <v>1</v>
      </c>
      <c r="L1086" s="6" t="s">
        <v>4277</v>
      </c>
      <c r="M1086" s="6" t="s">
        <v>4278</v>
      </c>
      <c r="N1086" s="24">
        <v>70.819999999999993</v>
      </c>
      <c r="O1086" s="22" t="str">
        <f>IF(Table2[[#This Row],[CouponCode]]="N/A", "Not Used", "Used")</f>
        <v>Used</v>
      </c>
    </row>
    <row r="1087" spans="1:15" x14ac:dyDescent="0.3">
      <c r="A1087" s="6" t="s">
        <v>1099</v>
      </c>
      <c r="B1087" s="2">
        <v>45067</v>
      </c>
      <c r="C1087" s="6" t="s">
        <v>2291</v>
      </c>
      <c r="D1087" s="6" t="s">
        <v>2407</v>
      </c>
      <c r="E1087" s="9">
        <v>2</v>
      </c>
      <c r="F1087" s="24">
        <v>646.69000000000005</v>
      </c>
      <c r="G1087" t="s">
        <v>2545</v>
      </c>
      <c r="H1087" s="6" t="s">
        <v>3065</v>
      </c>
      <c r="I1087" s="6" t="s">
        <v>3070</v>
      </c>
      <c r="J1087" s="6" t="s">
        <v>4160</v>
      </c>
      <c r="K1087" s="9">
        <v>7</v>
      </c>
      <c r="L1087" s="6" t="s">
        <v>4277</v>
      </c>
      <c r="M1087" s="6" t="s">
        <v>4278</v>
      </c>
      <c r="N1087" s="24">
        <v>1293.3800000000001</v>
      </c>
      <c r="O1087" s="22" t="str">
        <f>IF(Table2[[#This Row],[CouponCode]]="N/A", "Not Used", "Used")</f>
        <v>Used</v>
      </c>
    </row>
    <row r="1088" spans="1:15" x14ac:dyDescent="0.3">
      <c r="A1088" s="6" t="s">
        <v>1100</v>
      </c>
      <c r="B1088" s="2">
        <v>45283</v>
      </c>
      <c r="C1088" s="6" t="s">
        <v>2292</v>
      </c>
      <c r="D1088" s="6" t="s">
        <v>2405</v>
      </c>
      <c r="E1088" s="9">
        <v>2</v>
      </c>
      <c r="F1088" s="24">
        <v>513.41999999999996</v>
      </c>
      <c r="G1088" t="s">
        <v>3023</v>
      </c>
      <c r="H1088" s="6" t="s">
        <v>3066</v>
      </c>
      <c r="I1088" s="6" t="s">
        <v>3074</v>
      </c>
      <c r="J1088" s="6" t="s">
        <v>4161</v>
      </c>
      <c r="K1088" s="9">
        <v>5</v>
      </c>
      <c r="L1088" s="6" t="s">
        <v>4277</v>
      </c>
      <c r="M1088" s="6" t="s">
        <v>4278</v>
      </c>
      <c r="N1088" s="24">
        <v>1026.8399999999999</v>
      </c>
      <c r="O1088" s="22" t="str">
        <f>IF(Table2[[#This Row],[CouponCode]]="N/A", "Not Used", "Used")</f>
        <v>Used</v>
      </c>
    </row>
    <row r="1089" spans="1:15" x14ac:dyDescent="0.3">
      <c r="A1089" s="6" t="s">
        <v>1101</v>
      </c>
      <c r="B1089" s="2">
        <v>45739</v>
      </c>
      <c r="C1089" s="6" t="s">
        <v>2293</v>
      </c>
      <c r="D1089" s="6" t="s">
        <v>2408</v>
      </c>
      <c r="E1089" s="9">
        <v>4</v>
      </c>
      <c r="F1089" s="24">
        <v>693.07</v>
      </c>
      <c r="G1089" t="s">
        <v>3024</v>
      </c>
      <c r="H1089" s="6" t="s">
        <v>3066</v>
      </c>
      <c r="I1089" s="6" t="s">
        <v>3070</v>
      </c>
      <c r="J1089" s="6" t="s">
        <v>4162</v>
      </c>
      <c r="K1089" s="9">
        <v>8</v>
      </c>
      <c r="L1089" s="6" t="s">
        <v>4275</v>
      </c>
      <c r="M1089" s="6" t="s">
        <v>4278</v>
      </c>
      <c r="N1089" s="24">
        <v>2772.28</v>
      </c>
      <c r="O1089" s="22" t="str">
        <f>IF(Table2[[#This Row],[CouponCode]]="N/A", "Not Used", "Used")</f>
        <v>Used</v>
      </c>
    </row>
    <row r="1090" spans="1:15" x14ac:dyDescent="0.3">
      <c r="A1090" s="6" t="s">
        <v>1102</v>
      </c>
      <c r="B1090" s="2">
        <v>45260</v>
      </c>
      <c r="C1090" s="6" t="s">
        <v>2294</v>
      </c>
      <c r="D1090" s="6" t="s">
        <v>2409</v>
      </c>
      <c r="E1090" s="9">
        <v>3</v>
      </c>
      <c r="F1090" s="24">
        <v>491.43</v>
      </c>
      <c r="G1090" t="s">
        <v>3025</v>
      </c>
      <c r="H1090" s="6" t="s">
        <v>3068</v>
      </c>
      <c r="I1090" s="6" t="s">
        <v>3070</v>
      </c>
      <c r="J1090" s="6" t="s">
        <v>4163</v>
      </c>
      <c r="K1090" s="9">
        <v>6</v>
      </c>
      <c r="L1090" s="6" t="s">
        <v>4277</v>
      </c>
      <c r="M1090" s="6" t="s">
        <v>4278</v>
      </c>
      <c r="N1090" s="24">
        <v>1474.29</v>
      </c>
      <c r="O1090" s="22" t="str">
        <f>IF(Table2[[#This Row],[CouponCode]]="N/A", "Not Used", "Used")</f>
        <v>Used</v>
      </c>
    </row>
    <row r="1091" spans="1:15" x14ac:dyDescent="0.3">
      <c r="A1091" s="6" t="s">
        <v>1103</v>
      </c>
      <c r="B1091" s="2">
        <v>45731</v>
      </c>
      <c r="C1091" s="6" t="s">
        <v>2295</v>
      </c>
      <c r="D1091" s="6" t="s">
        <v>2405</v>
      </c>
      <c r="E1091" s="9">
        <v>2</v>
      </c>
      <c r="F1091" s="24">
        <v>599.74</v>
      </c>
      <c r="G1091" t="s">
        <v>2473</v>
      </c>
      <c r="H1091" s="6" t="s">
        <v>3068</v>
      </c>
      <c r="I1091" s="6" t="s">
        <v>3070</v>
      </c>
      <c r="J1091" s="6" t="s">
        <v>4164</v>
      </c>
      <c r="K1091" s="9">
        <v>2</v>
      </c>
      <c r="L1091" s="6" t="s">
        <v>4283</v>
      </c>
      <c r="M1091" s="6" t="s">
        <v>4278</v>
      </c>
      <c r="N1091" s="24">
        <v>1199.48</v>
      </c>
      <c r="O1091" s="22" t="str">
        <f>IF(Table2[[#This Row],[CouponCode]]="N/A", "Not Used", "Used")</f>
        <v>Not Used</v>
      </c>
    </row>
    <row r="1092" spans="1:15" x14ac:dyDescent="0.3">
      <c r="A1092" s="6" t="s">
        <v>1104</v>
      </c>
      <c r="B1092" s="2">
        <v>44982</v>
      </c>
      <c r="C1092" s="6" t="s">
        <v>2296</v>
      </c>
      <c r="D1092" s="6" t="s">
        <v>2403</v>
      </c>
      <c r="E1092" s="9">
        <v>2</v>
      </c>
      <c r="F1092" s="24">
        <v>650.25</v>
      </c>
      <c r="G1092" t="s">
        <v>2441</v>
      </c>
      <c r="H1092" s="6" t="s">
        <v>3068</v>
      </c>
      <c r="I1092" s="6" t="s">
        <v>3072</v>
      </c>
      <c r="J1092" s="6" t="s">
        <v>4165</v>
      </c>
      <c r="K1092" s="9">
        <v>6</v>
      </c>
      <c r="L1092" s="6" t="s">
        <v>4283</v>
      </c>
      <c r="M1092" s="6" t="s">
        <v>4278</v>
      </c>
      <c r="N1092" s="24">
        <v>1300.5</v>
      </c>
      <c r="O1092" s="22" t="str">
        <f>IF(Table2[[#This Row],[CouponCode]]="N/A", "Not Used", "Used")</f>
        <v>Not Used</v>
      </c>
    </row>
    <row r="1093" spans="1:15" x14ac:dyDescent="0.3">
      <c r="A1093" s="6" t="s">
        <v>1105</v>
      </c>
      <c r="B1093" s="2">
        <v>45573</v>
      </c>
      <c r="C1093" s="6" t="s">
        <v>2297</v>
      </c>
      <c r="D1093" s="6" t="s">
        <v>2408</v>
      </c>
      <c r="E1093" s="9">
        <v>3</v>
      </c>
      <c r="F1093" s="24">
        <v>209.48</v>
      </c>
      <c r="G1093" t="s">
        <v>2739</v>
      </c>
      <c r="H1093" s="6" t="s">
        <v>3065</v>
      </c>
      <c r="I1093" s="6" t="s">
        <v>3074</v>
      </c>
      <c r="J1093" s="6" t="s">
        <v>4166</v>
      </c>
      <c r="K1093" s="9">
        <v>4</v>
      </c>
      <c r="L1093" s="6" t="s">
        <v>4283</v>
      </c>
      <c r="M1093" s="6" t="s">
        <v>4280</v>
      </c>
      <c r="N1093" s="24">
        <v>628.43999999999994</v>
      </c>
      <c r="O1093" s="22" t="str">
        <f>IF(Table2[[#This Row],[CouponCode]]="N/A", "Not Used", "Used")</f>
        <v>Not Used</v>
      </c>
    </row>
    <row r="1094" spans="1:15" x14ac:dyDescent="0.3">
      <c r="A1094" s="6" t="s">
        <v>1106</v>
      </c>
      <c r="B1094" s="2">
        <v>45159</v>
      </c>
      <c r="C1094" s="6" t="s">
        <v>2298</v>
      </c>
      <c r="D1094" s="6" t="s">
        <v>2408</v>
      </c>
      <c r="E1094" s="9">
        <v>5</v>
      </c>
      <c r="F1094" s="24">
        <v>209.2</v>
      </c>
      <c r="G1094" t="s">
        <v>2439</v>
      </c>
      <c r="H1094" s="6" t="s">
        <v>3065</v>
      </c>
      <c r="I1094" s="6" t="s">
        <v>3073</v>
      </c>
      <c r="J1094" s="6" t="s">
        <v>4167</v>
      </c>
      <c r="K1094" s="9">
        <v>6</v>
      </c>
      <c r="L1094" s="6" t="s">
        <v>4277</v>
      </c>
      <c r="M1094" s="6" t="s">
        <v>4280</v>
      </c>
      <c r="N1094" s="24">
        <v>1046</v>
      </c>
      <c r="O1094" s="22" t="str">
        <f>IF(Table2[[#This Row],[CouponCode]]="N/A", "Not Used", "Used")</f>
        <v>Used</v>
      </c>
    </row>
    <row r="1095" spans="1:15" x14ac:dyDescent="0.3">
      <c r="A1095" s="6" t="s">
        <v>1107</v>
      </c>
      <c r="B1095" s="2">
        <v>45086</v>
      </c>
      <c r="C1095" s="6" t="s">
        <v>2299</v>
      </c>
      <c r="D1095" s="6" t="s">
        <v>2404</v>
      </c>
      <c r="E1095" s="9">
        <v>4</v>
      </c>
      <c r="F1095" s="24">
        <v>197.36</v>
      </c>
      <c r="G1095" t="s">
        <v>3026</v>
      </c>
      <c r="H1095" s="6" t="s">
        <v>3068</v>
      </c>
      <c r="I1095" s="6" t="s">
        <v>3072</v>
      </c>
      <c r="J1095" s="6" t="s">
        <v>4168</v>
      </c>
      <c r="K1095" s="9">
        <v>9</v>
      </c>
      <c r="L1095" s="6" t="s">
        <v>4276</v>
      </c>
      <c r="M1095" s="6" t="s">
        <v>4278</v>
      </c>
      <c r="N1095" s="24">
        <v>789.44</v>
      </c>
      <c r="O1095" s="22" t="str">
        <f>IF(Table2[[#This Row],[CouponCode]]="N/A", "Not Used", "Used")</f>
        <v>Used</v>
      </c>
    </row>
    <row r="1096" spans="1:15" x14ac:dyDescent="0.3">
      <c r="A1096" s="6" t="s">
        <v>1108</v>
      </c>
      <c r="B1096" s="2">
        <v>45105</v>
      </c>
      <c r="C1096" s="6" t="s">
        <v>2300</v>
      </c>
      <c r="D1096" s="6" t="s">
        <v>2407</v>
      </c>
      <c r="E1096" s="9">
        <v>4</v>
      </c>
      <c r="F1096" s="24">
        <v>648.91</v>
      </c>
      <c r="G1096" t="s">
        <v>3027</v>
      </c>
      <c r="H1096" s="6" t="s">
        <v>3067</v>
      </c>
      <c r="I1096" s="6" t="s">
        <v>3070</v>
      </c>
      <c r="J1096" s="6" t="s">
        <v>4169</v>
      </c>
      <c r="K1096" s="9">
        <v>6</v>
      </c>
      <c r="L1096" s="6" t="s">
        <v>4275</v>
      </c>
      <c r="M1096" s="6" t="s">
        <v>4278</v>
      </c>
      <c r="N1096" s="24">
        <v>2595.64</v>
      </c>
      <c r="O1096" s="22" t="str">
        <f>IF(Table2[[#This Row],[CouponCode]]="N/A", "Not Used", "Used")</f>
        <v>Used</v>
      </c>
    </row>
    <row r="1097" spans="1:15" x14ac:dyDescent="0.3">
      <c r="A1097" s="6" t="s">
        <v>1109</v>
      </c>
      <c r="B1097" s="2">
        <v>45405</v>
      </c>
      <c r="C1097" s="6" t="s">
        <v>2301</v>
      </c>
      <c r="D1097" s="6" t="s">
        <v>2404</v>
      </c>
      <c r="E1097" s="9">
        <v>2</v>
      </c>
      <c r="F1097" s="24">
        <v>441.54</v>
      </c>
      <c r="G1097" t="s">
        <v>3028</v>
      </c>
      <c r="H1097" s="6" t="s">
        <v>3066</v>
      </c>
      <c r="I1097" s="6" t="s">
        <v>3073</v>
      </c>
      <c r="J1097" s="6" t="s">
        <v>4170</v>
      </c>
      <c r="K1097" s="9">
        <v>2</v>
      </c>
      <c r="L1097" s="6" t="s">
        <v>4275</v>
      </c>
      <c r="M1097" s="6" t="s">
        <v>4280</v>
      </c>
      <c r="N1097" s="24">
        <v>883.08</v>
      </c>
      <c r="O1097" s="22" t="str">
        <f>IF(Table2[[#This Row],[CouponCode]]="N/A", "Not Used", "Used")</f>
        <v>Used</v>
      </c>
    </row>
    <row r="1098" spans="1:15" x14ac:dyDescent="0.3">
      <c r="A1098" s="6" t="s">
        <v>1110</v>
      </c>
      <c r="B1098" s="2">
        <v>45780</v>
      </c>
      <c r="C1098" s="6" t="s">
        <v>2302</v>
      </c>
      <c r="D1098" s="6" t="s">
        <v>2405</v>
      </c>
      <c r="E1098" s="9">
        <v>2</v>
      </c>
      <c r="F1098" s="24">
        <v>464.92</v>
      </c>
      <c r="G1098" t="s">
        <v>3029</v>
      </c>
      <c r="H1098" s="6" t="s">
        <v>3065</v>
      </c>
      <c r="I1098" s="6" t="s">
        <v>3072</v>
      </c>
      <c r="J1098" s="6" t="s">
        <v>4171</v>
      </c>
      <c r="K1098" s="9">
        <v>2</v>
      </c>
      <c r="L1098" s="6" t="s">
        <v>4283</v>
      </c>
      <c r="M1098" s="6" t="s">
        <v>4281</v>
      </c>
      <c r="N1098" s="24">
        <v>929.84</v>
      </c>
      <c r="O1098" s="22" t="str">
        <f>IF(Table2[[#This Row],[CouponCode]]="N/A", "Not Used", "Used")</f>
        <v>Not Used</v>
      </c>
    </row>
    <row r="1099" spans="1:15" x14ac:dyDescent="0.3">
      <c r="A1099" s="6" t="s">
        <v>1111</v>
      </c>
      <c r="B1099" s="2">
        <v>45652</v>
      </c>
      <c r="C1099" s="6" t="s">
        <v>2303</v>
      </c>
      <c r="D1099" s="6" t="s">
        <v>2403</v>
      </c>
      <c r="E1099" s="9">
        <v>5</v>
      </c>
      <c r="F1099" s="24">
        <v>506.45</v>
      </c>
      <c r="G1099" t="s">
        <v>3030</v>
      </c>
      <c r="H1099" s="6" t="s">
        <v>3068</v>
      </c>
      <c r="I1099" s="6" t="s">
        <v>3070</v>
      </c>
      <c r="J1099" s="6" t="s">
        <v>4172</v>
      </c>
      <c r="K1099" s="9">
        <v>7</v>
      </c>
      <c r="L1099" s="6" t="s">
        <v>4277</v>
      </c>
      <c r="M1099" s="6" t="s">
        <v>4282</v>
      </c>
      <c r="N1099" s="24">
        <v>2532.25</v>
      </c>
      <c r="O1099" s="22" t="str">
        <f>IF(Table2[[#This Row],[CouponCode]]="N/A", "Not Used", "Used")</f>
        <v>Used</v>
      </c>
    </row>
    <row r="1100" spans="1:15" x14ac:dyDescent="0.3">
      <c r="A1100" s="6" t="s">
        <v>1112</v>
      </c>
      <c r="B1100" s="2">
        <v>45094</v>
      </c>
      <c r="C1100" s="6" t="s">
        <v>2304</v>
      </c>
      <c r="D1100" s="6" t="s">
        <v>2403</v>
      </c>
      <c r="E1100" s="9">
        <v>4</v>
      </c>
      <c r="F1100" s="24">
        <v>255.86</v>
      </c>
      <c r="G1100" t="s">
        <v>3031</v>
      </c>
      <c r="H1100" s="6" t="s">
        <v>3067</v>
      </c>
      <c r="I1100" s="6" t="s">
        <v>3073</v>
      </c>
      <c r="J1100" s="6" t="s">
        <v>4173</v>
      </c>
      <c r="K1100" s="9">
        <v>7</v>
      </c>
      <c r="L1100" s="6" t="s">
        <v>4283</v>
      </c>
      <c r="M1100" s="6" t="s">
        <v>4280</v>
      </c>
      <c r="N1100" s="24">
        <v>1023.44</v>
      </c>
      <c r="O1100" s="22" t="str">
        <f>IF(Table2[[#This Row],[CouponCode]]="N/A", "Not Used", "Used")</f>
        <v>Not Used</v>
      </c>
    </row>
    <row r="1101" spans="1:15" x14ac:dyDescent="0.3">
      <c r="A1101" s="6" t="s">
        <v>1113</v>
      </c>
      <c r="B1101" s="2">
        <v>45554</v>
      </c>
      <c r="C1101" s="6" t="s">
        <v>2305</v>
      </c>
      <c r="D1101" s="6" t="s">
        <v>2408</v>
      </c>
      <c r="E1101" s="9">
        <v>2</v>
      </c>
      <c r="F1101" s="24">
        <v>125.23</v>
      </c>
      <c r="G1101" t="s">
        <v>2724</v>
      </c>
      <c r="H1101" s="6" t="s">
        <v>3069</v>
      </c>
      <c r="I1101" s="6" t="s">
        <v>3071</v>
      </c>
      <c r="J1101" s="6" t="s">
        <v>4174</v>
      </c>
      <c r="K1101" s="9">
        <v>3</v>
      </c>
      <c r="L1101" s="6" t="s">
        <v>4276</v>
      </c>
      <c r="M1101" s="6" t="s">
        <v>4280</v>
      </c>
      <c r="N1101" s="24">
        <v>250.46</v>
      </c>
      <c r="O1101" s="22" t="str">
        <f>IF(Table2[[#This Row],[CouponCode]]="N/A", "Not Used", "Used")</f>
        <v>Used</v>
      </c>
    </row>
    <row r="1102" spans="1:15" x14ac:dyDescent="0.3">
      <c r="A1102" s="6" t="s">
        <v>1114</v>
      </c>
      <c r="B1102" s="2">
        <v>45155</v>
      </c>
      <c r="C1102" s="6" t="s">
        <v>2306</v>
      </c>
      <c r="D1102" s="6" t="s">
        <v>2408</v>
      </c>
      <c r="E1102" s="9">
        <v>5</v>
      </c>
      <c r="F1102" s="24">
        <v>38.11</v>
      </c>
      <c r="G1102" t="s">
        <v>3032</v>
      </c>
      <c r="H1102" s="6" t="s">
        <v>3065</v>
      </c>
      <c r="I1102" s="6" t="s">
        <v>3071</v>
      </c>
      <c r="J1102" s="6" t="s">
        <v>4175</v>
      </c>
      <c r="K1102" s="9">
        <v>6</v>
      </c>
      <c r="L1102" s="6" t="s">
        <v>4277</v>
      </c>
      <c r="M1102" s="6" t="s">
        <v>4278</v>
      </c>
      <c r="N1102" s="24">
        <v>190.55</v>
      </c>
      <c r="O1102" s="22" t="str">
        <f>IF(Table2[[#This Row],[CouponCode]]="N/A", "Not Used", "Used")</f>
        <v>Used</v>
      </c>
    </row>
    <row r="1103" spans="1:15" x14ac:dyDescent="0.3">
      <c r="A1103" s="6" t="s">
        <v>1115</v>
      </c>
      <c r="B1103" s="2">
        <v>45816</v>
      </c>
      <c r="C1103" s="6" t="s">
        <v>2307</v>
      </c>
      <c r="D1103" s="6" t="s">
        <v>2403</v>
      </c>
      <c r="E1103" s="9">
        <v>3</v>
      </c>
      <c r="F1103" s="24">
        <v>161.97</v>
      </c>
      <c r="G1103" t="s">
        <v>2418</v>
      </c>
      <c r="H1103" s="6" t="s">
        <v>3069</v>
      </c>
      <c r="I1103" s="6" t="s">
        <v>3074</v>
      </c>
      <c r="J1103" s="6" t="s">
        <v>4176</v>
      </c>
      <c r="K1103" s="9">
        <v>4</v>
      </c>
      <c r="L1103" s="6" t="s">
        <v>4275</v>
      </c>
      <c r="M1103" s="6" t="s">
        <v>4280</v>
      </c>
      <c r="N1103" s="24">
        <v>485.91</v>
      </c>
      <c r="O1103" s="22" t="str">
        <f>IF(Table2[[#This Row],[CouponCode]]="N/A", "Not Used", "Used")</f>
        <v>Used</v>
      </c>
    </row>
    <row r="1104" spans="1:15" x14ac:dyDescent="0.3">
      <c r="A1104" s="6" t="s">
        <v>1116</v>
      </c>
      <c r="B1104" s="2">
        <v>45446</v>
      </c>
      <c r="C1104" s="6" t="s">
        <v>1228</v>
      </c>
      <c r="D1104" s="6" t="s">
        <v>2406</v>
      </c>
      <c r="E1104" s="9">
        <v>4</v>
      </c>
      <c r="F1104" s="24">
        <v>347.17</v>
      </c>
      <c r="G1104" t="s">
        <v>2904</v>
      </c>
      <c r="H1104" s="6" t="s">
        <v>3065</v>
      </c>
      <c r="I1104" s="6" t="s">
        <v>3070</v>
      </c>
      <c r="J1104" s="6" t="s">
        <v>4177</v>
      </c>
      <c r="K1104" s="9">
        <v>8</v>
      </c>
      <c r="L1104" s="6" t="s">
        <v>4283</v>
      </c>
      <c r="M1104" s="6" t="s">
        <v>4278</v>
      </c>
      <c r="N1104" s="24">
        <v>1388.68</v>
      </c>
      <c r="O1104" s="22" t="str">
        <f>IF(Table2[[#This Row],[CouponCode]]="N/A", "Not Used", "Used")</f>
        <v>Not Used</v>
      </c>
    </row>
    <row r="1105" spans="1:15" x14ac:dyDescent="0.3">
      <c r="A1105" s="6" t="s">
        <v>1117</v>
      </c>
      <c r="B1105" s="2">
        <v>45040</v>
      </c>
      <c r="C1105" s="6" t="s">
        <v>2308</v>
      </c>
      <c r="D1105" s="6" t="s">
        <v>2408</v>
      </c>
      <c r="E1105" s="9">
        <v>4</v>
      </c>
      <c r="F1105" s="24">
        <v>276.32</v>
      </c>
      <c r="G1105" t="s">
        <v>2477</v>
      </c>
      <c r="H1105" s="6" t="s">
        <v>3066</v>
      </c>
      <c r="I1105" s="6" t="s">
        <v>3073</v>
      </c>
      <c r="J1105" s="6" t="s">
        <v>4178</v>
      </c>
      <c r="K1105" s="9">
        <v>5</v>
      </c>
      <c r="L1105" s="6" t="s">
        <v>4283</v>
      </c>
      <c r="M1105" s="6" t="s">
        <v>4282</v>
      </c>
      <c r="N1105" s="24">
        <v>1105.28</v>
      </c>
      <c r="O1105" s="22" t="str">
        <f>IF(Table2[[#This Row],[CouponCode]]="N/A", "Not Used", "Used")</f>
        <v>Not Used</v>
      </c>
    </row>
    <row r="1106" spans="1:15" x14ac:dyDescent="0.3">
      <c r="A1106" s="6" t="s">
        <v>1118</v>
      </c>
      <c r="B1106" s="2">
        <v>45498</v>
      </c>
      <c r="C1106" s="6" t="s">
        <v>2309</v>
      </c>
      <c r="D1106" s="6" t="s">
        <v>2405</v>
      </c>
      <c r="E1106" s="9">
        <v>4</v>
      </c>
      <c r="F1106" s="24">
        <v>314.76</v>
      </c>
      <c r="G1106" t="s">
        <v>3033</v>
      </c>
      <c r="H1106" s="6" t="s">
        <v>3066</v>
      </c>
      <c r="I1106" s="6" t="s">
        <v>3070</v>
      </c>
      <c r="J1106" s="6" t="s">
        <v>4179</v>
      </c>
      <c r="K1106" s="9">
        <v>8</v>
      </c>
      <c r="L1106" s="6" t="s">
        <v>4283</v>
      </c>
      <c r="M1106" s="6" t="s">
        <v>4278</v>
      </c>
      <c r="N1106" s="24">
        <v>1259.04</v>
      </c>
      <c r="O1106" s="22" t="str">
        <f>IF(Table2[[#This Row],[CouponCode]]="N/A", "Not Used", "Used")</f>
        <v>Not Used</v>
      </c>
    </row>
    <row r="1107" spans="1:15" x14ac:dyDescent="0.3">
      <c r="A1107" s="6" t="s">
        <v>1119</v>
      </c>
      <c r="B1107" s="2">
        <v>45299</v>
      </c>
      <c r="C1107" s="6" t="s">
        <v>2310</v>
      </c>
      <c r="D1107" s="6" t="s">
        <v>2405</v>
      </c>
      <c r="E1107" s="9">
        <v>3</v>
      </c>
      <c r="F1107" s="24">
        <v>475.69</v>
      </c>
      <c r="G1107" t="s">
        <v>2644</v>
      </c>
      <c r="H1107" s="6" t="s">
        <v>3068</v>
      </c>
      <c r="I1107" s="6" t="s">
        <v>3071</v>
      </c>
      <c r="J1107" s="6" t="s">
        <v>4180</v>
      </c>
      <c r="K1107" s="9">
        <v>3</v>
      </c>
      <c r="L1107" s="6" t="s">
        <v>4276</v>
      </c>
      <c r="M1107" s="6" t="s">
        <v>4282</v>
      </c>
      <c r="N1107" s="24">
        <v>1427.07</v>
      </c>
      <c r="O1107" s="22" t="str">
        <f>IF(Table2[[#This Row],[CouponCode]]="N/A", "Not Used", "Used")</f>
        <v>Used</v>
      </c>
    </row>
    <row r="1108" spans="1:15" x14ac:dyDescent="0.3">
      <c r="A1108" s="6" t="s">
        <v>1120</v>
      </c>
      <c r="B1108" s="2">
        <v>44997</v>
      </c>
      <c r="C1108" s="6" t="s">
        <v>2311</v>
      </c>
      <c r="D1108" s="6" t="s">
        <v>2406</v>
      </c>
      <c r="E1108" s="9">
        <v>1</v>
      </c>
      <c r="F1108" s="24">
        <v>372.8</v>
      </c>
      <c r="G1108" t="s">
        <v>2423</v>
      </c>
      <c r="H1108" s="6" t="s">
        <v>3069</v>
      </c>
      <c r="I1108" s="6" t="s">
        <v>3071</v>
      </c>
      <c r="J1108" s="6" t="s">
        <v>4181</v>
      </c>
      <c r="K1108" s="9">
        <v>6</v>
      </c>
      <c r="L1108" s="6" t="s">
        <v>4275</v>
      </c>
      <c r="M1108" s="6" t="s">
        <v>4281</v>
      </c>
      <c r="N1108" s="24">
        <v>372.8</v>
      </c>
      <c r="O1108" s="22" t="str">
        <f>IF(Table2[[#This Row],[CouponCode]]="N/A", "Not Used", "Used")</f>
        <v>Used</v>
      </c>
    </row>
    <row r="1109" spans="1:15" x14ac:dyDescent="0.3">
      <c r="A1109" s="6" t="s">
        <v>1121</v>
      </c>
      <c r="B1109" s="2">
        <v>45838</v>
      </c>
      <c r="C1109" s="6" t="s">
        <v>2312</v>
      </c>
      <c r="D1109" s="6" t="s">
        <v>2405</v>
      </c>
      <c r="E1109" s="9">
        <v>2</v>
      </c>
      <c r="F1109" s="24">
        <v>63.21</v>
      </c>
      <c r="G1109" t="s">
        <v>2839</v>
      </c>
      <c r="H1109" s="6" t="s">
        <v>3066</v>
      </c>
      <c r="I1109" s="6" t="s">
        <v>3071</v>
      </c>
      <c r="J1109" s="6" t="s">
        <v>4182</v>
      </c>
      <c r="K1109" s="9">
        <v>4</v>
      </c>
      <c r="L1109" s="6" t="s">
        <v>4275</v>
      </c>
      <c r="M1109" s="6" t="s">
        <v>4282</v>
      </c>
      <c r="N1109" s="24">
        <v>126.42</v>
      </c>
      <c r="O1109" s="22" t="str">
        <f>IF(Table2[[#This Row],[CouponCode]]="N/A", "Not Used", "Used")</f>
        <v>Used</v>
      </c>
    </row>
    <row r="1110" spans="1:15" x14ac:dyDescent="0.3">
      <c r="A1110" s="6" t="s">
        <v>1122</v>
      </c>
      <c r="B1110" s="2">
        <v>45005</v>
      </c>
      <c r="C1110" s="6" t="s">
        <v>2313</v>
      </c>
      <c r="D1110" s="6" t="s">
        <v>2408</v>
      </c>
      <c r="E1110" s="9">
        <v>1</v>
      </c>
      <c r="F1110" s="24">
        <v>634.94000000000005</v>
      </c>
      <c r="G1110" t="s">
        <v>3034</v>
      </c>
      <c r="H1110" s="6" t="s">
        <v>3066</v>
      </c>
      <c r="I1110" s="6" t="s">
        <v>3071</v>
      </c>
      <c r="J1110" s="6" t="s">
        <v>4183</v>
      </c>
      <c r="K1110" s="9">
        <v>5</v>
      </c>
      <c r="L1110" s="6" t="s">
        <v>4277</v>
      </c>
      <c r="M1110" s="6" t="s">
        <v>4278</v>
      </c>
      <c r="N1110" s="24">
        <v>634.94000000000005</v>
      </c>
      <c r="O1110" s="22" t="str">
        <f>IF(Table2[[#This Row],[CouponCode]]="N/A", "Not Used", "Used")</f>
        <v>Used</v>
      </c>
    </row>
    <row r="1111" spans="1:15" x14ac:dyDescent="0.3">
      <c r="A1111" s="6" t="s">
        <v>1123</v>
      </c>
      <c r="B1111" s="2">
        <v>45390</v>
      </c>
      <c r="C1111" s="6" t="s">
        <v>2314</v>
      </c>
      <c r="D1111" s="6" t="s">
        <v>2407</v>
      </c>
      <c r="E1111" s="9">
        <v>4</v>
      </c>
      <c r="F1111" s="24">
        <v>77.47</v>
      </c>
      <c r="G1111" t="s">
        <v>2768</v>
      </c>
      <c r="H1111" s="6" t="s">
        <v>3068</v>
      </c>
      <c r="I1111" s="6" t="s">
        <v>3072</v>
      </c>
      <c r="J1111" s="6" t="s">
        <v>4184</v>
      </c>
      <c r="K1111" s="9">
        <v>7</v>
      </c>
      <c r="L1111" s="6" t="s">
        <v>4275</v>
      </c>
      <c r="M1111" s="6" t="s">
        <v>4278</v>
      </c>
      <c r="N1111" s="24">
        <v>309.88</v>
      </c>
      <c r="O1111" s="22" t="str">
        <f>IF(Table2[[#This Row],[CouponCode]]="N/A", "Not Used", "Used")</f>
        <v>Used</v>
      </c>
    </row>
    <row r="1112" spans="1:15" x14ac:dyDescent="0.3">
      <c r="A1112" s="6" t="s">
        <v>1124</v>
      </c>
      <c r="B1112" s="2">
        <v>45347</v>
      </c>
      <c r="C1112" s="6" t="s">
        <v>2315</v>
      </c>
      <c r="D1112" s="6" t="s">
        <v>2406</v>
      </c>
      <c r="E1112" s="9">
        <v>3</v>
      </c>
      <c r="F1112" s="24">
        <v>84.31</v>
      </c>
      <c r="G1112" t="s">
        <v>2443</v>
      </c>
      <c r="H1112" s="6" t="s">
        <v>3067</v>
      </c>
      <c r="I1112" s="6" t="s">
        <v>3070</v>
      </c>
      <c r="J1112" s="6" t="s">
        <v>4185</v>
      </c>
      <c r="K1112" s="9">
        <v>3</v>
      </c>
      <c r="L1112" s="6" t="s">
        <v>4275</v>
      </c>
      <c r="M1112" s="6" t="s">
        <v>4280</v>
      </c>
      <c r="N1112" s="24">
        <v>252.93</v>
      </c>
      <c r="O1112" s="22" t="str">
        <f>IF(Table2[[#This Row],[CouponCode]]="N/A", "Not Used", "Used")</f>
        <v>Used</v>
      </c>
    </row>
    <row r="1113" spans="1:15" x14ac:dyDescent="0.3">
      <c r="A1113" s="6" t="s">
        <v>1125</v>
      </c>
      <c r="B1113" s="2">
        <v>45052</v>
      </c>
      <c r="C1113" s="6" t="s">
        <v>2316</v>
      </c>
      <c r="D1113" s="6" t="s">
        <v>2403</v>
      </c>
      <c r="E1113" s="9">
        <v>4</v>
      </c>
      <c r="F1113" s="24">
        <v>234.45</v>
      </c>
      <c r="G1113" t="s">
        <v>3035</v>
      </c>
      <c r="H1113" s="6" t="s">
        <v>3066</v>
      </c>
      <c r="I1113" s="6" t="s">
        <v>3071</v>
      </c>
      <c r="J1113" s="6" t="s">
        <v>4186</v>
      </c>
      <c r="K1113" s="9">
        <v>9</v>
      </c>
      <c r="L1113" s="6" t="s">
        <v>4276</v>
      </c>
      <c r="M1113" s="6" t="s">
        <v>4278</v>
      </c>
      <c r="N1113" s="24">
        <v>937.8</v>
      </c>
      <c r="O1113" s="22" t="str">
        <f>IF(Table2[[#This Row],[CouponCode]]="N/A", "Not Used", "Used")</f>
        <v>Used</v>
      </c>
    </row>
    <row r="1114" spans="1:15" x14ac:dyDescent="0.3">
      <c r="A1114" s="6" t="s">
        <v>1126</v>
      </c>
      <c r="B1114" s="2">
        <v>45212</v>
      </c>
      <c r="C1114" s="6" t="s">
        <v>2317</v>
      </c>
      <c r="D1114" s="6" t="s">
        <v>2409</v>
      </c>
      <c r="E1114" s="9">
        <v>1</v>
      </c>
      <c r="F1114" s="24">
        <v>356.81</v>
      </c>
      <c r="G1114" t="s">
        <v>2526</v>
      </c>
      <c r="H1114" s="6" t="s">
        <v>3066</v>
      </c>
      <c r="I1114" s="6" t="s">
        <v>3073</v>
      </c>
      <c r="J1114" s="6" t="s">
        <v>4187</v>
      </c>
      <c r="K1114" s="9">
        <v>1</v>
      </c>
      <c r="L1114" s="6" t="s">
        <v>4277</v>
      </c>
      <c r="M1114" s="6" t="s">
        <v>4278</v>
      </c>
      <c r="N1114" s="24">
        <v>356.81</v>
      </c>
      <c r="O1114" s="22" t="str">
        <f>IF(Table2[[#This Row],[CouponCode]]="N/A", "Not Used", "Used")</f>
        <v>Used</v>
      </c>
    </row>
    <row r="1115" spans="1:15" x14ac:dyDescent="0.3">
      <c r="A1115" s="6" t="s">
        <v>1127</v>
      </c>
      <c r="B1115" s="2">
        <v>45004</v>
      </c>
      <c r="C1115" s="6" t="s">
        <v>2318</v>
      </c>
      <c r="D1115" s="6" t="s">
        <v>2409</v>
      </c>
      <c r="E1115" s="9">
        <v>4</v>
      </c>
      <c r="F1115" s="24">
        <v>209.99</v>
      </c>
      <c r="G1115" t="s">
        <v>2982</v>
      </c>
      <c r="H1115" s="6" t="s">
        <v>3069</v>
      </c>
      <c r="I1115" s="6" t="s">
        <v>3073</v>
      </c>
      <c r="J1115" s="6" t="s">
        <v>4188</v>
      </c>
      <c r="K1115" s="9">
        <v>8</v>
      </c>
      <c r="L1115" s="6" t="s">
        <v>4283</v>
      </c>
      <c r="M1115" s="6" t="s">
        <v>4282</v>
      </c>
      <c r="N1115" s="24">
        <v>839.96</v>
      </c>
      <c r="O1115" s="22" t="str">
        <f>IF(Table2[[#This Row],[CouponCode]]="N/A", "Not Used", "Used")</f>
        <v>Not Used</v>
      </c>
    </row>
    <row r="1116" spans="1:15" x14ac:dyDescent="0.3">
      <c r="A1116" s="6" t="s">
        <v>1128</v>
      </c>
      <c r="B1116" s="2">
        <v>45001</v>
      </c>
      <c r="C1116" s="6" t="s">
        <v>2319</v>
      </c>
      <c r="D1116" s="6" t="s">
        <v>2405</v>
      </c>
      <c r="E1116" s="9">
        <v>3</v>
      </c>
      <c r="F1116" s="24">
        <v>659.88</v>
      </c>
      <c r="G1116" t="s">
        <v>2591</v>
      </c>
      <c r="H1116" s="6" t="s">
        <v>3068</v>
      </c>
      <c r="I1116" s="6" t="s">
        <v>3071</v>
      </c>
      <c r="J1116" s="6" t="s">
        <v>4189</v>
      </c>
      <c r="K1116" s="9">
        <v>3</v>
      </c>
      <c r="L1116" s="6" t="s">
        <v>4283</v>
      </c>
      <c r="M1116" s="6" t="s">
        <v>4282</v>
      </c>
      <c r="N1116" s="24">
        <v>1979.64</v>
      </c>
      <c r="O1116" s="22" t="str">
        <f>IF(Table2[[#This Row],[CouponCode]]="N/A", "Not Used", "Used")</f>
        <v>Not Used</v>
      </c>
    </row>
    <row r="1117" spans="1:15" x14ac:dyDescent="0.3">
      <c r="A1117" s="6" t="s">
        <v>1129</v>
      </c>
      <c r="B1117" s="2">
        <v>45828</v>
      </c>
      <c r="C1117" s="6" t="s">
        <v>2320</v>
      </c>
      <c r="D1117" s="6" t="s">
        <v>2408</v>
      </c>
      <c r="E1117" s="9">
        <v>2</v>
      </c>
      <c r="F1117" s="24">
        <v>336.32</v>
      </c>
      <c r="G1117" t="s">
        <v>2613</v>
      </c>
      <c r="H1117" s="6" t="s">
        <v>3066</v>
      </c>
      <c r="I1117" s="6" t="s">
        <v>3072</v>
      </c>
      <c r="J1117" s="6" t="s">
        <v>4190</v>
      </c>
      <c r="K1117" s="9">
        <v>3</v>
      </c>
      <c r="L1117" s="6" t="s">
        <v>4283</v>
      </c>
      <c r="M1117" s="6" t="s">
        <v>4282</v>
      </c>
      <c r="N1117" s="24">
        <v>672.64</v>
      </c>
      <c r="O1117" s="22" t="str">
        <f>IF(Table2[[#This Row],[CouponCode]]="N/A", "Not Used", "Used")</f>
        <v>Not Used</v>
      </c>
    </row>
    <row r="1118" spans="1:15" x14ac:dyDescent="0.3">
      <c r="A1118" s="6" t="s">
        <v>1130</v>
      </c>
      <c r="B1118" s="2">
        <v>45213</v>
      </c>
      <c r="C1118" s="6" t="s">
        <v>2321</v>
      </c>
      <c r="D1118" s="6" t="s">
        <v>2407</v>
      </c>
      <c r="E1118" s="9">
        <v>2</v>
      </c>
      <c r="F1118" s="24">
        <v>531.49</v>
      </c>
      <c r="G1118" t="s">
        <v>2613</v>
      </c>
      <c r="H1118" s="6" t="s">
        <v>3067</v>
      </c>
      <c r="I1118" s="6" t="s">
        <v>3073</v>
      </c>
      <c r="J1118" s="6" t="s">
        <v>4191</v>
      </c>
      <c r="K1118" s="9">
        <v>7</v>
      </c>
      <c r="L1118" s="6" t="s">
        <v>4277</v>
      </c>
      <c r="M1118" s="6" t="s">
        <v>4281</v>
      </c>
      <c r="N1118" s="24">
        <v>1062.98</v>
      </c>
      <c r="O1118" s="22" t="str">
        <f>IF(Table2[[#This Row],[CouponCode]]="N/A", "Not Used", "Used")</f>
        <v>Used</v>
      </c>
    </row>
    <row r="1119" spans="1:15" x14ac:dyDescent="0.3">
      <c r="A1119" s="6" t="s">
        <v>1131</v>
      </c>
      <c r="B1119" s="2">
        <v>45432</v>
      </c>
      <c r="C1119" s="6" t="s">
        <v>2322</v>
      </c>
      <c r="D1119" s="6" t="s">
        <v>2406</v>
      </c>
      <c r="E1119" s="9">
        <v>3</v>
      </c>
      <c r="F1119" s="24">
        <v>588.44000000000005</v>
      </c>
      <c r="G1119" t="s">
        <v>2734</v>
      </c>
      <c r="H1119" s="6" t="s">
        <v>3068</v>
      </c>
      <c r="I1119" s="6" t="s">
        <v>3070</v>
      </c>
      <c r="J1119" s="6" t="s">
        <v>4192</v>
      </c>
      <c r="K1119" s="9">
        <v>8</v>
      </c>
      <c r="L1119" s="6" t="s">
        <v>4277</v>
      </c>
      <c r="M1119" s="6" t="s">
        <v>4282</v>
      </c>
      <c r="N1119" s="24">
        <v>1765.32</v>
      </c>
      <c r="O1119" s="22" t="str">
        <f>IF(Table2[[#This Row],[CouponCode]]="N/A", "Not Used", "Used")</f>
        <v>Used</v>
      </c>
    </row>
    <row r="1120" spans="1:15" x14ac:dyDescent="0.3">
      <c r="A1120" s="6" t="s">
        <v>1132</v>
      </c>
      <c r="B1120" s="2">
        <v>45436</v>
      </c>
      <c r="C1120" s="6" t="s">
        <v>2323</v>
      </c>
      <c r="D1120" s="6" t="s">
        <v>2404</v>
      </c>
      <c r="E1120" s="9">
        <v>3</v>
      </c>
      <c r="F1120" s="24">
        <v>251.48</v>
      </c>
      <c r="G1120" t="s">
        <v>2729</v>
      </c>
      <c r="H1120" s="6" t="s">
        <v>3067</v>
      </c>
      <c r="I1120" s="6" t="s">
        <v>3072</v>
      </c>
      <c r="J1120" s="6" t="s">
        <v>4193</v>
      </c>
      <c r="K1120" s="9">
        <v>4</v>
      </c>
      <c r="L1120" s="6" t="s">
        <v>4283</v>
      </c>
      <c r="M1120" s="6" t="s">
        <v>4280</v>
      </c>
      <c r="N1120" s="24">
        <v>754.43999999999994</v>
      </c>
      <c r="O1120" s="22" t="str">
        <f>IF(Table2[[#This Row],[CouponCode]]="N/A", "Not Used", "Used")</f>
        <v>Not Used</v>
      </c>
    </row>
    <row r="1121" spans="1:15" x14ac:dyDescent="0.3">
      <c r="A1121" s="6" t="s">
        <v>1133</v>
      </c>
      <c r="B1121" s="2">
        <v>45620</v>
      </c>
      <c r="C1121" s="6" t="s">
        <v>2324</v>
      </c>
      <c r="D1121" s="6" t="s">
        <v>2408</v>
      </c>
      <c r="E1121" s="9">
        <v>1</v>
      </c>
      <c r="F1121" s="24">
        <v>684.65</v>
      </c>
      <c r="G1121" t="s">
        <v>2634</v>
      </c>
      <c r="H1121" s="6" t="s">
        <v>3067</v>
      </c>
      <c r="I1121" s="6" t="s">
        <v>3073</v>
      </c>
      <c r="J1121" s="6" t="s">
        <v>4194</v>
      </c>
      <c r="K1121" s="9">
        <v>1</v>
      </c>
      <c r="L1121" s="6" t="s">
        <v>4276</v>
      </c>
      <c r="M1121" s="6" t="s">
        <v>4280</v>
      </c>
      <c r="N1121" s="24">
        <v>684.65</v>
      </c>
      <c r="O1121" s="22" t="str">
        <f>IF(Table2[[#This Row],[CouponCode]]="N/A", "Not Used", "Used")</f>
        <v>Used</v>
      </c>
    </row>
    <row r="1122" spans="1:15" x14ac:dyDescent="0.3">
      <c r="A1122" s="6" t="s">
        <v>1134</v>
      </c>
      <c r="B1122" s="2">
        <v>45787</v>
      </c>
      <c r="C1122" s="6" t="s">
        <v>2325</v>
      </c>
      <c r="D1122" s="6" t="s">
        <v>2405</v>
      </c>
      <c r="E1122" s="9">
        <v>1</v>
      </c>
      <c r="F1122" s="24">
        <v>195.86</v>
      </c>
      <c r="G1122" t="s">
        <v>2450</v>
      </c>
      <c r="H1122" s="6" t="s">
        <v>3066</v>
      </c>
      <c r="I1122" s="6" t="s">
        <v>3074</v>
      </c>
      <c r="J1122" s="6" t="s">
        <v>4195</v>
      </c>
      <c r="K1122" s="9">
        <v>3</v>
      </c>
      <c r="L1122" s="6" t="s">
        <v>4283</v>
      </c>
      <c r="M1122" s="6" t="s">
        <v>4281</v>
      </c>
      <c r="N1122" s="24">
        <v>195.86</v>
      </c>
      <c r="O1122" s="22" t="str">
        <f>IF(Table2[[#This Row],[CouponCode]]="N/A", "Not Used", "Used")</f>
        <v>Not Used</v>
      </c>
    </row>
    <row r="1123" spans="1:15" x14ac:dyDescent="0.3">
      <c r="A1123" s="6" t="s">
        <v>1135</v>
      </c>
      <c r="B1123" s="2">
        <v>45074</v>
      </c>
      <c r="C1123" s="6" t="s">
        <v>2326</v>
      </c>
      <c r="D1123" s="6" t="s">
        <v>2404</v>
      </c>
      <c r="E1123" s="9">
        <v>3</v>
      </c>
      <c r="F1123" s="24">
        <v>50.34</v>
      </c>
      <c r="G1123" t="s">
        <v>2965</v>
      </c>
      <c r="H1123" s="6" t="s">
        <v>3068</v>
      </c>
      <c r="I1123" s="6" t="s">
        <v>3072</v>
      </c>
      <c r="J1123" s="6" t="s">
        <v>4196</v>
      </c>
      <c r="K1123" s="9">
        <v>3</v>
      </c>
      <c r="L1123" s="6" t="s">
        <v>4276</v>
      </c>
      <c r="M1123" s="6" t="s">
        <v>4278</v>
      </c>
      <c r="N1123" s="24">
        <v>151.02000000000001</v>
      </c>
      <c r="O1123" s="22" t="str">
        <f>IF(Table2[[#This Row],[CouponCode]]="N/A", "Not Used", "Used")</f>
        <v>Used</v>
      </c>
    </row>
    <row r="1124" spans="1:15" x14ac:dyDescent="0.3">
      <c r="A1124" s="6" t="s">
        <v>1136</v>
      </c>
      <c r="B1124" s="2">
        <v>45084</v>
      </c>
      <c r="C1124" s="6" t="s">
        <v>1480</v>
      </c>
      <c r="D1124" s="6" t="s">
        <v>2403</v>
      </c>
      <c r="E1124" s="9">
        <v>5</v>
      </c>
      <c r="F1124" s="24">
        <v>678.19</v>
      </c>
      <c r="G1124" t="s">
        <v>3008</v>
      </c>
      <c r="H1124" s="6" t="s">
        <v>3066</v>
      </c>
      <c r="I1124" s="6" t="s">
        <v>3072</v>
      </c>
      <c r="J1124" s="6" t="s">
        <v>4197</v>
      </c>
      <c r="K1124" s="9">
        <v>8</v>
      </c>
      <c r="L1124" s="6" t="s">
        <v>4283</v>
      </c>
      <c r="M1124" s="6" t="s">
        <v>4281</v>
      </c>
      <c r="N1124" s="24">
        <v>3390.95</v>
      </c>
      <c r="O1124" s="22" t="str">
        <f>IF(Table2[[#This Row],[CouponCode]]="N/A", "Not Used", "Used")</f>
        <v>Not Used</v>
      </c>
    </row>
    <row r="1125" spans="1:15" x14ac:dyDescent="0.3">
      <c r="A1125" s="6" t="s">
        <v>1137</v>
      </c>
      <c r="B1125" s="2">
        <v>45030</v>
      </c>
      <c r="C1125" s="6" t="s">
        <v>2327</v>
      </c>
      <c r="D1125" s="6" t="s">
        <v>2405</v>
      </c>
      <c r="E1125" s="9">
        <v>3</v>
      </c>
      <c r="F1125" s="24">
        <v>554.25</v>
      </c>
      <c r="G1125" t="s">
        <v>3036</v>
      </c>
      <c r="H1125" s="6" t="s">
        <v>3065</v>
      </c>
      <c r="I1125" s="6" t="s">
        <v>3070</v>
      </c>
      <c r="J1125" s="6" t="s">
        <v>4198</v>
      </c>
      <c r="K1125" s="9">
        <v>6</v>
      </c>
      <c r="L1125" s="6" t="s">
        <v>4277</v>
      </c>
      <c r="M1125" s="6" t="s">
        <v>4279</v>
      </c>
      <c r="N1125" s="24">
        <v>1662.75</v>
      </c>
      <c r="O1125" s="22" t="str">
        <f>IF(Table2[[#This Row],[CouponCode]]="N/A", "Not Used", "Used")</f>
        <v>Used</v>
      </c>
    </row>
    <row r="1126" spans="1:15" x14ac:dyDescent="0.3">
      <c r="A1126" s="6" t="s">
        <v>1138</v>
      </c>
      <c r="B1126" s="2">
        <v>45055</v>
      </c>
      <c r="C1126" s="6" t="s">
        <v>2328</v>
      </c>
      <c r="D1126" s="6" t="s">
        <v>2406</v>
      </c>
      <c r="E1126" s="9">
        <v>4</v>
      </c>
      <c r="F1126" s="24">
        <v>576.87</v>
      </c>
      <c r="G1126" t="s">
        <v>3037</v>
      </c>
      <c r="H1126" s="6" t="s">
        <v>3068</v>
      </c>
      <c r="I1126" s="6" t="s">
        <v>3072</v>
      </c>
      <c r="J1126" s="6" t="s">
        <v>4199</v>
      </c>
      <c r="K1126" s="9">
        <v>5</v>
      </c>
      <c r="L1126" s="6" t="s">
        <v>4283</v>
      </c>
      <c r="M1126" s="6" t="s">
        <v>4278</v>
      </c>
      <c r="N1126" s="24">
        <v>2307.48</v>
      </c>
      <c r="O1126" s="22" t="str">
        <f>IF(Table2[[#This Row],[CouponCode]]="N/A", "Not Used", "Used")</f>
        <v>Not Used</v>
      </c>
    </row>
    <row r="1127" spans="1:15" x14ac:dyDescent="0.3">
      <c r="A1127" s="6" t="s">
        <v>1139</v>
      </c>
      <c r="B1127" s="2">
        <v>45215</v>
      </c>
      <c r="C1127" s="6" t="s">
        <v>2329</v>
      </c>
      <c r="D1127" s="6" t="s">
        <v>2409</v>
      </c>
      <c r="E1127" s="9">
        <v>4</v>
      </c>
      <c r="F1127" s="24">
        <v>408.36</v>
      </c>
      <c r="G1127" t="s">
        <v>2958</v>
      </c>
      <c r="H1127" s="6" t="s">
        <v>3068</v>
      </c>
      <c r="I1127" s="6" t="s">
        <v>3071</v>
      </c>
      <c r="J1127" s="6" t="s">
        <v>4200</v>
      </c>
      <c r="K1127" s="9">
        <v>4</v>
      </c>
      <c r="L1127" s="6" t="s">
        <v>4276</v>
      </c>
      <c r="M1127" s="6" t="s">
        <v>4279</v>
      </c>
      <c r="N1127" s="24">
        <v>1633.44</v>
      </c>
      <c r="O1127" s="22" t="str">
        <f>IF(Table2[[#This Row],[CouponCode]]="N/A", "Not Used", "Used")</f>
        <v>Used</v>
      </c>
    </row>
    <row r="1128" spans="1:15" x14ac:dyDescent="0.3">
      <c r="A1128" s="6" t="s">
        <v>1140</v>
      </c>
      <c r="B1128" s="2">
        <v>45495</v>
      </c>
      <c r="C1128" s="6" t="s">
        <v>2330</v>
      </c>
      <c r="D1128" s="6" t="s">
        <v>2404</v>
      </c>
      <c r="E1128" s="9">
        <v>5</v>
      </c>
      <c r="F1128" s="24">
        <v>190.11</v>
      </c>
      <c r="G1128" t="s">
        <v>3038</v>
      </c>
      <c r="H1128" s="6" t="s">
        <v>3069</v>
      </c>
      <c r="I1128" s="6" t="s">
        <v>3073</v>
      </c>
      <c r="J1128" s="6" t="s">
        <v>4201</v>
      </c>
      <c r="K1128" s="9">
        <v>7</v>
      </c>
      <c r="L1128" s="6" t="s">
        <v>4275</v>
      </c>
      <c r="M1128" s="6" t="s">
        <v>4282</v>
      </c>
      <c r="N1128" s="24">
        <v>950.55000000000007</v>
      </c>
      <c r="O1128" s="22" t="str">
        <f>IF(Table2[[#This Row],[CouponCode]]="N/A", "Not Used", "Used")</f>
        <v>Used</v>
      </c>
    </row>
    <row r="1129" spans="1:15" x14ac:dyDescent="0.3">
      <c r="A1129" s="6" t="s">
        <v>1141</v>
      </c>
      <c r="B1129" s="2">
        <v>45731</v>
      </c>
      <c r="C1129" s="6" t="s">
        <v>2331</v>
      </c>
      <c r="D1129" s="6" t="s">
        <v>2407</v>
      </c>
      <c r="E1129" s="9">
        <v>3</v>
      </c>
      <c r="F1129" s="24">
        <v>602.75</v>
      </c>
      <c r="G1129" t="s">
        <v>2939</v>
      </c>
      <c r="H1129" s="6" t="s">
        <v>3067</v>
      </c>
      <c r="I1129" s="6" t="s">
        <v>3070</v>
      </c>
      <c r="J1129" s="6" t="s">
        <v>4202</v>
      </c>
      <c r="K1129" s="9">
        <v>6</v>
      </c>
      <c r="L1129" s="6" t="s">
        <v>4275</v>
      </c>
      <c r="M1129" s="6" t="s">
        <v>4280</v>
      </c>
      <c r="N1129" s="24">
        <v>1808.25</v>
      </c>
      <c r="O1129" s="22" t="str">
        <f>IF(Table2[[#This Row],[CouponCode]]="N/A", "Not Used", "Used")</f>
        <v>Used</v>
      </c>
    </row>
    <row r="1130" spans="1:15" x14ac:dyDescent="0.3">
      <c r="A1130" s="6" t="s">
        <v>1142</v>
      </c>
      <c r="B1130" s="2">
        <v>45155</v>
      </c>
      <c r="C1130" s="6" t="s">
        <v>2332</v>
      </c>
      <c r="D1130" s="6" t="s">
        <v>2403</v>
      </c>
      <c r="E1130" s="9">
        <v>3</v>
      </c>
      <c r="F1130" s="24">
        <v>646.79</v>
      </c>
      <c r="G1130" t="s">
        <v>2490</v>
      </c>
      <c r="H1130" s="6" t="s">
        <v>3069</v>
      </c>
      <c r="I1130" s="6" t="s">
        <v>3071</v>
      </c>
      <c r="J1130" s="6" t="s">
        <v>4203</v>
      </c>
      <c r="K1130" s="9">
        <v>5</v>
      </c>
      <c r="L1130" s="6" t="s">
        <v>4277</v>
      </c>
      <c r="M1130" s="6" t="s">
        <v>4282</v>
      </c>
      <c r="N1130" s="24">
        <v>1940.37</v>
      </c>
      <c r="O1130" s="22" t="str">
        <f>IF(Table2[[#This Row],[CouponCode]]="N/A", "Not Used", "Used")</f>
        <v>Used</v>
      </c>
    </row>
    <row r="1131" spans="1:15" x14ac:dyDescent="0.3">
      <c r="A1131" s="6" t="s">
        <v>1143</v>
      </c>
      <c r="B1131" s="2">
        <v>45088</v>
      </c>
      <c r="C1131" s="6" t="s">
        <v>2333</v>
      </c>
      <c r="D1131" s="6" t="s">
        <v>2406</v>
      </c>
      <c r="E1131" s="9">
        <v>4</v>
      </c>
      <c r="F1131" s="24">
        <v>418.71</v>
      </c>
      <c r="G1131" t="s">
        <v>2480</v>
      </c>
      <c r="H1131" s="6" t="s">
        <v>3069</v>
      </c>
      <c r="I1131" s="6" t="s">
        <v>3074</v>
      </c>
      <c r="J1131" s="6" t="s">
        <v>4204</v>
      </c>
      <c r="K1131" s="9">
        <v>8</v>
      </c>
      <c r="L1131" s="6" t="s">
        <v>4276</v>
      </c>
      <c r="M1131" s="6" t="s">
        <v>4278</v>
      </c>
      <c r="N1131" s="24">
        <v>1674.84</v>
      </c>
      <c r="O1131" s="22" t="str">
        <f>IF(Table2[[#This Row],[CouponCode]]="N/A", "Not Used", "Used")</f>
        <v>Used</v>
      </c>
    </row>
    <row r="1132" spans="1:15" x14ac:dyDescent="0.3">
      <c r="A1132" s="6" t="s">
        <v>1144</v>
      </c>
      <c r="B1132" s="2">
        <v>45704</v>
      </c>
      <c r="C1132" s="6" t="s">
        <v>2334</v>
      </c>
      <c r="D1132" s="6" t="s">
        <v>2408</v>
      </c>
      <c r="E1132" s="9">
        <v>2</v>
      </c>
      <c r="F1132" s="24">
        <v>323.45</v>
      </c>
      <c r="G1132" t="s">
        <v>2501</v>
      </c>
      <c r="H1132" s="6" t="s">
        <v>3067</v>
      </c>
      <c r="I1132" s="6" t="s">
        <v>3072</v>
      </c>
      <c r="J1132" s="6" t="s">
        <v>4205</v>
      </c>
      <c r="K1132" s="9">
        <v>5</v>
      </c>
      <c r="L1132" s="6" t="s">
        <v>4276</v>
      </c>
      <c r="M1132" s="6" t="s">
        <v>4278</v>
      </c>
      <c r="N1132" s="24">
        <v>646.9</v>
      </c>
      <c r="O1132" s="22" t="str">
        <f>IF(Table2[[#This Row],[CouponCode]]="N/A", "Not Used", "Used")</f>
        <v>Used</v>
      </c>
    </row>
    <row r="1133" spans="1:15" x14ac:dyDescent="0.3">
      <c r="A1133" s="6" t="s">
        <v>1145</v>
      </c>
      <c r="B1133" s="2">
        <v>45491</v>
      </c>
      <c r="C1133" s="6" t="s">
        <v>2335</v>
      </c>
      <c r="D1133" s="6" t="s">
        <v>2404</v>
      </c>
      <c r="E1133" s="9">
        <v>1</v>
      </c>
      <c r="F1133" s="24">
        <v>694.5</v>
      </c>
      <c r="G1133" t="s">
        <v>2651</v>
      </c>
      <c r="H1133" s="6" t="s">
        <v>3067</v>
      </c>
      <c r="I1133" s="6" t="s">
        <v>3074</v>
      </c>
      <c r="J1133" s="6" t="s">
        <v>4206</v>
      </c>
      <c r="K1133" s="9">
        <v>3</v>
      </c>
      <c r="L1133" s="6" t="s">
        <v>4277</v>
      </c>
      <c r="M1133" s="6" t="s">
        <v>4281</v>
      </c>
      <c r="N1133" s="24">
        <v>694.5</v>
      </c>
      <c r="O1133" s="22" t="str">
        <f>IF(Table2[[#This Row],[CouponCode]]="N/A", "Not Used", "Used")</f>
        <v>Used</v>
      </c>
    </row>
    <row r="1134" spans="1:15" x14ac:dyDescent="0.3">
      <c r="A1134" s="6" t="s">
        <v>1146</v>
      </c>
      <c r="B1134" s="2">
        <v>45628</v>
      </c>
      <c r="C1134" s="6" t="s">
        <v>2336</v>
      </c>
      <c r="D1134" s="6" t="s">
        <v>2406</v>
      </c>
      <c r="E1134" s="9">
        <v>2</v>
      </c>
      <c r="F1134" s="24">
        <v>337.32</v>
      </c>
      <c r="G1134" t="s">
        <v>2608</v>
      </c>
      <c r="H1134" s="6" t="s">
        <v>3067</v>
      </c>
      <c r="I1134" s="6" t="s">
        <v>3071</v>
      </c>
      <c r="J1134" s="6" t="s">
        <v>4207</v>
      </c>
      <c r="K1134" s="9">
        <v>4</v>
      </c>
      <c r="L1134" s="6" t="s">
        <v>4275</v>
      </c>
      <c r="M1134" s="6" t="s">
        <v>4280</v>
      </c>
      <c r="N1134" s="24">
        <v>674.64</v>
      </c>
      <c r="O1134" s="22" t="str">
        <f>IF(Table2[[#This Row],[CouponCode]]="N/A", "Not Used", "Used")</f>
        <v>Used</v>
      </c>
    </row>
    <row r="1135" spans="1:15" x14ac:dyDescent="0.3">
      <c r="A1135" s="6" t="s">
        <v>1147</v>
      </c>
      <c r="B1135" s="2">
        <v>45391</v>
      </c>
      <c r="C1135" s="6" t="s">
        <v>2337</v>
      </c>
      <c r="D1135" s="6" t="s">
        <v>2407</v>
      </c>
      <c r="E1135" s="9">
        <v>2</v>
      </c>
      <c r="F1135" s="24">
        <v>467.91</v>
      </c>
      <c r="G1135" t="s">
        <v>2597</v>
      </c>
      <c r="H1135" s="6" t="s">
        <v>3068</v>
      </c>
      <c r="I1135" s="6" t="s">
        <v>3072</v>
      </c>
      <c r="J1135" s="6" t="s">
        <v>4208</v>
      </c>
      <c r="K1135" s="9">
        <v>5</v>
      </c>
      <c r="L1135" s="6" t="s">
        <v>4277</v>
      </c>
      <c r="M1135" s="6" t="s">
        <v>4281</v>
      </c>
      <c r="N1135" s="24">
        <v>935.82</v>
      </c>
      <c r="O1135" s="22" t="str">
        <f>IF(Table2[[#This Row],[CouponCode]]="N/A", "Not Used", "Used")</f>
        <v>Used</v>
      </c>
    </row>
    <row r="1136" spans="1:15" x14ac:dyDescent="0.3">
      <c r="A1136" s="6" t="s">
        <v>1148</v>
      </c>
      <c r="B1136" s="2">
        <v>45451</v>
      </c>
      <c r="C1136" s="6" t="s">
        <v>2338</v>
      </c>
      <c r="D1136" s="6" t="s">
        <v>2409</v>
      </c>
      <c r="E1136" s="9">
        <v>4</v>
      </c>
      <c r="F1136" s="24">
        <v>38.28</v>
      </c>
      <c r="G1136" t="s">
        <v>3039</v>
      </c>
      <c r="H1136" s="6" t="s">
        <v>3065</v>
      </c>
      <c r="I1136" s="6" t="s">
        <v>3071</v>
      </c>
      <c r="J1136" s="6" t="s">
        <v>4209</v>
      </c>
      <c r="K1136" s="9">
        <v>4</v>
      </c>
      <c r="L1136" s="6" t="s">
        <v>4277</v>
      </c>
      <c r="M1136" s="6" t="s">
        <v>4281</v>
      </c>
      <c r="N1136" s="24">
        <v>153.12</v>
      </c>
      <c r="O1136" s="22" t="str">
        <f>IF(Table2[[#This Row],[CouponCode]]="N/A", "Not Used", "Used")</f>
        <v>Used</v>
      </c>
    </row>
    <row r="1137" spans="1:15" x14ac:dyDescent="0.3">
      <c r="A1137" s="6" t="s">
        <v>1149</v>
      </c>
      <c r="B1137" s="2">
        <v>45288</v>
      </c>
      <c r="C1137" s="6" t="s">
        <v>2339</v>
      </c>
      <c r="D1137" s="6" t="s">
        <v>2407</v>
      </c>
      <c r="E1137" s="9">
        <v>2</v>
      </c>
      <c r="F1137" s="24">
        <v>73.41</v>
      </c>
      <c r="G1137" t="s">
        <v>2613</v>
      </c>
      <c r="H1137" s="6" t="s">
        <v>3066</v>
      </c>
      <c r="I1137" s="6" t="s">
        <v>3070</v>
      </c>
      <c r="J1137" s="6" t="s">
        <v>4210</v>
      </c>
      <c r="K1137" s="9">
        <v>2</v>
      </c>
      <c r="L1137" s="6" t="s">
        <v>4275</v>
      </c>
      <c r="M1137" s="6" t="s">
        <v>4282</v>
      </c>
      <c r="N1137" s="24">
        <v>146.82</v>
      </c>
      <c r="O1137" s="22" t="str">
        <f>IF(Table2[[#This Row],[CouponCode]]="N/A", "Not Used", "Used")</f>
        <v>Used</v>
      </c>
    </row>
    <row r="1138" spans="1:15" x14ac:dyDescent="0.3">
      <c r="A1138" s="6" t="s">
        <v>1150</v>
      </c>
      <c r="B1138" s="2">
        <v>45193</v>
      </c>
      <c r="C1138" s="6" t="s">
        <v>2340</v>
      </c>
      <c r="D1138" s="6" t="s">
        <v>2405</v>
      </c>
      <c r="E1138" s="9">
        <v>3</v>
      </c>
      <c r="F1138" s="24">
        <v>668.33</v>
      </c>
      <c r="G1138" t="s">
        <v>2882</v>
      </c>
      <c r="H1138" s="6" t="s">
        <v>3068</v>
      </c>
      <c r="I1138" s="6" t="s">
        <v>3074</v>
      </c>
      <c r="J1138" s="6" t="s">
        <v>4211</v>
      </c>
      <c r="K1138" s="9">
        <v>4</v>
      </c>
      <c r="L1138" s="6" t="s">
        <v>4277</v>
      </c>
      <c r="M1138" s="6" t="s">
        <v>4281</v>
      </c>
      <c r="N1138" s="24">
        <v>2004.99</v>
      </c>
      <c r="O1138" s="22" t="str">
        <f>IF(Table2[[#This Row],[CouponCode]]="N/A", "Not Used", "Used")</f>
        <v>Used</v>
      </c>
    </row>
    <row r="1139" spans="1:15" x14ac:dyDescent="0.3">
      <c r="A1139" s="6" t="s">
        <v>1151</v>
      </c>
      <c r="B1139" s="2">
        <v>45502</v>
      </c>
      <c r="C1139" s="6" t="s">
        <v>2341</v>
      </c>
      <c r="D1139" s="6" t="s">
        <v>2407</v>
      </c>
      <c r="E1139" s="9">
        <v>4</v>
      </c>
      <c r="F1139" s="24">
        <v>410.21</v>
      </c>
      <c r="G1139" t="s">
        <v>3040</v>
      </c>
      <c r="H1139" s="6" t="s">
        <v>3069</v>
      </c>
      <c r="I1139" s="6" t="s">
        <v>3074</v>
      </c>
      <c r="J1139" s="6" t="s">
        <v>4212</v>
      </c>
      <c r="K1139" s="9">
        <v>5</v>
      </c>
      <c r="L1139" s="6" t="s">
        <v>4277</v>
      </c>
      <c r="M1139" s="6" t="s">
        <v>4278</v>
      </c>
      <c r="N1139" s="24">
        <v>1640.84</v>
      </c>
      <c r="O1139" s="22" t="str">
        <f>IF(Table2[[#This Row],[CouponCode]]="N/A", "Not Used", "Used")</f>
        <v>Used</v>
      </c>
    </row>
    <row r="1140" spans="1:15" x14ac:dyDescent="0.3">
      <c r="A1140" s="6" t="s">
        <v>1152</v>
      </c>
      <c r="B1140" s="2">
        <v>45278</v>
      </c>
      <c r="C1140" s="6" t="s">
        <v>2342</v>
      </c>
      <c r="D1140" s="6" t="s">
        <v>2409</v>
      </c>
      <c r="E1140" s="9">
        <v>4</v>
      </c>
      <c r="F1140" s="24">
        <v>294.41000000000003</v>
      </c>
      <c r="G1140" t="s">
        <v>2865</v>
      </c>
      <c r="H1140" s="6" t="s">
        <v>3065</v>
      </c>
      <c r="I1140" s="6" t="s">
        <v>3074</v>
      </c>
      <c r="J1140" s="6" t="s">
        <v>4213</v>
      </c>
      <c r="K1140" s="9">
        <v>4</v>
      </c>
      <c r="L1140" s="6" t="s">
        <v>4283</v>
      </c>
      <c r="M1140" s="6" t="s">
        <v>4278</v>
      </c>
      <c r="N1140" s="24">
        <v>1177.6400000000001</v>
      </c>
      <c r="O1140" s="22" t="str">
        <f>IF(Table2[[#This Row],[CouponCode]]="N/A", "Not Used", "Used")</f>
        <v>Not Used</v>
      </c>
    </row>
    <row r="1141" spans="1:15" x14ac:dyDescent="0.3">
      <c r="A1141" s="6" t="s">
        <v>1153</v>
      </c>
      <c r="B1141" s="2">
        <v>45717</v>
      </c>
      <c r="C1141" s="6" t="s">
        <v>2256</v>
      </c>
      <c r="D1141" s="6" t="s">
        <v>2406</v>
      </c>
      <c r="E1141" s="9">
        <v>3</v>
      </c>
      <c r="F1141" s="24">
        <v>501.82</v>
      </c>
      <c r="G1141" t="s">
        <v>2438</v>
      </c>
      <c r="H1141" s="6" t="s">
        <v>3068</v>
      </c>
      <c r="I1141" s="6" t="s">
        <v>3071</v>
      </c>
      <c r="J1141" s="6" t="s">
        <v>4214</v>
      </c>
      <c r="K1141" s="9">
        <v>4</v>
      </c>
      <c r="L1141" s="6" t="s">
        <v>4276</v>
      </c>
      <c r="M1141" s="6" t="s">
        <v>4280</v>
      </c>
      <c r="N1141" s="24">
        <v>1505.46</v>
      </c>
      <c r="O1141" s="22" t="str">
        <f>IF(Table2[[#This Row],[CouponCode]]="N/A", "Not Used", "Used")</f>
        <v>Used</v>
      </c>
    </row>
    <row r="1142" spans="1:15" x14ac:dyDescent="0.3">
      <c r="A1142" s="6" t="s">
        <v>1154</v>
      </c>
      <c r="B1142" s="2">
        <v>45467</v>
      </c>
      <c r="C1142" s="6" t="s">
        <v>2343</v>
      </c>
      <c r="D1142" s="6" t="s">
        <v>2407</v>
      </c>
      <c r="E1142" s="9">
        <v>2</v>
      </c>
      <c r="F1142" s="24">
        <v>552.83000000000004</v>
      </c>
      <c r="G1142" t="s">
        <v>2418</v>
      </c>
      <c r="H1142" s="6" t="s">
        <v>3067</v>
      </c>
      <c r="I1142" s="6" t="s">
        <v>3071</v>
      </c>
      <c r="J1142" s="6" t="s">
        <v>4215</v>
      </c>
      <c r="K1142" s="9">
        <v>3</v>
      </c>
      <c r="L1142" s="6" t="s">
        <v>4283</v>
      </c>
      <c r="M1142" s="6" t="s">
        <v>4279</v>
      </c>
      <c r="N1142" s="24">
        <v>1105.6600000000001</v>
      </c>
      <c r="O1142" s="22" t="str">
        <f>IF(Table2[[#This Row],[CouponCode]]="N/A", "Not Used", "Used")</f>
        <v>Not Used</v>
      </c>
    </row>
    <row r="1143" spans="1:15" x14ac:dyDescent="0.3">
      <c r="A1143" s="6" t="s">
        <v>1155</v>
      </c>
      <c r="B1143" s="2">
        <v>45704</v>
      </c>
      <c r="C1143" s="6" t="s">
        <v>2344</v>
      </c>
      <c r="D1143" s="6" t="s">
        <v>2406</v>
      </c>
      <c r="E1143" s="9">
        <v>3</v>
      </c>
      <c r="F1143" s="24">
        <v>498.66</v>
      </c>
      <c r="G1143" t="s">
        <v>2427</v>
      </c>
      <c r="H1143" s="6" t="s">
        <v>3069</v>
      </c>
      <c r="I1143" s="6" t="s">
        <v>3071</v>
      </c>
      <c r="J1143" s="6" t="s">
        <v>4216</v>
      </c>
      <c r="K1143" s="9">
        <v>6</v>
      </c>
      <c r="L1143" s="6" t="s">
        <v>4283</v>
      </c>
      <c r="M1143" s="6" t="s">
        <v>4280</v>
      </c>
      <c r="N1143" s="24">
        <v>1495.98</v>
      </c>
      <c r="O1143" s="22" t="str">
        <f>IF(Table2[[#This Row],[CouponCode]]="N/A", "Not Used", "Used")</f>
        <v>Not Used</v>
      </c>
    </row>
    <row r="1144" spans="1:15" x14ac:dyDescent="0.3">
      <c r="A1144" s="6" t="s">
        <v>1156</v>
      </c>
      <c r="B1144" s="2">
        <v>45527</v>
      </c>
      <c r="C1144" s="6" t="s">
        <v>2345</v>
      </c>
      <c r="D1144" s="6" t="s">
        <v>2404</v>
      </c>
      <c r="E1144" s="9">
        <v>4</v>
      </c>
      <c r="F1144" s="24">
        <v>695.1</v>
      </c>
      <c r="G1144" t="s">
        <v>3041</v>
      </c>
      <c r="H1144" s="6" t="s">
        <v>3065</v>
      </c>
      <c r="I1144" s="6" t="s">
        <v>3072</v>
      </c>
      <c r="J1144" s="6" t="s">
        <v>4217</v>
      </c>
      <c r="K1144" s="9">
        <v>8</v>
      </c>
      <c r="L1144" s="6" t="s">
        <v>4283</v>
      </c>
      <c r="M1144" s="6" t="s">
        <v>4280</v>
      </c>
      <c r="N1144" s="24">
        <v>2780.4</v>
      </c>
      <c r="O1144" s="22" t="str">
        <f>IF(Table2[[#This Row],[CouponCode]]="N/A", "Not Used", "Used")</f>
        <v>Not Used</v>
      </c>
    </row>
    <row r="1145" spans="1:15" x14ac:dyDescent="0.3">
      <c r="A1145" s="6" t="s">
        <v>1157</v>
      </c>
      <c r="B1145" s="2">
        <v>45019</v>
      </c>
      <c r="C1145" s="6" t="s">
        <v>2346</v>
      </c>
      <c r="D1145" s="6" t="s">
        <v>2406</v>
      </c>
      <c r="E1145" s="9">
        <v>1</v>
      </c>
      <c r="F1145" s="24">
        <v>381.61</v>
      </c>
      <c r="G1145" t="s">
        <v>3042</v>
      </c>
      <c r="H1145" s="6" t="s">
        <v>3065</v>
      </c>
      <c r="I1145" s="6" t="s">
        <v>3074</v>
      </c>
      <c r="J1145" s="6" t="s">
        <v>4218</v>
      </c>
      <c r="K1145" s="9">
        <v>5</v>
      </c>
      <c r="L1145" s="6" t="s">
        <v>4283</v>
      </c>
      <c r="M1145" s="6" t="s">
        <v>4280</v>
      </c>
      <c r="N1145" s="24">
        <v>381.61</v>
      </c>
      <c r="O1145" s="22" t="str">
        <f>IF(Table2[[#This Row],[CouponCode]]="N/A", "Not Used", "Used")</f>
        <v>Not Used</v>
      </c>
    </row>
    <row r="1146" spans="1:15" x14ac:dyDescent="0.3">
      <c r="A1146" s="6" t="s">
        <v>1158</v>
      </c>
      <c r="B1146" s="2">
        <v>44973</v>
      </c>
      <c r="C1146" s="6" t="s">
        <v>2347</v>
      </c>
      <c r="D1146" s="6" t="s">
        <v>2409</v>
      </c>
      <c r="E1146" s="9">
        <v>5</v>
      </c>
      <c r="F1146" s="24">
        <v>507.94</v>
      </c>
      <c r="G1146" t="s">
        <v>3043</v>
      </c>
      <c r="H1146" s="6" t="s">
        <v>3066</v>
      </c>
      <c r="I1146" s="6" t="s">
        <v>3071</v>
      </c>
      <c r="J1146" s="6" t="s">
        <v>4219</v>
      </c>
      <c r="K1146" s="9">
        <v>9</v>
      </c>
      <c r="L1146" s="6" t="s">
        <v>4283</v>
      </c>
      <c r="M1146" s="6" t="s">
        <v>4281</v>
      </c>
      <c r="N1146" s="24">
        <v>2539.6999999999998</v>
      </c>
      <c r="O1146" s="22" t="str">
        <f>IF(Table2[[#This Row],[CouponCode]]="N/A", "Not Used", "Used")</f>
        <v>Not Used</v>
      </c>
    </row>
    <row r="1147" spans="1:15" x14ac:dyDescent="0.3">
      <c r="A1147" s="6" t="s">
        <v>1159</v>
      </c>
      <c r="B1147" s="2">
        <v>45789</v>
      </c>
      <c r="C1147" s="6" t="s">
        <v>2348</v>
      </c>
      <c r="D1147" s="6" t="s">
        <v>2409</v>
      </c>
      <c r="E1147" s="9">
        <v>3</v>
      </c>
      <c r="F1147" s="24">
        <v>571.53</v>
      </c>
      <c r="G1147" t="s">
        <v>2628</v>
      </c>
      <c r="H1147" s="6" t="s">
        <v>3065</v>
      </c>
      <c r="I1147" s="6" t="s">
        <v>3073</v>
      </c>
      <c r="J1147" s="6" t="s">
        <v>4220</v>
      </c>
      <c r="K1147" s="9">
        <v>6</v>
      </c>
      <c r="L1147" s="6" t="s">
        <v>4276</v>
      </c>
      <c r="M1147" s="6" t="s">
        <v>4281</v>
      </c>
      <c r="N1147" s="24">
        <v>1714.59</v>
      </c>
      <c r="O1147" s="22" t="str">
        <f>IF(Table2[[#This Row],[CouponCode]]="N/A", "Not Used", "Used")</f>
        <v>Used</v>
      </c>
    </row>
    <row r="1148" spans="1:15" x14ac:dyDescent="0.3">
      <c r="A1148" s="6" t="s">
        <v>1160</v>
      </c>
      <c r="B1148" s="2">
        <v>45568</v>
      </c>
      <c r="C1148" s="6" t="s">
        <v>2349</v>
      </c>
      <c r="D1148" s="6" t="s">
        <v>2403</v>
      </c>
      <c r="E1148" s="9">
        <v>5</v>
      </c>
      <c r="F1148" s="24">
        <v>421.44</v>
      </c>
      <c r="G1148" t="s">
        <v>2761</v>
      </c>
      <c r="H1148" s="6" t="s">
        <v>3069</v>
      </c>
      <c r="I1148" s="6" t="s">
        <v>3074</v>
      </c>
      <c r="J1148" s="6" t="s">
        <v>4221</v>
      </c>
      <c r="K1148" s="9">
        <v>5</v>
      </c>
      <c r="L1148" s="6" t="s">
        <v>4275</v>
      </c>
      <c r="M1148" s="6" t="s">
        <v>4278</v>
      </c>
      <c r="N1148" s="24">
        <v>2107.1999999999998</v>
      </c>
      <c r="O1148" s="22" t="str">
        <f>IF(Table2[[#This Row],[CouponCode]]="N/A", "Not Used", "Used")</f>
        <v>Used</v>
      </c>
    </row>
    <row r="1149" spans="1:15" x14ac:dyDescent="0.3">
      <c r="A1149" s="6" t="s">
        <v>1161</v>
      </c>
      <c r="B1149" s="2">
        <v>45659</v>
      </c>
      <c r="C1149" s="6" t="s">
        <v>2350</v>
      </c>
      <c r="D1149" s="6" t="s">
        <v>2406</v>
      </c>
      <c r="E1149" s="9">
        <v>2</v>
      </c>
      <c r="F1149" s="24">
        <v>588.29999999999995</v>
      </c>
      <c r="G1149" t="s">
        <v>3044</v>
      </c>
      <c r="H1149" s="6" t="s">
        <v>3066</v>
      </c>
      <c r="I1149" s="6" t="s">
        <v>3074</v>
      </c>
      <c r="J1149" s="6" t="s">
        <v>4222</v>
      </c>
      <c r="K1149" s="9">
        <v>2</v>
      </c>
      <c r="L1149" s="6" t="s">
        <v>4276</v>
      </c>
      <c r="M1149" s="6" t="s">
        <v>4280</v>
      </c>
      <c r="N1149" s="24">
        <v>1176.5999999999999</v>
      </c>
      <c r="O1149" s="22" t="str">
        <f>IF(Table2[[#This Row],[CouponCode]]="N/A", "Not Used", "Used")</f>
        <v>Used</v>
      </c>
    </row>
    <row r="1150" spans="1:15" x14ac:dyDescent="0.3">
      <c r="A1150" s="6" t="s">
        <v>1162</v>
      </c>
      <c r="B1150" s="2">
        <v>45468</v>
      </c>
      <c r="C1150" s="6" t="s">
        <v>2351</v>
      </c>
      <c r="D1150" s="6" t="s">
        <v>2404</v>
      </c>
      <c r="E1150" s="9">
        <v>1</v>
      </c>
      <c r="F1150" s="24">
        <v>355.15</v>
      </c>
      <c r="G1150" t="s">
        <v>3045</v>
      </c>
      <c r="H1150" s="6" t="s">
        <v>3069</v>
      </c>
      <c r="I1150" s="6" t="s">
        <v>3072</v>
      </c>
      <c r="J1150" s="6" t="s">
        <v>4223</v>
      </c>
      <c r="K1150" s="9">
        <v>2</v>
      </c>
      <c r="L1150" s="6" t="s">
        <v>4275</v>
      </c>
      <c r="M1150" s="6" t="s">
        <v>4280</v>
      </c>
      <c r="N1150" s="24">
        <v>355.15</v>
      </c>
      <c r="O1150" s="22" t="str">
        <f>IF(Table2[[#This Row],[CouponCode]]="N/A", "Not Used", "Used")</f>
        <v>Used</v>
      </c>
    </row>
    <row r="1151" spans="1:15" x14ac:dyDescent="0.3">
      <c r="A1151" s="6" t="s">
        <v>1163</v>
      </c>
      <c r="B1151" s="2">
        <v>45498</v>
      </c>
      <c r="C1151" s="6" t="s">
        <v>2352</v>
      </c>
      <c r="D1151" s="6" t="s">
        <v>2406</v>
      </c>
      <c r="E1151" s="9">
        <v>2</v>
      </c>
      <c r="F1151" s="24">
        <v>695.29</v>
      </c>
      <c r="G1151" t="s">
        <v>3046</v>
      </c>
      <c r="H1151" s="6" t="s">
        <v>3067</v>
      </c>
      <c r="I1151" s="6" t="s">
        <v>3074</v>
      </c>
      <c r="J1151" s="6" t="s">
        <v>4224</v>
      </c>
      <c r="K1151" s="9">
        <v>6</v>
      </c>
      <c r="L1151" s="6" t="s">
        <v>4276</v>
      </c>
      <c r="M1151" s="6" t="s">
        <v>4278</v>
      </c>
      <c r="N1151" s="24">
        <v>1390.58</v>
      </c>
      <c r="O1151" s="22" t="str">
        <f>IF(Table2[[#This Row],[CouponCode]]="N/A", "Not Used", "Used")</f>
        <v>Used</v>
      </c>
    </row>
    <row r="1152" spans="1:15" x14ac:dyDescent="0.3">
      <c r="A1152" s="6" t="s">
        <v>1164</v>
      </c>
      <c r="B1152" s="2">
        <v>44977</v>
      </c>
      <c r="C1152" s="6" t="s">
        <v>2353</v>
      </c>
      <c r="D1152" s="6" t="s">
        <v>2409</v>
      </c>
      <c r="E1152" s="9">
        <v>4</v>
      </c>
      <c r="F1152" s="24">
        <v>302.64999999999998</v>
      </c>
      <c r="G1152" t="s">
        <v>2642</v>
      </c>
      <c r="H1152" s="6" t="s">
        <v>3067</v>
      </c>
      <c r="I1152" s="6" t="s">
        <v>3071</v>
      </c>
      <c r="J1152" s="6" t="s">
        <v>4225</v>
      </c>
      <c r="K1152" s="9">
        <v>8</v>
      </c>
      <c r="L1152" s="6" t="s">
        <v>4275</v>
      </c>
      <c r="M1152" s="6" t="s">
        <v>4279</v>
      </c>
      <c r="N1152" s="24">
        <v>1210.5999999999999</v>
      </c>
      <c r="O1152" s="22" t="str">
        <f>IF(Table2[[#This Row],[CouponCode]]="N/A", "Not Used", "Used")</f>
        <v>Used</v>
      </c>
    </row>
    <row r="1153" spans="1:15" x14ac:dyDescent="0.3">
      <c r="A1153" s="6" t="s">
        <v>1165</v>
      </c>
      <c r="B1153" s="2">
        <v>44955</v>
      </c>
      <c r="C1153" s="6" t="s">
        <v>2354</v>
      </c>
      <c r="D1153" s="6" t="s">
        <v>2406</v>
      </c>
      <c r="E1153" s="9">
        <v>2</v>
      </c>
      <c r="F1153" s="24">
        <v>608.04</v>
      </c>
      <c r="G1153" t="s">
        <v>3047</v>
      </c>
      <c r="H1153" s="6" t="s">
        <v>3069</v>
      </c>
      <c r="I1153" s="6" t="s">
        <v>3071</v>
      </c>
      <c r="J1153" s="6" t="s">
        <v>4226</v>
      </c>
      <c r="K1153" s="9">
        <v>4</v>
      </c>
      <c r="L1153" s="6" t="s">
        <v>4283</v>
      </c>
      <c r="M1153" s="6" t="s">
        <v>4282</v>
      </c>
      <c r="N1153" s="24">
        <v>1216.08</v>
      </c>
      <c r="O1153" s="22" t="str">
        <f>IF(Table2[[#This Row],[CouponCode]]="N/A", "Not Used", "Used")</f>
        <v>Not Used</v>
      </c>
    </row>
    <row r="1154" spans="1:15" x14ac:dyDescent="0.3">
      <c r="A1154" s="6" t="s">
        <v>1166</v>
      </c>
      <c r="B1154" s="2">
        <v>45239</v>
      </c>
      <c r="C1154" s="6" t="s">
        <v>2355</v>
      </c>
      <c r="D1154" s="6" t="s">
        <v>2405</v>
      </c>
      <c r="E1154" s="9">
        <v>2</v>
      </c>
      <c r="F1154" s="24">
        <v>344.18</v>
      </c>
      <c r="G1154" t="s">
        <v>2501</v>
      </c>
      <c r="H1154" s="6" t="s">
        <v>3067</v>
      </c>
      <c r="I1154" s="6" t="s">
        <v>3070</v>
      </c>
      <c r="J1154" s="6" t="s">
        <v>4227</v>
      </c>
      <c r="K1154" s="9">
        <v>7</v>
      </c>
      <c r="L1154" s="6" t="s">
        <v>4283</v>
      </c>
      <c r="M1154" s="6" t="s">
        <v>4279</v>
      </c>
      <c r="N1154" s="24">
        <v>688.36</v>
      </c>
      <c r="O1154" s="22" t="str">
        <f>IF(Table2[[#This Row],[CouponCode]]="N/A", "Not Used", "Used")</f>
        <v>Not Used</v>
      </c>
    </row>
    <row r="1155" spans="1:15" x14ac:dyDescent="0.3">
      <c r="A1155" s="6" t="s">
        <v>1167</v>
      </c>
      <c r="B1155" s="2">
        <v>45642</v>
      </c>
      <c r="C1155" s="6" t="s">
        <v>2356</v>
      </c>
      <c r="D1155" s="6" t="s">
        <v>2403</v>
      </c>
      <c r="E1155" s="9">
        <v>4</v>
      </c>
      <c r="F1155" s="24">
        <v>696.71</v>
      </c>
      <c r="G1155" t="s">
        <v>3048</v>
      </c>
      <c r="H1155" s="6" t="s">
        <v>3065</v>
      </c>
      <c r="I1155" s="6" t="s">
        <v>3070</v>
      </c>
      <c r="J1155" s="6" t="s">
        <v>4228</v>
      </c>
      <c r="K1155" s="9">
        <v>4</v>
      </c>
      <c r="L1155" s="6" t="s">
        <v>4283</v>
      </c>
      <c r="M1155" s="6" t="s">
        <v>4278</v>
      </c>
      <c r="N1155" s="24">
        <v>2786.84</v>
      </c>
      <c r="O1155" s="22" t="str">
        <f>IF(Table2[[#This Row],[CouponCode]]="N/A", "Not Used", "Used")</f>
        <v>Not Used</v>
      </c>
    </row>
    <row r="1156" spans="1:15" x14ac:dyDescent="0.3">
      <c r="A1156" s="6" t="s">
        <v>1168</v>
      </c>
      <c r="B1156" s="2">
        <v>45819</v>
      </c>
      <c r="C1156" s="6" t="s">
        <v>2357</v>
      </c>
      <c r="D1156" s="6" t="s">
        <v>2403</v>
      </c>
      <c r="E1156" s="9">
        <v>3</v>
      </c>
      <c r="F1156" s="24">
        <v>198.63</v>
      </c>
      <c r="G1156" t="s">
        <v>2520</v>
      </c>
      <c r="H1156" s="6" t="s">
        <v>3069</v>
      </c>
      <c r="I1156" s="6" t="s">
        <v>3074</v>
      </c>
      <c r="J1156" s="6" t="s">
        <v>4229</v>
      </c>
      <c r="K1156" s="9">
        <v>8</v>
      </c>
      <c r="L1156" s="6" t="s">
        <v>4275</v>
      </c>
      <c r="M1156" s="6" t="s">
        <v>4278</v>
      </c>
      <c r="N1156" s="24">
        <v>595.89</v>
      </c>
      <c r="O1156" s="22" t="str">
        <f>IF(Table2[[#This Row],[CouponCode]]="N/A", "Not Used", "Used")</f>
        <v>Used</v>
      </c>
    </row>
    <row r="1157" spans="1:15" x14ac:dyDescent="0.3">
      <c r="A1157" s="6" t="s">
        <v>1169</v>
      </c>
      <c r="B1157" s="2">
        <v>45151</v>
      </c>
      <c r="C1157" s="6" t="s">
        <v>2358</v>
      </c>
      <c r="D1157" s="6" t="s">
        <v>2407</v>
      </c>
      <c r="E1157" s="9">
        <v>4</v>
      </c>
      <c r="F1157" s="24">
        <v>534.57000000000005</v>
      </c>
      <c r="G1157" t="s">
        <v>2558</v>
      </c>
      <c r="H1157" s="6" t="s">
        <v>3067</v>
      </c>
      <c r="I1157" s="6" t="s">
        <v>3073</v>
      </c>
      <c r="J1157" s="6" t="s">
        <v>4230</v>
      </c>
      <c r="K1157" s="9">
        <v>6</v>
      </c>
      <c r="L1157" s="6" t="s">
        <v>4276</v>
      </c>
      <c r="M1157" s="6" t="s">
        <v>4281</v>
      </c>
      <c r="N1157" s="24">
        <v>2138.2800000000002</v>
      </c>
      <c r="O1157" s="22" t="str">
        <f>IF(Table2[[#This Row],[CouponCode]]="N/A", "Not Used", "Used")</f>
        <v>Used</v>
      </c>
    </row>
    <row r="1158" spans="1:15" x14ac:dyDescent="0.3">
      <c r="A1158" s="6" t="s">
        <v>1170</v>
      </c>
      <c r="B1158" s="2">
        <v>45126</v>
      </c>
      <c r="C1158" s="6" t="s">
        <v>2359</v>
      </c>
      <c r="D1158" s="6" t="s">
        <v>2408</v>
      </c>
      <c r="E1158" s="9">
        <v>4</v>
      </c>
      <c r="F1158" s="24">
        <v>690.78</v>
      </c>
      <c r="G1158" t="s">
        <v>2424</v>
      </c>
      <c r="H1158" s="6" t="s">
        <v>3067</v>
      </c>
      <c r="I1158" s="6" t="s">
        <v>3070</v>
      </c>
      <c r="J1158" s="6" t="s">
        <v>4231</v>
      </c>
      <c r="K1158" s="9">
        <v>9</v>
      </c>
      <c r="L1158" s="6" t="s">
        <v>4283</v>
      </c>
      <c r="M1158" s="6" t="s">
        <v>4279</v>
      </c>
      <c r="N1158" s="24">
        <v>2763.12</v>
      </c>
      <c r="O1158" s="22" t="str">
        <f>IF(Table2[[#This Row],[CouponCode]]="N/A", "Not Used", "Used")</f>
        <v>Not Used</v>
      </c>
    </row>
    <row r="1159" spans="1:15" x14ac:dyDescent="0.3">
      <c r="A1159" s="6" t="s">
        <v>1171</v>
      </c>
      <c r="B1159" s="2">
        <v>45441</v>
      </c>
      <c r="C1159" s="6" t="s">
        <v>2360</v>
      </c>
      <c r="D1159" s="6" t="s">
        <v>2403</v>
      </c>
      <c r="E1159" s="9">
        <v>3</v>
      </c>
      <c r="F1159" s="24">
        <v>301.55</v>
      </c>
      <c r="G1159" t="s">
        <v>2605</v>
      </c>
      <c r="H1159" s="6" t="s">
        <v>3065</v>
      </c>
      <c r="I1159" s="6" t="s">
        <v>3073</v>
      </c>
      <c r="J1159" s="6" t="s">
        <v>4232</v>
      </c>
      <c r="K1159" s="9">
        <v>5</v>
      </c>
      <c r="L1159" s="6" t="s">
        <v>4276</v>
      </c>
      <c r="M1159" s="6" t="s">
        <v>4282</v>
      </c>
      <c r="N1159" s="24">
        <v>904.65000000000009</v>
      </c>
      <c r="O1159" s="22" t="str">
        <f>IF(Table2[[#This Row],[CouponCode]]="N/A", "Not Used", "Used")</f>
        <v>Used</v>
      </c>
    </row>
    <row r="1160" spans="1:15" x14ac:dyDescent="0.3">
      <c r="A1160" s="6" t="s">
        <v>1172</v>
      </c>
      <c r="B1160" s="2">
        <v>45036</v>
      </c>
      <c r="C1160" s="6" t="s">
        <v>2361</v>
      </c>
      <c r="D1160" s="6" t="s">
        <v>2403</v>
      </c>
      <c r="E1160" s="9">
        <v>4</v>
      </c>
      <c r="F1160" s="24">
        <v>27.42</v>
      </c>
      <c r="G1160" t="s">
        <v>2755</v>
      </c>
      <c r="H1160" s="6" t="s">
        <v>3065</v>
      </c>
      <c r="I1160" s="6" t="s">
        <v>3074</v>
      </c>
      <c r="J1160" s="6" t="s">
        <v>4233</v>
      </c>
      <c r="K1160" s="9">
        <v>4</v>
      </c>
      <c r="L1160" s="6" t="s">
        <v>4275</v>
      </c>
      <c r="M1160" s="6" t="s">
        <v>4279</v>
      </c>
      <c r="N1160" s="24">
        <v>109.68</v>
      </c>
      <c r="O1160" s="22" t="str">
        <f>IF(Table2[[#This Row],[CouponCode]]="N/A", "Not Used", "Used")</f>
        <v>Used</v>
      </c>
    </row>
    <row r="1161" spans="1:15" x14ac:dyDescent="0.3">
      <c r="A1161" s="6" t="s">
        <v>1173</v>
      </c>
      <c r="B1161" s="2">
        <v>45345</v>
      </c>
      <c r="C1161" s="6" t="s">
        <v>2362</v>
      </c>
      <c r="D1161" s="6" t="s">
        <v>2409</v>
      </c>
      <c r="E1161" s="9">
        <v>4</v>
      </c>
      <c r="F1161" s="24">
        <v>466.7</v>
      </c>
      <c r="G1161" t="s">
        <v>2766</v>
      </c>
      <c r="H1161" s="6" t="s">
        <v>3065</v>
      </c>
      <c r="I1161" s="6" t="s">
        <v>3072</v>
      </c>
      <c r="J1161" s="6" t="s">
        <v>4234</v>
      </c>
      <c r="K1161" s="9">
        <v>8</v>
      </c>
      <c r="L1161" s="6" t="s">
        <v>4283</v>
      </c>
      <c r="M1161" s="6" t="s">
        <v>4278</v>
      </c>
      <c r="N1161" s="24">
        <v>1866.8</v>
      </c>
      <c r="O1161" s="22" t="str">
        <f>IF(Table2[[#This Row],[CouponCode]]="N/A", "Not Used", "Used")</f>
        <v>Not Used</v>
      </c>
    </row>
    <row r="1162" spans="1:15" x14ac:dyDescent="0.3">
      <c r="A1162" s="6" t="s">
        <v>1174</v>
      </c>
      <c r="B1162" s="2">
        <v>45539</v>
      </c>
      <c r="C1162" s="6" t="s">
        <v>2363</v>
      </c>
      <c r="D1162" s="6" t="s">
        <v>2409</v>
      </c>
      <c r="E1162" s="9">
        <v>1</v>
      </c>
      <c r="F1162" s="24">
        <v>541.64</v>
      </c>
      <c r="G1162" t="s">
        <v>2777</v>
      </c>
      <c r="H1162" s="6" t="s">
        <v>3065</v>
      </c>
      <c r="I1162" s="6" t="s">
        <v>3070</v>
      </c>
      <c r="J1162" s="6" t="s">
        <v>4235</v>
      </c>
      <c r="K1162" s="9">
        <v>5</v>
      </c>
      <c r="L1162" s="6" t="s">
        <v>4275</v>
      </c>
      <c r="M1162" s="6" t="s">
        <v>4280</v>
      </c>
      <c r="N1162" s="24">
        <v>541.64</v>
      </c>
      <c r="O1162" s="22" t="str">
        <f>IF(Table2[[#This Row],[CouponCode]]="N/A", "Not Used", "Used")</f>
        <v>Used</v>
      </c>
    </row>
    <row r="1163" spans="1:15" x14ac:dyDescent="0.3">
      <c r="A1163" s="6" t="s">
        <v>1175</v>
      </c>
      <c r="B1163" s="2">
        <v>45215</v>
      </c>
      <c r="C1163" s="6" t="s">
        <v>2364</v>
      </c>
      <c r="D1163" s="6" t="s">
        <v>2404</v>
      </c>
      <c r="E1163" s="9">
        <v>1</v>
      </c>
      <c r="F1163" s="24">
        <v>11.39</v>
      </c>
      <c r="G1163" t="s">
        <v>2693</v>
      </c>
      <c r="H1163" s="6" t="s">
        <v>3069</v>
      </c>
      <c r="I1163" s="6" t="s">
        <v>3071</v>
      </c>
      <c r="J1163" s="6" t="s">
        <v>4236</v>
      </c>
      <c r="K1163" s="9">
        <v>6</v>
      </c>
      <c r="L1163" s="6" t="s">
        <v>4277</v>
      </c>
      <c r="M1163" s="6" t="s">
        <v>4280</v>
      </c>
      <c r="N1163" s="24">
        <v>11.39</v>
      </c>
      <c r="O1163" s="22" t="str">
        <f>IF(Table2[[#This Row],[CouponCode]]="N/A", "Not Used", "Used")</f>
        <v>Used</v>
      </c>
    </row>
    <row r="1164" spans="1:15" x14ac:dyDescent="0.3">
      <c r="A1164" s="6" t="s">
        <v>1176</v>
      </c>
      <c r="B1164" s="2">
        <v>45727</v>
      </c>
      <c r="C1164" s="6" t="s">
        <v>2365</v>
      </c>
      <c r="D1164" s="6" t="s">
        <v>2404</v>
      </c>
      <c r="E1164" s="9">
        <v>2</v>
      </c>
      <c r="F1164" s="24">
        <v>224.37</v>
      </c>
      <c r="G1164" t="s">
        <v>3049</v>
      </c>
      <c r="H1164" s="6" t="s">
        <v>3065</v>
      </c>
      <c r="I1164" s="6" t="s">
        <v>3073</v>
      </c>
      <c r="J1164" s="6" t="s">
        <v>4237</v>
      </c>
      <c r="K1164" s="9">
        <v>3</v>
      </c>
      <c r="L1164" s="6" t="s">
        <v>4277</v>
      </c>
      <c r="M1164" s="6" t="s">
        <v>4279</v>
      </c>
      <c r="N1164" s="24">
        <v>448.74</v>
      </c>
      <c r="O1164" s="22" t="str">
        <f>IF(Table2[[#This Row],[CouponCode]]="N/A", "Not Used", "Used")</f>
        <v>Used</v>
      </c>
    </row>
    <row r="1165" spans="1:15" x14ac:dyDescent="0.3">
      <c r="A1165" s="6" t="s">
        <v>1177</v>
      </c>
      <c r="B1165" s="2">
        <v>45454</v>
      </c>
      <c r="C1165" s="6" t="s">
        <v>2366</v>
      </c>
      <c r="D1165" s="6" t="s">
        <v>2408</v>
      </c>
      <c r="E1165" s="9">
        <v>3</v>
      </c>
      <c r="F1165" s="24">
        <v>306.29000000000002</v>
      </c>
      <c r="G1165" t="s">
        <v>3050</v>
      </c>
      <c r="H1165" s="6" t="s">
        <v>3067</v>
      </c>
      <c r="I1165" s="6" t="s">
        <v>3072</v>
      </c>
      <c r="J1165" s="6" t="s">
        <v>4238</v>
      </c>
      <c r="K1165" s="9">
        <v>7</v>
      </c>
      <c r="L1165" s="6" t="s">
        <v>4277</v>
      </c>
      <c r="M1165" s="6" t="s">
        <v>4278</v>
      </c>
      <c r="N1165" s="24">
        <v>918.87000000000012</v>
      </c>
      <c r="O1165" s="22" t="str">
        <f>IF(Table2[[#This Row],[CouponCode]]="N/A", "Not Used", "Used")</f>
        <v>Used</v>
      </c>
    </row>
    <row r="1166" spans="1:15" x14ac:dyDescent="0.3">
      <c r="A1166" s="6" t="s">
        <v>1178</v>
      </c>
      <c r="B1166" s="2">
        <v>45299</v>
      </c>
      <c r="C1166" s="6" t="s">
        <v>2367</v>
      </c>
      <c r="D1166" s="6" t="s">
        <v>2405</v>
      </c>
      <c r="E1166" s="9">
        <v>5</v>
      </c>
      <c r="F1166" s="24">
        <v>315.57</v>
      </c>
      <c r="G1166" t="s">
        <v>2826</v>
      </c>
      <c r="H1166" s="6" t="s">
        <v>3065</v>
      </c>
      <c r="I1166" s="6" t="s">
        <v>3073</v>
      </c>
      <c r="J1166" s="6" t="s">
        <v>4239</v>
      </c>
      <c r="K1166" s="9">
        <v>6</v>
      </c>
      <c r="L1166" s="6" t="s">
        <v>4277</v>
      </c>
      <c r="M1166" s="6" t="s">
        <v>4280</v>
      </c>
      <c r="N1166" s="24">
        <v>1577.85</v>
      </c>
      <c r="O1166" s="22" t="str">
        <f>IF(Table2[[#This Row],[CouponCode]]="N/A", "Not Used", "Used")</f>
        <v>Used</v>
      </c>
    </row>
    <row r="1167" spans="1:15" x14ac:dyDescent="0.3">
      <c r="A1167" s="6" t="s">
        <v>1179</v>
      </c>
      <c r="B1167" s="2">
        <v>45121</v>
      </c>
      <c r="C1167" s="6" t="s">
        <v>2368</v>
      </c>
      <c r="D1167" s="6" t="s">
        <v>2406</v>
      </c>
      <c r="E1167" s="9">
        <v>3</v>
      </c>
      <c r="F1167" s="24">
        <v>223.79</v>
      </c>
      <c r="G1167" t="s">
        <v>3051</v>
      </c>
      <c r="H1167" s="6" t="s">
        <v>3065</v>
      </c>
      <c r="I1167" s="6" t="s">
        <v>3074</v>
      </c>
      <c r="J1167" s="6" t="s">
        <v>4240</v>
      </c>
      <c r="K1167" s="9">
        <v>3</v>
      </c>
      <c r="L1167" s="6" t="s">
        <v>4283</v>
      </c>
      <c r="M1167" s="6" t="s">
        <v>4282</v>
      </c>
      <c r="N1167" s="24">
        <v>671.37</v>
      </c>
      <c r="O1167" s="22" t="str">
        <f>IF(Table2[[#This Row],[CouponCode]]="N/A", "Not Used", "Used")</f>
        <v>Not Used</v>
      </c>
    </row>
    <row r="1168" spans="1:15" x14ac:dyDescent="0.3">
      <c r="A1168" s="6" t="s">
        <v>1180</v>
      </c>
      <c r="B1168" s="2">
        <v>45138</v>
      </c>
      <c r="C1168" s="6" t="s">
        <v>2369</v>
      </c>
      <c r="D1168" s="6" t="s">
        <v>2406</v>
      </c>
      <c r="E1168" s="9">
        <v>3</v>
      </c>
      <c r="F1168" s="24">
        <v>324.47000000000003</v>
      </c>
      <c r="G1168" t="s">
        <v>2486</v>
      </c>
      <c r="H1168" s="6" t="s">
        <v>3069</v>
      </c>
      <c r="I1168" s="6" t="s">
        <v>3073</v>
      </c>
      <c r="J1168" s="6" t="s">
        <v>4241</v>
      </c>
      <c r="K1168" s="9">
        <v>4</v>
      </c>
      <c r="L1168" s="6" t="s">
        <v>4277</v>
      </c>
      <c r="M1168" s="6" t="s">
        <v>4280</v>
      </c>
      <c r="N1168" s="24">
        <v>973.41000000000008</v>
      </c>
      <c r="O1168" s="22" t="str">
        <f>IF(Table2[[#This Row],[CouponCode]]="N/A", "Not Used", "Used")</f>
        <v>Used</v>
      </c>
    </row>
    <row r="1169" spans="1:15" x14ac:dyDescent="0.3">
      <c r="A1169" s="6" t="s">
        <v>1181</v>
      </c>
      <c r="B1169" s="2">
        <v>45216</v>
      </c>
      <c r="C1169" s="6" t="s">
        <v>2370</v>
      </c>
      <c r="D1169" s="6" t="s">
        <v>2407</v>
      </c>
      <c r="E1169" s="9">
        <v>2</v>
      </c>
      <c r="F1169" s="24">
        <v>92.87</v>
      </c>
      <c r="G1169" t="s">
        <v>2645</v>
      </c>
      <c r="H1169" s="6" t="s">
        <v>3067</v>
      </c>
      <c r="I1169" s="6" t="s">
        <v>3074</v>
      </c>
      <c r="J1169" s="6" t="s">
        <v>4242</v>
      </c>
      <c r="K1169" s="9">
        <v>5</v>
      </c>
      <c r="L1169" s="6" t="s">
        <v>4276</v>
      </c>
      <c r="M1169" s="6" t="s">
        <v>4281</v>
      </c>
      <c r="N1169" s="24">
        <v>185.74</v>
      </c>
      <c r="O1169" s="22" t="str">
        <f>IF(Table2[[#This Row],[CouponCode]]="N/A", "Not Used", "Used")</f>
        <v>Used</v>
      </c>
    </row>
    <row r="1170" spans="1:15" x14ac:dyDescent="0.3">
      <c r="A1170" s="6" t="s">
        <v>1182</v>
      </c>
      <c r="B1170" s="2">
        <v>45024</v>
      </c>
      <c r="C1170" s="6" t="s">
        <v>2371</v>
      </c>
      <c r="D1170" s="6" t="s">
        <v>2408</v>
      </c>
      <c r="E1170" s="9">
        <v>2</v>
      </c>
      <c r="F1170" s="24">
        <v>331.42</v>
      </c>
      <c r="G1170" t="s">
        <v>3052</v>
      </c>
      <c r="H1170" s="6" t="s">
        <v>3067</v>
      </c>
      <c r="I1170" s="6" t="s">
        <v>3073</v>
      </c>
      <c r="J1170" s="6" t="s">
        <v>4243</v>
      </c>
      <c r="K1170" s="9">
        <v>6</v>
      </c>
      <c r="L1170" s="6" t="s">
        <v>4277</v>
      </c>
      <c r="M1170" s="6" t="s">
        <v>4282</v>
      </c>
      <c r="N1170" s="24">
        <v>662.84</v>
      </c>
      <c r="O1170" s="22" t="str">
        <f>IF(Table2[[#This Row],[CouponCode]]="N/A", "Not Used", "Used")</f>
        <v>Used</v>
      </c>
    </row>
    <row r="1171" spans="1:15" x14ac:dyDescent="0.3">
      <c r="A1171" s="6" t="s">
        <v>1183</v>
      </c>
      <c r="B1171" s="2">
        <v>45649</v>
      </c>
      <c r="C1171" s="6" t="s">
        <v>2372</v>
      </c>
      <c r="D1171" s="6" t="s">
        <v>2406</v>
      </c>
      <c r="E1171" s="9">
        <v>1</v>
      </c>
      <c r="F1171" s="24">
        <v>525.42999999999995</v>
      </c>
      <c r="G1171" t="s">
        <v>3053</v>
      </c>
      <c r="H1171" s="6" t="s">
        <v>3069</v>
      </c>
      <c r="I1171" s="6" t="s">
        <v>3071</v>
      </c>
      <c r="J1171" s="6" t="s">
        <v>4244</v>
      </c>
      <c r="K1171" s="9">
        <v>2</v>
      </c>
      <c r="L1171" s="6" t="s">
        <v>4275</v>
      </c>
      <c r="M1171" s="6" t="s">
        <v>4278</v>
      </c>
      <c r="N1171" s="24">
        <v>525.42999999999995</v>
      </c>
      <c r="O1171" s="22" t="str">
        <f>IF(Table2[[#This Row],[CouponCode]]="N/A", "Not Used", "Used")</f>
        <v>Used</v>
      </c>
    </row>
    <row r="1172" spans="1:15" x14ac:dyDescent="0.3">
      <c r="A1172" s="6" t="s">
        <v>1184</v>
      </c>
      <c r="B1172" s="2">
        <v>45141</v>
      </c>
      <c r="C1172" s="6" t="s">
        <v>2373</v>
      </c>
      <c r="D1172" s="6" t="s">
        <v>2407</v>
      </c>
      <c r="E1172" s="9">
        <v>2</v>
      </c>
      <c r="F1172" s="24">
        <v>697.19</v>
      </c>
      <c r="G1172" t="s">
        <v>2607</v>
      </c>
      <c r="H1172" s="6" t="s">
        <v>3069</v>
      </c>
      <c r="I1172" s="6" t="s">
        <v>3072</v>
      </c>
      <c r="J1172" s="6" t="s">
        <v>4245</v>
      </c>
      <c r="K1172" s="9">
        <v>7</v>
      </c>
      <c r="L1172" s="6" t="s">
        <v>4276</v>
      </c>
      <c r="M1172" s="6" t="s">
        <v>4280</v>
      </c>
      <c r="N1172" s="24">
        <v>1394.38</v>
      </c>
      <c r="O1172" s="22" t="str">
        <f>IF(Table2[[#This Row],[CouponCode]]="N/A", "Not Used", "Used")</f>
        <v>Used</v>
      </c>
    </row>
    <row r="1173" spans="1:15" x14ac:dyDescent="0.3">
      <c r="A1173" s="6" t="s">
        <v>1185</v>
      </c>
      <c r="B1173" s="2">
        <v>45166</v>
      </c>
      <c r="C1173" s="6" t="s">
        <v>2374</v>
      </c>
      <c r="D1173" s="6" t="s">
        <v>2404</v>
      </c>
      <c r="E1173" s="9">
        <v>4</v>
      </c>
      <c r="F1173" s="24">
        <v>518.4</v>
      </c>
      <c r="G1173" t="s">
        <v>3054</v>
      </c>
      <c r="H1173" s="6" t="s">
        <v>3067</v>
      </c>
      <c r="I1173" s="6" t="s">
        <v>3073</v>
      </c>
      <c r="J1173" s="6" t="s">
        <v>4246</v>
      </c>
      <c r="K1173" s="9">
        <v>7</v>
      </c>
      <c r="L1173" s="6" t="s">
        <v>4275</v>
      </c>
      <c r="M1173" s="6" t="s">
        <v>4281</v>
      </c>
      <c r="N1173" s="24">
        <v>2073.6</v>
      </c>
      <c r="O1173" s="22" t="str">
        <f>IF(Table2[[#This Row],[CouponCode]]="N/A", "Not Used", "Used")</f>
        <v>Used</v>
      </c>
    </row>
    <row r="1174" spans="1:15" x14ac:dyDescent="0.3">
      <c r="A1174" s="6" t="s">
        <v>1186</v>
      </c>
      <c r="B1174" s="2">
        <v>45692</v>
      </c>
      <c r="C1174" s="6" t="s">
        <v>2375</v>
      </c>
      <c r="D1174" s="6" t="s">
        <v>2409</v>
      </c>
      <c r="E1174" s="9">
        <v>3</v>
      </c>
      <c r="F1174" s="24">
        <v>131.96</v>
      </c>
      <c r="G1174" t="s">
        <v>2793</v>
      </c>
      <c r="H1174" s="6" t="s">
        <v>3067</v>
      </c>
      <c r="I1174" s="6" t="s">
        <v>3074</v>
      </c>
      <c r="J1174" s="6" t="s">
        <v>4247</v>
      </c>
      <c r="K1174" s="9">
        <v>8</v>
      </c>
      <c r="L1174" s="6" t="s">
        <v>4283</v>
      </c>
      <c r="M1174" s="6" t="s">
        <v>4278</v>
      </c>
      <c r="N1174" s="24">
        <v>395.88</v>
      </c>
      <c r="O1174" s="22" t="str">
        <f>IF(Table2[[#This Row],[CouponCode]]="N/A", "Not Used", "Used")</f>
        <v>Not Used</v>
      </c>
    </row>
    <row r="1175" spans="1:15" x14ac:dyDescent="0.3">
      <c r="A1175" s="6" t="s">
        <v>1187</v>
      </c>
      <c r="B1175" s="2">
        <v>45569</v>
      </c>
      <c r="C1175" s="6" t="s">
        <v>2376</v>
      </c>
      <c r="D1175" s="6" t="s">
        <v>2403</v>
      </c>
      <c r="E1175" s="9">
        <v>1</v>
      </c>
      <c r="F1175" s="24">
        <v>208.36</v>
      </c>
      <c r="G1175" t="s">
        <v>2891</v>
      </c>
      <c r="H1175" s="6" t="s">
        <v>3066</v>
      </c>
      <c r="I1175" s="6" t="s">
        <v>3070</v>
      </c>
      <c r="J1175" s="6" t="s">
        <v>4248</v>
      </c>
      <c r="K1175" s="9">
        <v>4</v>
      </c>
      <c r="L1175" s="6" t="s">
        <v>4276</v>
      </c>
      <c r="M1175" s="6" t="s">
        <v>4280</v>
      </c>
      <c r="N1175" s="24">
        <v>208.36</v>
      </c>
      <c r="O1175" s="22" t="str">
        <f>IF(Table2[[#This Row],[CouponCode]]="N/A", "Not Used", "Used")</f>
        <v>Used</v>
      </c>
    </row>
    <row r="1176" spans="1:15" x14ac:dyDescent="0.3">
      <c r="A1176" s="6" t="s">
        <v>1188</v>
      </c>
      <c r="B1176" s="2">
        <v>45257</v>
      </c>
      <c r="C1176" s="6" t="s">
        <v>2377</v>
      </c>
      <c r="D1176" s="6" t="s">
        <v>2407</v>
      </c>
      <c r="E1176" s="9">
        <v>3</v>
      </c>
      <c r="F1176" s="24">
        <v>222.34</v>
      </c>
      <c r="G1176" t="s">
        <v>3055</v>
      </c>
      <c r="H1176" s="6" t="s">
        <v>3067</v>
      </c>
      <c r="I1176" s="6" t="s">
        <v>3072</v>
      </c>
      <c r="J1176" s="6" t="s">
        <v>4249</v>
      </c>
      <c r="K1176" s="9">
        <v>5</v>
      </c>
      <c r="L1176" s="6" t="s">
        <v>4277</v>
      </c>
      <c r="M1176" s="6" t="s">
        <v>4280</v>
      </c>
      <c r="N1176" s="24">
        <v>667.02</v>
      </c>
      <c r="O1176" s="22" t="str">
        <f>IF(Table2[[#This Row],[CouponCode]]="N/A", "Not Used", "Used")</f>
        <v>Used</v>
      </c>
    </row>
    <row r="1177" spans="1:15" x14ac:dyDescent="0.3">
      <c r="A1177" s="6" t="s">
        <v>1189</v>
      </c>
      <c r="B1177" s="2">
        <v>45545</v>
      </c>
      <c r="C1177" s="6" t="s">
        <v>2378</v>
      </c>
      <c r="D1177" s="6" t="s">
        <v>2407</v>
      </c>
      <c r="E1177" s="9">
        <v>3</v>
      </c>
      <c r="F1177" s="24">
        <v>91.74</v>
      </c>
      <c r="G1177" t="s">
        <v>2666</v>
      </c>
      <c r="H1177" s="6" t="s">
        <v>3065</v>
      </c>
      <c r="I1177" s="6" t="s">
        <v>3072</v>
      </c>
      <c r="J1177" s="6" t="s">
        <v>4250</v>
      </c>
      <c r="K1177" s="9">
        <v>8</v>
      </c>
      <c r="L1177" s="6" t="s">
        <v>4276</v>
      </c>
      <c r="M1177" s="6" t="s">
        <v>4279</v>
      </c>
      <c r="N1177" s="24">
        <v>275.22000000000003</v>
      </c>
      <c r="O1177" s="22" t="str">
        <f>IF(Table2[[#This Row],[CouponCode]]="N/A", "Not Used", "Used")</f>
        <v>Used</v>
      </c>
    </row>
    <row r="1178" spans="1:15" x14ac:dyDescent="0.3">
      <c r="A1178" s="6" t="s">
        <v>1190</v>
      </c>
      <c r="B1178" s="2">
        <v>45151</v>
      </c>
      <c r="C1178" s="6" t="s">
        <v>2379</v>
      </c>
      <c r="D1178" s="6" t="s">
        <v>2405</v>
      </c>
      <c r="E1178" s="9">
        <v>2</v>
      </c>
      <c r="F1178" s="24">
        <v>213.83</v>
      </c>
      <c r="G1178" t="s">
        <v>3056</v>
      </c>
      <c r="H1178" s="6" t="s">
        <v>3065</v>
      </c>
      <c r="I1178" s="6" t="s">
        <v>3071</v>
      </c>
      <c r="J1178" s="6" t="s">
        <v>4251</v>
      </c>
      <c r="K1178" s="9">
        <v>2</v>
      </c>
      <c r="L1178" s="6" t="s">
        <v>4277</v>
      </c>
      <c r="M1178" s="6" t="s">
        <v>4280</v>
      </c>
      <c r="N1178" s="24">
        <v>427.66</v>
      </c>
      <c r="O1178" s="22" t="str">
        <f>IF(Table2[[#This Row],[CouponCode]]="N/A", "Not Used", "Used")</f>
        <v>Used</v>
      </c>
    </row>
    <row r="1179" spans="1:15" x14ac:dyDescent="0.3">
      <c r="A1179" s="6" t="s">
        <v>1191</v>
      </c>
      <c r="B1179" s="2">
        <v>45043</v>
      </c>
      <c r="C1179" s="6" t="s">
        <v>2380</v>
      </c>
      <c r="D1179" s="6" t="s">
        <v>2407</v>
      </c>
      <c r="E1179" s="9">
        <v>1</v>
      </c>
      <c r="F1179" s="24">
        <v>127.55</v>
      </c>
      <c r="G1179" t="s">
        <v>2749</v>
      </c>
      <c r="H1179" s="6" t="s">
        <v>3069</v>
      </c>
      <c r="I1179" s="6" t="s">
        <v>3070</v>
      </c>
      <c r="J1179" s="6" t="s">
        <v>4252</v>
      </c>
      <c r="K1179" s="9">
        <v>3</v>
      </c>
      <c r="L1179" s="6" t="s">
        <v>4275</v>
      </c>
      <c r="M1179" s="6" t="s">
        <v>4279</v>
      </c>
      <c r="N1179" s="24">
        <v>127.55</v>
      </c>
      <c r="O1179" s="22" t="str">
        <f>IF(Table2[[#This Row],[CouponCode]]="N/A", "Not Used", "Used")</f>
        <v>Used</v>
      </c>
    </row>
    <row r="1180" spans="1:15" x14ac:dyDescent="0.3">
      <c r="A1180" s="6" t="s">
        <v>1192</v>
      </c>
      <c r="B1180" s="2">
        <v>45543</v>
      </c>
      <c r="C1180" s="6" t="s">
        <v>2381</v>
      </c>
      <c r="D1180" s="6" t="s">
        <v>2403</v>
      </c>
      <c r="E1180" s="9">
        <v>1</v>
      </c>
      <c r="F1180" s="24">
        <v>70.239999999999995</v>
      </c>
      <c r="G1180" t="s">
        <v>2616</v>
      </c>
      <c r="H1180" s="6" t="s">
        <v>3067</v>
      </c>
      <c r="I1180" s="6" t="s">
        <v>3071</v>
      </c>
      <c r="J1180" s="6" t="s">
        <v>4253</v>
      </c>
      <c r="K1180" s="9">
        <v>4</v>
      </c>
      <c r="L1180" s="6" t="s">
        <v>4276</v>
      </c>
      <c r="M1180" s="6" t="s">
        <v>4282</v>
      </c>
      <c r="N1180" s="24">
        <v>70.239999999999995</v>
      </c>
      <c r="O1180" s="22" t="str">
        <f>IF(Table2[[#This Row],[CouponCode]]="N/A", "Not Used", "Used")</f>
        <v>Used</v>
      </c>
    </row>
    <row r="1181" spans="1:15" x14ac:dyDescent="0.3">
      <c r="A1181" s="6" t="s">
        <v>1193</v>
      </c>
      <c r="B1181" s="2">
        <v>44934</v>
      </c>
      <c r="C1181" s="6" t="s">
        <v>2382</v>
      </c>
      <c r="D1181" s="6" t="s">
        <v>2408</v>
      </c>
      <c r="E1181" s="9">
        <v>5</v>
      </c>
      <c r="F1181" s="24">
        <v>518.54999999999995</v>
      </c>
      <c r="G1181" t="s">
        <v>2709</v>
      </c>
      <c r="H1181" s="6" t="s">
        <v>3067</v>
      </c>
      <c r="I1181" s="6" t="s">
        <v>3071</v>
      </c>
      <c r="J1181" s="6" t="s">
        <v>4254</v>
      </c>
      <c r="K1181" s="9">
        <v>6</v>
      </c>
      <c r="L1181" s="6" t="s">
        <v>4277</v>
      </c>
      <c r="M1181" s="6" t="s">
        <v>4278</v>
      </c>
      <c r="N1181" s="24">
        <v>2592.75</v>
      </c>
      <c r="O1181" s="22" t="str">
        <f>IF(Table2[[#This Row],[CouponCode]]="N/A", "Not Used", "Used")</f>
        <v>Used</v>
      </c>
    </row>
    <row r="1182" spans="1:15" x14ac:dyDescent="0.3">
      <c r="A1182" s="6" t="s">
        <v>1194</v>
      </c>
      <c r="B1182" s="2">
        <v>45230</v>
      </c>
      <c r="C1182" s="6" t="s">
        <v>2383</v>
      </c>
      <c r="D1182" s="6" t="s">
        <v>2406</v>
      </c>
      <c r="E1182" s="9">
        <v>4</v>
      </c>
      <c r="F1182" s="24">
        <v>298.36</v>
      </c>
      <c r="G1182" t="s">
        <v>2805</v>
      </c>
      <c r="H1182" s="6" t="s">
        <v>3065</v>
      </c>
      <c r="I1182" s="6" t="s">
        <v>3074</v>
      </c>
      <c r="J1182" s="6" t="s">
        <v>4255</v>
      </c>
      <c r="K1182" s="9">
        <v>8</v>
      </c>
      <c r="L1182" s="6" t="s">
        <v>4276</v>
      </c>
      <c r="M1182" s="6" t="s">
        <v>4282</v>
      </c>
      <c r="N1182" s="24">
        <v>1193.44</v>
      </c>
      <c r="O1182" s="22" t="str">
        <f>IF(Table2[[#This Row],[CouponCode]]="N/A", "Not Used", "Used")</f>
        <v>Used</v>
      </c>
    </row>
    <row r="1183" spans="1:15" x14ac:dyDescent="0.3">
      <c r="A1183" s="6" t="s">
        <v>1195</v>
      </c>
      <c r="B1183" s="2">
        <v>45134</v>
      </c>
      <c r="C1183" s="6" t="s">
        <v>2384</v>
      </c>
      <c r="D1183" s="6" t="s">
        <v>2409</v>
      </c>
      <c r="E1183" s="9">
        <v>3</v>
      </c>
      <c r="F1183" s="24">
        <v>158.74</v>
      </c>
      <c r="G1183" t="s">
        <v>2694</v>
      </c>
      <c r="H1183" s="6" t="s">
        <v>3066</v>
      </c>
      <c r="I1183" s="6" t="s">
        <v>3074</v>
      </c>
      <c r="J1183" s="6" t="s">
        <v>4256</v>
      </c>
      <c r="K1183" s="9">
        <v>7</v>
      </c>
      <c r="L1183" s="6" t="s">
        <v>4276</v>
      </c>
      <c r="M1183" s="6" t="s">
        <v>4278</v>
      </c>
      <c r="N1183" s="24">
        <v>476.22</v>
      </c>
      <c r="O1183" s="22" t="str">
        <f>IF(Table2[[#This Row],[CouponCode]]="N/A", "Not Used", "Used")</f>
        <v>Used</v>
      </c>
    </row>
    <row r="1184" spans="1:15" x14ac:dyDescent="0.3">
      <c r="A1184" s="6" t="s">
        <v>1196</v>
      </c>
      <c r="B1184" s="2">
        <v>45822</v>
      </c>
      <c r="C1184" s="6" t="s">
        <v>2385</v>
      </c>
      <c r="D1184" s="6" t="s">
        <v>2406</v>
      </c>
      <c r="E1184" s="9">
        <v>2</v>
      </c>
      <c r="F1184" s="24">
        <v>420.29</v>
      </c>
      <c r="G1184" t="s">
        <v>2835</v>
      </c>
      <c r="H1184" s="6" t="s">
        <v>3068</v>
      </c>
      <c r="I1184" s="6" t="s">
        <v>3072</v>
      </c>
      <c r="J1184" s="6" t="s">
        <v>4257</v>
      </c>
      <c r="K1184" s="9">
        <v>3</v>
      </c>
      <c r="L1184" s="6" t="s">
        <v>4275</v>
      </c>
      <c r="M1184" s="6" t="s">
        <v>4282</v>
      </c>
      <c r="N1184" s="24">
        <v>840.58</v>
      </c>
      <c r="O1184" s="22" t="str">
        <f>IF(Table2[[#This Row],[CouponCode]]="N/A", "Not Used", "Used")</f>
        <v>Used</v>
      </c>
    </row>
    <row r="1185" spans="1:15" x14ac:dyDescent="0.3">
      <c r="A1185" s="6" t="s">
        <v>1197</v>
      </c>
      <c r="B1185" s="2">
        <v>45021</v>
      </c>
      <c r="C1185" s="6" t="s">
        <v>2386</v>
      </c>
      <c r="D1185" s="6" t="s">
        <v>2409</v>
      </c>
      <c r="E1185" s="9">
        <v>1</v>
      </c>
      <c r="F1185" s="24">
        <v>281.52</v>
      </c>
      <c r="G1185" t="s">
        <v>2633</v>
      </c>
      <c r="H1185" s="6" t="s">
        <v>3068</v>
      </c>
      <c r="I1185" s="6" t="s">
        <v>3070</v>
      </c>
      <c r="J1185" s="6" t="s">
        <v>4258</v>
      </c>
      <c r="K1185" s="9">
        <v>6</v>
      </c>
      <c r="L1185" s="6" t="s">
        <v>4277</v>
      </c>
      <c r="M1185" s="6" t="s">
        <v>4279</v>
      </c>
      <c r="N1185" s="24">
        <v>281.52</v>
      </c>
      <c r="O1185" s="22" t="str">
        <f>IF(Table2[[#This Row],[CouponCode]]="N/A", "Not Used", "Used")</f>
        <v>Used</v>
      </c>
    </row>
    <row r="1186" spans="1:15" x14ac:dyDescent="0.3">
      <c r="A1186" s="6" t="s">
        <v>1198</v>
      </c>
      <c r="B1186" s="2">
        <v>45196</v>
      </c>
      <c r="C1186" s="6" t="s">
        <v>2387</v>
      </c>
      <c r="D1186" s="6" t="s">
        <v>2408</v>
      </c>
      <c r="E1186" s="9">
        <v>1</v>
      </c>
      <c r="F1186" s="24">
        <v>204.08</v>
      </c>
      <c r="G1186" t="s">
        <v>2938</v>
      </c>
      <c r="H1186" s="6" t="s">
        <v>3068</v>
      </c>
      <c r="I1186" s="6" t="s">
        <v>3072</v>
      </c>
      <c r="J1186" s="6" t="s">
        <v>4259</v>
      </c>
      <c r="K1186" s="9">
        <v>4</v>
      </c>
      <c r="L1186" s="6" t="s">
        <v>4283</v>
      </c>
      <c r="M1186" s="6" t="s">
        <v>4282</v>
      </c>
      <c r="N1186" s="24">
        <v>204.08</v>
      </c>
      <c r="O1186" s="22" t="str">
        <f>IF(Table2[[#This Row],[CouponCode]]="N/A", "Not Used", "Used")</f>
        <v>Not Used</v>
      </c>
    </row>
    <row r="1187" spans="1:15" x14ac:dyDescent="0.3">
      <c r="A1187" s="6" t="s">
        <v>1199</v>
      </c>
      <c r="B1187" s="2">
        <v>45481</v>
      </c>
      <c r="C1187" s="6" t="s">
        <v>2388</v>
      </c>
      <c r="D1187" s="6" t="s">
        <v>2406</v>
      </c>
      <c r="E1187" s="9">
        <v>1</v>
      </c>
      <c r="F1187" s="24">
        <v>343.31</v>
      </c>
      <c r="G1187" t="s">
        <v>3057</v>
      </c>
      <c r="H1187" s="6" t="s">
        <v>3068</v>
      </c>
      <c r="I1187" s="6" t="s">
        <v>3072</v>
      </c>
      <c r="J1187" s="6" t="s">
        <v>4260</v>
      </c>
      <c r="K1187" s="9">
        <v>6</v>
      </c>
      <c r="L1187" s="6" t="s">
        <v>4275</v>
      </c>
      <c r="M1187" s="6" t="s">
        <v>4282</v>
      </c>
      <c r="N1187" s="24">
        <v>343.31</v>
      </c>
      <c r="O1187" s="22" t="str">
        <f>IF(Table2[[#This Row],[CouponCode]]="N/A", "Not Used", "Used")</f>
        <v>Used</v>
      </c>
    </row>
    <row r="1188" spans="1:15" x14ac:dyDescent="0.3">
      <c r="A1188" s="6" t="s">
        <v>1200</v>
      </c>
      <c r="B1188" s="2">
        <v>45248</v>
      </c>
      <c r="C1188" s="6" t="s">
        <v>2389</v>
      </c>
      <c r="D1188" s="6" t="s">
        <v>2403</v>
      </c>
      <c r="E1188" s="9">
        <v>1</v>
      </c>
      <c r="F1188" s="24">
        <v>163.32</v>
      </c>
      <c r="G1188" t="s">
        <v>3058</v>
      </c>
      <c r="H1188" s="6" t="s">
        <v>3069</v>
      </c>
      <c r="I1188" s="6" t="s">
        <v>3070</v>
      </c>
      <c r="J1188" s="6" t="s">
        <v>4261</v>
      </c>
      <c r="K1188" s="9">
        <v>6</v>
      </c>
      <c r="L1188" s="6" t="s">
        <v>4277</v>
      </c>
      <c r="M1188" s="6" t="s">
        <v>4281</v>
      </c>
      <c r="N1188" s="24">
        <v>163.32</v>
      </c>
      <c r="O1188" s="22" t="str">
        <f>IF(Table2[[#This Row],[CouponCode]]="N/A", "Not Used", "Used")</f>
        <v>Used</v>
      </c>
    </row>
    <row r="1189" spans="1:15" x14ac:dyDescent="0.3">
      <c r="A1189" s="6" t="s">
        <v>1201</v>
      </c>
      <c r="B1189" s="2">
        <v>45364</v>
      </c>
      <c r="C1189" s="6" t="s">
        <v>2390</v>
      </c>
      <c r="D1189" s="6" t="s">
        <v>2409</v>
      </c>
      <c r="E1189" s="9">
        <v>2</v>
      </c>
      <c r="F1189" s="24">
        <v>184.6</v>
      </c>
      <c r="G1189" t="s">
        <v>2613</v>
      </c>
      <c r="H1189" s="6" t="s">
        <v>3068</v>
      </c>
      <c r="I1189" s="6" t="s">
        <v>3073</v>
      </c>
      <c r="J1189" s="6" t="s">
        <v>4262</v>
      </c>
      <c r="K1189" s="9">
        <v>7</v>
      </c>
      <c r="L1189" s="6" t="s">
        <v>4277</v>
      </c>
      <c r="M1189" s="6" t="s">
        <v>4280</v>
      </c>
      <c r="N1189" s="24">
        <v>369.2</v>
      </c>
      <c r="O1189" s="22" t="str">
        <f>IF(Table2[[#This Row],[CouponCode]]="N/A", "Not Used", "Used")</f>
        <v>Used</v>
      </c>
    </row>
    <row r="1190" spans="1:15" x14ac:dyDescent="0.3">
      <c r="A1190" s="6" t="s">
        <v>1202</v>
      </c>
      <c r="B1190" s="2">
        <v>45206</v>
      </c>
      <c r="C1190" s="6" t="s">
        <v>2391</v>
      </c>
      <c r="D1190" s="6" t="s">
        <v>2407</v>
      </c>
      <c r="E1190" s="9">
        <v>2</v>
      </c>
      <c r="F1190" s="24">
        <v>371.29</v>
      </c>
      <c r="G1190" t="s">
        <v>3059</v>
      </c>
      <c r="H1190" s="6" t="s">
        <v>3068</v>
      </c>
      <c r="I1190" s="6" t="s">
        <v>3070</v>
      </c>
      <c r="J1190" s="6" t="s">
        <v>4263</v>
      </c>
      <c r="K1190" s="9">
        <v>5</v>
      </c>
      <c r="L1190" s="6" t="s">
        <v>4277</v>
      </c>
      <c r="M1190" s="6" t="s">
        <v>4281</v>
      </c>
      <c r="N1190" s="24">
        <v>742.58</v>
      </c>
      <c r="O1190" s="22" t="str">
        <f>IF(Table2[[#This Row],[CouponCode]]="N/A", "Not Used", "Used")</f>
        <v>Used</v>
      </c>
    </row>
    <row r="1191" spans="1:15" x14ac:dyDescent="0.3">
      <c r="A1191" s="6" t="s">
        <v>1203</v>
      </c>
      <c r="B1191" s="2">
        <v>45521</v>
      </c>
      <c r="C1191" s="6" t="s">
        <v>2392</v>
      </c>
      <c r="D1191" s="6" t="s">
        <v>2405</v>
      </c>
      <c r="E1191" s="9">
        <v>5</v>
      </c>
      <c r="F1191" s="24">
        <v>389.22</v>
      </c>
      <c r="G1191" t="s">
        <v>3060</v>
      </c>
      <c r="H1191" s="6" t="s">
        <v>3069</v>
      </c>
      <c r="I1191" s="6" t="s">
        <v>3071</v>
      </c>
      <c r="J1191" s="6" t="s">
        <v>4264</v>
      </c>
      <c r="K1191" s="9">
        <v>7</v>
      </c>
      <c r="L1191" s="6" t="s">
        <v>4283</v>
      </c>
      <c r="M1191" s="6" t="s">
        <v>4279</v>
      </c>
      <c r="N1191" s="24">
        <v>1946.1</v>
      </c>
      <c r="O1191" s="22" t="str">
        <f>IF(Table2[[#This Row],[CouponCode]]="N/A", "Not Used", "Used")</f>
        <v>Not Used</v>
      </c>
    </row>
    <row r="1192" spans="1:15" x14ac:dyDescent="0.3">
      <c r="A1192" s="6" t="s">
        <v>1204</v>
      </c>
      <c r="B1192" s="2">
        <v>45816</v>
      </c>
      <c r="C1192" s="6" t="s">
        <v>2393</v>
      </c>
      <c r="D1192" s="6" t="s">
        <v>2409</v>
      </c>
      <c r="E1192" s="9">
        <v>3</v>
      </c>
      <c r="F1192" s="24">
        <v>616.39</v>
      </c>
      <c r="G1192" t="s">
        <v>3061</v>
      </c>
      <c r="H1192" s="6" t="s">
        <v>3067</v>
      </c>
      <c r="I1192" s="6" t="s">
        <v>3070</v>
      </c>
      <c r="J1192" s="6" t="s">
        <v>4265</v>
      </c>
      <c r="K1192" s="9">
        <v>6</v>
      </c>
      <c r="L1192" s="6" t="s">
        <v>4276</v>
      </c>
      <c r="M1192" s="6" t="s">
        <v>4278</v>
      </c>
      <c r="N1192" s="24">
        <v>1849.17</v>
      </c>
      <c r="O1192" s="22" t="str">
        <f>IF(Table2[[#This Row],[CouponCode]]="N/A", "Not Used", "Used")</f>
        <v>Used</v>
      </c>
    </row>
    <row r="1193" spans="1:15" x14ac:dyDescent="0.3">
      <c r="A1193" s="6" t="s">
        <v>1205</v>
      </c>
      <c r="B1193" s="2">
        <v>45698</v>
      </c>
      <c r="C1193" s="6" t="s">
        <v>2394</v>
      </c>
      <c r="D1193" s="6" t="s">
        <v>2409</v>
      </c>
      <c r="E1193" s="9">
        <v>4</v>
      </c>
      <c r="F1193" s="24">
        <v>376.43</v>
      </c>
      <c r="G1193" t="s">
        <v>2841</v>
      </c>
      <c r="H1193" s="6" t="s">
        <v>3068</v>
      </c>
      <c r="I1193" s="6" t="s">
        <v>3074</v>
      </c>
      <c r="J1193" s="6" t="s">
        <v>4266</v>
      </c>
      <c r="K1193" s="9">
        <v>5</v>
      </c>
      <c r="L1193" s="6" t="s">
        <v>4277</v>
      </c>
      <c r="M1193" s="6" t="s">
        <v>4278</v>
      </c>
      <c r="N1193" s="24">
        <v>1505.72</v>
      </c>
      <c r="O1193" s="22" t="str">
        <f>IF(Table2[[#This Row],[CouponCode]]="N/A", "Not Used", "Used")</f>
        <v>Used</v>
      </c>
    </row>
    <row r="1194" spans="1:15" x14ac:dyDescent="0.3">
      <c r="A1194" s="6" t="s">
        <v>1206</v>
      </c>
      <c r="B1194" s="2">
        <v>45350</v>
      </c>
      <c r="C1194" s="6" t="s">
        <v>2395</v>
      </c>
      <c r="D1194" s="6" t="s">
        <v>2406</v>
      </c>
      <c r="E1194" s="9">
        <v>3</v>
      </c>
      <c r="F1194" s="24">
        <v>432.85</v>
      </c>
      <c r="G1194" t="s">
        <v>2593</v>
      </c>
      <c r="H1194" s="6" t="s">
        <v>3066</v>
      </c>
      <c r="I1194" s="6" t="s">
        <v>3074</v>
      </c>
      <c r="J1194" s="6" t="s">
        <v>4267</v>
      </c>
      <c r="K1194" s="9">
        <v>4</v>
      </c>
      <c r="L1194" s="6" t="s">
        <v>4283</v>
      </c>
      <c r="M1194" s="6" t="s">
        <v>4278</v>
      </c>
      <c r="N1194" s="24">
        <v>1298.55</v>
      </c>
      <c r="O1194" s="22" t="str">
        <f>IF(Table2[[#This Row],[CouponCode]]="N/A", "Not Used", "Used")</f>
        <v>Not Used</v>
      </c>
    </row>
    <row r="1195" spans="1:15" x14ac:dyDescent="0.3">
      <c r="A1195" s="6" t="s">
        <v>1207</v>
      </c>
      <c r="B1195" s="2">
        <v>45824</v>
      </c>
      <c r="C1195" s="6" t="s">
        <v>2396</v>
      </c>
      <c r="D1195" s="6" t="s">
        <v>2405</v>
      </c>
      <c r="E1195" s="9">
        <v>1</v>
      </c>
      <c r="F1195" s="24">
        <v>687.89</v>
      </c>
      <c r="G1195" t="s">
        <v>2481</v>
      </c>
      <c r="H1195" s="6" t="s">
        <v>3069</v>
      </c>
      <c r="I1195" s="6" t="s">
        <v>3072</v>
      </c>
      <c r="J1195" s="6" t="s">
        <v>4268</v>
      </c>
      <c r="K1195" s="9">
        <v>1</v>
      </c>
      <c r="L1195" s="6" t="s">
        <v>4276</v>
      </c>
      <c r="M1195" s="6" t="s">
        <v>4280</v>
      </c>
      <c r="N1195" s="24">
        <v>687.89</v>
      </c>
      <c r="O1195" s="22" t="str">
        <f>IF(Table2[[#This Row],[CouponCode]]="N/A", "Not Used", "Used")</f>
        <v>Used</v>
      </c>
    </row>
    <row r="1196" spans="1:15" x14ac:dyDescent="0.3">
      <c r="A1196" s="6" t="s">
        <v>1208</v>
      </c>
      <c r="B1196" s="2">
        <v>45249</v>
      </c>
      <c r="C1196" s="6" t="s">
        <v>2397</v>
      </c>
      <c r="D1196" s="6" t="s">
        <v>2407</v>
      </c>
      <c r="E1196" s="9">
        <v>3</v>
      </c>
      <c r="F1196" s="24">
        <v>189.44</v>
      </c>
      <c r="G1196" t="s">
        <v>2582</v>
      </c>
      <c r="H1196" s="6" t="s">
        <v>3069</v>
      </c>
      <c r="I1196" s="6" t="s">
        <v>3074</v>
      </c>
      <c r="J1196" s="6" t="s">
        <v>4269</v>
      </c>
      <c r="K1196" s="9">
        <v>4</v>
      </c>
      <c r="L1196" s="6" t="s">
        <v>4276</v>
      </c>
      <c r="M1196" s="6" t="s">
        <v>4280</v>
      </c>
      <c r="N1196" s="24">
        <v>568.31999999999994</v>
      </c>
      <c r="O1196" s="22" t="str">
        <f>IF(Table2[[#This Row],[CouponCode]]="N/A", "Not Used", "Used")</f>
        <v>Used</v>
      </c>
    </row>
    <row r="1197" spans="1:15" x14ac:dyDescent="0.3">
      <c r="A1197" s="6" t="s">
        <v>1209</v>
      </c>
      <c r="B1197" s="2">
        <v>45463</v>
      </c>
      <c r="C1197" s="6" t="s">
        <v>2398</v>
      </c>
      <c r="D1197" s="6" t="s">
        <v>2409</v>
      </c>
      <c r="E1197" s="9">
        <v>1</v>
      </c>
      <c r="F1197" s="24">
        <v>107.04</v>
      </c>
      <c r="G1197" t="s">
        <v>3062</v>
      </c>
      <c r="H1197" s="6" t="s">
        <v>3067</v>
      </c>
      <c r="I1197" s="6" t="s">
        <v>3071</v>
      </c>
      <c r="J1197" s="6" t="s">
        <v>4270</v>
      </c>
      <c r="K1197" s="9">
        <v>6</v>
      </c>
      <c r="L1197" s="6" t="s">
        <v>4276</v>
      </c>
      <c r="M1197" s="6" t="s">
        <v>4282</v>
      </c>
      <c r="N1197" s="24">
        <v>107.04</v>
      </c>
      <c r="O1197" s="22" t="str">
        <f>IF(Table2[[#This Row],[CouponCode]]="N/A", "Not Used", "Used")</f>
        <v>Used</v>
      </c>
    </row>
    <row r="1198" spans="1:15" x14ac:dyDescent="0.3">
      <c r="A1198" s="6" t="s">
        <v>1210</v>
      </c>
      <c r="B1198" s="2">
        <v>45355</v>
      </c>
      <c r="C1198" s="6" t="s">
        <v>2399</v>
      </c>
      <c r="D1198" s="6" t="s">
        <v>2403</v>
      </c>
      <c r="E1198" s="9">
        <v>2</v>
      </c>
      <c r="F1198" s="24">
        <v>662.53</v>
      </c>
      <c r="G1198" t="s">
        <v>2730</v>
      </c>
      <c r="H1198" s="6" t="s">
        <v>3066</v>
      </c>
      <c r="I1198" s="6" t="s">
        <v>3071</v>
      </c>
      <c r="J1198" s="6" t="s">
        <v>4271</v>
      </c>
      <c r="K1198" s="9">
        <v>5</v>
      </c>
      <c r="L1198" s="6" t="s">
        <v>4283</v>
      </c>
      <c r="M1198" s="6" t="s">
        <v>4281</v>
      </c>
      <c r="N1198" s="24">
        <v>1325.06</v>
      </c>
      <c r="O1198" s="22" t="str">
        <f>IF(Table2[[#This Row],[CouponCode]]="N/A", "Not Used", "Used")</f>
        <v>Not Used</v>
      </c>
    </row>
    <row r="1199" spans="1:15" x14ac:dyDescent="0.3">
      <c r="A1199" s="6" t="s">
        <v>1211</v>
      </c>
      <c r="B1199" s="2">
        <v>45120</v>
      </c>
      <c r="C1199" s="6" t="s">
        <v>2400</v>
      </c>
      <c r="D1199" s="6" t="s">
        <v>2405</v>
      </c>
      <c r="E1199" s="9">
        <v>2</v>
      </c>
      <c r="F1199" s="24">
        <v>436.84</v>
      </c>
      <c r="G1199" t="s">
        <v>2413</v>
      </c>
      <c r="H1199" s="6" t="s">
        <v>3066</v>
      </c>
      <c r="I1199" s="6" t="s">
        <v>3073</v>
      </c>
      <c r="J1199" s="6" t="s">
        <v>4272</v>
      </c>
      <c r="K1199" s="9">
        <v>2</v>
      </c>
      <c r="L1199" s="6" t="s">
        <v>4276</v>
      </c>
      <c r="M1199" s="6" t="s">
        <v>4278</v>
      </c>
      <c r="N1199" s="24">
        <v>873.68</v>
      </c>
      <c r="O1199" s="22" t="str">
        <f>IF(Table2[[#This Row],[CouponCode]]="N/A", "Not Used", "Used")</f>
        <v>Used</v>
      </c>
    </row>
    <row r="1200" spans="1:15" x14ac:dyDescent="0.3">
      <c r="A1200" s="6" t="s">
        <v>1212</v>
      </c>
      <c r="B1200" s="2">
        <v>45526</v>
      </c>
      <c r="C1200" s="6" t="s">
        <v>2401</v>
      </c>
      <c r="D1200" s="6" t="s">
        <v>2406</v>
      </c>
      <c r="E1200" s="9">
        <v>4</v>
      </c>
      <c r="F1200" s="24">
        <v>262.52</v>
      </c>
      <c r="G1200" t="s">
        <v>3063</v>
      </c>
      <c r="H1200" s="6" t="s">
        <v>3065</v>
      </c>
      <c r="I1200" s="6" t="s">
        <v>3071</v>
      </c>
      <c r="J1200" s="6" t="s">
        <v>4273</v>
      </c>
      <c r="K1200" s="9">
        <v>4</v>
      </c>
      <c r="L1200" s="6" t="s">
        <v>4277</v>
      </c>
      <c r="M1200" s="6" t="s">
        <v>4278</v>
      </c>
      <c r="N1200" s="24">
        <v>1050.08</v>
      </c>
      <c r="O1200" s="22" t="str">
        <f>IF(Table2[[#This Row],[CouponCode]]="N/A", "Not Used", "Used")</f>
        <v>Used</v>
      </c>
    </row>
    <row r="1201" spans="1:15" x14ac:dyDescent="0.3">
      <c r="A1201" s="6" t="s">
        <v>1213</v>
      </c>
      <c r="B1201" s="2">
        <v>45088</v>
      </c>
      <c r="C1201" s="6" t="s">
        <v>2402</v>
      </c>
      <c r="D1201" s="6" t="s">
        <v>2405</v>
      </c>
      <c r="E1201" s="9">
        <v>4</v>
      </c>
      <c r="F1201" s="24">
        <v>560.58000000000004</v>
      </c>
      <c r="G1201" t="s">
        <v>3064</v>
      </c>
      <c r="H1201" s="6" t="s">
        <v>3068</v>
      </c>
      <c r="I1201" s="6" t="s">
        <v>3072</v>
      </c>
      <c r="J1201" s="6" t="s">
        <v>4274</v>
      </c>
      <c r="K1201" s="9">
        <v>6</v>
      </c>
      <c r="L1201" s="6" t="s">
        <v>4275</v>
      </c>
      <c r="M1201" s="6" t="s">
        <v>4279</v>
      </c>
      <c r="N1201" s="24">
        <v>2242.3200000000002</v>
      </c>
      <c r="O1201" s="22" t="str">
        <f>IF(Table2[[#This Row],[CouponCode]]="N/A", "Not Used", "Used")</f>
        <v>Used</v>
      </c>
    </row>
  </sheetData>
  <phoneticPr fontId="4" type="noConversion"/>
  <conditionalFormatting sqref="A1:A1048576">
    <cfRule type="duplicateValues" dxfId="16" priority="2"/>
  </conditionalFormatting>
  <conditionalFormatting sqref="J1:J1048576">
    <cfRule type="duplicateValues" dxfId="15" priority="1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031F-36A1-42F1-BD96-E65A9989E4CA}">
  <dimension ref="A1:XFD27"/>
  <sheetViews>
    <sheetView topLeftCell="A3" workbookViewId="0">
      <selection activeCell="C11" sqref="C11"/>
    </sheetView>
  </sheetViews>
  <sheetFormatPr defaultRowHeight="14.4" x14ac:dyDescent="0.3"/>
  <cols>
    <col min="1" max="1" width="48.44140625" bestFit="1" customWidth="1"/>
    <col min="2" max="2" width="39.33203125" bestFit="1" customWidth="1"/>
    <col min="3" max="9" width="18.21875" customWidth="1"/>
    <col min="10" max="13" width="20.33203125" customWidth="1"/>
    <col min="14" max="99" width="11.44140625" customWidth="1"/>
    <col min="100" max="999" width="12.44140625" customWidth="1"/>
    <col min="1000" max="9999" width="13.44140625" customWidth="1"/>
    <col min="10000" max="16384" width="14.44140625" customWidth="1"/>
  </cols>
  <sheetData>
    <row r="1" spans="1:16384" ht="1.8" customHeight="1" x14ac:dyDescent="0.3"/>
    <row r="2" spans="1:16384" customFormat="1" ht="43.8" hidden="1" customHeight="1" x14ac:dyDescent="0.55000000000000004">
      <c r="A2" s="11" t="s">
        <v>4289</v>
      </c>
      <c r="B2" s="11" t="s">
        <v>4314</v>
      </c>
      <c r="C2" s="10" t="s">
        <v>4315</v>
      </c>
      <c r="D2" s="10" t="s">
        <v>4316</v>
      </c>
      <c r="E2" s="10" t="s">
        <v>4317</v>
      </c>
      <c r="F2" s="10" t="s">
        <v>4318</v>
      </c>
      <c r="G2" s="10" t="s">
        <v>4319</v>
      </c>
      <c r="H2" s="12" t="s">
        <v>4320</v>
      </c>
      <c r="I2" s="12" t="s">
        <v>4321</v>
      </c>
      <c r="J2" s="12" t="s">
        <v>4322</v>
      </c>
      <c r="K2" s="12" t="s">
        <v>4323</v>
      </c>
      <c r="L2" s="12" t="s">
        <v>4324</v>
      </c>
      <c r="M2" s="12" t="s">
        <v>4325</v>
      </c>
      <c r="N2" t="s">
        <v>4326</v>
      </c>
      <c r="O2" t="s">
        <v>4327</v>
      </c>
      <c r="P2" t="s">
        <v>4328</v>
      </c>
      <c r="Q2" t="s">
        <v>4329</v>
      </c>
      <c r="R2" t="s">
        <v>4330</v>
      </c>
      <c r="S2" t="s">
        <v>4331</v>
      </c>
      <c r="T2" t="s">
        <v>4332</v>
      </c>
      <c r="U2" t="s">
        <v>4333</v>
      </c>
      <c r="V2" t="s">
        <v>4334</v>
      </c>
      <c r="W2" t="s">
        <v>4335</v>
      </c>
      <c r="X2" t="s">
        <v>4336</v>
      </c>
      <c r="Y2" t="s">
        <v>4337</v>
      </c>
      <c r="Z2" t="s">
        <v>4338</v>
      </c>
      <c r="AA2" t="s">
        <v>4339</v>
      </c>
      <c r="AB2" t="s">
        <v>4340</v>
      </c>
      <c r="AC2" t="s">
        <v>4341</v>
      </c>
      <c r="AD2" t="s">
        <v>4342</v>
      </c>
      <c r="AE2" t="s">
        <v>4343</v>
      </c>
      <c r="AF2" t="s">
        <v>4344</v>
      </c>
      <c r="AG2" t="s">
        <v>4345</v>
      </c>
      <c r="AH2" t="s">
        <v>4346</v>
      </c>
      <c r="AI2" t="s">
        <v>4347</v>
      </c>
      <c r="AJ2" t="s">
        <v>4348</v>
      </c>
      <c r="AK2" t="s">
        <v>4349</v>
      </c>
      <c r="AL2" t="s">
        <v>4350</v>
      </c>
      <c r="AM2" t="s">
        <v>4351</v>
      </c>
      <c r="AN2" t="s">
        <v>4352</v>
      </c>
      <c r="AO2" t="s">
        <v>4353</v>
      </c>
      <c r="AP2" t="s">
        <v>4354</v>
      </c>
      <c r="AQ2" t="s">
        <v>4355</v>
      </c>
      <c r="AR2" t="s">
        <v>4356</v>
      </c>
      <c r="AS2" t="s">
        <v>4357</v>
      </c>
      <c r="AT2" t="s">
        <v>4358</v>
      </c>
      <c r="AU2" t="s">
        <v>4359</v>
      </c>
      <c r="AV2" t="s">
        <v>4360</v>
      </c>
      <c r="AW2" t="s">
        <v>4361</v>
      </c>
      <c r="AX2" t="s">
        <v>4362</v>
      </c>
      <c r="AY2" t="s">
        <v>4363</v>
      </c>
      <c r="AZ2" t="s">
        <v>4364</v>
      </c>
      <c r="BA2" t="s">
        <v>4365</v>
      </c>
      <c r="BB2" t="s">
        <v>4366</v>
      </c>
      <c r="BC2" t="s">
        <v>4367</v>
      </c>
      <c r="BD2" t="s">
        <v>4368</v>
      </c>
      <c r="BE2" t="s">
        <v>4369</v>
      </c>
      <c r="BF2" t="s">
        <v>4370</v>
      </c>
      <c r="BG2" t="s">
        <v>4371</v>
      </c>
      <c r="BH2" t="s">
        <v>4372</v>
      </c>
      <c r="BI2" t="s">
        <v>4373</v>
      </c>
      <c r="BJ2" t="s">
        <v>4374</v>
      </c>
      <c r="BK2" t="s">
        <v>4375</v>
      </c>
      <c r="BL2" t="s">
        <v>4376</v>
      </c>
      <c r="BM2" t="s">
        <v>4377</v>
      </c>
      <c r="BN2" t="s">
        <v>4378</v>
      </c>
      <c r="BO2" t="s">
        <v>4379</v>
      </c>
      <c r="BP2" t="s">
        <v>4380</v>
      </c>
      <c r="BQ2" t="s">
        <v>4381</v>
      </c>
      <c r="BR2" t="s">
        <v>4382</v>
      </c>
      <c r="BS2" t="s">
        <v>4383</v>
      </c>
      <c r="BT2" t="s">
        <v>4384</v>
      </c>
      <c r="BU2" t="s">
        <v>4385</v>
      </c>
      <c r="BV2" t="s">
        <v>4386</v>
      </c>
      <c r="BW2" t="s">
        <v>4387</v>
      </c>
      <c r="BX2" t="s">
        <v>4388</v>
      </c>
      <c r="BY2" t="s">
        <v>4389</v>
      </c>
      <c r="BZ2" t="s">
        <v>4390</v>
      </c>
      <c r="CA2" t="s">
        <v>4391</v>
      </c>
      <c r="CB2" t="s">
        <v>4392</v>
      </c>
      <c r="CC2" t="s">
        <v>4393</v>
      </c>
      <c r="CD2" t="s">
        <v>4394</v>
      </c>
      <c r="CE2" t="s">
        <v>4395</v>
      </c>
      <c r="CF2" t="s">
        <v>4396</v>
      </c>
      <c r="CG2" t="s">
        <v>4397</v>
      </c>
      <c r="CH2" t="s">
        <v>4398</v>
      </c>
      <c r="CI2" t="s">
        <v>4399</v>
      </c>
      <c r="CJ2" t="s">
        <v>4400</v>
      </c>
      <c r="CK2" t="s">
        <v>4401</v>
      </c>
      <c r="CL2" t="s">
        <v>4402</v>
      </c>
      <c r="CM2" t="s">
        <v>4403</v>
      </c>
      <c r="CN2" t="s">
        <v>4404</v>
      </c>
      <c r="CO2" t="s">
        <v>4405</v>
      </c>
      <c r="CP2" t="s">
        <v>4406</v>
      </c>
      <c r="CQ2" t="s">
        <v>4407</v>
      </c>
      <c r="CR2" t="s">
        <v>4408</v>
      </c>
      <c r="CS2" t="s">
        <v>4409</v>
      </c>
      <c r="CT2" t="s">
        <v>4410</v>
      </c>
      <c r="CU2" t="s">
        <v>4411</v>
      </c>
      <c r="CV2" t="s">
        <v>4412</v>
      </c>
      <c r="CW2" t="s">
        <v>4413</v>
      </c>
      <c r="CX2" t="s">
        <v>4414</v>
      </c>
      <c r="CY2" t="s">
        <v>4415</v>
      </c>
      <c r="CZ2" t="s">
        <v>4416</v>
      </c>
      <c r="DA2" t="s">
        <v>4417</v>
      </c>
      <c r="DB2" t="s">
        <v>4418</v>
      </c>
      <c r="DC2" t="s">
        <v>4419</v>
      </c>
      <c r="DD2" t="s">
        <v>4420</v>
      </c>
      <c r="DE2" t="s">
        <v>4421</v>
      </c>
      <c r="DF2" t="s">
        <v>4422</v>
      </c>
      <c r="DG2" t="s">
        <v>4423</v>
      </c>
      <c r="DH2" t="s">
        <v>4424</v>
      </c>
      <c r="DI2" t="s">
        <v>4425</v>
      </c>
      <c r="DJ2" t="s">
        <v>4426</v>
      </c>
      <c r="DK2" t="s">
        <v>4427</v>
      </c>
      <c r="DL2" t="s">
        <v>4428</v>
      </c>
      <c r="DM2" t="s">
        <v>4429</v>
      </c>
      <c r="DN2" t="s">
        <v>4430</v>
      </c>
      <c r="DO2" t="s">
        <v>4431</v>
      </c>
      <c r="DP2" t="s">
        <v>4432</v>
      </c>
      <c r="DQ2" t="s">
        <v>4433</v>
      </c>
      <c r="DR2" t="s">
        <v>4434</v>
      </c>
      <c r="DS2" t="s">
        <v>4435</v>
      </c>
      <c r="DT2" t="s">
        <v>4436</v>
      </c>
      <c r="DU2" t="s">
        <v>4437</v>
      </c>
      <c r="DV2" t="s">
        <v>4438</v>
      </c>
      <c r="DW2" t="s">
        <v>4439</v>
      </c>
      <c r="DX2" t="s">
        <v>4440</v>
      </c>
      <c r="DY2" t="s">
        <v>4441</v>
      </c>
      <c r="DZ2" t="s">
        <v>4442</v>
      </c>
      <c r="EA2" t="s">
        <v>4443</v>
      </c>
      <c r="EB2" t="s">
        <v>4444</v>
      </c>
      <c r="EC2" t="s">
        <v>4445</v>
      </c>
      <c r="ED2" t="s">
        <v>4446</v>
      </c>
      <c r="EE2" t="s">
        <v>4447</v>
      </c>
      <c r="EF2" t="s">
        <v>4448</v>
      </c>
      <c r="EG2" t="s">
        <v>4449</v>
      </c>
      <c r="EH2" t="s">
        <v>4450</v>
      </c>
      <c r="EI2" t="s">
        <v>4451</v>
      </c>
      <c r="EJ2" t="s">
        <v>4452</v>
      </c>
      <c r="EK2" t="s">
        <v>4453</v>
      </c>
      <c r="EL2" t="s">
        <v>4454</v>
      </c>
      <c r="EM2" t="s">
        <v>4455</v>
      </c>
      <c r="EN2" t="s">
        <v>4456</v>
      </c>
      <c r="EO2" t="s">
        <v>4457</v>
      </c>
      <c r="EP2" t="s">
        <v>4458</v>
      </c>
      <c r="EQ2" t="s">
        <v>4459</v>
      </c>
      <c r="ER2" t="s">
        <v>4460</v>
      </c>
      <c r="ES2" t="s">
        <v>4461</v>
      </c>
      <c r="ET2" t="s">
        <v>4462</v>
      </c>
      <c r="EU2" t="s">
        <v>4463</v>
      </c>
      <c r="EV2" t="s">
        <v>4464</v>
      </c>
      <c r="EW2" t="s">
        <v>4465</v>
      </c>
      <c r="EX2" t="s">
        <v>4466</v>
      </c>
      <c r="EY2" t="s">
        <v>4467</v>
      </c>
      <c r="EZ2" t="s">
        <v>4468</v>
      </c>
      <c r="FA2" t="s">
        <v>4469</v>
      </c>
      <c r="FB2" t="s">
        <v>4470</v>
      </c>
      <c r="FC2" t="s">
        <v>4471</v>
      </c>
      <c r="FD2" t="s">
        <v>4472</v>
      </c>
      <c r="FE2" t="s">
        <v>4473</v>
      </c>
      <c r="FF2" t="s">
        <v>4474</v>
      </c>
      <c r="FG2" t="s">
        <v>4475</v>
      </c>
      <c r="FH2" t="s">
        <v>4476</v>
      </c>
      <c r="FI2" t="s">
        <v>4477</v>
      </c>
      <c r="FJ2" t="s">
        <v>4478</v>
      </c>
      <c r="FK2" t="s">
        <v>4479</v>
      </c>
      <c r="FL2" t="s">
        <v>4480</v>
      </c>
      <c r="FM2" t="s">
        <v>4481</v>
      </c>
      <c r="FN2" t="s">
        <v>4482</v>
      </c>
      <c r="FO2" t="s">
        <v>4483</v>
      </c>
      <c r="FP2" t="s">
        <v>4484</v>
      </c>
      <c r="FQ2" t="s">
        <v>4485</v>
      </c>
      <c r="FR2" t="s">
        <v>4486</v>
      </c>
      <c r="FS2" t="s">
        <v>4487</v>
      </c>
      <c r="FT2" t="s">
        <v>4488</v>
      </c>
      <c r="FU2" t="s">
        <v>4489</v>
      </c>
      <c r="FV2" t="s">
        <v>4490</v>
      </c>
      <c r="FW2" t="s">
        <v>4491</v>
      </c>
      <c r="FX2" t="s">
        <v>4492</v>
      </c>
      <c r="FY2" t="s">
        <v>4493</v>
      </c>
      <c r="FZ2" t="s">
        <v>4494</v>
      </c>
      <c r="GA2" t="s">
        <v>4495</v>
      </c>
      <c r="GB2" t="s">
        <v>4496</v>
      </c>
      <c r="GC2" t="s">
        <v>4497</v>
      </c>
      <c r="GD2" t="s">
        <v>4498</v>
      </c>
      <c r="GE2" t="s">
        <v>4499</v>
      </c>
      <c r="GF2" t="s">
        <v>4500</v>
      </c>
      <c r="GG2" t="s">
        <v>4501</v>
      </c>
      <c r="GH2" t="s">
        <v>4502</v>
      </c>
      <c r="GI2" t="s">
        <v>4503</v>
      </c>
      <c r="GJ2" t="s">
        <v>4504</v>
      </c>
      <c r="GK2" t="s">
        <v>4505</v>
      </c>
      <c r="GL2" t="s">
        <v>4506</v>
      </c>
      <c r="GM2" t="s">
        <v>4507</v>
      </c>
      <c r="GN2" t="s">
        <v>4508</v>
      </c>
      <c r="GO2" t="s">
        <v>4509</v>
      </c>
      <c r="GP2" t="s">
        <v>4510</v>
      </c>
      <c r="GQ2" t="s">
        <v>4511</v>
      </c>
      <c r="GR2" t="s">
        <v>4512</v>
      </c>
      <c r="GS2" t="s">
        <v>4513</v>
      </c>
      <c r="GT2" t="s">
        <v>4514</v>
      </c>
      <c r="GU2" t="s">
        <v>4515</v>
      </c>
      <c r="GV2" t="s">
        <v>4516</v>
      </c>
      <c r="GW2" t="s">
        <v>4517</v>
      </c>
      <c r="GX2" t="s">
        <v>4518</v>
      </c>
      <c r="GY2" t="s">
        <v>4519</v>
      </c>
      <c r="GZ2" t="s">
        <v>4520</v>
      </c>
      <c r="HA2" t="s">
        <v>4521</v>
      </c>
      <c r="HB2" t="s">
        <v>4522</v>
      </c>
      <c r="HC2" t="s">
        <v>4523</v>
      </c>
      <c r="HD2" t="s">
        <v>4524</v>
      </c>
      <c r="HE2" t="s">
        <v>4525</v>
      </c>
      <c r="HF2" t="s">
        <v>4526</v>
      </c>
      <c r="HG2" t="s">
        <v>4527</v>
      </c>
      <c r="HH2" t="s">
        <v>4528</v>
      </c>
      <c r="HI2" t="s">
        <v>4529</v>
      </c>
      <c r="HJ2" t="s">
        <v>4530</v>
      </c>
      <c r="HK2" t="s">
        <v>4531</v>
      </c>
      <c r="HL2" t="s">
        <v>4532</v>
      </c>
      <c r="HM2" t="s">
        <v>4533</v>
      </c>
      <c r="HN2" t="s">
        <v>4534</v>
      </c>
      <c r="HO2" t="s">
        <v>4535</v>
      </c>
      <c r="HP2" t="s">
        <v>4536</v>
      </c>
      <c r="HQ2" t="s">
        <v>4537</v>
      </c>
      <c r="HR2" t="s">
        <v>4538</v>
      </c>
      <c r="HS2" t="s">
        <v>4539</v>
      </c>
      <c r="HT2" t="s">
        <v>4540</v>
      </c>
      <c r="HU2" t="s">
        <v>4541</v>
      </c>
      <c r="HV2" t="s">
        <v>4542</v>
      </c>
      <c r="HW2" t="s">
        <v>4543</v>
      </c>
      <c r="HX2" t="s">
        <v>4544</v>
      </c>
      <c r="HY2" t="s">
        <v>4545</v>
      </c>
      <c r="HZ2" t="s">
        <v>4546</v>
      </c>
      <c r="IA2" t="s">
        <v>4547</v>
      </c>
      <c r="IB2" t="s">
        <v>4548</v>
      </c>
      <c r="IC2" t="s">
        <v>4549</v>
      </c>
      <c r="ID2" t="s">
        <v>4550</v>
      </c>
      <c r="IE2" t="s">
        <v>4551</v>
      </c>
      <c r="IF2" t="s">
        <v>4552</v>
      </c>
      <c r="IG2" t="s">
        <v>4553</v>
      </c>
      <c r="IH2" t="s">
        <v>4554</v>
      </c>
      <c r="II2" t="s">
        <v>4555</v>
      </c>
      <c r="IJ2" t="s">
        <v>4556</v>
      </c>
      <c r="IK2" t="s">
        <v>4557</v>
      </c>
      <c r="IL2" t="s">
        <v>4558</v>
      </c>
      <c r="IM2" t="s">
        <v>4559</v>
      </c>
      <c r="IN2" t="s">
        <v>4560</v>
      </c>
      <c r="IO2" t="s">
        <v>4561</v>
      </c>
      <c r="IP2" t="s">
        <v>4562</v>
      </c>
      <c r="IQ2" t="s">
        <v>4563</v>
      </c>
      <c r="IR2" t="s">
        <v>4564</v>
      </c>
      <c r="IS2" t="s">
        <v>4565</v>
      </c>
      <c r="IT2" t="s">
        <v>4566</v>
      </c>
      <c r="IU2" t="s">
        <v>4567</v>
      </c>
      <c r="IV2" t="s">
        <v>4568</v>
      </c>
      <c r="IW2" t="s">
        <v>4569</v>
      </c>
      <c r="IX2" t="s">
        <v>4570</v>
      </c>
      <c r="IY2" t="s">
        <v>4571</v>
      </c>
      <c r="IZ2" t="s">
        <v>4572</v>
      </c>
      <c r="JA2" t="s">
        <v>4573</v>
      </c>
      <c r="JB2" t="s">
        <v>4574</v>
      </c>
      <c r="JC2" t="s">
        <v>4575</v>
      </c>
      <c r="JD2" t="s">
        <v>4576</v>
      </c>
      <c r="JE2" t="s">
        <v>4577</v>
      </c>
      <c r="JF2" t="s">
        <v>4578</v>
      </c>
      <c r="JG2" t="s">
        <v>4579</v>
      </c>
      <c r="JH2" t="s">
        <v>4580</v>
      </c>
      <c r="JI2" t="s">
        <v>4581</v>
      </c>
      <c r="JJ2" t="s">
        <v>4582</v>
      </c>
      <c r="JK2" t="s">
        <v>4583</v>
      </c>
      <c r="JL2" t="s">
        <v>4584</v>
      </c>
      <c r="JM2" t="s">
        <v>4585</v>
      </c>
      <c r="JN2" t="s">
        <v>4586</v>
      </c>
      <c r="JO2" t="s">
        <v>4587</v>
      </c>
      <c r="JP2" t="s">
        <v>4588</v>
      </c>
      <c r="JQ2" t="s">
        <v>4589</v>
      </c>
      <c r="JR2" t="s">
        <v>4590</v>
      </c>
      <c r="JS2" t="s">
        <v>4591</v>
      </c>
      <c r="JT2" t="s">
        <v>4592</v>
      </c>
      <c r="JU2" t="s">
        <v>4593</v>
      </c>
      <c r="JV2" t="s">
        <v>4594</v>
      </c>
      <c r="JW2" t="s">
        <v>4595</v>
      </c>
      <c r="JX2" t="s">
        <v>4596</v>
      </c>
      <c r="JY2" t="s">
        <v>4597</v>
      </c>
      <c r="JZ2" t="s">
        <v>4598</v>
      </c>
      <c r="KA2" t="s">
        <v>4599</v>
      </c>
      <c r="KB2" t="s">
        <v>4600</v>
      </c>
      <c r="KC2" t="s">
        <v>4601</v>
      </c>
      <c r="KD2" t="s">
        <v>4602</v>
      </c>
      <c r="KE2" t="s">
        <v>4603</v>
      </c>
      <c r="KF2" t="s">
        <v>4604</v>
      </c>
      <c r="KG2" t="s">
        <v>4605</v>
      </c>
      <c r="KH2" t="s">
        <v>4606</v>
      </c>
      <c r="KI2" t="s">
        <v>4607</v>
      </c>
      <c r="KJ2" t="s">
        <v>4608</v>
      </c>
      <c r="KK2" t="s">
        <v>4609</v>
      </c>
      <c r="KL2" t="s">
        <v>4610</v>
      </c>
      <c r="KM2" t="s">
        <v>4611</v>
      </c>
      <c r="KN2" t="s">
        <v>4612</v>
      </c>
      <c r="KO2" t="s">
        <v>4613</v>
      </c>
      <c r="KP2" t="s">
        <v>4614</v>
      </c>
      <c r="KQ2" t="s">
        <v>4615</v>
      </c>
      <c r="KR2" t="s">
        <v>4616</v>
      </c>
      <c r="KS2" t="s">
        <v>4617</v>
      </c>
      <c r="KT2" t="s">
        <v>4618</v>
      </c>
      <c r="KU2" t="s">
        <v>4619</v>
      </c>
      <c r="KV2" t="s">
        <v>4620</v>
      </c>
      <c r="KW2" t="s">
        <v>4621</v>
      </c>
      <c r="KX2" t="s">
        <v>4622</v>
      </c>
      <c r="KY2" t="s">
        <v>4623</v>
      </c>
      <c r="KZ2" t="s">
        <v>4624</v>
      </c>
      <c r="LA2" t="s">
        <v>4625</v>
      </c>
      <c r="LB2" t="s">
        <v>4626</v>
      </c>
      <c r="LC2" t="s">
        <v>4627</v>
      </c>
      <c r="LD2" t="s">
        <v>4628</v>
      </c>
      <c r="LE2" t="s">
        <v>4629</v>
      </c>
      <c r="LF2" t="s">
        <v>4630</v>
      </c>
      <c r="LG2" t="s">
        <v>4631</v>
      </c>
      <c r="LH2" t="s">
        <v>4632</v>
      </c>
      <c r="LI2" t="s">
        <v>4633</v>
      </c>
      <c r="LJ2" t="s">
        <v>4634</v>
      </c>
      <c r="LK2" t="s">
        <v>4635</v>
      </c>
      <c r="LL2" t="s">
        <v>4636</v>
      </c>
      <c r="LM2" t="s">
        <v>4637</v>
      </c>
      <c r="LN2" t="s">
        <v>4638</v>
      </c>
      <c r="LO2" t="s">
        <v>4639</v>
      </c>
      <c r="LP2" t="s">
        <v>4640</v>
      </c>
      <c r="LQ2" t="s">
        <v>4641</v>
      </c>
      <c r="LR2" t="s">
        <v>4642</v>
      </c>
      <c r="LS2" t="s">
        <v>4643</v>
      </c>
      <c r="LT2" t="s">
        <v>4644</v>
      </c>
      <c r="LU2" t="s">
        <v>4645</v>
      </c>
      <c r="LV2" t="s">
        <v>4646</v>
      </c>
      <c r="LW2" t="s">
        <v>4647</v>
      </c>
      <c r="LX2" t="s">
        <v>4648</v>
      </c>
      <c r="LY2" t="s">
        <v>4649</v>
      </c>
      <c r="LZ2" t="s">
        <v>4650</v>
      </c>
      <c r="MA2" t="s">
        <v>4651</v>
      </c>
      <c r="MB2" t="s">
        <v>4652</v>
      </c>
      <c r="MC2" t="s">
        <v>4653</v>
      </c>
      <c r="MD2" t="s">
        <v>4654</v>
      </c>
      <c r="ME2" t="s">
        <v>4655</v>
      </c>
      <c r="MF2" t="s">
        <v>4656</v>
      </c>
      <c r="MG2" t="s">
        <v>4657</v>
      </c>
      <c r="MH2" t="s">
        <v>4658</v>
      </c>
      <c r="MI2" t="s">
        <v>4659</v>
      </c>
      <c r="MJ2" t="s">
        <v>4660</v>
      </c>
      <c r="MK2" t="s">
        <v>4661</v>
      </c>
      <c r="ML2" t="s">
        <v>4662</v>
      </c>
      <c r="MM2" t="s">
        <v>4663</v>
      </c>
      <c r="MN2" t="s">
        <v>4664</v>
      </c>
      <c r="MO2" t="s">
        <v>4665</v>
      </c>
      <c r="MP2" t="s">
        <v>4666</v>
      </c>
      <c r="MQ2" t="s">
        <v>4667</v>
      </c>
      <c r="MR2" t="s">
        <v>4668</v>
      </c>
      <c r="MS2" t="s">
        <v>4669</v>
      </c>
      <c r="MT2" t="s">
        <v>4670</v>
      </c>
      <c r="MU2" t="s">
        <v>4671</v>
      </c>
      <c r="MV2" t="s">
        <v>4672</v>
      </c>
      <c r="MW2" t="s">
        <v>4673</v>
      </c>
      <c r="MX2" t="s">
        <v>4674</v>
      </c>
      <c r="MY2" t="s">
        <v>4675</v>
      </c>
      <c r="MZ2" t="s">
        <v>4676</v>
      </c>
      <c r="NA2" t="s">
        <v>4677</v>
      </c>
      <c r="NB2" t="s">
        <v>4678</v>
      </c>
      <c r="NC2" t="s">
        <v>4679</v>
      </c>
      <c r="ND2" t="s">
        <v>4680</v>
      </c>
      <c r="NE2" t="s">
        <v>4681</v>
      </c>
      <c r="NF2" t="s">
        <v>4682</v>
      </c>
      <c r="NG2" t="s">
        <v>4683</v>
      </c>
      <c r="NH2" t="s">
        <v>4684</v>
      </c>
      <c r="NI2" t="s">
        <v>4685</v>
      </c>
      <c r="NJ2" t="s">
        <v>4686</v>
      </c>
      <c r="NK2" t="s">
        <v>4687</v>
      </c>
      <c r="NL2" t="s">
        <v>4688</v>
      </c>
      <c r="NM2" t="s">
        <v>4689</v>
      </c>
      <c r="NN2" t="s">
        <v>4690</v>
      </c>
      <c r="NO2" t="s">
        <v>4691</v>
      </c>
      <c r="NP2" t="s">
        <v>4692</v>
      </c>
      <c r="NQ2" t="s">
        <v>4693</v>
      </c>
      <c r="NR2" t="s">
        <v>4694</v>
      </c>
      <c r="NS2" t="s">
        <v>4695</v>
      </c>
      <c r="NT2" t="s">
        <v>4696</v>
      </c>
      <c r="NU2" t="s">
        <v>4697</v>
      </c>
      <c r="NV2" t="s">
        <v>4698</v>
      </c>
      <c r="NW2" t="s">
        <v>4699</v>
      </c>
      <c r="NX2" t="s">
        <v>4700</v>
      </c>
      <c r="NY2" t="s">
        <v>4701</v>
      </c>
      <c r="NZ2" t="s">
        <v>4702</v>
      </c>
      <c r="OA2" t="s">
        <v>4703</v>
      </c>
      <c r="OB2" t="s">
        <v>4704</v>
      </c>
      <c r="OC2" t="s">
        <v>4705</v>
      </c>
      <c r="OD2" t="s">
        <v>4706</v>
      </c>
      <c r="OE2" t="s">
        <v>4707</v>
      </c>
      <c r="OF2" t="s">
        <v>4708</v>
      </c>
      <c r="OG2" t="s">
        <v>4709</v>
      </c>
      <c r="OH2" t="s">
        <v>4710</v>
      </c>
      <c r="OI2" t="s">
        <v>4711</v>
      </c>
      <c r="OJ2" t="s">
        <v>4712</v>
      </c>
      <c r="OK2" t="s">
        <v>4713</v>
      </c>
      <c r="OL2" t="s">
        <v>4714</v>
      </c>
      <c r="OM2" t="s">
        <v>4715</v>
      </c>
      <c r="ON2" t="s">
        <v>4716</v>
      </c>
      <c r="OO2" t="s">
        <v>4717</v>
      </c>
      <c r="OP2" t="s">
        <v>4718</v>
      </c>
      <c r="OQ2" t="s">
        <v>4719</v>
      </c>
      <c r="OR2" t="s">
        <v>4720</v>
      </c>
      <c r="OS2" t="s">
        <v>4721</v>
      </c>
      <c r="OT2" t="s">
        <v>4722</v>
      </c>
      <c r="OU2" t="s">
        <v>4723</v>
      </c>
      <c r="OV2" t="s">
        <v>4724</v>
      </c>
      <c r="OW2" t="s">
        <v>4725</v>
      </c>
      <c r="OX2" t="s">
        <v>4726</v>
      </c>
      <c r="OY2" t="s">
        <v>4727</v>
      </c>
      <c r="OZ2" t="s">
        <v>4728</v>
      </c>
      <c r="PA2" t="s">
        <v>4729</v>
      </c>
      <c r="PB2" t="s">
        <v>4730</v>
      </c>
      <c r="PC2" t="s">
        <v>4731</v>
      </c>
      <c r="PD2" t="s">
        <v>4732</v>
      </c>
      <c r="PE2" t="s">
        <v>4733</v>
      </c>
      <c r="PF2" t="s">
        <v>4734</v>
      </c>
      <c r="PG2" t="s">
        <v>4735</v>
      </c>
      <c r="PH2" t="s">
        <v>4736</v>
      </c>
      <c r="PI2" t="s">
        <v>4737</v>
      </c>
      <c r="PJ2" t="s">
        <v>4738</v>
      </c>
      <c r="PK2" t="s">
        <v>4739</v>
      </c>
      <c r="PL2" t="s">
        <v>4740</v>
      </c>
      <c r="PM2" t="s">
        <v>4741</v>
      </c>
      <c r="PN2" t="s">
        <v>4742</v>
      </c>
      <c r="PO2" t="s">
        <v>4743</v>
      </c>
      <c r="PP2" t="s">
        <v>4744</v>
      </c>
      <c r="PQ2" t="s">
        <v>4745</v>
      </c>
      <c r="PR2" t="s">
        <v>4746</v>
      </c>
      <c r="PS2" t="s">
        <v>4747</v>
      </c>
      <c r="PT2" t="s">
        <v>4748</v>
      </c>
      <c r="PU2" t="s">
        <v>4749</v>
      </c>
      <c r="PV2" t="s">
        <v>4750</v>
      </c>
      <c r="PW2" t="s">
        <v>4751</v>
      </c>
      <c r="PX2" t="s">
        <v>4752</v>
      </c>
      <c r="PY2" t="s">
        <v>4753</v>
      </c>
      <c r="PZ2" t="s">
        <v>4754</v>
      </c>
      <c r="QA2" t="s">
        <v>4755</v>
      </c>
      <c r="QB2" t="s">
        <v>4756</v>
      </c>
      <c r="QC2" t="s">
        <v>4757</v>
      </c>
      <c r="QD2" t="s">
        <v>4758</v>
      </c>
      <c r="QE2" t="s">
        <v>4759</v>
      </c>
      <c r="QF2" t="s">
        <v>4760</v>
      </c>
      <c r="QG2" t="s">
        <v>4761</v>
      </c>
      <c r="QH2" t="s">
        <v>4762</v>
      </c>
      <c r="QI2" t="s">
        <v>4763</v>
      </c>
      <c r="QJ2" t="s">
        <v>4764</v>
      </c>
      <c r="QK2" t="s">
        <v>4765</v>
      </c>
      <c r="QL2" t="s">
        <v>4766</v>
      </c>
      <c r="QM2" t="s">
        <v>4767</v>
      </c>
      <c r="QN2" t="s">
        <v>4768</v>
      </c>
      <c r="QO2" t="s">
        <v>4769</v>
      </c>
      <c r="QP2" t="s">
        <v>4770</v>
      </c>
      <c r="QQ2" t="s">
        <v>4771</v>
      </c>
      <c r="QR2" t="s">
        <v>4772</v>
      </c>
      <c r="QS2" t="s">
        <v>4773</v>
      </c>
      <c r="QT2" t="s">
        <v>4774</v>
      </c>
      <c r="QU2" t="s">
        <v>4775</v>
      </c>
      <c r="QV2" t="s">
        <v>4776</v>
      </c>
      <c r="QW2" t="s">
        <v>4777</v>
      </c>
      <c r="QX2" t="s">
        <v>4778</v>
      </c>
      <c r="QY2" t="s">
        <v>4779</v>
      </c>
      <c r="QZ2" t="s">
        <v>4780</v>
      </c>
      <c r="RA2" t="s">
        <v>4781</v>
      </c>
      <c r="RB2" t="s">
        <v>4782</v>
      </c>
      <c r="RC2" t="s">
        <v>4783</v>
      </c>
      <c r="RD2" t="s">
        <v>4784</v>
      </c>
      <c r="RE2" t="s">
        <v>4785</v>
      </c>
      <c r="RF2" t="s">
        <v>4786</v>
      </c>
      <c r="RG2" t="s">
        <v>4787</v>
      </c>
      <c r="RH2" t="s">
        <v>4788</v>
      </c>
      <c r="RI2" t="s">
        <v>4789</v>
      </c>
      <c r="RJ2" t="s">
        <v>4790</v>
      </c>
      <c r="RK2" t="s">
        <v>4791</v>
      </c>
      <c r="RL2" t="s">
        <v>4792</v>
      </c>
      <c r="RM2" t="s">
        <v>4793</v>
      </c>
      <c r="RN2" t="s">
        <v>4794</v>
      </c>
      <c r="RO2" t="s">
        <v>4795</v>
      </c>
      <c r="RP2" t="s">
        <v>4796</v>
      </c>
      <c r="RQ2" t="s">
        <v>4797</v>
      </c>
      <c r="RR2" t="s">
        <v>4798</v>
      </c>
      <c r="RS2" t="s">
        <v>4799</v>
      </c>
      <c r="RT2" t="s">
        <v>4800</v>
      </c>
      <c r="RU2" t="s">
        <v>4801</v>
      </c>
      <c r="RV2" t="s">
        <v>4802</v>
      </c>
      <c r="RW2" t="s">
        <v>4803</v>
      </c>
      <c r="RX2" t="s">
        <v>4804</v>
      </c>
      <c r="RY2" t="s">
        <v>4805</v>
      </c>
      <c r="RZ2" t="s">
        <v>4806</v>
      </c>
      <c r="SA2" t="s">
        <v>4807</v>
      </c>
      <c r="SB2" t="s">
        <v>4808</v>
      </c>
      <c r="SC2" t="s">
        <v>4809</v>
      </c>
      <c r="SD2" t="s">
        <v>4810</v>
      </c>
      <c r="SE2" t="s">
        <v>4811</v>
      </c>
      <c r="SF2" t="s">
        <v>4812</v>
      </c>
      <c r="SG2" t="s">
        <v>4813</v>
      </c>
      <c r="SH2" t="s">
        <v>4814</v>
      </c>
      <c r="SI2" t="s">
        <v>4815</v>
      </c>
      <c r="SJ2" t="s">
        <v>4816</v>
      </c>
      <c r="SK2" t="s">
        <v>4817</v>
      </c>
      <c r="SL2" t="s">
        <v>4818</v>
      </c>
      <c r="SM2" t="s">
        <v>4819</v>
      </c>
      <c r="SN2" t="s">
        <v>4820</v>
      </c>
      <c r="SO2" t="s">
        <v>4821</v>
      </c>
      <c r="SP2" t="s">
        <v>4822</v>
      </c>
      <c r="SQ2" t="s">
        <v>4823</v>
      </c>
      <c r="SR2" t="s">
        <v>4824</v>
      </c>
      <c r="SS2" t="s">
        <v>4825</v>
      </c>
      <c r="ST2" t="s">
        <v>4826</v>
      </c>
      <c r="SU2" t="s">
        <v>4827</v>
      </c>
      <c r="SV2" t="s">
        <v>4828</v>
      </c>
      <c r="SW2" t="s">
        <v>4829</v>
      </c>
      <c r="SX2" t="s">
        <v>4830</v>
      </c>
      <c r="SY2" t="s">
        <v>4831</v>
      </c>
      <c r="SZ2" t="s">
        <v>4832</v>
      </c>
      <c r="TA2" t="s">
        <v>4833</v>
      </c>
      <c r="TB2" t="s">
        <v>4834</v>
      </c>
      <c r="TC2" t="s">
        <v>4835</v>
      </c>
      <c r="TD2" t="s">
        <v>4836</v>
      </c>
      <c r="TE2" t="s">
        <v>4837</v>
      </c>
      <c r="TF2" t="s">
        <v>4838</v>
      </c>
      <c r="TG2" t="s">
        <v>4839</v>
      </c>
      <c r="TH2" t="s">
        <v>4840</v>
      </c>
      <c r="TI2" t="s">
        <v>4841</v>
      </c>
      <c r="TJ2" t="s">
        <v>4842</v>
      </c>
      <c r="TK2" t="s">
        <v>4843</v>
      </c>
      <c r="TL2" t="s">
        <v>4844</v>
      </c>
      <c r="TM2" t="s">
        <v>4845</v>
      </c>
      <c r="TN2" t="s">
        <v>4846</v>
      </c>
      <c r="TO2" t="s">
        <v>4847</v>
      </c>
      <c r="TP2" t="s">
        <v>4848</v>
      </c>
      <c r="TQ2" t="s">
        <v>4849</v>
      </c>
      <c r="TR2" t="s">
        <v>4850</v>
      </c>
      <c r="TS2" t="s">
        <v>4851</v>
      </c>
      <c r="TT2" t="s">
        <v>4852</v>
      </c>
      <c r="TU2" t="s">
        <v>4853</v>
      </c>
      <c r="TV2" t="s">
        <v>4854</v>
      </c>
      <c r="TW2" t="s">
        <v>4855</v>
      </c>
      <c r="TX2" t="s">
        <v>4856</v>
      </c>
      <c r="TY2" t="s">
        <v>4857</v>
      </c>
      <c r="TZ2" t="s">
        <v>4858</v>
      </c>
      <c r="UA2" t="s">
        <v>4859</v>
      </c>
      <c r="UB2" t="s">
        <v>4860</v>
      </c>
      <c r="UC2" t="s">
        <v>4861</v>
      </c>
      <c r="UD2" t="s">
        <v>4862</v>
      </c>
      <c r="UE2" t="s">
        <v>4863</v>
      </c>
      <c r="UF2" t="s">
        <v>4864</v>
      </c>
      <c r="UG2" t="s">
        <v>4865</v>
      </c>
      <c r="UH2" t="s">
        <v>4866</v>
      </c>
      <c r="UI2" t="s">
        <v>4867</v>
      </c>
      <c r="UJ2" t="s">
        <v>4868</v>
      </c>
      <c r="UK2" t="s">
        <v>4869</v>
      </c>
      <c r="UL2" t="s">
        <v>4870</v>
      </c>
      <c r="UM2" t="s">
        <v>4871</v>
      </c>
      <c r="UN2" t="s">
        <v>4872</v>
      </c>
      <c r="UO2" t="s">
        <v>4873</v>
      </c>
      <c r="UP2" t="s">
        <v>4874</v>
      </c>
      <c r="UQ2" t="s">
        <v>4875</v>
      </c>
      <c r="UR2" t="s">
        <v>4876</v>
      </c>
      <c r="US2" t="s">
        <v>4877</v>
      </c>
      <c r="UT2" t="s">
        <v>4878</v>
      </c>
      <c r="UU2" t="s">
        <v>4879</v>
      </c>
      <c r="UV2" t="s">
        <v>4880</v>
      </c>
      <c r="UW2" t="s">
        <v>4881</v>
      </c>
      <c r="UX2" t="s">
        <v>4882</v>
      </c>
      <c r="UY2" t="s">
        <v>4883</v>
      </c>
      <c r="UZ2" t="s">
        <v>4884</v>
      </c>
      <c r="VA2" t="s">
        <v>4885</v>
      </c>
      <c r="VB2" t="s">
        <v>4886</v>
      </c>
      <c r="VC2" t="s">
        <v>4887</v>
      </c>
      <c r="VD2" t="s">
        <v>4888</v>
      </c>
      <c r="VE2" t="s">
        <v>4889</v>
      </c>
      <c r="VF2" t="s">
        <v>4890</v>
      </c>
      <c r="VG2" t="s">
        <v>4891</v>
      </c>
      <c r="VH2" t="s">
        <v>4892</v>
      </c>
      <c r="VI2" t="s">
        <v>4893</v>
      </c>
      <c r="VJ2" t="s">
        <v>4894</v>
      </c>
      <c r="VK2" t="s">
        <v>4895</v>
      </c>
      <c r="VL2" t="s">
        <v>4896</v>
      </c>
      <c r="VM2" t="s">
        <v>4897</v>
      </c>
      <c r="VN2" t="s">
        <v>4898</v>
      </c>
      <c r="VO2" t="s">
        <v>4899</v>
      </c>
      <c r="VP2" t="s">
        <v>4900</v>
      </c>
      <c r="VQ2" t="s">
        <v>4901</v>
      </c>
      <c r="VR2" t="s">
        <v>4902</v>
      </c>
      <c r="VS2" t="s">
        <v>4903</v>
      </c>
      <c r="VT2" t="s">
        <v>4904</v>
      </c>
      <c r="VU2" t="s">
        <v>4905</v>
      </c>
      <c r="VV2" t="s">
        <v>4906</v>
      </c>
      <c r="VW2" t="s">
        <v>4907</v>
      </c>
      <c r="VX2" t="s">
        <v>4908</v>
      </c>
      <c r="VY2" t="s">
        <v>4909</v>
      </c>
      <c r="VZ2" t="s">
        <v>4910</v>
      </c>
      <c r="WA2" t="s">
        <v>4911</v>
      </c>
      <c r="WB2" t="s">
        <v>4912</v>
      </c>
      <c r="WC2" t="s">
        <v>4913</v>
      </c>
      <c r="WD2" t="s">
        <v>4914</v>
      </c>
      <c r="WE2" t="s">
        <v>4915</v>
      </c>
      <c r="WF2" t="s">
        <v>4916</v>
      </c>
      <c r="WG2" t="s">
        <v>4917</v>
      </c>
      <c r="WH2" t="s">
        <v>4918</v>
      </c>
      <c r="WI2" t="s">
        <v>4919</v>
      </c>
      <c r="WJ2" t="s">
        <v>4920</v>
      </c>
      <c r="WK2" t="s">
        <v>4921</v>
      </c>
      <c r="WL2" t="s">
        <v>4922</v>
      </c>
      <c r="WM2" t="s">
        <v>4923</v>
      </c>
      <c r="WN2" t="s">
        <v>4924</v>
      </c>
      <c r="WO2" t="s">
        <v>4925</v>
      </c>
      <c r="WP2" t="s">
        <v>4926</v>
      </c>
      <c r="WQ2" t="s">
        <v>4927</v>
      </c>
      <c r="WR2" t="s">
        <v>4928</v>
      </c>
      <c r="WS2" t="s">
        <v>4929</v>
      </c>
      <c r="WT2" t="s">
        <v>4930</v>
      </c>
      <c r="WU2" t="s">
        <v>4931</v>
      </c>
      <c r="WV2" t="s">
        <v>4932</v>
      </c>
      <c r="WW2" t="s">
        <v>4933</v>
      </c>
      <c r="WX2" t="s">
        <v>4934</v>
      </c>
      <c r="WY2" t="s">
        <v>4935</v>
      </c>
      <c r="WZ2" t="s">
        <v>4936</v>
      </c>
      <c r="XA2" t="s">
        <v>4937</v>
      </c>
      <c r="XB2" t="s">
        <v>4938</v>
      </c>
      <c r="XC2" t="s">
        <v>4939</v>
      </c>
      <c r="XD2" t="s">
        <v>4940</v>
      </c>
      <c r="XE2" t="s">
        <v>4941</v>
      </c>
      <c r="XF2" t="s">
        <v>4942</v>
      </c>
      <c r="XG2" t="s">
        <v>4943</v>
      </c>
      <c r="XH2" t="s">
        <v>4944</v>
      </c>
      <c r="XI2" t="s">
        <v>4945</v>
      </c>
      <c r="XJ2" t="s">
        <v>4946</v>
      </c>
      <c r="XK2" t="s">
        <v>4947</v>
      </c>
      <c r="XL2" t="s">
        <v>4948</v>
      </c>
      <c r="XM2" t="s">
        <v>4949</v>
      </c>
      <c r="XN2" t="s">
        <v>4950</v>
      </c>
      <c r="XO2" t="s">
        <v>4951</v>
      </c>
      <c r="XP2" t="s">
        <v>4952</v>
      </c>
      <c r="XQ2" t="s">
        <v>4953</v>
      </c>
      <c r="XR2" t="s">
        <v>4954</v>
      </c>
      <c r="XS2" t="s">
        <v>4955</v>
      </c>
      <c r="XT2" t="s">
        <v>4956</v>
      </c>
      <c r="XU2" t="s">
        <v>4957</v>
      </c>
      <c r="XV2" t="s">
        <v>4958</v>
      </c>
      <c r="XW2" t="s">
        <v>4959</v>
      </c>
      <c r="XX2" t="s">
        <v>4960</v>
      </c>
      <c r="XY2" t="s">
        <v>4961</v>
      </c>
      <c r="XZ2" t="s">
        <v>4962</v>
      </c>
      <c r="YA2" t="s">
        <v>4963</v>
      </c>
      <c r="YB2" t="s">
        <v>4964</v>
      </c>
      <c r="YC2" t="s">
        <v>4965</v>
      </c>
      <c r="YD2" t="s">
        <v>4966</v>
      </c>
      <c r="YE2" t="s">
        <v>4967</v>
      </c>
      <c r="YF2" t="s">
        <v>4968</v>
      </c>
      <c r="YG2" t="s">
        <v>4969</v>
      </c>
      <c r="YH2" t="s">
        <v>4970</v>
      </c>
      <c r="YI2" t="s">
        <v>4971</v>
      </c>
      <c r="YJ2" t="s">
        <v>4972</v>
      </c>
      <c r="YK2" t="s">
        <v>4973</v>
      </c>
      <c r="YL2" t="s">
        <v>4974</v>
      </c>
      <c r="YM2" t="s">
        <v>4975</v>
      </c>
      <c r="YN2" t="s">
        <v>4976</v>
      </c>
      <c r="YO2" t="s">
        <v>4977</v>
      </c>
      <c r="YP2" t="s">
        <v>4978</v>
      </c>
      <c r="YQ2" t="s">
        <v>4979</v>
      </c>
      <c r="YR2" t="s">
        <v>4980</v>
      </c>
      <c r="YS2" t="s">
        <v>4981</v>
      </c>
      <c r="YT2" t="s">
        <v>4982</v>
      </c>
      <c r="YU2" t="s">
        <v>4983</v>
      </c>
      <c r="YV2" t="s">
        <v>4984</v>
      </c>
      <c r="YW2" t="s">
        <v>4985</v>
      </c>
      <c r="YX2" t="s">
        <v>4986</v>
      </c>
      <c r="YY2" t="s">
        <v>4987</v>
      </c>
      <c r="YZ2" t="s">
        <v>4988</v>
      </c>
      <c r="ZA2" t="s">
        <v>4989</v>
      </c>
      <c r="ZB2" t="s">
        <v>4990</v>
      </c>
      <c r="ZC2" t="s">
        <v>4991</v>
      </c>
      <c r="ZD2" t="s">
        <v>4992</v>
      </c>
      <c r="ZE2" t="s">
        <v>4993</v>
      </c>
      <c r="ZF2" t="s">
        <v>4994</v>
      </c>
      <c r="ZG2" t="s">
        <v>4995</v>
      </c>
      <c r="ZH2" t="s">
        <v>4996</v>
      </c>
      <c r="ZI2" t="s">
        <v>4997</v>
      </c>
      <c r="ZJ2" t="s">
        <v>4998</v>
      </c>
      <c r="ZK2" t="s">
        <v>4999</v>
      </c>
      <c r="ZL2" t="s">
        <v>5000</v>
      </c>
      <c r="ZM2" t="s">
        <v>5001</v>
      </c>
      <c r="ZN2" t="s">
        <v>5002</v>
      </c>
      <c r="ZO2" t="s">
        <v>5003</v>
      </c>
      <c r="ZP2" t="s">
        <v>5004</v>
      </c>
      <c r="ZQ2" t="s">
        <v>5005</v>
      </c>
      <c r="ZR2" t="s">
        <v>5006</v>
      </c>
      <c r="ZS2" t="s">
        <v>5007</v>
      </c>
      <c r="ZT2" t="s">
        <v>5008</v>
      </c>
      <c r="ZU2" t="s">
        <v>5009</v>
      </c>
      <c r="ZV2" t="s">
        <v>5010</v>
      </c>
      <c r="ZW2" t="s">
        <v>5011</v>
      </c>
      <c r="ZX2" t="s">
        <v>5012</v>
      </c>
      <c r="ZY2" t="s">
        <v>5013</v>
      </c>
      <c r="ZZ2" t="s">
        <v>5014</v>
      </c>
      <c r="AAA2" t="s">
        <v>5015</v>
      </c>
      <c r="AAB2" t="s">
        <v>5016</v>
      </c>
      <c r="AAC2" t="s">
        <v>5017</v>
      </c>
      <c r="AAD2" t="s">
        <v>5018</v>
      </c>
      <c r="AAE2" t="s">
        <v>5019</v>
      </c>
      <c r="AAF2" t="s">
        <v>5020</v>
      </c>
      <c r="AAG2" t="s">
        <v>5021</v>
      </c>
      <c r="AAH2" t="s">
        <v>5022</v>
      </c>
      <c r="AAI2" t="s">
        <v>5023</v>
      </c>
      <c r="AAJ2" t="s">
        <v>5024</v>
      </c>
      <c r="AAK2" t="s">
        <v>5025</v>
      </c>
      <c r="AAL2" t="s">
        <v>5026</v>
      </c>
      <c r="AAM2" t="s">
        <v>5027</v>
      </c>
      <c r="AAN2" t="s">
        <v>5028</v>
      </c>
      <c r="AAO2" t="s">
        <v>5029</v>
      </c>
      <c r="AAP2" t="s">
        <v>5030</v>
      </c>
      <c r="AAQ2" t="s">
        <v>5031</v>
      </c>
      <c r="AAR2" t="s">
        <v>5032</v>
      </c>
      <c r="AAS2" t="s">
        <v>5033</v>
      </c>
      <c r="AAT2" t="s">
        <v>5034</v>
      </c>
      <c r="AAU2" t="s">
        <v>5035</v>
      </c>
      <c r="AAV2" t="s">
        <v>5036</v>
      </c>
      <c r="AAW2" t="s">
        <v>5037</v>
      </c>
      <c r="AAX2" t="s">
        <v>5038</v>
      </c>
      <c r="AAY2" t="s">
        <v>5039</v>
      </c>
      <c r="AAZ2" t="s">
        <v>5040</v>
      </c>
      <c r="ABA2" t="s">
        <v>5041</v>
      </c>
      <c r="ABB2" t="s">
        <v>5042</v>
      </c>
      <c r="ABC2" t="s">
        <v>5043</v>
      </c>
      <c r="ABD2" t="s">
        <v>5044</v>
      </c>
      <c r="ABE2" t="s">
        <v>5045</v>
      </c>
      <c r="ABF2" t="s">
        <v>5046</v>
      </c>
      <c r="ABG2" t="s">
        <v>5047</v>
      </c>
      <c r="ABH2" t="s">
        <v>5048</v>
      </c>
      <c r="ABI2" t="s">
        <v>5049</v>
      </c>
      <c r="ABJ2" t="s">
        <v>5050</v>
      </c>
      <c r="ABK2" t="s">
        <v>5051</v>
      </c>
      <c r="ABL2" t="s">
        <v>5052</v>
      </c>
      <c r="ABM2" t="s">
        <v>5053</v>
      </c>
      <c r="ABN2" t="s">
        <v>5054</v>
      </c>
      <c r="ABO2" t="s">
        <v>5055</v>
      </c>
      <c r="ABP2" t="s">
        <v>5056</v>
      </c>
      <c r="ABQ2" t="s">
        <v>5057</v>
      </c>
      <c r="ABR2" t="s">
        <v>5058</v>
      </c>
      <c r="ABS2" t="s">
        <v>5059</v>
      </c>
      <c r="ABT2" t="s">
        <v>5060</v>
      </c>
      <c r="ABU2" t="s">
        <v>5061</v>
      </c>
      <c r="ABV2" t="s">
        <v>5062</v>
      </c>
      <c r="ABW2" t="s">
        <v>5063</v>
      </c>
      <c r="ABX2" t="s">
        <v>5064</v>
      </c>
      <c r="ABY2" t="s">
        <v>5065</v>
      </c>
      <c r="ABZ2" t="s">
        <v>5066</v>
      </c>
      <c r="ACA2" t="s">
        <v>5067</v>
      </c>
      <c r="ACB2" t="s">
        <v>5068</v>
      </c>
      <c r="ACC2" t="s">
        <v>5069</v>
      </c>
      <c r="ACD2" t="s">
        <v>5070</v>
      </c>
      <c r="ACE2" t="s">
        <v>5071</v>
      </c>
      <c r="ACF2" t="s">
        <v>5072</v>
      </c>
      <c r="ACG2" t="s">
        <v>5073</v>
      </c>
      <c r="ACH2" t="s">
        <v>5074</v>
      </c>
      <c r="ACI2" t="s">
        <v>5075</v>
      </c>
      <c r="ACJ2" t="s">
        <v>5076</v>
      </c>
      <c r="ACK2" t="s">
        <v>5077</v>
      </c>
      <c r="ACL2" t="s">
        <v>5078</v>
      </c>
      <c r="ACM2" t="s">
        <v>5079</v>
      </c>
      <c r="ACN2" t="s">
        <v>5080</v>
      </c>
      <c r="ACO2" t="s">
        <v>5081</v>
      </c>
      <c r="ACP2" t="s">
        <v>5082</v>
      </c>
      <c r="ACQ2" t="s">
        <v>5083</v>
      </c>
      <c r="ACR2" t="s">
        <v>5084</v>
      </c>
      <c r="ACS2" t="s">
        <v>5085</v>
      </c>
      <c r="ACT2" t="s">
        <v>5086</v>
      </c>
      <c r="ACU2" t="s">
        <v>5087</v>
      </c>
      <c r="ACV2" t="s">
        <v>5088</v>
      </c>
      <c r="ACW2" t="s">
        <v>5089</v>
      </c>
      <c r="ACX2" t="s">
        <v>5090</v>
      </c>
      <c r="ACY2" t="s">
        <v>5091</v>
      </c>
      <c r="ACZ2" t="s">
        <v>5092</v>
      </c>
      <c r="ADA2" t="s">
        <v>5093</v>
      </c>
      <c r="ADB2" t="s">
        <v>5094</v>
      </c>
      <c r="ADC2" t="s">
        <v>5095</v>
      </c>
      <c r="ADD2" t="s">
        <v>5096</v>
      </c>
      <c r="ADE2" t="s">
        <v>5097</v>
      </c>
      <c r="ADF2" t="s">
        <v>5098</v>
      </c>
      <c r="ADG2" t="s">
        <v>5099</v>
      </c>
      <c r="ADH2" t="s">
        <v>5100</v>
      </c>
      <c r="ADI2" t="s">
        <v>5101</v>
      </c>
      <c r="ADJ2" t="s">
        <v>5102</v>
      </c>
      <c r="ADK2" t="s">
        <v>5103</v>
      </c>
      <c r="ADL2" t="s">
        <v>5104</v>
      </c>
      <c r="ADM2" t="s">
        <v>5105</v>
      </c>
      <c r="ADN2" t="s">
        <v>5106</v>
      </c>
      <c r="ADO2" t="s">
        <v>5107</v>
      </c>
      <c r="ADP2" t="s">
        <v>5108</v>
      </c>
      <c r="ADQ2" t="s">
        <v>5109</v>
      </c>
      <c r="ADR2" t="s">
        <v>5110</v>
      </c>
      <c r="ADS2" t="s">
        <v>5111</v>
      </c>
      <c r="ADT2" t="s">
        <v>5112</v>
      </c>
      <c r="ADU2" t="s">
        <v>5113</v>
      </c>
      <c r="ADV2" t="s">
        <v>5114</v>
      </c>
      <c r="ADW2" t="s">
        <v>5115</v>
      </c>
      <c r="ADX2" t="s">
        <v>5116</v>
      </c>
      <c r="ADY2" t="s">
        <v>5117</v>
      </c>
      <c r="ADZ2" t="s">
        <v>5118</v>
      </c>
      <c r="AEA2" t="s">
        <v>5119</v>
      </c>
      <c r="AEB2" t="s">
        <v>5120</v>
      </c>
      <c r="AEC2" t="s">
        <v>5121</v>
      </c>
      <c r="AED2" t="s">
        <v>5122</v>
      </c>
      <c r="AEE2" t="s">
        <v>5123</v>
      </c>
      <c r="AEF2" t="s">
        <v>5124</v>
      </c>
      <c r="AEG2" t="s">
        <v>5125</v>
      </c>
      <c r="AEH2" t="s">
        <v>5126</v>
      </c>
      <c r="AEI2" t="s">
        <v>5127</v>
      </c>
      <c r="AEJ2" t="s">
        <v>5128</v>
      </c>
      <c r="AEK2" t="s">
        <v>5129</v>
      </c>
      <c r="AEL2" t="s">
        <v>5130</v>
      </c>
      <c r="AEM2" t="s">
        <v>5131</v>
      </c>
      <c r="AEN2" t="s">
        <v>5132</v>
      </c>
      <c r="AEO2" t="s">
        <v>5133</v>
      </c>
      <c r="AEP2" t="s">
        <v>5134</v>
      </c>
      <c r="AEQ2" t="s">
        <v>5135</v>
      </c>
      <c r="AER2" t="s">
        <v>5136</v>
      </c>
      <c r="AES2" t="s">
        <v>5137</v>
      </c>
      <c r="AET2" t="s">
        <v>5138</v>
      </c>
      <c r="AEU2" t="s">
        <v>5139</v>
      </c>
      <c r="AEV2" t="s">
        <v>5140</v>
      </c>
      <c r="AEW2" t="s">
        <v>5141</v>
      </c>
      <c r="AEX2" t="s">
        <v>5142</v>
      </c>
      <c r="AEY2" t="s">
        <v>5143</v>
      </c>
      <c r="AEZ2" t="s">
        <v>5144</v>
      </c>
      <c r="AFA2" t="s">
        <v>5145</v>
      </c>
      <c r="AFB2" t="s">
        <v>5146</v>
      </c>
      <c r="AFC2" t="s">
        <v>5147</v>
      </c>
      <c r="AFD2" t="s">
        <v>5148</v>
      </c>
      <c r="AFE2" t="s">
        <v>5149</v>
      </c>
      <c r="AFF2" t="s">
        <v>5150</v>
      </c>
      <c r="AFG2" t="s">
        <v>5151</v>
      </c>
      <c r="AFH2" t="s">
        <v>5152</v>
      </c>
      <c r="AFI2" t="s">
        <v>5153</v>
      </c>
      <c r="AFJ2" t="s">
        <v>5154</v>
      </c>
      <c r="AFK2" t="s">
        <v>5155</v>
      </c>
      <c r="AFL2" t="s">
        <v>5156</v>
      </c>
      <c r="AFM2" t="s">
        <v>5157</v>
      </c>
      <c r="AFN2" t="s">
        <v>5158</v>
      </c>
      <c r="AFO2" t="s">
        <v>5159</v>
      </c>
      <c r="AFP2" t="s">
        <v>5160</v>
      </c>
      <c r="AFQ2" t="s">
        <v>5161</v>
      </c>
      <c r="AFR2" t="s">
        <v>5162</v>
      </c>
      <c r="AFS2" t="s">
        <v>5163</v>
      </c>
      <c r="AFT2" t="s">
        <v>5164</v>
      </c>
      <c r="AFU2" t="s">
        <v>5165</v>
      </c>
      <c r="AFV2" t="s">
        <v>5166</v>
      </c>
      <c r="AFW2" t="s">
        <v>5167</v>
      </c>
      <c r="AFX2" t="s">
        <v>5168</v>
      </c>
      <c r="AFY2" t="s">
        <v>5169</v>
      </c>
      <c r="AFZ2" t="s">
        <v>5170</v>
      </c>
      <c r="AGA2" t="s">
        <v>5171</v>
      </c>
      <c r="AGB2" t="s">
        <v>5172</v>
      </c>
      <c r="AGC2" t="s">
        <v>5173</v>
      </c>
      <c r="AGD2" t="s">
        <v>5174</v>
      </c>
      <c r="AGE2" t="s">
        <v>5175</v>
      </c>
      <c r="AGF2" t="s">
        <v>5176</v>
      </c>
      <c r="AGG2" t="s">
        <v>5177</v>
      </c>
      <c r="AGH2" t="s">
        <v>5178</v>
      </c>
      <c r="AGI2" t="s">
        <v>5179</v>
      </c>
      <c r="AGJ2" t="s">
        <v>5180</v>
      </c>
      <c r="AGK2" t="s">
        <v>5181</v>
      </c>
      <c r="AGL2" t="s">
        <v>5182</v>
      </c>
      <c r="AGM2" t="s">
        <v>5183</v>
      </c>
      <c r="AGN2" t="s">
        <v>5184</v>
      </c>
      <c r="AGO2" t="s">
        <v>5185</v>
      </c>
      <c r="AGP2" t="s">
        <v>5186</v>
      </c>
      <c r="AGQ2" t="s">
        <v>5187</v>
      </c>
      <c r="AGR2" t="s">
        <v>5188</v>
      </c>
      <c r="AGS2" t="s">
        <v>5189</v>
      </c>
      <c r="AGT2" t="s">
        <v>5190</v>
      </c>
      <c r="AGU2" t="s">
        <v>5191</v>
      </c>
      <c r="AGV2" t="s">
        <v>5192</v>
      </c>
      <c r="AGW2" t="s">
        <v>5193</v>
      </c>
      <c r="AGX2" t="s">
        <v>5194</v>
      </c>
      <c r="AGY2" t="s">
        <v>5195</v>
      </c>
      <c r="AGZ2" t="s">
        <v>5196</v>
      </c>
      <c r="AHA2" t="s">
        <v>5197</v>
      </c>
      <c r="AHB2" t="s">
        <v>5198</v>
      </c>
      <c r="AHC2" t="s">
        <v>5199</v>
      </c>
      <c r="AHD2" t="s">
        <v>5200</v>
      </c>
      <c r="AHE2" t="s">
        <v>5201</v>
      </c>
      <c r="AHF2" t="s">
        <v>5202</v>
      </c>
      <c r="AHG2" t="s">
        <v>5203</v>
      </c>
      <c r="AHH2" t="s">
        <v>5204</v>
      </c>
      <c r="AHI2" t="s">
        <v>5205</v>
      </c>
      <c r="AHJ2" t="s">
        <v>5206</v>
      </c>
      <c r="AHK2" t="s">
        <v>5207</v>
      </c>
      <c r="AHL2" t="s">
        <v>5208</v>
      </c>
      <c r="AHM2" t="s">
        <v>5209</v>
      </c>
      <c r="AHN2" t="s">
        <v>5210</v>
      </c>
      <c r="AHO2" t="s">
        <v>5211</v>
      </c>
      <c r="AHP2" t="s">
        <v>5212</v>
      </c>
      <c r="AHQ2" t="s">
        <v>5213</v>
      </c>
      <c r="AHR2" t="s">
        <v>5214</v>
      </c>
      <c r="AHS2" t="s">
        <v>5215</v>
      </c>
      <c r="AHT2" t="s">
        <v>5216</v>
      </c>
      <c r="AHU2" t="s">
        <v>5217</v>
      </c>
      <c r="AHV2" t="s">
        <v>5218</v>
      </c>
      <c r="AHW2" t="s">
        <v>5219</v>
      </c>
      <c r="AHX2" t="s">
        <v>5220</v>
      </c>
      <c r="AHY2" t="s">
        <v>5221</v>
      </c>
      <c r="AHZ2" t="s">
        <v>5222</v>
      </c>
      <c r="AIA2" t="s">
        <v>5223</v>
      </c>
      <c r="AIB2" t="s">
        <v>5224</v>
      </c>
      <c r="AIC2" t="s">
        <v>5225</v>
      </c>
      <c r="AID2" t="s">
        <v>5226</v>
      </c>
      <c r="AIE2" t="s">
        <v>5227</v>
      </c>
      <c r="AIF2" t="s">
        <v>5228</v>
      </c>
      <c r="AIG2" t="s">
        <v>5229</v>
      </c>
      <c r="AIH2" t="s">
        <v>5230</v>
      </c>
      <c r="AII2" t="s">
        <v>5231</v>
      </c>
      <c r="AIJ2" t="s">
        <v>5232</v>
      </c>
      <c r="AIK2" t="s">
        <v>5233</v>
      </c>
      <c r="AIL2" t="s">
        <v>5234</v>
      </c>
      <c r="AIM2" t="s">
        <v>5235</v>
      </c>
      <c r="AIN2" t="s">
        <v>5236</v>
      </c>
      <c r="AIO2" t="s">
        <v>5237</v>
      </c>
      <c r="AIP2" t="s">
        <v>5238</v>
      </c>
      <c r="AIQ2" t="s">
        <v>5239</v>
      </c>
      <c r="AIR2" t="s">
        <v>5240</v>
      </c>
      <c r="AIS2" t="s">
        <v>5241</v>
      </c>
      <c r="AIT2" t="s">
        <v>5242</v>
      </c>
      <c r="AIU2" t="s">
        <v>5243</v>
      </c>
      <c r="AIV2" t="s">
        <v>5244</v>
      </c>
      <c r="AIW2" t="s">
        <v>5245</v>
      </c>
      <c r="AIX2" t="s">
        <v>5246</v>
      </c>
      <c r="AIY2" t="s">
        <v>5247</v>
      </c>
      <c r="AIZ2" t="s">
        <v>5248</v>
      </c>
      <c r="AJA2" t="s">
        <v>5249</v>
      </c>
      <c r="AJB2" t="s">
        <v>5250</v>
      </c>
      <c r="AJC2" t="s">
        <v>5251</v>
      </c>
      <c r="AJD2" t="s">
        <v>5252</v>
      </c>
      <c r="AJE2" t="s">
        <v>5253</v>
      </c>
      <c r="AJF2" t="s">
        <v>5254</v>
      </c>
      <c r="AJG2" t="s">
        <v>5255</v>
      </c>
      <c r="AJH2" t="s">
        <v>5256</v>
      </c>
      <c r="AJI2" t="s">
        <v>5257</v>
      </c>
      <c r="AJJ2" t="s">
        <v>5258</v>
      </c>
      <c r="AJK2" t="s">
        <v>5259</v>
      </c>
      <c r="AJL2" t="s">
        <v>5260</v>
      </c>
      <c r="AJM2" t="s">
        <v>5261</v>
      </c>
      <c r="AJN2" t="s">
        <v>5262</v>
      </c>
      <c r="AJO2" t="s">
        <v>5263</v>
      </c>
      <c r="AJP2" t="s">
        <v>5264</v>
      </c>
      <c r="AJQ2" t="s">
        <v>5265</v>
      </c>
      <c r="AJR2" t="s">
        <v>5266</v>
      </c>
      <c r="AJS2" t="s">
        <v>5267</v>
      </c>
      <c r="AJT2" t="s">
        <v>5268</v>
      </c>
      <c r="AJU2" t="s">
        <v>5269</v>
      </c>
      <c r="AJV2" t="s">
        <v>5270</v>
      </c>
      <c r="AJW2" t="s">
        <v>5271</v>
      </c>
      <c r="AJX2" t="s">
        <v>5272</v>
      </c>
      <c r="AJY2" t="s">
        <v>5273</v>
      </c>
      <c r="AJZ2" t="s">
        <v>5274</v>
      </c>
      <c r="AKA2" t="s">
        <v>5275</v>
      </c>
      <c r="AKB2" t="s">
        <v>5276</v>
      </c>
      <c r="AKC2" t="s">
        <v>5277</v>
      </c>
      <c r="AKD2" t="s">
        <v>5278</v>
      </c>
      <c r="AKE2" t="s">
        <v>5279</v>
      </c>
      <c r="AKF2" t="s">
        <v>5280</v>
      </c>
      <c r="AKG2" t="s">
        <v>5281</v>
      </c>
      <c r="AKH2" t="s">
        <v>5282</v>
      </c>
      <c r="AKI2" t="s">
        <v>5283</v>
      </c>
      <c r="AKJ2" t="s">
        <v>5284</v>
      </c>
      <c r="AKK2" t="s">
        <v>5285</v>
      </c>
      <c r="AKL2" t="s">
        <v>5286</v>
      </c>
      <c r="AKM2" t="s">
        <v>5287</v>
      </c>
      <c r="AKN2" t="s">
        <v>5288</v>
      </c>
      <c r="AKO2" t="s">
        <v>5289</v>
      </c>
      <c r="AKP2" t="s">
        <v>5290</v>
      </c>
      <c r="AKQ2" t="s">
        <v>5291</v>
      </c>
      <c r="AKR2" t="s">
        <v>5292</v>
      </c>
      <c r="AKS2" t="s">
        <v>5293</v>
      </c>
      <c r="AKT2" t="s">
        <v>5294</v>
      </c>
      <c r="AKU2" t="s">
        <v>5295</v>
      </c>
      <c r="AKV2" t="s">
        <v>5296</v>
      </c>
      <c r="AKW2" t="s">
        <v>5297</v>
      </c>
      <c r="AKX2" t="s">
        <v>5298</v>
      </c>
      <c r="AKY2" t="s">
        <v>5299</v>
      </c>
      <c r="AKZ2" t="s">
        <v>5300</v>
      </c>
      <c r="ALA2" t="s">
        <v>5301</v>
      </c>
      <c r="ALB2" t="s">
        <v>5302</v>
      </c>
      <c r="ALC2" t="s">
        <v>5303</v>
      </c>
      <c r="ALD2" t="s">
        <v>5304</v>
      </c>
      <c r="ALE2" t="s">
        <v>5305</v>
      </c>
      <c r="ALF2" t="s">
        <v>5306</v>
      </c>
      <c r="ALG2" t="s">
        <v>5307</v>
      </c>
      <c r="ALH2" t="s">
        <v>5308</v>
      </c>
      <c r="ALI2" t="s">
        <v>5309</v>
      </c>
      <c r="ALJ2" t="s">
        <v>5310</v>
      </c>
      <c r="ALK2" t="s">
        <v>5311</v>
      </c>
      <c r="ALL2" t="s">
        <v>5312</v>
      </c>
      <c r="ALM2" t="s">
        <v>5313</v>
      </c>
      <c r="ALN2" t="s">
        <v>5314</v>
      </c>
      <c r="ALO2" t="s">
        <v>5315</v>
      </c>
      <c r="ALP2" t="s">
        <v>5316</v>
      </c>
      <c r="ALQ2" t="s">
        <v>5317</v>
      </c>
      <c r="ALR2" t="s">
        <v>5318</v>
      </c>
      <c r="ALS2" t="s">
        <v>5319</v>
      </c>
      <c r="ALT2" t="s">
        <v>5320</v>
      </c>
      <c r="ALU2" t="s">
        <v>5321</v>
      </c>
      <c r="ALV2" t="s">
        <v>5322</v>
      </c>
      <c r="ALW2" t="s">
        <v>5323</v>
      </c>
      <c r="ALX2" t="s">
        <v>5324</v>
      </c>
      <c r="ALY2" t="s">
        <v>5325</v>
      </c>
      <c r="ALZ2" t="s">
        <v>5326</v>
      </c>
      <c r="AMA2" t="s">
        <v>5327</v>
      </c>
      <c r="AMB2" t="s">
        <v>5328</v>
      </c>
      <c r="AMC2" t="s">
        <v>5329</v>
      </c>
      <c r="AMD2" t="s">
        <v>5330</v>
      </c>
      <c r="AME2" t="s">
        <v>5331</v>
      </c>
      <c r="AMF2" t="s">
        <v>5332</v>
      </c>
      <c r="AMG2" t="s">
        <v>5333</v>
      </c>
      <c r="AMH2" t="s">
        <v>5334</v>
      </c>
      <c r="AMI2" t="s">
        <v>5335</v>
      </c>
      <c r="AMJ2" t="s">
        <v>5336</v>
      </c>
      <c r="AMK2" t="s">
        <v>5337</v>
      </c>
      <c r="AML2" t="s">
        <v>5338</v>
      </c>
      <c r="AMM2" t="s">
        <v>5339</v>
      </c>
      <c r="AMN2" t="s">
        <v>5340</v>
      </c>
      <c r="AMO2" t="s">
        <v>5341</v>
      </c>
      <c r="AMP2" t="s">
        <v>5342</v>
      </c>
      <c r="AMQ2" t="s">
        <v>5343</v>
      </c>
      <c r="AMR2" t="s">
        <v>5344</v>
      </c>
      <c r="AMS2" t="s">
        <v>5345</v>
      </c>
      <c r="AMT2" t="s">
        <v>5346</v>
      </c>
      <c r="AMU2" t="s">
        <v>5347</v>
      </c>
      <c r="AMV2" t="s">
        <v>5348</v>
      </c>
      <c r="AMW2" t="s">
        <v>5349</v>
      </c>
      <c r="AMX2" t="s">
        <v>5350</v>
      </c>
      <c r="AMY2" t="s">
        <v>5351</v>
      </c>
      <c r="AMZ2" t="s">
        <v>5352</v>
      </c>
      <c r="ANA2" t="s">
        <v>5353</v>
      </c>
      <c r="ANB2" t="s">
        <v>5354</v>
      </c>
      <c r="ANC2" t="s">
        <v>5355</v>
      </c>
      <c r="AND2" t="s">
        <v>5356</v>
      </c>
      <c r="ANE2" t="s">
        <v>5357</v>
      </c>
      <c r="ANF2" t="s">
        <v>5358</v>
      </c>
      <c r="ANG2" t="s">
        <v>5359</v>
      </c>
      <c r="ANH2" t="s">
        <v>5360</v>
      </c>
      <c r="ANI2" t="s">
        <v>5361</v>
      </c>
      <c r="ANJ2" t="s">
        <v>5362</v>
      </c>
      <c r="ANK2" t="s">
        <v>5363</v>
      </c>
      <c r="ANL2" t="s">
        <v>5364</v>
      </c>
      <c r="ANM2" t="s">
        <v>5365</v>
      </c>
      <c r="ANN2" t="s">
        <v>5366</v>
      </c>
      <c r="ANO2" t="s">
        <v>5367</v>
      </c>
      <c r="ANP2" t="s">
        <v>5368</v>
      </c>
      <c r="ANQ2" t="s">
        <v>5369</v>
      </c>
      <c r="ANR2" t="s">
        <v>5370</v>
      </c>
      <c r="ANS2" t="s">
        <v>5371</v>
      </c>
      <c r="ANT2" t="s">
        <v>5372</v>
      </c>
      <c r="ANU2" t="s">
        <v>5373</v>
      </c>
      <c r="ANV2" t="s">
        <v>5374</v>
      </c>
      <c r="ANW2" t="s">
        <v>5375</v>
      </c>
      <c r="ANX2" t="s">
        <v>5376</v>
      </c>
      <c r="ANY2" t="s">
        <v>5377</v>
      </c>
      <c r="ANZ2" t="s">
        <v>5378</v>
      </c>
      <c r="AOA2" t="s">
        <v>5379</v>
      </c>
      <c r="AOB2" t="s">
        <v>5380</v>
      </c>
      <c r="AOC2" t="s">
        <v>5381</v>
      </c>
      <c r="AOD2" t="s">
        <v>5382</v>
      </c>
      <c r="AOE2" t="s">
        <v>5383</v>
      </c>
      <c r="AOF2" t="s">
        <v>5384</v>
      </c>
      <c r="AOG2" t="s">
        <v>5385</v>
      </c>
      <c r="AOH2" t="s">
        <v>5386</v>
      </c>
      <c r="AOI2" t="s">
        <v>5387</v>
      </c>
      <c r="AOJ2" t="s">
        <v>5388</v>
      </c>
      <c r="AOK2" t="s">
        <v>5389</v>
      </c>
      <c r="AOL2" t="s">
        <v>5390</v>
      </c>
      <c r="AOM2" t="s">
        <v>5391</v>
      </c>
      <c r="AON2" t="s">
        <v>5392</v>
      </c>
      <c r="AOO2" t="s">
        <v>5393</v>
      </c>
      <c r="AOP2" t="s">
        <v>5394</v>
      </c>
      <c r="AOQ2" t="s">
        <v>5395</v>
      </c>
      <c r="AOR2" t="s">
        <v>5396</v>
      </c>
      <c r="AOS2" t="s">
        <v>5397</v>
      </c>
      <c r="AOT2" t="s">
        <v>5398</v>
      </c>
      <c r="AOU2" t="s">
        <v>5399</v>
      </c>
      <c r="AOV2" t="s">
        <v>5400</v>
      </c>
      <c r="AOW2" t="s">
        <v>5401</v>
      </c>
      <c r="AOX2" t="s">
        <v>5402</v>
      </c>
      <c r="AOY2" t="s">
        <v>5403</v>
      </c>
      <c r="AOZ2" t="s">
        <v>5404</v>
      </c>
      <c r="APA2" t="s">
        <v>5405</v>
      </c>
      <c r="APB2" t="s">
        <v>5406</v>
      </c>
      <c r="APC2" t="s">
        <v>5407</v>
      </c>
      <c r="APD2" t="s">
        <v>5408</v>
      </c>
      <c r="APE2" t="s">
        <v>5409</v>
      </c>
      <c r="APF2" t="s">
        <v>5410</v>
      </c>
      <c r="APG2" t="s">
        <v>5411</v>
      </c>
      <c r="APH2" t="s">
        <v>5412</v>
      </c>
      <c r="API2" t="s">
        <v>5413</v>
      </c>
      <c r="APJ2" t="s">
        <v>5414</v>
      </c>
      <c r="APK2" t="s">
        <v>5415</v>
      </c>
      <c r="APL2" t="s">
        <v>5416</v>
      </c>
      <c r="APM2" t="s">
        <v>5417</v>
      </c>
      <c r="APN2" t="s">
        <v>5418</v>
      </c>
      <c r="APO2" t="s">
        <v>5419</v>
      </c>
      <c r="APP2" t="s">
        <v>5420</v>
      </c>
      <c r="APQ2" t="s">
        <v>5421</v>
      </c>
      <c r="APR2" t="s">
        <v>5422</v>
      </c>
      <c r="APS2" t="s">
        <v>5423</v>
      </c>
      <c r="APT2" t="s">
        <v>5424</v>
      </c>
      <c r="APU2" t="s">
        <v>5425</v>
      </c>
      <c r="APV2" t="s">
        <v>5426</v>
      </c>
      <c r="APW2" t="s">
        <v>5427</v>
      </c>
      <c r="APX2" t="s">
        <v>5428</v>
      </c>
      <c r="APY2" t="s">
        <v>5429</v>
      </c>
      <c r="APZ2" t="s">
        <v>5430</v>
      </c>
      <c r="AQA2" t="s">
        <v>5431</v>
      </c>
      <c r="AQB2" t="s">
        <v>5432</v>
      </c>
      <c r="AQC2" t="s">
        <v>5433</v>
      </c>
      <c r="AQD2" t="s">
        <v>5434</v>
      </c>
      <c r="AQE2" t="s">
        <v>5435</v>
      </c>
      <c r="AQF2" t="s">
        <v>5436</v>
      </c>
      <c r="AQG2" t="s">
        <v>5437</v>
      </c>
      <c r="AQH2" t="s">
        <v>5438</v>
      </c>
      <c r="AQI2" t="s">
        <v>5439</v>
      </c>
      <c r="AQJ2" t="s">
        <v>5440</v>
      </c>
      <c r="AQK2" t="s">
        <v>5441</v>
      </c>
      <c r="AQL2" t="s">
        <v>5442</v>
      </c>
      <c r="AQM2" t="s">
        <v>5443</v>
      </c>
      <c r="AQN2" t="s">
        <v>5444</v>
      </c>
      <c r="AQO2" t="s">
        <v>5445</v>
      </c>
      <c r="AQP2" t="s">
        <v>5446</v>
      </c>
      <c r="AQQ2" t="s">
        <v>5447</v>
      </c>
      <c r="AQR2" t="s">
        <v>5448</v>
      </c>
      <c r="AQS2" t="s">
        <v>5449</v>
      </c>
      <c r="AQT2" t="s">
        <v>5450</v>
      </c>
      <c r="AQU2" t="s">
        <v>5451</v>
      </c>
      <c r="AQV2" t="s">
        <v>5452</v>
      </c>
      <c r="AQW2" t="s">
        <v>5453</v>
      </c>
      <c r="AQX2" t="s">
        <v>5454</v>
      </c>
      <c r="AQY2" t="s">
        <v>5455</v>
      </c>
      <c r="AQZ2" t="s">
        <v>5456</v>
      </c>
      <c r="ARA2" t="s">
        <v>5457</v>
      </c>
      <c r="ARB2" t="s">
        <v>5458</v>
      </c>
      <c r="ARC2" t="s">
        <v>5459</v>
      </c>
      <c r="ARD2" t="s">
        <v>5460</v>
      </c>
      <c r="ARE2" t="s">
        <v>5461</v>
      </c>
      <c r="ARF2" t="s">
        <v>5462</v>
      </c>
      <c r="ARG2" t="s">
        <v>5463</v>
      </c>
      <c r="ARH2" t="s">
        <v>5464</v>
      </c>
      <c r="ARI2" t="s">
        <v>5465</v>
      </c>
      <c r="ARJ2" t="s">
        <v>5466</v>
      </c>
      <c r="ARK2" t="s">
        <v>5467</v>
      </c>
      <c r="ARL2" t="s">
        <v>5468</v>
      </c>
      <c r="ARM2" t="s">
        <v>5469</v>
      </c>
      <c r="ARN2" t="s">
        <v>5470</v>
      </c>
      <c r="ARO2" t="s">
        <v>5471</v>
      </c>
      <c r="ARP2" t="s">
        <v>5472</v>
      </c>
      <c r="ARQ2" t="s">
        <v>5473</v>
      </c>
      <c r="ARR2" t="s">
        <v>5474</v>
      </c>
      <c r="ARS2" t="s">
        <v>5475</v>
      </c>
      <c r="ART2" t="s">
        <v>5476</v>
      </c>
      <c r="ARU2" t="s">
        <v>5477</v>
      </c>
      <c r="ARV2" t="s">
        <v>5478</v>
      </c>
      <c r="ARW2" t="s">
        <v>5479</v>
      </c>
      <c r="ARX2" t="s">
        <v>5480</v>
      </c>
      <c r="ARY2" t="s">
        <v>5481</v>
      </c>
      <c r="ARZ2" t="s">
        <v>5482</v>
      </c>
      <c r="ASA2" t="s">
        <v>5483</v>
      </c>
      <c r="ASB2" t="s">
        <v>5484</v>
      </c>
      <c r="ASC2" t="s">
        <v>5485</v>
      </c>
      <c r="ASD2" t="s">
        <v>5486</v>
      </c>
      <c r="ASE2" t="s">
        <v>5487</v>
      </c>
      <c r="ASF2" t="s">
        <v>5488</v>
      </c>
      <c r="ASG2" t="s">
        <v>5489</v>
      </c>
      <c r="ASH2" t="s">
        <v>5490</v>
      </c>
      <c r="ASI2" t="s">
        <v>5491</v>
      </c>
      <c r="ASJ2" t="s">
        <v>5492</v>
      </c>
      <c r="ASK2" t="s">
        <v>5493</v>
      </c>
      <c r="ASL2" t="s">
        <v>5494</v>
      </c>
      <c r="ASM2" t="s">
        <v>5495</v>
      </c>
      <c r="ASN2" t="s">
        <v>5496</v>
      </c>
      <c r="ASO2" t="s">
        <v>5497</v>
      </c>
      <c r="ASP2" t="s">
        <v>5498</v>
      </c>
      <c r="ASQ2" t="s">
        <v>5499</v>
      </c>
      <c r="ASR2" t="s">
        <v>5500</v>
      </c>
      <c r="ASS2" t="s">
        <v>5501</v>
      </c>
      <c r="AST2" t="s">
        <v>5502</v>
      </c>
      <c r="ASU2" t="s">
        <v>5503</v>
      </c>
      <c r="ASV2" t="s">
        <v>5504</v>
      </c>
      <c r="ASW2" t="s">
        <v>5505</v>
      </c>
      <c r="ASX2" t="s">
        <v>5506</v>
      </c>
      <c r="ASY2" t="s">
        <v>5507</v>
      </c>
      <c r="ASZ2" t="s">
        <v>5508</v>
      </c>
      <c r="ATA2" t="s">
        <v>5509</v>
      </c>
      <c r="ATB2" t="s">
        <v>5510</v>
      </c>
      <c r="ATC2" t="s">
        <v>5511</v>
      </c>
      <c r="ATD2" t="s">
        <v>5512</v>
      </c>
      <c r="ATE2" t="s">
        <v>5513</v>
      </c>
      <c r="ATF2" t="s">
        <v>5514</v>
      </c>
      <c r="ATG2" t="s">
        <v>5515</v>
      </c>
      <c r="ATH2" t="s">
        <v>5516</v>
      </c>
      <c r="ATI2" t="s">
        <v>5517</v>
      </c>
      <c r="ATJ2" t="s">
        <v>5518</v>
      </c>
      <c r="ATK2" t="s">
        <v>5519</v>
      </c>
      <c r="ATL2" t="s">
        <v>5520</v>
      </c>
      <c r="ATM2" t="s">
        <v>5521</v>
      </c>
      <c r="ATN2" t="s">
        <v>5522</v>
      </c>
      <c r="ATO2" t="s">
        <v>5523</v>
      </c>
      <c r="ATP2" t="s">
        <v>5524</v>
      </c>
      <c r="ATQ2" t="s">
        <v>5525</v>
      </c>
      <c r="ATR2" t="s">
        <v>5526</v>
      </c>
      <c r="ATS2" t="s">
        <v>5527</v>
      </c>
      <c r="ATT2" t="s">
        <v>5528</v>
      </c>
      <c r="ATU2" t="s">
        <v>5529</v>
      </c>
      <c r="ATV2" t="s">
        <v>5530</v>
      </c>
      <c r="ATW2" t="s">
        <v>5531</v>
      </c>
      <c r="ATX2" t="s">
        <v>5532</v>
      </c>
      <c r="ATY2" t="s">
        <v>5533</v>
      </c>
      <c r="ATZ2" t="s">
        <v>5534</v>
      </c>
      <c r="AUA2" t="s">
        <v>5535</v>
      </c>
      <c r="AUB2" t="s">
        <v>5536</v>
      </c>
      <c r="AUC2" t="s">
        <v>5537</v>
      </c>
      <c r="AUD2" t="s">
        <v>5538</v>
      </c>
      <c r="AUE2" t="s">
        <v>5539</v>
      </c>
      <c r="AUF2" t="s">
        <v>5540</v>
      </c>
      <c r="AUG2" t="s">
        <v>5541</v>
      </c>
      <c r="AUH2" t="s">
        <v>5542</v>
      </c>
      <c r="AUI2" t="s">
        <v>5543</v>
      </c>
      <c r="AUJ2" t="s">
        <v>5544</v>
      </c>
      <c r="AUK2" t="s">
        <v>5545</v>
      </c>
      <c r="AUL2" t="s">
        <v>5546</v>
      </c>
      <c r="AUM2" t="s">
        <v>5547</v>
      </c>
      <c r="AUN2" t="s">
        <v>5548</v>
      </c>
      <c r="AUO2" t="s">
        <v>5549</v>
      </c>
      <c r="AUP2" t="s">
        <v>5550</v>
      </c>
      <c r="AUQ2" t="s">
        <v>5551</v>
      </c>
      <c r="AUR2" t="s">
        <v>5552</v>
      </c>
      <c r="AUS2" t="s">
        <v>5553</v>
      </c>
      <c r="AUT2" t="s">
        <v>5554</v>
      </c>
      <c r="AUU2" t="s">
        <v>5555</v>
      </c>
      <c r="AUV2" t="s">
        <v>5556</v>
      </c>
      <c r="AUW2" t="s">
        <v>5557</v>
      </c>
      <c r="AUX2" t="s">
        <v>5558</v>
      </c>
      <c r="AUY2" t="s">
        <v>5559</v>
      </c>
      <c r="AUZ2" t="s">
        <v>5560</v>
      </c>
      <c r="AVA2" t="s">
        <v>5561</v>
      </c>
      <c r="AVB2" t="s">
        <v>5562</v>
      </c>
      <c r="AVC2" t="s">
        <v>5563</v>
      </c>
      <c r="AVD2" t="s">
        <v>5564</v>
      </c>
      <c r="AVE2" t="s">
        <v>5565</v>
      </c>
      <c r="AVF2" t="s">
        <v>5566</v>
      </c>
      <c r="AVG2" t="s">
        <v>5567</v>
      </c>
      <c r="AVH2" t="s">
        <v>5568</v>
      </c>
      <c r="AVI2" t="s">
        <v>5569</v>
      </c>
      <c r="AVJ2" t="s">
        <v>5570</v>
      </c>
      <c r="AVK2" t="s">
        <v>5571</v>
      </c>
      <c r="AVL2" t="s">
        <v>5572</v>
      </c>
      <c r="AVM2" t="s">
        <v>5573</v>
      </c>
      <c r="AVN2" t="s">
        <v>5574</v>
      </c>
      <c r="AVO2" t="s">
        <v>5575</v>
      </c>
      <c r="AVP2" t="s">
        <v>5576</v>
      </c>
      <c r="AVQ2" t="s">
        <v>5577</v>
      </c>
      <c r="AVR2" t="s">
        <v>5578</v>
      </c>
      <c r="AVS2" t="s">
        <v>5579</v>
      </c>
      <c r="AVT2" t="s">
        <v>5580</v>
      </c>
      <c r="AVU2" t="s">
        <v>5581</v>
      </c>
      <c r="AVV2" t="s">
        <v>5582</v>
      </c>
      <c r="AVW2" t="s">
        <v>5583</v>
      </c>
      <c r="AVX2" t="s">
        <v>5584</v>
      </c>
      <c r="AVY2" t="s">
        <v>5585</v>
      </c>
      <c r="AVZ2" t="s">
        <v>5586</v>
      </c>
      <c r="AWA2" t="s">
        <v>5587</v>
      </c>
      <c r="AWB2" t="s">
        <v>5588</v>
      </c>
      <c r="AWC2" t="s">
        <v>5589</v>
      </c>
      <c r="AWD2" t="s">
        <v>5590</v>
      </c>
      <c r="AWE2" t="s">
        <v>5591</v>
      </c>
      <c r="AWF2" t="s">
        <v>5592</v>
      </c>
      <c r="AWG2" t="s">
        <v>5593</v>
      </c>
      <c r="AWH2" t="s">
        <v>5594</v>
      </c>
      <c r="AWI2" t="s">
        <v>5595</v>
      </c>
      <c r="AWJ2" t="s">
        <v>5596</v>
      </c>
      <c r="AWK2" t="s">
        <v>5597</v>
      </c>
      <c r="AWL2" t="s">
        <v>5598</v>
      </c>
      <c r="AWM2" t="s">
        <v>5599</v>
      </c>
      <c r="AWN2" t="s">
        <v>5600</v>
      </c>
      <c r="AWO2" t="s">
        <v>5601</v>
      </c>
      <c r="AWP2" t="s">
        <v>5602</v>
      </c>
      <c r="AWQ2" t="s">
        <v>5603</v>
      </c>
      <c r="AWR2" t="s">
        <v>5604</v>
      </c>
      <c r="AWS2" t="s">
        <v>5605</v>
      </c>
      <c r="AWT2" t="s">
        <v>5606</v>
      </c>
      <c r="AWU2" t="s">
        <v>5607</v>
      </c>
      <c r="AWV2" t="s">
        <v>5608</v>
      </c>
      <c r="AWW2" t="s">
        <v>5609</v>
      </c>
      <c r="AWX2" t="s">
        <v>5610</v>
      </c>
      <c r="AWY2" t="s">
        <v>5611</v>
      </c>
      <c r="AWZ2" t="s">
        <v>5612</v>
      </c>
      <c r="AXA2" t="s">
        <v>5613</v>
      </c>
      <c r="AXB2" t="s">
        <v>5614</v>
      </c>
      <c r="AXC2" t="s">
        <v>5615</v>
      </c>
      <c r="AXD2" t="s">
        <v>5616</v>
      </c>
      <c r="AXE2" t="s">
        <v>5617</v>
      </c>
      <c r="AXF2" t="s">
        <v>5618</v>
      </c>
      <c r="AXG2" t="s">
        <v>5619</v>
      </c>
      <c r="AXH2" t="s">
        <v>5620</v>
      </c>
      <c r="AXI2" t="s">
        <v>5621</v>
      </c>
      <c r="AXJ2" t="s">
        <v>5622</v>
      </c>
      <c r="AXK2" t="s">
        <v>5623</v>
      </c>
      <c r="AXL2" t="s">
        <v>5624</v>
      </c>
      <c r="AXM2" t="s">
        <v>5625</v>
      </c>
      <c r="AXN2" t="s">
        <v>5626</v>
      </c>
      <c r="AXO2" t="s">
        <v>5627</v>
      </c>
      <c r="AXP2" t="s">
        <v>5628</v>
      </c>
      <c r="AXQ2" t="s">
        <v>5629</v>
      </c>
      <c r="AXR2" t="s">
        <v>5630</v>
      </c>
      <c r="AXS2" t="s">
        <v>5631</v>
      </c>
      <c r="AXT2" t="s">
        <v>5632</v>
      </c>
      <c r="AXU2" t="s">
        <v>5633</v>
      </c>
      <c r="AXV2" t="s">
        <v>5634</v>
      </c>
      <c r="AXW2" t="s">
        <v>5635</v>
      </c>
      <c r="AXX2" t="s">
        <v>5636</v>
      </c>
      <c r="AXY2" t="s">
        <v>5637</v>
      </c>
      <c r="AXZ2" t="s">
        <v>5638</v>
      </c>
      <c r="AYA2" t="s">
        <v>5639</v>
      </c>
      <c r="AYB2" t="s">
        <v>5640</v>
      </c>
      <c r="AYC2" t="s">
        <v>5641</v>
      </c>
      <c r="AYD2" t="s">
        <v>5642</v>
      </c>
      <c r="AYE2" t="s">
        <v>5643</v>
      </c>
      <c r="AYF2" t="s">
        <v>5644</v>
      </c>
      <c r="AYG2" t="s">
        <v>5645</v>
      </c>
      <c r="AYH2" t="s">
        <v>5646</v>
      </c>
      <c r="AYI2" t="s">
        <v>5647</v>
      </c>
      <c r="AYJ2" t="s">
        <v>5648</v>
      </c>
      <c r="AYK2" t="s">
        <v>5649</v>
      </c>
      <c r="AYL2" t="s">
        <v>5650</v>
      </c>
      <c r="AYM2" t="s">
        <v>5651</v>
      </c>
      <c r="AYN2" t="s">
        <v>5652</v>
      </c>
      <c r="AYO2" t="s">
        <v>5653</v>
      </c>
      <c r="AYP2" t="s">
        <v>5654</v>
      </c>
      <c r="AYQ2" t="s">
        <v>5655</v>
      </c>
      <c r="AYR2" t="s">
        <v>5656</v>
      </c>
      <c r="AYS2" t="s">
        <v>5657</v>
      </c>
      <c r="AYT2" t="s">
        <v>5658</v>
      </c>
      <c r="AYU2" t="s">
        <v>5659</v>
      </c>
      <c r="AYV2" t="s">
        <v>5660</v>
      </c>
      <c r="AYW2" t="s">
        <v>5661</v>
      </c>
      <c r="AYX2" t="s">
        <v>5662</v>
      </c>
      <c r="AYY2" t="s">
        <v>5663</v>
      </c>
      <c r="AYZ2" t="s">
        <v>5664</v>
      </c>
      <c r="AZA2" t="s">
        <v>5665</v>
      </c>
      <c r="AZB2" t="s">
        <v>5666</v>
      </c>
      <c r="AZC2" t="s">
        <v>5667</v>
      </c>
      <c r="AZD2" t="s">
        <v>5668</v>
      </c>
      <c r="AZE2" t="s">
        <v>5669</v>
      </c>
      <c r="AZF2" t="s">
        <v>5670</v>
      </c>
      <c r="AZG2" t="s">
        <v>5671</v>
      </c>
      <c r="AZH2" t="s">
        <v>5672</v>
      </c>
      <c r="AZI2" t="s">
        <v>5673</v>
      </c>
      <c r="AZJ2" t="s">
        <v>5674</v>
      </c>
      <c r="AZK2" t="s">
        <v>5675</v>
      </c>
      <c r="AZL2" t="s">
        <v>5676</v>
      </c>
      <c r="AZM2" t="s">
        <v>5677</v>
      </c>
      <c r="AZN2" t="s">
        <v>5678</v>
      </c>
      <c r="AZO2" t="s">
        <v>5679</v>
      </c>
      <c r="AZP2" t="s">
        <v>5680</v>
      </c>
      <c r="AZQ2" t="s">
        <v>5681</v>
      </c>
      <c r="AZR2" t="s">
        <v>5682</v>
      </c>
      <c r="AZS2" t="s">
        <v>5683</v>
      </c>
      <c r="AZT2" t="s">
        <v>5684</v>
      </c>
      <c r="AZU2" t="s">
        <v>5685</v>
      </c>
      <c r="AZV2" t="s">
        <v>5686</v>
      </c>
      <c r="AZW2" t="s">
        <v>5687</v>
      </c>
      <c r="AZX2" t="s">
        <v>5688</v>
      </c>
      <c r="AZY2" t="s">
        <v>5689</v>
      </c>
      <c r="AZZ2" t="s">
        <v>5690</v>
      </c>
      <c r="BAA2" t="s">
        <v>5691</v>
      </c>
      <c r="BAB2" t="s">
        <v>5692</v>
      </c>
      <c r="BAC2" t="s">
        <v>5693</v>
      </c>
      <c r="BAD2" t="s">
        <v>5694</v>
      </c>
      <c r="BAE2" t="s">
        <v>5695</v>
      </c>
      <c r="BAF2" t="s">
        <v>5696</v>
      </c>
      <c r="BAG2" t="s">
        <v>5697</v>
      </c>
      <c r="BAH2" t="s">
        <v>5698</v>
      </c>
      <c r="BAI2" t="s">
        <v>5699</v>
      </c>
      <c r="BAJ2" t="s">
        <v>5700</v>
      </c>
      <c r="BAK2" t="s">
        <v>5701</v>
      </c>
      <c r="BAL2" t="s">
        <v>5702</v>
      </c>
      <c r="BAM2" t="s">
        <v>5703</v>
      </c>
      <c r="BAN2" t="s">
        <v>5704</v>
      </c>
      <c r="BAO2" t="s">
        <v>5705</v>
      </c>
      <c r="BAP2" t="s">
        <v>5706</v>
      </c>
      <c r="BAQ2" t="s">
        <v>5707</v>
      </c>
      <c r="BAR2" t="s">
        <v>5708</v>
      </c>
      <c r="BAS2" t="s">
        <v>5709</v>
      </c>
      <c r="BAT2" t="s">
        <v>5710</v>
      </c>
      <c r="BAU2" t="s">
        <v>5711</v>
      </c>
      <c r="BAV2" t="s">
        <v>5712</v>
      </c>
      <c r="BAW2" t="s">
        <v>5713</v>
      </c>
      <c r="BAX2" t="s">
        <v>5714</v>
      </c>
      <c r="BAY2" t="s">
        <v>5715</v>
      </c>
      <c r="BAZ2" t="s">
        <v>5716</v>
      </c>
      <c r="BBA2" t="s">
        <v>5717</v>
      </c>
      <c r="BBB2" t="s">
        <v>5718</v>
      </c>
      <c r="BBC2" t="s">
        <v>5719</v>
      </c>
      <c r="BBD2" t="s">
        <v>5720</v>
      </c>
      <c r="BBE2" t="s">
        <v>5721</v>
      </c>
      <c r="BBF2" t="s">
        <v>5722</v>
      </c>
      <c r="BBG2" t="s">
        <v>5723</v>
      </c>
      <c r="BBH2" t="s">
        <v>5724</v>
      </c>
      <c r="BBI2" t="s">
        <v>5725</v>
      </c>
      <c r="BBJ2" t="s">
        <v>5726</v>
      </c>
      <c r="BBK2" t="s">
        <v>5727</v>
      </c>
      <c r="BBL2" t="s">
        <v>5728</v>
      </c>
      <c r="BBM2" t="s">
        <v>5729</v>
      </c>
      <c r="BBN2" t="s">
        <v>5730</v>
      </c>
      <c r="BBO2" t="s">
        <v>5731</v>
      </c>
      <c r="BBP2" t="s">
        <v>5732</v>
      </c>
      <c r="BBQ2" t="s">
        <v>5733</v>
      </c>
      <c r="BBR2" t="s">
        <v>5734</v>
      </c>
      <c r="BBS2" t="s">
        <v>5735</v>
      </c>
      <c r="BBT2" t="s">
        <v>5736</v>
      </c>
      <c r="BBU2" t="s">
        <v>5737</v>
      </c>
      <c r="BBV2" t="s">
        <v>5738</v>
      </c>
      <c r="BBW2" t="s">
        <v>5739</v>
      </c>
      <c r="BBX2" t="s">
        <v>5740</v>
      </c>
      <c r="BBY2" t="s">
        <v>5741</v>
      </c>
      <c r="BBZ2" t="s">
        <v>5742</v>
      </c>
      <c r="BCA2" t="s">
        <v>5743</v>
      </c>
      <c r="BCB2" t="s">
        <v>5744</v>
      </c>
      <c r="BCC2" t="s">
        <v>5745</v>
      </c>
      <c r="BCD2" t="s">
        <v>5746</v>
      </c>
      <c r="BCE2" t="s">
        <v>5747</v>
      </c>
      <c r="BCF2" t="s">
        <v>5748</v>
      </c>
      <c r="BCG2" t="s">
        <v>5749</v>
      </c>
      <c r="BCH2" t="s">
        <v>5750</v>
      </c>
      <c r="BCI2" t="s">
        <v>5751</v>
      </c>
      <c r="BCJ2" t="s">
        <v>5752</v>
      </c>
      <c r="BCK2" t="s">
        <v>5753</v>
      </c>
      <c r="BCL2" t="s">
        <v>5754</v>
      </c>
      <c r="BCM2" t="s">
        <v>5755</v>
      </c>
      <c r="BCN2" t="s">
        <v>5756</v>
      </c>
      <c r="BCO2" t="s">
        <v>5757</v>
      </c>
      <c r="BCP2" t="s">
        <v>5758</v>
      </c>
      <c r="BCQ2" t="s">
        <v>5759</v>
      </c>
      <c r="BCR2" t="s">
        <v>5760</v>
      </c>
      <c r="BCS2" t="s">
        <v>5761</v>
      </c>
      <c r="BCT2" t="s">
        <v>5762</v>
      </c>
      <c r="BCU2" t="s">
        <v>5763</v>
      </c>
      <c r="BCV2" t="s">
        <v>5764</v>
      </c>
      <c r="BCW2" t="s">
        <v>5765</v>
      </c>
      <c r="BCX2" t="s">
        <v>5766</v>
      </c>
      <c r="BCY2" t="s">
        <v>5767</v>
      </c>
      <c r="BCZ2" t="s">
        <v>5768</v>
      </c>
      <c r="BDA2" t="s">
        <v>5769</v>
      </c>
      <c r="BDB2" t="s">
        <v>5770</v>
      </c>
      <c r="BDC2" t="s">
        <v>5771</v>
      </c>
      <c r="BDD2" t="s">
        <v>5772</v>
      </c>
      <c r="BDE2" t="s">
        <v>5773</v>
      </c>
      <c r="BDF2" t="s">
        <v>5774</v>
      </c>
      <c r="BDG2" t="s">
        <v>5775</v>
      </c>
      <c r="BDH2" t="s">
        <v>5776</v>
      </c>
      <c r="BDI2" t="s">
        <v>5777</v>
      </c>
      <c r="BDJ2" t="s">
        <v>5778</v>
      </c>
      <c r="BDK2" t="s">
        <v>5779</v>
      </c>
      <c r="BDL2" t="s">
        <v>5780</v>
      </c>
      <c r="BDM2" t="s">
        <v>5781</v>
      </c>
      <c r="BDN2" t="s">
        <v>5782</v>
      </c>
      <c r="BDO2" t="s">
        <v>5783</v>
      </c>
      <c r="BDP2" t="s">
        <v>5784</v>
      </c>
      <c r="BDQ2" t="s">
        <v>5785</v>
      </c>
      <c r="BDR2" t="s">
        <v>5786</v>
      </c>
      <c r="BDS2" t="s">
        <v>5787</v>
      </c>
      <c r="BDT2" t="s">
        <v>5788</v>
      </c>
      <c r="BDU2" t="s">
        <v>5789</v>
      </c>
      <c r="BDV2" t="s">
        <v>5790</v>
      </c>
      <c r="BDW2" t="s">
        <v>5791</v>
      </c>
      <c r="BDX2" t="s">
        <v>5792</v>
      </c>
      <c r="BDY2" t="s">
        <v>5793</v>
      </c>
      <c r="BDZ2" t="s">
        <v>5794</v>
      </c>
      <c r="BEA2" t="s">
        <v>5795</v>
      </c>
      <c r="BEB2" t="s">
        <v>5796</v>
      </c>
      <c r="BEC2" t="s">
        <v>5797</v>
      </c>
      <c r="BED2" t="s">
        <v>5798</v>
      </c>
      <c r="BEE2" t="s">
        <v>5799</v>
      </c>
      <c r="BEF2" t="s">
        <v>5800</v>
      </c>
      <c r="BEG2" t="s">
        <v>5801</v>
      </c>
      <c r="BEH2" t="s">
        <v>5802</v>
      </c>
      <c r="BEI2" t="s">
        <v>5803</v>
      </c>
      <c r="BEJ2" t="s">
        <v>5804</v>
      </c>
      <c r="BEK2" t="s">
        <v>5805</v>
      </c>
      <c r="BEL2" t="s">
        <v>5806</v>
      </c>
      <c r="BEM2" t="s">
        <v>5807</v>
      </c>
      <c r="BEN2" t="s">
        <v>5808</v>
      </c>
      <c r="BEO2" t="s">
        <v>5809</v>
      </c>
      <c r="BEP2" t="s">
        <v>5810</v>
      </c>
      <c r="BEQ2" t="s">
        <v>5811</v>
      </c>
      <c r="BER2" t="s">
        <v>5812</v>
      </c>
      <c r="BES2" t="s">
        <v>5813</v>
      </c>
      <c r="BET2" t="s">
        <v>5814</v>
      </c>
      <c r="BEU2" t="s">
        <v>5815</v>
      </c>
      <c r="BEV2" t="s">
        <v>5816</v>
      </c>
      <c r="BEW2" t="s">
        <v>5817</v>
      </c>
      <c r="BEX2" t="s">
        <v>5818</v>
      </c>
      <c r="BEY2" t="s">
        <v>5819</v>
      </c>
      <c r="BEZ2" t="s">
        <v>5820</v>
      </c>
      <c r="BFA2" t="s">
        <v>5821</v>
      </c>
      <c r="BFB2" t="s">
        <v>5822</v>
      </c>
      <c r="BFC2" t="s">
        <v>5823</v>
      </c>
      <c r="BFD2" t="s">
        <v>5824</v>
      </c>
      <c r="BFE2" t="s">
        <v>5825</v>
      </c>
      <c r="BFF2" t="s">
        <v>5826</v>
      </c>
      <c r="BFG2" t="s">
        <v>5827</v>
      </c>
      <c r="BFH2" t="s">
        <v>5828</v>
      </c>
      <c r="BFI2" t="s">
        <v>5829</v>
      </c>
      <c r="BFJ2" t="s">
        <v>5830</v>
      </c>
      <c r="BFK2" t="s">
        <v>5831</v>
      </c>
      <c r="BFL2" t="s">
        <v>5832</v>
      </c>
      <c r="BFM2" t="s">
        <v>5833</v>
      </c>
      <c r="BFN2" t="s">
        <v>5834</v>
      </c>
      <c r="BFO2" t="s">
        <v>5835</v>
      </c>
      <c r="BFP2" t="s">
        <v>5836</v>
      </c>
      <c r="BFQ2" t="s">
        <v>5837</v>
      </c>
      <c r="BFR2" t="s">
        <v>5838</v>
      </c>
      <c r="BFS2" t="s">
        <v>5839</v>
      </c>
      <c r="BFT2" t="s">
        <v>5840</v>
      </c>
      <c r="BFU2" t="s">
        <v>5841</v>
      </c>
      <c r="BFV2" t="s">
        <v>5842</v>
      </c>
      <c r="BFW2" t="s">
        <v>5843</v>
      </c>
      <c r="BFX2" t="s">
        <v>5844</v>
      </c>
      <c r="BFY2" t="s">
        <v>5845</v>
      </c>
      <c r="BFZ2" t="s">
        <v>5846</v>
      </c>
      <c r="BGA2" t="s">
        <v>5847</v>
      </c>
      <c r="BGB2" t="s">
        <v>5848</v>
      </c>
      <c r="BGC2" t="s">
        <v>5849</v>
      </c>
      <c r="BGD2" t="s">
        <v>5850</v>
      </c>
      <c r="BGE2" t="s">
        <v>5851</v>
      </c>
      <c r="BGF2" t="s">
        <v>5852</v>
      </c>
      <c r="BGG2" t="s">
        <v>5853</v>
      </c>
      <c r="BGH2" t="s">
        <v>5854</v>
      </c>
      <c r="BGI2" t="s">
        <v>5855</v>
      </c>
      <c r="BGJ2" t="s">
        <v>5856</v>
      </c>
      <c r="BGK2" t="s">
        <v>5857</v>
      </c>
      <c r="BGL2" t="s">
        <v>5858</v>
      </c>
      <c r="BGM2" t="s">
        <v>5859</v>
      </c>
      <c r="BGN2" t="s">
        <v>5860</v>
      </c>
      <c r="BGO2" t="s">
        <v>5861</v>
      </c>
      <c r="BGP2" t="s">
        <v>5862</v>
      </c>
      <c r="BGQ2" t="s">
        <v>5863</v>
      </c>
      <c r="BGR2" t="s">
        <v>5864</v>
      </c>
      <c r="BGS2" t="s">
        <v>5865</v>
      </c>
      <c r="BGT2" t="s">
        <v>5866</v>
      </c>
      <c r="BGU2" t="s">
        <v>5867</v>
      </c>
      <c r="BGV2" t="s">
        <v>5868</v>
      </c>
      <c r="BGW2" t="s">
        <v>5869</v>
      </c>
      <c r="BGX2" t="s">
        <v>5870</v>
      </c>
      <c r="BGY2" t="s">
        <v>5871</v>
      </c>
      <c r="BGZ2" t="s">
        <v>5872</v>
      </c>
      <c r="BHA2" t="s">
        <v>5873</v>
      </c>
      <c r="BHB2" t="s">
        <v>5874</v>
      </c>
      <c r="BHC2" t="s">
        <v>5875</v>
      </c>
      <c r="BHD2" t="s">
        <v>5876</v>
      </c>
      <c r="BHE2" t="s">
        <v>5877</v>
      </c>
      <c r="BHF2" t="s">
        <v>5878</v>
      </c>
      <c r="BHG2" t="s">
        <v>5879</v>
      </c>
      <c r="BHH2" t="s">
        <v>5880</v>
      </c>
      <c r="BHI2" t="s">
        <v>5881</v>
      </c>
      <c r="BHJ2" t="s">
        <v>5882</v>
      </c>
      <c r="BHK2" t="s">
        <v>5883</v>
      </c>
      <c r="BHL2" t="s">
        <v>5884</v>
      </c>
      <c r="BHM2" t="s">
        <v>5885</v>
      </c>
      <c r="BHN2" t="s">
        <v>5886</v>
      </c>
      <c r="BHO2" t="s">
        <v>5887</v>
      </c>
      <c r="BHP2" t="s">
        <v>5888</v>
      </c>
      <c r="BHQ2" t="s">
        <v>5889</v>
      </c>
      <c r="BHR2" t="s">
        <v>5890</v>
      </c>
      <c r="BHS2" t="s">
        <v>5891</v>
      </c>
      <c r="BHT2" t="s">
        <v>5892</v>
      </c>
      <c r="BHU2" t="s">
        <v>5893</v>
      </c>
      <c r="BHV2" t="s">
        <v>5894</v>
      </c>
      <c r="BHW2" t="s">
        <v>5895</v>
      </c>
      <c r="BHX2" t="s">
        <v>5896</v>
      </c>
      <c r="BHY2" t="s">
        <v>5897</v>
      </c>
      <c r="BHZ2" t="s">
        <v>5898</v>
      </c>
      <c r="BIA2" t="s">
        <v>5899</v>
      </c>
      <c r="BIB2" t="s">
        <v>5900</v>
      </c>
      <c r="BIC2" t="s">
        <v>5901</v>
      </c>
      <c r="BID2" t="s">
        <v>5902</v>
      </c>
      <c r="BIE2" t="s">
        <v>5903</v>
      </c>
      <c r="BIF2" t="s">
        <v>5904</v>
      </c>
      <c r="BIG2" t="s">
        <v>5905</v>
      </c>
      <c r="BIH2" t="s">
        <v>5906</v>
      </c>
      <c r="BII2" t="s">
        <v>5907</v>
      </c>
      <c r="BIJ2" t="s">
        <v>5908</v>
      </c>
      <c r="BIK2" t="s">
        <v>5909</v>
      </c>
      <c r="BIL2" t="s">
        <v>5910</v>
      </c>
      <c r="BIM2" t="s">
        <v>5911</v>
      </c>
      <c r="BIN2" t="s">
        <v>5912</v>
      </c>
      <c r="BIO2" t="s">
        <v>5913</v>
      </c>
      <c r="BIP2" t="s">
        <v>5914</v>
      </c>
      <c r="BIQ2" t="s">
        <v>5915</v>
      </c>
      <c r="BIR2" t="s">
        <v>5916</v>
      </c>
      <c r="BIS2" t="s">
        <v>5917</v>
      </c>
      <c r="BIT2" t="s">
        <v>5918</v>
      </c>
      <c r="BIU2" t="s">
        <v>5919</v>
      </c>
      <c r="BIV2" t="s">
        <v>5920</v>
      </c>
      <c r="BIW2" t="s">
        <v>5921</v>
      </c>
      <c r="BIX2" t="s">
        <v>5922</v>
      </c>
      <c r="BIY2" t="s">
        <v>5923</v>
      </c>
      <c r="BIZ2" t="s">
        <v>5924</v>
      </c>
      <c r="BJA2" t="s">
        <v>5925</v>
      </c>
      <c r="BJB2" t="s">
        <v>5926</v>
      </c>
      <c r="BJC2" t="s">
        <v>5927</v>
      </c>
      <c r="BJD2" t="s">
        <v>5928</v>
      </c>
      <c r="BJE2" t="s">
        <v>5929</v>
      </c>
      <c r="BJF2" t="s">
        <v>5930</v>
      </c>
      <c r="BJG2" t="s">
        <v>5931</v>
      </c>
      <c r="BJH2" t="s">
        <v>5932</v>
      </c>
      <c r="BJI2" t="s">
        <v>5933</v>
      </c>
      <c r="BJJ2" t="s">
        <v>5934</v>
      </c>
      <c r="BJK2" t="s">
        <v>5935</v>
      </c>
      <c r="BJL2" t="s">
        <v>5936</v>
      </c>
      <c r="BJM2" t="s">
        <v>5937</v>
      </c>
      <c r="BJN2" t="s">
        <v>5938</v>
      </c>
      <c r="BJO2" t="s">
        <v>5939</v>
      </c>
      <c r="BJP2" t="s">
        <v>5940</v>
      </c>
      <c r="BJQ2" t="s">
        <v>5941</v>
      </c>
      <c r="BJR2" t="s">
        <v>5942</v>
      </c>
      <c r="BJS2" t="s">
        <v>5943</v>
      </c>
      <c r="BJT2" t="s">
        <v>5944</v>
      </c>
      <c r="BJU2" t="s">
        <v>5945</v>
      </c>
      <c r="BJV2" t="s">
        <v>5946</v>
      </c>
      <c r="BJW2" t="s">
        <v>5947</v>
      </c>
      <c r="BJX2" t="s">
        <v>5948</v>
      </c>
      <c r="BJY2" t="s">
        <v>5949</v>
      </c>
      <c r="BJZ2" t="s">
        <v>5950</v>
      </c>
      <c r="BKA2" t="s">
        <v>5951</v>
      </c>
      <c r="BKB2" t="s">
        <v>5952</v>
      </c>
      <c r="BKC2" t="s">
        <v>5953</v>
      </c>
      <c r="BKD2" t="s">
        <v>5954</v>
      </c>
      <c r="BKE2" t="s">
        <v>5955</v>
      </c>
      <c r="BKF2" t="s">
        <v>5956</v>
      </c>
      <c r="BKG2" t="s">
        <v>5957</v>
      </c>
      <c r="BKH2" t="s">
        <v>5958</v>
      </c>
      <c r="BKI2" t="s">
        <v>5959</v>
      </c>
      <c r="BKJ2" t="s">
        <v>5960</v>
      </c>
      <c r="BKK2" t="s">
        <v>5961</v>
      </c>
      <c r="BKL2" t="s">
        <v>5962</v>
      </c>
      <c r="BKM2" t="s">
        <v>5963</v>
      </c>
      <c r="BKN2" t="s">
        <v>5964</v>
      </c>
      <c r="BKO2" t="s">
        <v>5965</v>
      </c>
      <c r="BKP2" t="s">
        <v>5966</v>
      </c>
      <c r="BKQ2" t="s">
        <v>5967</v>
      </c>
      <c r="BKR2" t="s">
        <v>5968</v>
      </c>
      <c r="BKS2" t="s">
        <v>5969</v>
      </c>
      <c r="BKT2" t="s">
        <v>5970</v>
      </c>
      <c r="BKU2" t="s">
        <v>5971</v>
      </c>
      <c r="BKV2" t="s">
        <v>5972</v>
      </c>
      <c r="BKW2" t="s">
        <v>5973</v>
      </c>
      <c r="BKX2" t="s">
        <v>5974</v>
      </c>
      <c r="BKY2" t="s">
        <v>5975</v>
      </c>
      <c r="BKZ2" t="s">
        <v>5976</v>
      </c>
      <c r="BLA2" t="s">
        <v>5977</v>
      </c>
      <c r="BLB2" t="s">
        <v>5978</v>
      </c>
      <c r="BLC2" t="s">
        <v>5979</v>
      </c>
      <c r="BLD2" t="s">
        <v>5980</v>
      </c>
      <c r="BLE2" t="s">
        <v>5981</v>
      </c>
      <c r="BLF2" t="s">
        <v>5982</v>
      </c>
      <c r="BLG2" t="s">
        <v>5983</v>
      </c>
      <c r="BLH2" t="s">
        <v>5984</v>
      </c>
      <c r="BLI2" t="s">
        <v>5985</v>
      </c>
      <c r="BLJ2" t="s">
        <v>5986</v>
      </c>
      <c r="BLK2" t="s">
        <v>5987</v>
      </c>
      <c r="BLL2" t="s">
        <v>5988</v>
      </c>
      <c r="BLM2" t="s">
        <v>5989</v>
      </c>
      <c r="BLN2" t="s">
        <v>5990</v>
      </c>
      <c r="BLO2" t="s">
        <v>5991</v>
      </c>
      <c r="BLP2" t="s">
        <v>5992</v>
      </c>
      <c r="BLQ2" t="s">
        <v>5993</v>
      </c>
      <c r="BLR2" t="s">
        <v>5994</v>
      </c>
      <c r="BLS2" t="s">
        <v>5995</v>
      </c>
      <c r="BLT2" t="s">
        <v>5996</v>
      </c>
      <c r="BLU2" t="s">
        <v>5997</v>
      </c>
      <c r="BLV2" t="s">
        <v>5998</v>
      </c>
      <c r="BLW2" t="s">
        <v>5999</v>
      </c>
      <c r="BLX2" t="s">
        <v>6000</v>
      </c>
      <c r="BLY2" t="s">
        <v>6001</v>
      </c>
      <c r="BLZ2" t="s">
        <v>6002</v>
      </c>
      <c r="BMA2" t="s">
        <v>6003</v>
      </c>
      <c r="BMB2" t="s">
        <v>6004</v>
      </c>
      <c r="BMC2" t="s">
        <v>6005</v>
      </c>
      <c r="BMD2" t="s">
        <v>6006</v>
      </c>
      <c r="BME2" t="s">
        <v>6007</v>
      </c>
      <c r="BMF2" t="s">
        <v>6008</v>
      </c>
      <c r="BMG2" t="s">
        <v>6009</v>
      </c>
      <c r="BMH2" t="s">
        <v>6010</v>
      </c>
      <c r="BMI2" t="s">
        <v>6011</v>
      </c>
      <c r="BMJ2" t="s">
        <v>6012</v>
      </c>
      <c r="BMK2" t="s">
        <v>6013</v>
      </c>
      <c r="BML2" t="s">
        <v>6014</v>
      </c>
      <c r="BMM2" t="s">
        <v>6015</v>
      </c>
      <c r="BMN2" t="s">
        <v>6016</v>
      </c>
      <c r="BMO2" t="s">
        <v>6017</v>
      </c>
      <c r="BMP2" t="s">
        <v>6018</v>
      </c>
      <c r="BMQ2" t="s">
        <v>6019</v>
      </c>
      <c r="BMR2" t="s">
        <v>6020</v>
      </c>
      <c r="BMS2" t="s">
        <v>6021</v>
      </c>
      <c r="BMT2" t="s">
        <v>6022</v>
      </c>
      <c r="BMU2" t="s">
        <v>6023</v>
      </c>
      <c r="BMV2" t="s">
        <v>6024</v>
      </c>
      <c r="BMW2" t="s">
        <v>6025</v>
      </c>
      <c r="BMX2" t="s">
        <v>6026</v>
      </c>
      <c r="BMY2" t="s">
        <v>6027</v>
      </c>
      <c r="BMZ2" t="s">
        <v>6028</v>
      </c>
      <c r="BNA2" t="s">
        <v>6029</v>
      </c>
      <c r="BNB2" t="s">
        <v>6030</v>
      </c>
      <c r="BNC2" t="s">
        <v>6031</v>
      </c>
      <c r="BND2" t="s">
        <v>6032</v>
      </c>
      <c r="BNE2" t="s">
        <v>6033</v>
      </c>
      <c r="BNF2" t="s">
        <v>6034</v>
      </c>
      <c r="BNG2" t="s">
        <v>6035</v>
      </c>
      <c r="BNH2" t="s">
        <v>6036</v>
      </c>
      <c r="BNI2" t="s">
        <v>6037</v>
      </c>
      <c r="BNJ2" t="s">
        <v>6038</v>
      </c>
      <c r="BNK2" t="s">
        <v>6039</v>
      </c>
      <c r="BNL2" t="s">
        <v>6040</v>
      </c>
      <c r="BNM2" t="s">
        <v>6041</v>
      </c>
      <c r="BNN2" t="s">
        <v>6042</v>
      </c>
      <c r="BNO2" t="s">
        <v>6043</v>
      </c>
      <c r="BNP2" t="s">
        <v>6044</v>
      </c>
      <c r="BNQ2" t="s">
        <v>6045</v>
      </c>
      <c r="BNR2" t="s">
        <v>6046</v>
      </c>
      <c r="BNS2" t="s">
        <v>6047</v>
      </c>
      <c r="BNT2" t="s">
        <v>6048</v>
      </c>
      <c r="BNU2" t="s">
        <v>6049</v>
      </c>
      <c r="BNV2" t="s">
        <v>6050</v>
      </c>
      <c r="BNW2" t="s">
        <v>6051</v>
      </c>
      <c r="BNX2" t="s">
        <v>6052</v>
      </c>
      <c r="BNY2" t="s">
        <v>6053</v>
      </c>
      <c r="BNZ2" t="s">
        <v>6054</v>
      </c>
      <c r="BOA2" t="s">
        <v>6055</v>
      </c>
      <c r="BOB2" t="s">
        <v>6056</v>
      </c>
      <c r="BOC2" t="s">
        <v>6057</v>
      </c>
      <c r="BOD2" t="s">
        <v>6058</v>
      </c>
      <c r="BOE2" t="s">
        <v>6059</v>
      </c>
      <c r="BOF2" t="s">
        <v>6060</v>
      </c>
      <c r="BOG2" t="s">
        <v>6061</v>
      </c>
      <c r="BOH2" t="s">
        <v>6062</v>
      </c>
      <c r="BOI2" t="s">
        <v>6063</v>
      </c>
      <c r="BOJ2" t="s">
        <v>6064</v>
      </c>
      <c r="BOK2" t="s">
        <v>6065</v>
      </c>
      <c r="BOL2" t="s">
        <v>6066</v>
      </c>
      <c r="BOM2" t="s">
        <v>6067</v>
      </c>
      <c r="BON2" t="s">
        <v>6068</v>
      </c>
      <c r="BOO2" t="s">
        <v>6069</v>
      </c>
      <c r="BOP2" t="s">
        <v>6070</v>
      </c>
      <c r="BOQ2" t="s">
        <v>6071</v>
      </c>
      <c r="BOR2" t="s">
        <v>6072</v>
      </c>
      <c r="BOS2" t="s">
        <v>6073</v>
      </c>
      <c r="BOT2" t="s">
        <v>6074</v>
      </c>
      <c r="BOU2" t="s">
        <v>6075</v>
      </c>
      <c r="BOV2" t="s">
        <v>6076</v>
      </c>
      <c r="BOW2" t="s">
        <v>6077</v>
      </c>
      <c r="BOX2" t="s">
        <v>6078</v>
      </c>
      <c r="BOY2" t="s">
        <v>6079</v>
      </c>
      <c r="BOZ2" t="s">
        <v>6080</v>
      </c>
      <c r="BPA2" t="s">
        <v>6081</v>
      </c>
      <c r="BPB2" t="s">
        <v>6082</v>
      </c>
      <c r="BPC2" t="s">
        <v>6083</v>
      </c>
      <c r="BPD2" t="s">
        <v>6084</v>
      </c>
      <c r="BPE2" t="s">
        <v>6085</v>
      </c>
      <c r="BPF2" t="s">
        <v>6086</v>
      </c>
      <c r="BPG2" t="s">
        <v>6087</v>
      </c>
      <c r="BPH2" t="s">
        <v>6088</v>
      </c>
      <c r="BPI2" t="s">
        <v>6089</v>
      </c>
      <c r="BPJ2" t="s">
        <v>6090</v>
      </c>
      <c r="BPK2" t="s">
        <v>6091</v>
      </c>
      <c r="BPL2" t="s">
        <v>6092</v>
      </c>
      <c r="BPM2" t="s">
        <v>6093</v>
      </c>
      <c r="BPN2" t="s">
        <v>6094</v>
      </c>
      <c r="BPO2" t="s">
        <v>6095</v>
      </c>
      <c r="BPP2" t="s">
        <v>6096</v>
      </c>
      <c r="BPQ2" t="s">
        <v>6097</v>
      </c>
      <c r="BPR2" t="s">
        <v>6098</v>
      </c>
      <c r="BPS2" t="s">
        <v>6099</v>
      </c>
      <c r="BPT2" t="s">
        <v>6100</v>
      </c>
      <c r="BPU2" t="s">
        <v>6101</v>
      </c>
      <c r="BPV2" t="s">
        <v>6102</v>
      </c>
      <c r="BPW2" t="s">
        <v>6103</v>
      </c>
      <c r="BPX2" t="s">
        <v>6104</v>
      </c>
      <c r="BPY2" t="s">
        <v>6105</v>
      </c>
      <c r="BPZ2" t="s">
        <v>6106</v>
      </c>
      <c r="BQA2" t="s">
        <v>6107</v>
      </c>
      <c r="BQB2" t="s">
        <v>6108</v>
      </c>
      <c r="BQC2" t="s">
        <v>6109</v>
      </c>
      <c r="BQD2" t="s">
        <v>6110</v>
      </c>
      <c r="BQE2" t="s">
        <v>6111</v>
      </c>
      <c r="BQF2" t="s">
        <v>6112</v>
      </c>
      <c r="BQG2" t="s">
        <v>6113</v>
      </c>
      <c r="BQH2" t="s">
        <v>6114</v>
      </c>
      <c r="BQI2" t="s">
        <v>6115</v>
      </c>
      <c r="BQJ2" t="s">
        <v>6116</v>
      </c>
      <c r="BQK2" t="s">
        <v>6117</v>
      </c>
      <c r="BQL2" t="s">
        <v>6118</v>
      </c>
      <c r="BQM2" t="s">
        <v>6119</v>
      </c>
      <c r="BQN2" t="s">
        <v>6120</v>
      </c>
      <c r="BQO2" t="s">
        <v>6121</v>
      </c>
      <c r="BQP2" t="s">
        <v>6122</v>
      </c>
      <c r="BQQ2" t="s">
        <v>6123</v>
      </c>
      <c r="BQR2" t="s">
        <v>6124</v>
      </c>
      <c r="BQS2" t="s">
        <v>6125</v>
      </c>
      <c r="BQT2" t="s">
        <v>6126</v>
      </c>
      <c r="BQU2" t="s">
        <v>6127</v>
      </c>
      <c r="BQV2" t="s">
        <v>6128</v>
      </c>
      <c r="BQW2" t="s">
        <v>6129</v>
      </c>
      <c r="BQX2" t="s">
        <v>6130</v>
      </c>
      <c r="BQY2" t="s">
        <v>6131</v>
      </c>
      <c r="BQZ2" t="s">
        <v>6132</v>
      </c>
      <c r="BRA2" t="s">
        <v>6133</v>
      </c>
      <c r="BRB2" t="s">
        <v>6134</v>
      </c>
      <c r="BRC2" t="s">
        <v>6135</v>
      </c>
      <c r="BRD2" t="s">
        <v>6136</v>
      </c>
      <c r="BRE2" t="s">
        <v>6137</v>
      </c>
      <c r="BRF2" t="s">
        <v>6138</v>
      </c>
      <c r="BRG2" t="s">
        <v>6139</v>
      </c>
      <c r="BRH2" t="s">
        <v>6140</v>
      </c>
      <c r="BRI2" t="s">
        <v>6141</v>
      </c>
      <c r="BRJ2" t="s">
        <v>6142</v>
      </c>
      <c r="BRK2" t="s">
        <v>6143</v>
      </c>
      <c r="BRL2" t="s">
        <v>6144</v>
      </c>
      <c r="BRM2" t="s">
        <v>6145</v>
      </c>
      <c r="BRN2" t="s">
        <v>6146</v>
      </c>
      <c r="BRO2" t="s">
        <v>6147</v>
      </c>
      <c r="BRP2" t="s">
        <v>6148</v>
      </c>
      <c r="BRQ2" t="s">
        <v>6149</v>
      </c>
      <c r="BRR2" t="s">
        <v>6150</v>
      </c>
      <c r="BRS2" t="s">
        <v>6151</v>
      </c>
      <c r="BRT2" t="s">
        <v>6152</v>
      </c>
      <c r="BRU2" t="s">
        <v>6153</v>
      </c>
      <c r="BRV2" t="s">
        <v>6154</v>
      </c>
      <c r="BRW2" t="s">
        <v>6155</v>
      </c>
      <c r="BRX2" t="s">
        <v>6156</v>
      </c>
      <c r="BRY2" t="s">
        <v>6157</v>
      </c>
      <c r="BRZ2" t="s">
        <v>6158</v>
      </c>
      <c r="BSA2" t="s">
        <v>6159</v>
      </c>
      <c r="BSB2" t="s">
        <v>6160</v>
      </c>
      <c r="BSC2" t="s">
        <v>6161</v>
      </c>
      <c r="BSD2" t="s">
        <v>6162</v>
      </c>
      <c r="BSE2" t="s">
        <v>6163</v>
      </c>
      <c r="BSF2" t="s">
        <v>6164</v>
      </c>
      <c r="BSG2" t="s">
        <v>6165</v>
      </c>
      <c r="BSH2" t="s">
        <v>6166</v>
      </c>
      <c r="BSI2" t="s">
        <v>6167</v>
      </c>
      <c r="BSJ2" t="s">
        <v>6168</v>
      </c>
      <c r="BSK2" t="s">
        <v>6169</v>
      </c>
      <c r="BSL2" t="s">
        <v>6170</v>
      </c>
      <c r="BSM2" t="s">
        <v>6171</v>
      </c>
      <c r="BSN2" t="s">
        <v>6172</v>
      </c>
      <c r="BSO2" t="s">
        <v>6173</v>
      </c>
      <c r="BSP2" t="s">
        <v>6174</v>
      </c>
      <c r="BSQ2" t="s">
        <v>6175</v>
      </c>
      <c r="BSR2" t="s">
        <v>6176</v>
      </c>
      <c r="BSS2" t="s">
        <v>6177</v>
      </c>
      <c r="BST2" t="s">
        <v>6178</v>
      </c>
      <c r="BSU2" t="s">
        <v>6179</v>
      </c>
      <c r="BSV2" t="s">
        <v>6180</v>
      </c>
      <c r="BSW2" t="s">
        <v>6181</v>
      </c>
      <c r="BSX2" t="s">
        <v>6182</v>
      </c>
      <c r="BSY2" t="s">
        <v>6183</v>
      </c>
      <c r="BSZ2" t="s">
        <v>6184</v>
      </c>
      <c r="BTA2" t="s">
        <v>6185</v>
      </c>
      <c r="BTB2" t="s">
        <v>6186</v>
      </c>
      <c r="BTC2" t="s">
        <v>6187</v>
      </c>
      <c r="BTD2" t="s">
        <v>6188</v>
      </c>
      <c r="BTE2" t="s">
        <v>6189</v>
      </c>
      <c r="BTF2" t="s">
        <v>6190</v>
      </c>
      <c r="BTG2" t="s">
        <v>6191</v>
      </c>
      <c r="BTH2" t="s">
        <v>6192</v>
      </c>
      <c r="BTI2" t="s">
        <v>6193</v>
      </c>
      <c r="BTJ2" t="s">
        <v>6194</v>
      </c>
      <c r="BTK2" t="s">
        <v>6195</v>
      </c>
      <c r="BTL2" t="s">
        <v>6196</v>
      </c>
      <c r="BTM2" t="s">
        <v>6197</v>
      </c>
      <c r="BTN2" t="s">
        <v>6198</v>
      </c>
      <c r="BTO2" t="s">
        <v>6199</v>
      </c>
      <c r="BTP2" t="s">
        <v>6200</v>
      </c>
      <c r="BTQ2" t="s">
        <v>6201</v>
      </c>
      <c r="BTR2" t="s">
        <v>6202</v>
      </c>
      <c r="BTS2" t="s">
        <v>6203</v>
      </c>
      <c r="BTT2" t="s">
        <v>6204</v>
      </c>
      <c r="BTU2" t="s">
        <v>6205</v>
      </c>
      <c r="BTV2" t="s">
        <v>6206</v>
      </c>
      <c r="BTW2" t="s">
        <v>6207</v>
      </c>
      <c r="BTX2" t="s">
        <v>6208</v>
      </c>
      <c r="BTY2" t="s">
        <v>6209</v>
      </c>
      <c r="BTZ2" t="s">
        <v>6210</v>
      </c>
      <c r="BUA2" t="s">
        <v>6211</v>
      </c>
      <c r="BUB2" t="s">
        <v>6212</v>
      </c>
      <c r="BUC2" t="s">
        <v>6213</v>
      </c>
      <c r="BUD2" t="s">
        <v>6214</v>
      </c>
      <c r="BUE2" t="s">
        <v>6215</v>
      </c>
      <c r="BUF2" t="s">
        <v>6216</v>
      </c>
      <c r="BUG2" t="s">
        <v>6217</v>
      </c>
      <c r="BUH2" t="s">
        <v>6218</v>
      </c>
      <c r="BUI2" t="s">
        <v>6219</v>
      </c>
      <c r="BUJ2" t="s">
        <v>6220</v>
      </c>
      <c r="BUK2" t="s">
        <v>6221</v>
      </c>
      <c r="BUL2" t="s">
        <v>6222</v>
      </c>
      <c r="BUM2" t="s">
        <v>6223</v>
      </c>
      <c r="BUN2" t="s">
        <v>6224</v>
      </c>
      <c r="BUO2" t="s">
        <v>6225</v>
      </c>
      <c r="BUP2" t="s">
        <v>6226</v>
      </c>
      <c r="BUQ2" t="s">
        <v>6227</v>
      </c>
      <c r="BUR2" t="s">
        <v>6228</v>
      </c>
      <c r="BUS2" t="s">
        <v>6229</v>
      </c>
      <c r="BUT2" t="s">
        <v>6230</v>
      </c>
      <c r="BUU2" t="s">
        <v>6231</v>
      </c>
      <c r="BUV2" t="s">
        <v>6232</v>
      </c>
      <c r="BUW2" t="s">
        <v>6233</v>
      </c>
      <c r="BUX2" t="s">
        <v>6234</v>
      </c>
      <c r="BUY2" t="s">
        <v>6235</v>
      </c>
      <c r="BUZ2" t="s">
        <v>6236</v>
      </c>
      <c r="BVA2" t="s">
        <v>6237</v>
      </c>
      <c r="BVB2" t="s">
        <v>6238</v>
      </c>
      <c r="BVC2" t="s">
        <v>6239</v>
      </c>
      <c r="BVD2" t="s">
        <v>6240</v>
      </c>
      <c r="BVE2" t="s">
        <v>6241</v>
      </c>
      <c r="BVF2" t="s">
        <v>6242</v>
      </c>
      <c r="BVG2" t="s">
        <v>6243</v>
      </c>
      <c r="BVH2" t="s">
        <v>6244</v>
      </c>
      <c r="BVI2" t="s">
        <v>6245</v>
      </c>
      <c r="BVJ2" t="s">
        <v>6246</v>
      </c>
      <c r="BVK2" t="s">
        <v>6247</v>
      </c>
      <c r="BVL2" t="s">
        <v>6248</v>
      </c>
      <c r="BVM2" t="s">
        <v>6249</v>
      </c>
      <c r="BVN2" t="s">
        <v>6250</v>
      </c>
      <c r="BVO2" t="s">
        <v>6251</v>
      </c>
      <c r="BVP2" t="s">
        <v>6252</v>
      </c>
      <c r="BVQ2" t="s">
        <v>6253</v>
      </c>
      <c r="BVR2" t="s">
        <v>6254</v>
      </c>
      <c r="BVS2" t="s">
        <v>6255</v>
      </c>
      <c r="BVT2" t="s">
        <v>6256</v>
      </c>
      <c r="BVU2" t="s">
        <v>6257</v>
      </c>
      <c r="BVV2" t="s">
        <v>6258</v>
      </c>
      <c r="BVW2" t="s">
        <v>6259</v>
      </c>
      <c r="BVX2" t="s">
        <v>6260</v>
      </c>
      <c r="BVY2" t="s">
        <v>6261</v>
      </c>
      <c r="BVZ2" t="s">
        <v>6262</v>
      </c>
      <c r="BWA2" t="s">
        <v>6263</v>
      </c>
      <c r="BWB2" t="s">
        <v>6264</v>
      </c>
      <c r="BWC2" t="s">
        <v>6265</v>
      </c>
      <c r="BWD2" t="s">
        <v>6266</v>
      </c>
      <c r="BWE2" t="s">
        <v>6267</v>
      </c>
      <c r="BWF2" t="s">
        <v>6268</v>
      </c>
      <c r="BWG2" t="s">
        <v>6269</v>
      </c>
      <c r="BWH2" t="s">
        <v>6270</v>
      </c>
      <c r="BWI2" t="s">
        <v>6271</v>
      </c>
      <c r="BWJ2" t="s">
        <v>6272</v>
      </c>
      <c r="BWK2" t="s">
        <v>6273</v>
      </c>
      <c r="BWL2" t="s">
        <v>6274</v>
      </c>
      <c r="BWM2" t="s">
        <v>6275</v>
      </c>
      <c r="BWN2" t="s">
        <v>6276</v>
      </c>
      <c r="BWO2" t="s">
        <v>6277</v>
      </c>
      <c r="BWP2" t="s">
        <v>6278</v>
      </c>
      <c r="BWQ2" t="s">
        <v>6279</v>
      </c>
      <c r="BWR2" t="s">
        <v>6280</v>
      </c>
      <c r="BWS2" t="s">
        <v>6281</v>
      </c>
      <c r="BWT2" t="s">
        <v>6282</v>
      </c>
      <c r="BWU2" t="s">
        <v>6283</v>
      </c>
      <c r="BWV2" t="s">
        <v>6284</v>
      </c>
      <c r="BWW2" t="s">
        <v>6285</v>
      </c>
      <c r="BWX2" t="s">
        <v>6286</v>
      </c>
      <c r="BWY2" t="s">
        <v>6287</v>
      </c>
      <c r="BWZ2" t="s">
        <v>6288</v>
      </c>
      <c r="BXA2" t="s">
        <v>6289</v>
      </c>
      <c r="BXB2" t="s">
        <v>6290</v>
      </c>
      <c r="BXC2" t="s">
        <v>6291</v>
      </c>
      <c r="BXD2" t="s">
        <v>6292</v>
      </c>
      <c r="BXE2" t="s">
        <v>6293</v>
      </c>
      <c r="BXF2" t="s">
        <v>6294</v>
      </c>
      <c r="BXG2" t="s">
        <v>6295</v>
      </c>
      <c r="BXH2" t="s">
        <v>6296</v>
      </c>
      <c r="BXI2" t="s">
        <v>6297</v>
      </c>
      <c r="BXJ2" t="s">
        <v>6298</v>
      </c>
      <c r="BXK2" t="s">
        <v>6299</v>
      </c>
      <c r="BXL2" t="s">
        <v>6300</v>
      </c>
      <c r="BXM2" t="s">
        <v>6301</v>
      </c>
      <c r="BXN2" t="s">
        <v>6302</v>
      </c>
      <c r="BXO2" t="s">
        <v>6303</v>
      </c>
      <c r="BXP2" t="s">
        <v>6304</v>
      </c>
      <c r="BXQ2" t="s">
        <v>6305</v>
      </c>
      <c r="BXR2" t="s">
        <v>6306</v>
      </c>
      <c r="BXS2" t="s">
        <v>6307</v>
      </c>
      <c r="BXT2" t="s">
        <v>6308</v>
      </c>
      <c r="BXU2" t="s">
        <v>6309</v>
      </c>
      <c r="BXV2" t="s">
        <v>6310</v>
      </c>
      <c r="BXW2" t="s">
        <v>6311</v>
      </c>
      <c r="BXX2" t="s">
        <v>6312</v>
      </c>
      <c r="BXY2" t="s">
        <v>6313</v>
      </c>
      <c r="BXZ2" t="s">
        <v>6314</v>
      </c>
      <c r="BYA2" t="s">
        <v>6315</v>
      </c>
      <c r="BYB2" t="s">
        <v>6316</v>
      </c>
      <c r="BYC2" t="s">
        <v>6317</v>
      </c>
      <c r="BYD2" t="s">
        <v>6318</v>
      </c>
      <c r="BYE2" t="s">
        <v>6319</v>
      </c>
      <c r="BYF2" t="s">
        <v>6320</v>
      </c>
      <c r="BYG2" t="s">
        <v>6321</v>
      </c>
      <c r="BYH2" t="s">
        <v>6322</v>
      </c>
      <c r="BYI2" t="s">
        <v>6323</v>
      </c>
      <c r="BYJ2" t="s">
        <v>6324</v>
      </c>
      <c r="BYK2" t="s">
        <v>6325</v>
      </c>
      <c r="BYL2" t="s">
        <v>6326</v>
      </c>
      <c r="BYM2" t="s">
        <v>6327</v>
      </c>
      <c r="BYN2" t="s">
        <v>6328</v>
      </c>
      <c r="BYO2" t="s">
        <v>6329</v>
      </c>
      <c r="BYP2" t="s">
        <v>6330</v>
      </c>
      <c r="BYQ2" t="s">
        <v>6331</v>
      </c>
      <c r="BYR2" t="s">
        <v>6332</v>
      </c>
      <c r="BYS2" t="s">
        <v>6333</v>
      </c>
      <c r="BYT2" t="s">
        <v>6334</v>
      </c>
      <c r="BYU2" t="s">
        <v>6335</v>
      </c>
      <c r="BYV2" t="s">
        <v>6336</v>
      </c>
      <c r="BYW2" t="s">
        <v>6337</v>
      </c>
      <c r="BYX2" t="s">
        <v>6338</v>
      </c>
      <c r="BYY2" t="s">
        <v>6339</v>
      </c>
      <c r="BYZ2" t="s">
        <v>6340</v>
      </c>
      <c r="BZA2" t="s">
        <v>6341</v>
      </c>
      <c r="BZB2" t="s">
        <v>6342</v>
      </c>
      <c r="BZC2" t="s">
        <v>6343</v>
      </c>
      <c r="BZD2" t="s">
        <v>6344</v>
      </c>
      <c r="BZE2" t="s">
        <v>6345</v>
      </c>
      <c r="BZF2" t="s">
        <v>6346</v>
      </c>
      <c r="BZG2" t="s">
        <v>6347</v>
      </c>
      <c r="BZH2" t="s">
        <v>6348</v>
      </c>
      <c r="BZI2" t="s">
        <v>6349</v>
      </c>
      <c r="BZJ2" t="s">
        <v>6350</v>
      </c>
      <c r="BZK2" t="s">
        <v>6351</v>
      </c>
      <c r="BZL2" t="s">
        <v>6352</v>
      </c>
      <c r="BZM2" t="s">
        <v>6353</v>
      </c>
      <c r="BZN2" t="s">
        <v>6354</v>
      </c>
      <c r="BZO2" t="s">
        <v>6355</v>
      </c>
      <c r="BZP2" t="s">
        <v>6356</v>
      </c>
      <c r="BZQ2" t="s">
        <v>6357</v>
      </c>
      <c r="BZR2" t="s">
        <v>6358</v>
      </c>
      <c r="BZS2" t="s">
        <v>6359</v>
      </c>
      <c r="BZT2" t="s">
        <v>6360</v>
      </c>
      <c r="BZU2" t="s">
        <v>6361</v>
      </c>
      <c r="BZV2" t="s">
        <v>6362</v>
      </c>
      <c r="BZW2" t="s">
        <v>6363</v>
      </c>
      <c r="BZX2" t="s">
        <v>6364</v>
      </c>
      <c r="BZY2" t="s">
        <v>6365</v>
      </c>
      <c r="BZZ2" t="s">
        <v>6366</v>
      </c>
      <c r="CAA2" t="s">
        <v>6367</v>
      </c>
      <c r="CAB2" t="s">
        <v>6368</v>
      </c>
      <c r="CAC2" t="s">
        <v>6369</v>
      </c>
      <c r="CAD2" t="s">
        <v>6370</v>
      </c>
      <c r="CAE2" t="s">
        <v>6371</v>
      </c>
      <c r="CAF2" t="s">
        <v>6372</v>
      </c>
      <c r="CAG2" t="s">
        <v>6373</v>
      </c>
      <c r="CAH2" t="s">
        <v>6374</v>
      </c>
      <c r="CAI2" t="s">
        <v>6375</v>
      </c>
      <c r="CAJ2" t="s">
        <v>6376</v>
      </c>
      <c r="CAK2" t="s">
        <v>6377</v>
      </c>
      <c r="CAL2" t="s">
        <v>6378</v>
      </c>
      <c r="CAM2" t="s">
        <v>6379</v>
      </c>
      <c r="CAN2" t="s">
        <v>6380</v>
      </c>
      <c r="CAO2" t="s">
        <v>6381</v>
      </c>
      <c r="CAP2" t="s">
        <v>6382</v>
      </c>
      <c r="CAQ2" t="s">
        <v>6383</v>
      </c>
      <c r="CAR2" t="s">
        <v>6384</v>
      </c>
      <c r="CAS2" t="s">
        <v>6385</v>
      </c>
      <c r="CAT2" t="s">
        <v>6386</v>
      </c>
      <c r="CAU2" t="s">
        <v>6387</v>
      </c>
      <c r="CAV2" t="s">
        <v>6388</v>
      </c>
      <c r="CAW2" t="s">
        <v>6389</v>
      </c>
      <c r="CAX2" t="s">
        <v>6390</v>
      </c>
      <c r="CAY2" t="s">
        <v>6391</v>
      </c>
      <c r="CAZ2" t="s">
        <v>6392</v>
      </c>
      <c r="CBA2" t="s">
        <v>6393</v>
      </c>
      <c r="CBB2" t="s">
        <v>6394</v>
      </c>
      <c r="CBC2" t="s">
        <v>6395</v>
      </c>
      <c r="CBD2" t="s">
        <v>6396</v>
      </c>
      <c r="CBE2" t="s">
        <v>6397</v>
      </c>
      <c r="CBF2" t="s">
        <v>6398</v>
      </c>
      <c r="CBG2" t="s">
        <v>6399</v>
      </c>
      <c r="CBH2" t="s">
        <v>6400</v>
      </c>
      <c r="CBI2" t="s">
        <v>6401</v>
      </c>
      <c r="CBJ2" t="s">
        <v>6402</v>
      </c>
      <c r="CBK2" t="s">
        <v>6403</v>
      </c>
      <c r="CBL2" t="s">
        <v>6404</v>
      </c>
      <c r="CBM2" t="s">
        <v>6405</v>
      </c>
      <c r="CBN2" t="s">
        <v>6406</v>
      </c>
      <c r="CBO2" t="s">
        <v>6407</v>
      </c>
      <c r="CBP2" t="s">
        <v>6408</v>
      </c>
      <c r="CBQ2" t="s">
        <v>6409</v>
      </c>
      <c r="CBR2" t="s">
        <v>6410</v>
      </c>
      <c r="CBS2" t="s">
        <v>6411</v>
      </c>
      <c r="CBT2" t="s">
        <v>6412</v>
      </c>
      <c r="CBU2" t="s">
        <v>6413</v>
      </c>
      <c r="CBV2" t="s">
        <v>6414</v>
      </c>
      <c r="CBW2" t="s">
        <v>6415</v>
      </c>
      <c r="CBX2" t="s">
        <v>6416</v>
      </c>
      <c r="CBY2" t="s">
        <v>6417</v>
      </c>
      <c r="CBZ2" t="s">
        <v>6418</v>
      </c>
      <c r="CCA2" t="s">
        <v>6419</v>
      </c>
      <c r="CCB2" t="s">
        <v>6420</v>
      </c>
      <c r="CCC2" t="s">
        <v>6421</v>
      </c>
      <c r="CCD2" t="s">
        <v>6422</v>
      </c>
      <c r="CCE2" t="s">
        <v>6423</v>
      </c>
      <c r="CCF2" t="s">
        <v>6424</v>
      </c>
      <c r="CCG2" t="s">
        <v>6425</v>
      </c>
      <c r="CCH2" t="s">
        <v>6426</v>
      </c>
      <c r="CCI2" t="s">
        <v>6427</v>
      </c>
      <c r="CCJ2" t="s">
        <v>6428</v>
      </c>
      <c r="CCK2" t="s">
        <v>6429</v>
      </c>
      <c r="CCL2" t="s">
        <v>6430</v>
      </c>
      <c r="CCM2" t="s">
        <v>6431</v>
      </c>
      <c r="CCN2" t="s">
        <v>6432</v>
      </c>
      <c r="CCO2" t="s">
        <v>6433</v>
      </c>
      <c r="CCP2" t="s">
        <v>6434</v>
      </c>
      <c r="CCQ2" t="s">
        <v>6435</v>
      </c>
      <c r="CCR2" t="s">
        <v>6436</v>
      </c>
      <c r="CCS2" t="s">
        <v>6437</v>
      </c>
      <c r="CCT2" t="s">
        <v>6438</v>
      </c>
      <c r="CCU2" t="s">
        <v>6439</v>
      </c>
      <c r="CCV2" t="s">
        <v>6440</v>
      </c>
      <c r="CCW2" t="s">
        <v>6441</v>
      </c>
      <c r="CCX2" t="s">
        <v>6442</v>
      </c>
      <c r="CCY2" t="s">
        <v>6443</v>
      </c>
      <c r="CCZ2" t="s">
        <v>6444</v>
      </c>
      <c r="CDA2" t="s">
        <v>6445</v>
      </c>
      <c r="CDB2" t="s">
        <v>6446</v>
      </c>
      <c r="CDC2" t="s">
        <v>6447</v>
      </c>
      <c r="CDD2" t="s">
        <v>6448</v>
      </c>
      <c r="CDE2" t="s">
        <v>6449</v>
      </c>
      <c r="CDF2" t="s">
        <v>6450</v>
      </c>
      <c r="CDG2" t="s">
        <v>6451</v>
      </c>
      <c r="CDH2" t="s">
        <v>6452</v>
      </c>
      <c r="CDI2" t="s">
        <v>6453</v>
      </c>
      <c r="CDJ2" t="s">
        <v>6454</v>
      </c>
      <c r="CDK2" t="s">
        <v>6455</v>
      </c>
      <c r="CDL2" t="s">
        <v>6456</v>
      </c>
      <c r="CDM2" t="s">
        <v>6457</v>
      </c>
      <c r="CDN2" t="s">
        <v>6458</v>
      </c>
      <c r="CDO2" t="s">
        <v>6459</v>
      </c>
      <c r="CDP2" t="s">
        <v>6460</v>
      </c>
      <c r="CDQ2" t="s">
        <v>6461</v>
      </c>
      <c r="CDR2" t="s">
        <v>6462</v>
      </c>
      <c r="CDS2" t="s">
        <v>6463</v>
      </c>
      <c r="CDT2" t="s">
        <v>6464</v>
      </c>
      <c r="CDU2" t="s">
        <v>6465</v>
      </c>
      <c r="CDV2" t="s">
        <v>6466</v>
      </c>
      <c r="CDW2" t="s">
        <v>6467</v>
      </c>
      <c r="CDX2" t="s">
        <v>6468</v>
      </c>
      <c r="CDY2" t="s">
        <v>6469</v>
      </c>
      <c r="CDZ2" t="s">
        <v>6470</v>
      </c>
      <c r="CEA2" t="s">
        <v>6471</v>
      </c>
      <c r="CEB2" t="s">
        <v>6472</v>
      </c>
      <c r="CEC2" t="s">
        <v>6473</v>
      </c>
      <c r="CED2" t="s">
        <v>6474</v>
      </c>
      <c r="CEE2" t="s">
        <v>6475</v>
      </c>
      <c r="CEF2" t="s">
        <v>6476</v>
      </c>
      <c r="CEG2" t="s">
        <v>6477</v>
      </c>
      <c r="CEH2" t="s">
        <v>6478</v>
      </c>
      <c r="CEI2" t="s">
        <v>6479</v>
      </c>
      <c r="CEJ2" t="s">
        <v>6480</v>
      </c>
      <c r="CEK2" t="s">
        <v>6481</v>
      </c>
      <c r="CEL2" t="s">
        <v>6482</v>
      </c>
      <c r="CEM2" t="s">
        <v>6483</v>
      </c>
      <c r="CEN2" t="s">
        <v>6484</v>
      </c>
      <c r="CEO2" t="s">
        <v>6485</v>
      </c>
      <c r="CEP2" t="s">
        <v>6486</v>
      </c>
      <c r="CEQ2" t="s">
        <v>6487</v>
      </c>
      <c r="CER2" t="s">
        <v>6488</v>
      </c>
      <c r="CES2" t="s">
        <v>6489</v>
      </c>
      <c r="CET2" t="s">
        <v>6490</v>
      </c>
      <c r="CEU2" t="s">
        <v>6491</v>
      </c>
      <c r="CEV2" t="s">
        <v>6492</v>
      </c>
      <c r="CEW2" t="s">
        <v>6493</v>
      </c>
      <c r="CEX2" t="s">
        <v>6494</v>
      </c>
      <c r="CEY2" t="s">
        <v>6495</v>
      </c>
      <c r="CEZ2" t="s">
        <v>6496</v>
      </c>
      <c r="CFA2" t="s">
        <v>6497</v>
      </c>
      <c r="CFB2" t="s">
        <v>6498</v>
      </c>
      <c r="CFC2" t="s">
        <v>6499</v>
      </c>
      <c r="CFD2" t="s">
        <v>6500</v>
      </c>
      <c r="CFE2" t="s">
        <v>6501</v>
      </c>
      <c r="CFF2" t="s">
        <v>6502</v>
      </c>
      <c r="CFG2" t="s">
        <v>6503</v>
      </c>
      <c r="CFH2" t="s">
        <v>6504</v>
      </c>
      <c r="CFI2" t="s">
        <v>6505</v>
      </c>
      <c r="CFJ2" t="s">
        <v>6506</v>
      </c>
      <c r="CFK2" t="s">
        <v>6507</v>
      </c>
      <c r="CFL2" t="s">
        <v>6508</v>
      </c>
      <c r="CFM2" t="s">
        <v>6509</v>
      </c>
      <c r="CFN2" t="s">
        <v>6510</v>
      </c>
      <c r="CFO2" t="s">
        <v>6511</v>
      </c>
      <c r="CFP2" t="s">
        <v>6512</v>
      </c>
      <c r="CFQ2" t="s">
        <v>6513</v>
      </c>
      <c r="CFR2" t="s">
        <v>6514</v>
      </c>
      <c r="CFS2" t="s">
        <v>6515</v>
      </c>
      <c r="CFT2" t="s">
        <v>6516</v>
      </c>
      <c r="CFU2" t="s">
        <v>6517</v>
      </c>
      <c r="CFV2" t="s">
        <v>6518</v>
      </c>
      <c r="CFW2" t="s">
        <v>6519</v>
      </c>
      <c r="CFX2" t="s">
        <v>6520</v>
      </c>
      <c r="CFY2" t="s">
        <v>6521</v>
      </c>
      <c r="CFZ2" t="s">
        <v>6522</v>
      </c>
      <c r="CGA2" t="s">
        <v>6523</v>
      </c>
      <c r="CGB2" t="s">
        <v>6524</v>
      </c>
      <c r="CGC2" t="s">
        <v>6525</v>
      </c>
      <c r="CGD2" t="s">
        <v>6526</v>
      </c>
      <c r="CGE2" t="s">
        <v>6527</v>
      </c>
      <c r="CGF2" t="s">
        <v>6528</v>
      </c>
      <c r="CGG2" t="s">
        <v>6529</v>
      </c>
      <c r="CGH2" t="s">
        <v>6530</v>
      </c>
      <c r="CGI2" t="s">
        <v>6531</v>
      </c>
      <c r="CGJ2" t="s">
        <v>6532</v>
      </c>
      <c r="CGK2" t="s">
        <v>6533</v>
      </c>
      <c r="CGL2" t="s">
        <v>6534</v>
      </c>
      <c r="CGM2" t="s">
        <v>6535</v>
      </c>
      <c r="CGN2" t="s">
        <v>6536</v>
      </c>
      <c r="CGO2" t="s">
        <v>6537</v>
      </c>
      <c r="CGP2" t="s">
        <v>6538</v>
      </c>
      <c r="CGQ2" t="s">
        <v>6539</v>
      </c>
      <c r="CGR2" t="s">
        <v>6540</v>
      </c>
      <c r="CGS2" t="s">
        <v>6541</v>
      </c>
      <c r="CGT2" t="s">
        <v>6542</v>
      </c>
      <c r="CGU2" t="s">
        <v>6543</v>
      </c>
      <c r="CGV2" t="s">
        <v>6544</v>
      </c>
      <c r="CGW2" t="s">
        <v>6545</v>
      </c>
      <c r="CGX2" t="s">
        <v>6546</v>
      </c>
      <c r="CGY2" t="s">
        <v>6547</v>
      </c>
      <c r="CGZ2" t="s">
        <v>6548</v>
      </c>
      <c r="CHA2" t="s">
        <v>6549</v>
      </c>
      <c r="CHB2" t="s">
        <v>6550</v>
      </c>
      <c r="CHC2" t="s">
        <v>6551</v>
      </c>
      <c r="CHD2" t="s">
        <v>6552</v>
      </c>
      <c r="CHE2" t="s">
        <v>6553</v>
      </c>
      <c r="CHF2" t="s">
        <v>6554</v>
      </c>
      <c r="CHG2" t="s">
        <v>6555</v>
      </c>
      <c r="CHH2" t="s">
        <v>6556</v>
      </c>
      <c r="CHI2" t="s">
        <v>6557</v>
      </c>
      <c r="CHJ2" t="s">
        <v>6558</v>
      </c>
      <c r="CHK2" t="s">
        <v>6559</v>
      </c>
      <c r="CHL2" t="s">
        <v>6560</v>
      </c>
      <c r="CHM2" t="s">
        <v>6561</v>
      </c>
      <c r="CHN2" t="s">
        <v>6562</v>
      </c>
      <c r="CHO2" t="s">
        <v>6563</v>
      </c>
      <c r="CHP2" t="s">
        <v>6564</v>
      </c>
      <c r="CHQ2" t="s">
        <v>6565</v>
      </c>
      <c r="CHR2" t="s">
        <v>6566</v>
      </c>
      <c r="CHS2" t="s">
        <v>6567</v>
      </c>
      <c r="CHT2" t="s">
        <v>6568</v>
      </c>
      <c r="CHU2" t="s">
        <v>6569</v>
      </c>
      <c r="CHV2" t="s">
        <v>6570</v>
      </c>
      <c r="CHW2" t="s">
        <v>6571</v>
      </c>
      <c r="CHX2" t="s">
        <v>6572</v>
      </c>
      <c r="CHY2" t="s">
        <v>6573</v>
      </c>
      <c r="CHZ2" t="s">
        <v>6574</v>
      </c>
      <c r="CIA2" t="s">
        <v>6575</v>
      </c>
      <c r="CIB2" t="s">
        <v>6576</v>
      </c>
      <c r="CIC2" t="s">
        <v>6577</v>
      </c>
      <c r="CID2" t="s">
        <v>6578</v>
      </c>
      <c r="CIE2" t="s">
        <v>6579</v>
      </c>
      <c r="CIF2" t="s">
        <v>6580</v>
      </c>
      <c r="CIG2" t="s">
        <v>6581</v>
      </c>
      <c r="CIH2" t="s">
        <v>6582</v>
      </c>
      <c r="CII2" t="s">
        <v>6583</v>
      </c>
      <c r="CIJ2" t="s">
        <v>6584</v>
      </c>
      <c r="CIK2" t="s">
        <v>6585</v>
      </c>
      <c r="CIL2" t="s">
        <v>6586</v>
      </c>
      <c r="CIM2" t="s">
        <v>6587</v>
      </c>
      <c r="CIN2" t="s">
        <v>6588</v>
      </c>
      <c r="CIO2" t="s">
        <v>6589</v>
      </c>
      <c r="CIP2" t="s">
        <v>6590</v>
      </c>
      <c r="CIQ2" t="s">
        <v>6591</v>
      </c>
      <c r="CIR2" t="s">
        <v>6592</v>
      </c>
      <c r="CIS2" t="s">
        <v>6593</v>
      </c>
      <c r="CIT2" t="s">
        <v>6594</v>
      </c>
      <c r="CIU2" t="s">
        <v>6595</v>
      </c>
      <c r="CIV2" t="s">
        <v>6596</v>
      </c>
      <c r="CIW2" t="s">
        <v>6597</v>
      </c>
      <c r="CIX2" t="s">
        <v>6598</v>
      </c>
      <c r="CIY2" t="s">
        <v>6599</v>
      </c>
      <c r="CIZ2" t="s">
        <v>6600</v>
      </c>
      <c r="CJA2" t="s">
        <v>6601</v>
      </c>
      <c r="CJB2" t="s">
        <v>6602</v>
      </c>
      <c r="CJC2" t="s">
        <v>6603</v>
      </c>
      <c r="CJD2" t="s">
        <v>6604</v>
      </c>
      <c r="CJE2" t="s">
        <v>6605</v>
      </c>
      <c r="CJF2" t="s">
        <v>6606</v>
      </c>
      <c r="CJG2" t="s">
        <v>6607</v>
      </c>
      <c r="CJH2" t="s">
        <v>6608</v>
      </c>
      <c r="CJI2" t="s">
        <v>6609</v>
      </c>
      <c r="CJJ2" t="s">
        <v>6610</v>
      </c>
      <c r="CJK2" t="s">
        <v>6611</v>
      </c>
      <c r="CJL2" t="s">
        <v>6612</v>
      </c>
      <c r="CJM2" t="s">
        <v>6613</v>
      </c>
      <c r="CJN2" t="s">
        <v>6614</v>
      </c>
      <c r="CJO2" t="s">
        <v>6615</v>
      </c>
      <c r="CJP2" t="s">
        <v>6616</v>
      </c>
      <c r="CJQ2" t="s">
        <v>6617</v>
      </c>
      <c r="CJR2" t="s">
        <v>6618</v>
      </c>
      <c r="CJS2" t="s">
        <v>6619</v>
      </c>
      <c r="CJT2" t="s">
        <v>6620</v>
      </c>
      <c r="CJU2" t="s">
        <v>6621</v>
      </c>
      <c r="CJV2" t="s">
        <v>6622</v>
      </c>
      <c r="CJW2" t="s">
        <v>6623</v>
      </c>
      <c r="CJX2" t="s">
        <v>6624</v>
      </c>
      <c r="CJY2" t="s">
        <v>6625</v>
      </c>
      <c r="CJZ2" t="s">
        <v>6626</v>
      </c>
      <c r="CKA2" t="s">
        <v>6627</v>
      </c>
      <c r="CKB2" t="s">
        <v>6628</v>
      </c>
      <c r="CKC2" t="s">
        <v>6629</v>
      </c>
      <c r="CKD2" t="s">
        <v>6630</v>
      </c>
      <c r="CKE2" t="s">
        <v>6631</v>
      </c>
      <c r="CKF2" t="s">
        <v>6632</v>
      </c>
      <c r="CKG2" t="s">
        <v>6633</v>
      </c>
      <c r="CKH2" t="s">
        <v>6634</v>
      </c>
      <c r="CKI2" t="s">
        <v>6635</v>
      </c>
      <c r="CKJ2" t="s">
        <v>6636</v>
      </c>
      <c r="CKK2" t="s">
        <v>6637</v>
      </c>
      <c r="CKL2" t="s">
        <v>6638</v>
      </c>
      <c r="CKM2" t="s">
        <v>6639</v>
      </c>
      <c r="CKN2" t="s">
        <v>6640</v>
      </c>
      <c r="CKO2" t="s">
        <v>6641</v>
      </c>
      <c r="CKP2" t="s">
        <v>6642</v>
      </c>
      <c r="CKQ2" t="s">
        <v>6643</v>
      </c>
      <c r="CKR2" t="s">
        <v>6644</v>
      </c>
      <c r="CKS2" t="s">
        <v>6645</v>
      </c>
      <c r="CKT2" t="s">
        <v>6646</v>
      </c>
      <c r="CKU2" t="s">
        <v>6647</v>
      </c>
      <c r="CKV2" t="s">
        <v>6648</v>
      </c>
      <c r="CKW2" t="s">
        <v>6649</v>
      </c>
      <c r="CKX2" t="s">
        <v>6650</v>
      </c>
      <c r="CKY2" t="s">
        <v>6651</v>
      </c>
      <c r="CKZ2" t="s">
        <v>6652</v>
      </c>
      <c r="CLA2" t="s">
        <v>6653</v>
      </c>
      <c r="CLB2" t="s">
        <v>6654</v>
      </c>
      <c r="CLC2" t="s">
        <v>6655</v>
      </c>
      <c r="CLD2" t="s">
        <v>6656</v>
      </c>
      <c r="CLE2" t="s">
        <v>6657</v>
      </c>
      <c r="CLF2" t="s">
        <v>6658</v>
      </c>
      <c r="CLG2" t="s">
        <v>6659</v>
      </c>
      <c r="CLH2" t="s">
        <v>6660</v>
      </c>
      <c r="CLI2" t="s">
        <v>6661</v>
      </c>
      <c r="CLJ2" t="s">
        <v>6662</v>
      </c>
      <c r="CLK2" t="s">
        <v>6663</v>
      </c>
      <c r="CLL2" t="s">
        <v>6664</v>
      </c>
      <c r="CLM2" t="s">
        <v>6665</v>
      </c>
      <c r="CLN2" t="s">
        <v>6666</v>
      </c>
      <c r="CLO2" t="s">
        <v>6667</v>
      </c>
      <c r="CLP2" t="s">
        <v>6668</v>
      </c>
      <c r="CLQ2" t="s">
        <v>6669</v>
      </c>
      <c r="CLR2" t="s">
        <v>6670</v>
      </c>
      <c r="CLS2" t="s">
        <v>6671</v>
      </c>
      <c r="CLT2" t="s">
        <v>6672</v>
      </c>
      <c r="CLU2" t="s">
        <v>6673</v>
      </c>
      <c r="CLV2" t="s">
        <v>6674</v>
      </c>
      <c r="CLW2" t="s">
        <v>6675</v>
      </c>
      <c r="CLX2" t="s">
        <v>6676</v>
      </c>
      <c r="CLY2" t="s">
        <v>6677</v>
      </c>
      <c r="CLZ2" t="s">
        <v>6678</v>
      </c>
      <c r="CMA2" t="s">
        <v>6679</v>
      </c>
      <c r="CMB2" t="s">
        <v>6680</v>
      </c>
      <c r="CMC2" t="s">
        <v>6681</v>
      </c>
      <c r="CMD2" t="s">
        <v>6682</v>
      </c>
      <c r="CME2" t="s">
        <v>6683</v>
      </c>
      <c r="CMF2" t="s">
        <v>6684</v>
      </c>
      <c r="CMG2" t="s">
        <v>6685</v>
      </c>
      <c r="CMH2" t="s">
        <v>6686</v>
      </c>
      <c r="CMI2" t="s">
        <v>6687</v>
      </c>
      <c r="CMJ2" t="s">
        <v>6688</v>
      </c>
      <c r="CMK2" t="s">
        <v>6689</v>
      </c>
      <c r="CML2" t="s">
        <v>6690</v>
      </c>
      <c r="CMM2" t="s">
        <v>6691</v>
      </c>
      <c r="CMN2" t="s">
        <v>6692</v>
      </c>
      <c r="CMO2" t="s">
        <v>6693</v>
      </c>
      <c r="CMP2" t="s">
        <v>6694</v>
      </c>
      <c r="CMQ2" t="s">
        <v>6695</v>
      </c>
      <c r="CMR2" t="s">
        <v>6696</v>
      </c>
      <c r="CMS2" t="s">
        <v>6697</v>
      </c>
      <c r="CMT2" t="s">
        <v>6698</v>
      </c>
      <c r="CMU2" t="s">
        <v>6699</v>
      </c>
      <c r="CMV2" t="s">
        <v>6700</v>
      </c>
      <c r="CMW2" t="s">
        <v>6701</v>
      </c>
      <c r="CMX2" t="s">
        <v>6702</v>
      </c>
      <c r="CMY2" t="s">
        <v>6703</v>
      </c>
      <c r="CMZ2" t="s">
        <v>6704</v>
      </c>
      <c r="CNA2" t="s">
        <v>6705</v>
      </c>
      <c r="CNB2" t="s">
        <v>6706</v>
      </c>
      <c r="CNC2" t="s">
        <v>6707</v>
      </c>
      <c r="CND2" t="s">
        <v>6708</v>
      </c>
      <c r="CNE2" t="s">
        <v>6709</v>
      </c>
      <c r="CNF2" t="s">
        <v>6710</v>
      </c>
      <c r="CNG2" t="s">
        <v>6711</v>
      </c>
      <c r="CNH2" t="s">
        <v>6712</v>
      </c>
      <c r="CNI2" t="s">
        <v>6713</v>
      </c>
      <c r="CNJ2" t="s">
        <v>6714</v>
      </c>
      <c r="CNK2" t="s">
        <v>6715</v>
      </c>
      <c r="CNL2" t="s">
        <v>6716</v>
      </c>
      <c r="CNM2" t="s">
        <v>6717</v>
      </c>
      <c r="CNN2" t="s">
        <v>6718</v>
      </c>
      <c r="CNO2" t="s">
        <v>6719</v>
      </c>
      <c r="CNP2" t="s">
        <v>6720</v>
      </c>
      <c r="CNQ2" t="s">
        <v>6721</v>
      </c>
      <c r="CNR2" t="s">
        <v>6722</v>
      </c>
      <c r="CNS2" t="s">
        <v>6723</v>
      </c>
      <c r="CNT2" t="s">
        <v>6724</v>
      </c>
      <c r="CNU2" t="s">
        <v>6725</v>
      </c>
      <c r="CNV2" t="s">
        <v>6726</v>
      </c>
      <c r="CNW2" t="s">
        <v>6727</v>
      </c>
      <c r="CNX2" t="s">
        <v>6728</v>
      </c>
      <c r="CNY2" t="s">
        <v>6729</v>
      </c>
      <c r="CNZ2" t="s">
        <v>6730</v>
      </c>
      <c r="COA2" t="s">
        <v>6731</v>
      </c>
      <c r="COB2" t="s">
        <v>6732</v>
      </c>
      <c r="COC2" t="s">
        <v>6733</v>
      </c>
      <c r="COD2" t="s">
        <v>6734</v>
      </c>
      <c r="COE2" t="s">
        <v>6735</v>
      </c>
      <c r="COF2" t="s">
        <v>6736</v>
      </c>
      <c r="COG2" t="s">
        <v>6737</v>
      </c>
      <c r="COH2" t="s">
        <v>6738</v>
      </c>
      <c r="COI2" t="s">
        <v>6739</v>
      </c>
      <c r="COJ2" t="s">
        <v>6740</v>
      </c>
      <c r="COK2" t="s">
        <v>6741</v>
      </c>
      <c r="COL2" t="s">
        <v>6742</v>
      </c>
      <c r="COM2" t="s">
        <v>6743</v>
      </c>
      <c r="CON2" t="s">
        <v>6744</v>
      </c>
      <c r="COO2" t="s">
        <v>6745</v>
      </c>
      <c r="COP2" t="s">
        <v>6746</v>
      </c>
      <c r="COQ2" t="s">
        <v>6747</v>
      </c>
      <c r="COR2" t="s">
        <v>6748</v>
      </c>
      <c r="COS2" t="s">
        <v>6749</v>
      </c>
      <c r="COT2" t="s">
        <v>6750</v>
      </c>
      <c r="COU2" t="s">
        <v>6751</v>
      </c>
      <c r="COV2" t="s">
        <v>6752</v>
      </c>
      <c r="COW2" t="s">
        <v>6753</v>
      </c>
      <c r="COX2" t="s">
        <v>6754</v>
      </c>
      <c r="COY2" t="s">
        <v>6755</v>
      </c>
      <c r="COZ2" t="s">
        <v>6756</v>
      </c>
      <c r="CPA2" t="s">
        <v>6757</v>
      </c>
      <c r="CPB2" t="s">
        <v>6758</v>
      </c>
      <c r="CPC2" t="s">
        <v>6759</v>
      </c>
      <c r="CPD2" t="s">
        <v>6760</v>
      </c>
      <c r="CPE2" t="s">
        <v>6761</v>
      </c>
      <c r="CPF2" t="s">
        <v>6762</v>
      </c>
      <c r="CPG2" t="s">
        <v>6763</v>
      </c>
      <c r="CPH2" t="s">
        <v>6764</v>
      </c>
      <c r="CPI2" t="s">
        <v>6765</v>
      </c>
      <c r="CPJ2" t="s">
        <v>6766</v>
      </c>
      <c r="CPK2" t="s">
        <v>6767</v>
      </c>
      <c r="CPL2" t="s">
        <v>6768</v>
      </c>
      <c r="CPM2" t="s">
        <v>6769</v>
      </c>
      <c r="CPN2" t="s">
        <v>6770</v>
      </c>
      <c r="CPO2" t="s">
        <v>6771</v>
      </c>
      <c r="CPP2" t="s">
        <v>6772</v>
      </c>
      <c r="CPQ2" t="s">
        <v>6773</v>
      </c>
      <c r="CPR2" t="s">
        <v>6774</v>
      </c>
      <c r="CPS2" t="s">
        <v>6775</v>
      </c>
      <c r="CPT2" t="s">
        <v>6776</v>
      </c>
      <c r="CPU2" t="s">
        <v>6777</v>
      </c>
      <c r="CPV2" t="s">
        <v>6778</v>
      </c>
      <c r="CPW2" t="s">
        <v>6779</v>
      </c>
      <c r="CPX2" t="s">
        <v>6780</v>
      </c>
      <c r="CPY2" t="s">
        <v>6781</v>
      </c>
      <c r="CPZ2" t="s">
        <v>6782</v>
      </c>
      <c r="CQA2" t="s">
        <v>6783</v>
      </c>
      <c r="CQB2" t="s">
        <v>6784</v>
      </c>
      <c r="CQC2" t="s">
        <v>6785</v>
      </c>
      <c r="CQD2" t="s">
        <v>6786</v>
      </c>
      <c r="CQE2" t="s">
        <v>6787</v>
      </c>
      <c r="CQF2" t="s">
        <v>6788</v>
      </c>
      <c r="CQG2" t="s">
        <v>6789</v>
      </c>
      <c r="CQH2" t="s">
        <v>6790</v>
      </c>
      <c r="CQI2" t="s">
        <v>6791</v>
      </c>
      <c r="CQJ2" t="s">
        <v>6792</v>
      </c>
      <c r="CQK2" t="s">
        <v>6793</v>
      </c>
      <c r="CQL2" t="s">
        <v>6794</v>
      </c>
      <c r="CQM2" t="s">
        <v>6795</v>
      </c>
      <c r="CQN2" t="s">
        <v>6796</v>
      </c>
      <c r="CQO2" t="s">
        <v>6797</v>
      </c>
      <c r="CQP2" t="s">
        <v>6798</v>
      </c>
      <c r="CQQ2" t="s">
        <v>6799</v>
      </c>
      <c r="CQR2" t="s">
        <v>6800</v>
      </c>
      <c r="CQS2" t="s">
        <v>6801</v>
      </c>
      <c r="CQT2" t="s">
        <v>6802</v>
      </c>
      <c r="CQU2" t="s">
        <v>6803</v>
      </c>
      <c r="CQV2" t="s">
        <v>6804</v>
      </c>
      <c r="CQW2" t="s">
        <v>6805</v>
      </c>
      <c r="CQX2" t="s">
        <v>6806</v>
      </c>
      <c r="CQY2" t="s">
        <v>6807</v>
      </c>
      <c r="CQZ2" t="s">
        <v>6808</v>
      </c>
      <c r="CRA2" t="s">
        <v>6809</v>
      </c>
      <c r="CRB2" t="s">
        <v>6810</v>
      </c>
      <c r="CRC2" t="s">
        <v>6811</v>
      </c>
      <c r="CRD2" t="s">
        <v>6812</v>
      </c>
      <c r="CRE2" t="s">
        <v>6813</v>
      </c>
      <c r="CRF2" t="s">
        <v>6814</v>
      </c>
      <c r="CRG2" t="s">
        <v>6815</v>
      </c>
      <c r="CRH2" t="s">
        <v>6816</v>
      </c>
      <c r="CRI2" t="s">
        <v>6817</v>
      </c>
      <c r="CRJ2" t="s">
        <v>6818</v>
      </c>
      <c r="CRK2" t="s">
        <v>6819</v>
      </c>
      <c r="CRL2" t="s">
        <v>6820</v>
      </c>
      <c r="CRM2" t="s">
        <v>6821</v>
      </c>
      <c r="CRN2" t="s">
        <v>6822</v>
      </c>
      <c r="CRO2" t="s">
        <v>6823</v>
      </c>
      <c r="CRP2" t="s">
        <v>6824</v>
      </c>
      <c r="CRQ2" t="s">
        <v>6825</v>
      </c>
      <c r="CRR2" t="s">
        <v>6826</v>
      </c>
      <c r="CRS2" t="s">
        <v>6827</v>
      </c>
      <c r="CRT2" t="s">
        <v>6828</v>
      </c>
      <c r="CRU2" t="s">
        <v>6829</v>
      </c>
      <c r="CRV2" t="s">
        <v>6830</v>
      </c>
      <c r="CRW2" t="s">
        <v>6831</v>
      </c>
      <c r="CRX2" t="s">
        <v>6832</v>
      </c>
      <c r="CRY2" t="s">
        <v>6833</v>
      </c>
      <c r="CRZ2" t="s">
        <v>6834</v>
      </c>
      <c r="CSA2" t="s">
        <v>6835</v>
      </c>
      <c r="CSB2" t="s">
        <v>6836</v>
      </c>
      <c r="CSC2" t="s">
        <v>6837</v>
      </c>
      <c r="CSD2" t="s">
        <v>6838</v>
      </c>
      <c r="CSE2" t="s">
        <v>6839</v>
      </c>
      <c r="CSF2" t="s">
        <v>6840</v>
      </c>
      <c r="CSG2" t="s">
        <v>6841</v>
      </c>
      <c r="CSH2" t="s">
        <v>6842</v>
      </c>
      <c r="CSI2" t="s">
        <v>6843</v>
      </c>
      <c r="CSJ2" t="s">
        <v>6844</v>
      </c>
      <c r="CSK2" t="s">
        <v>6845</v>
      </c>
      <c r="CSL2" t="s">
        <v>6846</v>
      </c>
      <c r="CSM2" t="s">
        <v>6847</v>
      </c>
      <c r="CSN2" t="s">
        <v>6848</v>
      </c>
      <c r="CSO2" t="s">
        <v>6849</v>
      </c>
      <c r="CSP2" t="s">
        <v>6850</v>
      </c>
      <c r="CSQ2" t="s">
        <v>6851</v>
      </c>
      <c r="CSR2" t="s">
        <v>6852</v>
      </c>
      <c r="CSS2" t="s">
        <v>6853</v>
      </c>
      <c r="CST2" t="s">
        <v>6854</v>
      </c>
      <c r="CSU2" t="s">
        <v>6855</v>
      </c>
      <c r="CSV2" t="s">
        <v>6856</v>
      </c>
      <c r="CSW2" t="s">
        <v>6857</v>
      </c>
      <c r="CSX2" t="s">
        <v>6858</v>
      </c>
      <c r="CSY2" t="s">
        <v>6859</v>
      </c>
      <c r="CSZ2" t="s">
        <v>6860</v>
      </c>
      <c r="CTA2" t="s">
        <v>6861</v>
      </c>
      <c r="CTB2" t="s">
        <v>6862</v>
      </c>
      <c r="CTC2" t="s">
        <v>6863</v>
      </c>
      <c r="CTD2" t="s">
        <v>6864</v>
      </c>
      <c r="CTE2" t="s">
        <v>6865</v>
      </c>
      <c r="CTF2" t="s">
        <v>6866</v>
      </c>
      <c r="CTG2" t="s">
        <v>6867</v>
      </c>
      <c r="CTH2" t="s">
        <v>6868</v>
      </c>
      <c r="CTI2" t="s">
        <v>6869</v>
      </c>
      <c r="CTJ2" t="s">
        <v>6870</v>
      </c>
      <c r="CTK2" t="s">
        <v>6871</v>
      </c>
      <c r="CTL2" t="s">
        <v>6872</v>
      </c>
      <c r="CTM2" t="s">
        <v>6873</v>
      </c>
      <c r="CTN2" t="s">
        <v>6874</v>
      </c>
      <c r="CTO2" t="s">
        <v>6875</v>
      </c>
      <c r="CTP2" t="s">
        <v>6876</v>
      </c>
      <c r="CTQ2" t="s">
        <v>6877</v>
      </c>
      <c r="CTR2" t="s">
        <v>6878</v>
      </c>
      <c r="CTS2" t="s">
        <v>6879</v>
      </c>
      <c r="CTT2" t="s">
        <v>6880</v>
      </c>
      <c r="CTU2" t="s">
        <v>6881</v>
      </c>
      <c r="CTV2" t="s">
        <v>6882</v>
      </c>
      <c r="CTW2" t="s">
        <v>6883</v>
      </c>
      <c r="CTX2" t="s">
        <v>6884</v>
      </c>
      <c r="CTY2" t="s">
        <v>6885</v>
      </c>
      <c r="CTZ2" t="s">
        <v>6886</v>
      </c>
      <c r="CUA2" t="s">
        <v>6887</v>
      </c>
      <c r="CUB2" t="s">
        <v>6888</v>
      </c>
      <c r="CUC2" t="s">
        <v>6889</v>
      </c>
      <c r="CUD2" t="s">
        <v>6890</v>
      </c>
      <c r="CUE2" t="s">
        <v>6891</v>
      </c>
      <c r="CUF2" t="s">
        <v>6892</v>
      </c>
      <c r="CUG2" t="s">
        <v>6893</v>
      </c>
      <c r="CUH2" t="s">
        <v>6894</v>
      </c>
      <c r="CUI2" t="s">
        <v>6895</v>
      </c>
      <c r="CUJ2" t="s">
        <v>6896</v>
      </c>
      <c r="CUK2" t="s">
        <v>6897</v>
      </c>
      <c r="CUL2" t="s">
        <v>6898</v>
      </c>
      <c r="CUM2" t="s">
        <v>6899</v>
      </c>
      <c r="CUN2" t="s">
        <v>6900</v>
      </c>
      <c r="CUO2" t="s">
        <v>6901</v>
      </c>
      <c r="CUP2" t="s">
        <v>6902</v>
      </c>
      <c r="CUQ2" t="s">
        <v>6903</v>
      </c>
      <c r="CUR2" t="s">
        <v>6904</v>
      </c>
      <c r="CUS2" t="s">
        <v>6905</v>
      </c>
      <c r="CUT2" t="s">
        <v>6906</v>
      </c>
      <c r="CUU2" t="s">
        <v>6907</v>
      </c>
      <c r="CUV2" t="s">
        <v>6908</v>
      </c>
      <c r="CUW2" t="s">
        <v>6909</v>
      </c>
      <c r="CUX2" t="s">
        <v>6910</v>
      </c>
      <c r="CUY2" t="s">
        <v>6911</v>
      </c>
      <c r="CUZ2" t="s">
        <v>6912</v>
      </c>
      <c r="CVA2" t="s">
        <v>6913</v>
      </c>
      <c r="CVB2" t="s">
        <v>6914</v>
      </c>
      <c r="CVC2" t="s">
        <v>6915</v>
      </c>
      <c r="CVD2" t="s">
        <v>6916</v>
      </c>
      <c r="CVE2" t="s">
        <v>6917</v>
      </c>
      <c r="CVF2" t="s">
        <v>6918</v>
      </c>
      <c r="CVG2" t="s">
        <v>6919</v>
      </c>
      <c r="CVH2" t="s">
        <v>6920</v>
      </c>
      <c r="CVI2" t="s">
        <v>6921</v>
      </c>
      <c r="CVJ2" t="s">
        <v>6922</v>
      </c>
      <c r="CVK2" t="s">
        <v>6923</v>
      </c>
      <c r="CVL2" t="s">
        <v>6924</v>
      </c>
      <c r="CVM2" t="s">
        <v>6925</v>
      </c>
      <c r="CVN2" t="s">
        <v>6926</v>
      </c>
      <c r="CVO2" t="s">
        <v>6927</v>
      </c>
      <c r="CVP2" t="s">
        <v>6928</v>
      </c>
      <c r="CVQ2" t="s">
        <v>6929</v>
      </c>
      <c r="CVR2" t="s">
        <v>6930</v>
      </c>
      <c r="CVS2" t="s">
        <v>6931</v>
      </c>
      <c r="CVT2" t="s">
        <v>6932</v>
      </c>
      <c r="CVU2" t="s">
        <v>6933</v>
      </c>
      <c r="CVV2" t="s">
        <v>6934</v>
      </c>
      <c r="CVW2" t="s">
        <v>6935</v>
      </c>
      <c r="CVX2" t="s">
        <v>6936</v>
      </c>
      <c r="CVY2" t="s">
        <v>6937</v>
      </c>
      <c r="CVZ2" t="s">
        <v>6938</v>
      </c>
      <c r="CWA2" t="s">
        <v>6939</v>
      </c>
      <c r="CWB2" t="s">
        <v>6940</v>
      </c>
      <c r="CWC2" t="s">
        <v>6941</v>
      </c>
      <c r="CWD2" t="s">
        <v>6942</v>
      </c>
      <c r="CWE2" t="s">
        <v>6943</v>
      </c>
      <c r="CWF2" t="s">
        <v>6944</v>
      </c>
      <c r="CWG2" t="s">
        <v>6945</v>
      </c>
      <c r="CWH2" t="s">
        <v>6946</v>
      </c>
      <c r="CWI2" t="s">
        <v>6947</v>
      </c>
      <c r="CWJ2" t="s">
        <v>6948</v>
      </c>
      <c r="CWK2" t="s">
        <v>6949</v>
      </c>
      <c r="CWL2" t="s">
        <v>6950</v>
      </c>
      <c r="CWM2" t="s">
        <v>6951</v>
      </c>
      <c r="CWN2" t="s">
        <v>6952</v>
      </c>
      <c r="CWO2" t="s">
        <v>6953</v>
      </c>
      <c r="CWP2" t="s">
        <v>6954</v>
      </c>
      <c r="CWQ2" t="s">
        <v>6955</v>
      </c>
      <c r="CWR2" t="s">
        <v>6956</v>
      </c>
      <c r="CWS2" t="s">
        <v>6957</v>
      </c>
      <c r="CWT2" t="s">
        <v>6958</v>
      </c>
      <c r="CWU2" t="s">
        <v>6959</v>
      </c>
      <c r="CWV2" t="s">
        <v>6960</v>
      </c>
      <c r="CWW2" t="s">
        <v>6961</v>
      </c>
      <c r="CWX2" t="s">
        <v>6962</v>
      </c>
      <c r="CWY2" t="s">
        <v>6963</v>
      </c>
      <c r="CWZ2" t="s">
        <v>6964</v>
      </c>
      <c r="CXA2" t="s">
        <v>6965</v>
      </c>
      <c r="CXB2" t="s">
        <v>6966</v>
      </c>
      <c r="CXC2" t="s">
        <v>6967</v>
      </c>
      <c r="CXD2" t="s">
        <v>6968</v>
      </c>
      <c r="CXE2" t="s">
        <v>6969</v>
      </c>
      <c r="CXF2" t="s">
        <v>6970</v>
      </c>
      <c r="CXG2" t="s">
        <v>6971</v>
      </c>
      <c r="CXH2" t="s">
        <v>6972</v>
      </c>
      <c r="CXI2" t="s">
        <v>6973</v>
      </c>
      <c r="CXJ2" t="s">
        <v>6974</v>
      </c>
      <c r="CXK2" t="s">
        <v>6975</v>
      </c>
      <c r="CXL2" t="s">
        <v>6976</v>
      </c>
      <c r="CXM2" t="s">
        <v>6977</v>
      </c>
      <c r="CXN2" t="s">
        <v>6978</v>
      </c>
      <c r="CXO2" t="s">
        <v>6979</v>
      </c>
      <c r="CXP2" t="s">
        <v>6980</v>
      </c>
      <c r="CXQ2" t="s">
        <v>6981</v>
      </c>
      <c r="CXR2" t="s">
        <v>6982</v>
      </c>
      <c r="CXS2" t="s">
        <v>6983</v>
      </c>
      <c r="CXT2" t="s">
        <v>6984</v>
      </c>
      <c r="CXU2" t="s">
        <v>6985</v>
      </c>
      <c r="CXV2" t="s">
        <v>6986</v>
      </c>
      <c r="CXW2" t="s">
        <v>6987</v>
      </c>
      <c r="CXX2" t="s">
        <v>6988</v>
      </c>
      <c r="CXY2" t="s">
        <v>6989</v>
      </c>
      <c r="CXZ2" t="s">
        <v>6990</v>
      </c>
      <c r="CYA2" t="s">
        <v>6991</v>
      </c>
      <c r="CYB2" t="s">
        <v>6992</v>
      </c>
      <c r="CYC2" t="s">
        <v>6993</v>
      </c>
      <c r="CYD2" t="s">
        <v>6994</v>
      </c>
      <c r="CYE2" t="s">
        <v>6995</v>
      </c>
      <c r="CYF2" t="s">
        <v>6996</v>
      </c>
      <c r="CYG2" t="s">
        <v>6997</v>
      </c>
      <c r="CYH2" t="s">
        <v>6998</v>
      </c>
      <c r="CYI2" t="s">
        <v>6999</v>
      </c>
      <c r="CYJ2" t="s">
        <v>7000</v>
      </c>
      <c r="CYK2" t="s">
        <v>7001</v>
      </c>
      <c r="CYL2" t="s">
        <v>7002</v>
      </c>
      <c r="CYM2" t="s">
        <v>7003</v>
      </c>
      <c r="CYN2" t="s">
        <v>7004</v>
      </c>
      <c r="CYO2" t="s">
        <v>7005</v>
      </c>
      <c r="CYP2" t="s">
        <v>7006</v>
      </c>
      <c r="CYQ2" t="s">
        <v>7007</v>
      </c>
      <c r="CYR2" t="s">
        <v>7008</v>
      </c>
      <c r="CYS2" t="s">
        <v>7009</v>
      </c>
      <c r="CYT2" t="s">
        <v>7010</v>
      </c>
      <c r="CYU2" t="s">
        <v>7011</v>
      </c>
      <c r="CYV2" t="s">
        <v>7012</v>
      </c>
      <c r="CYW2" t="s">
        <v>7013</v>
      </c>
      <c r="CYX2" t="s">
        <v>7014</v>
      </c>
      <c r="CYY2" t="s">
        <v>7015</v>
      </c>
      <c r="CYZ2" t="s">
        <v>7016</v>
      </c>
      <c r="CZA2" t="s">
        <v>7017</v>
      </c>
      <c r="CZB2" t="s">
        <v>7018</v>
      </c>
      <c r="CZC2" t="s">
        <v>7019</v>
      </c>
      <c r="CZD2" t="s">
        <v>7020</v>
      </c>
      <c r="CZE2" t="s">
        <v>7021</v>
      </c>
      <c r="CZF2" t="s">
        <v>7022</v>
      </c>
      <c r="CZG2" t="s">
        <v>7023</v>
      </c>
      <c r="CZH2" t="s">
        <v>7024</v>
      </c>
      <c r="CZI2" t="s">
        <v>7025</v>
      </c>
      <c r="CZJ2" t="s">
        <v>7026</v>
      </c>
      <c r="CZK2" t="s">
        <v>7027</v>
      </c>
      <c r="CZL2" t="s">
        <v>7028</v>
      </c>
      <c r="CZM2" t="s">
        <v>7029</v>
      </c>
      <c r="CZN2" t="s">
        <v>7030</v>
      </c>
      <c r="CZO2" t="s">
        <v>7031</v>
      </c>
      <c r="CZP2" t="s">
        <v>7032</v>
      </c>
      <c r="CZQ2" t="s">
        <v>7033</v>
      </c>
      <c r="CZR2" t="s">
        <v>7034</v>
      </c>
      <c r="CZS2" t="s">
        <v>7035</v>
      </c>
      <c r="CZT2" t="s">
        <v>7036</v>
      </c>
      <c r="CZU2" t="s">
        <v>7037</v>
      </c>
      <c r="CZV2" t="s">
        <v>7038</v>
      </c>
      <c r="CZW2" t="s">
        <v>7039</v>
      </c>
      <c r="CZX2" t="s">
        <v>7040</v>
      </c>
      <c r="CZY2" t="s">
        <v>7041</v>
      </c>
      <c r="CZZ2" t="s">
        <v>7042</v>
      </c>
      <c r="DAA2" t="s">
        <v>7043</v>
      </c>
      <c r="DAB2" t="s">
        <v>7044</v>
      </c>
      <c r="DAC2" t="s">
        <v>7045</v>
      </c>
      <c r="DAD2" t="s">
        <v>7046</v>
      </c>
      <c r="DAE2" t="s">
        <v>7047</v>
      </c>
      <c r="DAF2" t="s">
        <v>7048</v>
      </c>
      <c r="DAG2" t="s">
        <v>7049</v>
      </c>
      <c r="DAH2" t="s">
        <v>7050</v>
      </c>
      <c r="DAI2" t="s">
        <v>7051</v>
      </c>
      <c r="DAJ2" t="s">
        <v>7052</v>
      </c>
      <c r="DAK2" t="s">
        <v>7053</v>
      </c>
      <c r="DAL2" t="s">
        <v>7054</v>
      </c>
      <c r="DAM2" t="s">
        <v>7055</v>
      </c>
      <c r="DAN2" t="s">
        <v>7056</v>
      </c>
      <c r="DAO2" t="s">
        <v>7057</v>
      </c>
      <c r="DAP2" t="s">
        <v>7058</v>
      </c>
      <c r="DAQ2" t="s">
        <v>7059</v>
      </c>
      <c r="DAR2" t="s">
        <v>7060</v>
      </c>
      <c r="DAS2" t="s">
        <v>7061</v>
      </c>
      <c r="DAT2" t="s">
        <v>7062</v>
      </c>
      <c r="DAU2" t="s">
        <v>7063</v>
      </c>
      <c r="DAV2" t="s">
        <v>7064</v>
      </c>
      <c r="DAW2" t="s">
        <v>7065</v>
      </c>
      <c r="DAX2" t="s">
        <v>7066</v>
      </c>
      <c r="DAY2" t="s">
        <v>7067</v>
      </c>
      <c r="DAZ2" t="s">
        <v>7068</v>
      </c>
      <c r="DBA2" t="s">
        <v>7069</v>
      </c>
      <c r="DBB2" t="s">
        <v>7070</v>
      </c>
      <c r="DBC2" t="s">
        <v>7071</v>
      </c>
      <c r="DBD2" t="s">
        <v>7072</v>
      </c>
      <c r="DBE2" t="s">
        <v>7073</v>
      </c>
      <c r="DBF2" t="s">
        <v>7074</v>
      </c>
      <c r="DBG2" t="s">
        <v>7075</v>
      </c>
      <c r="DBH2" t="s">
        <v>7076</v>
      </c>
      <c r="DBI2" t="s">
        <v>7077</v>
      </c>
      <c r="DBJ2" t="s">
        <v>7078</v>
      </c>
      <c r="DBK2" t="s">
        <v>7079</v>
      </c>
      <c r="DBL2" t="s">
        <v>7080</v>
      </c>
      <c r="DBM2" t="s">
        <v>7081</v>
      </c>
      <c r="DBN2" t="s">
        <v>7082</v>
      </c>
      <c r="DBO2" t="s">
        <v>7083</v>
      </c>
      <c r="DBP2" t="s">
        <v>7084</v>
      </c>
      <c r="DBQ2" t="s">
        <v>7085</v>
      </c>
      <c r="DBR2" t="s">
        <v>7086</v>
      </c>
      <c r="DBS2" t="s">
        <v>7087</v>
      </c>
      <c r="DBT2" t="s">
        <v>7088</v>
      </c>
      <c r="DBU2" t="s">
        <v>7089</v>
      </c>
      <c r="DBV2" t="s">
        <v>7090</v>
      </c>
      <c r="DBW2" t="s">
        <v>7091</v>
      </c>
      <c r="DBX2" t="s">
        <v>7092</v>
      </c>
      <c r="DBY2" t="s">
        <v>7093</v>
      </c>
      <c r="DBZ2" t="s">
        <v>7094</v>
      </c>
      <c r="DCA2" t="s">
        <v>7095</v>
      </c>
      <c r="DCB2" t="s">
        <v>7096</v>
      </c>
      <c r="DCC2" t="s">
        <v>7097</v>
      </c>
      <c r="DCD2" t="s">
        <v>7098</v>
      </c>
      <c r="DCE2" t="s">
        <v>7099</v>
      </c>
      <c r="DCF2" t="s">
        <v>7100</v>
      </c>
      <c r="DCG2" t="s">
        <v>7101</v>
      </c>
      <c r="DCH2" t="s">
        <v>7102</v>
      </c>
      <c r="DCI2" t="s">
        <v>7103</v>
      </c>
      <c r="DCJ2" t="s">
        <v>7104</v>
      </c>
      <c r="DCK2" t="s">
        <v>7105</v>
      </c>
      <c r="DCL2" t="s">
        <v>7106</v>
      </c>
      <c r="DCM2" t="s">
        <v>7107</v>
      </c>
      <c r="DCN2" t="s">
        <v>7108</v>
      </c>
      <c r="DCO2" t="s">
        <v>7109</v>
      </c>
      <c r="DCP2" t="s">
        <v>7110</v>
      </c>
      <c r="DCQ2" t="s">
        <v>7111</v>
      </c>
      <c r="DCR2" t="s">
        <v>7112</v>
      </c>
      <c r="DCS2" t="s">
        <v>7113</v>
      </c>
      <c r="DCT2" t="s">
        <v>7114</v>
      </c>
      <c r="DCU2" t="s">
        <v>7115</v>
      </c>
      <c r="DCV2" t="s">
        <v>7116</v>
      </c>
      <c r="DCW2" t="s">
        <v>7117</v>
      </c>
      <c r="DCX2" t="s">
        <v>7118</v>
      </c>
      <c r="DCY2" t="s">
        <v>7119</v>
      </c>
      <c r="DCZ2" t="s">
        <v>7120</v>
      </c>
      <c r="DDA2" t="s">
        <v>7121</v>
      </c>
      <c r="DDB2" t="s">
        <v>7122</v>
      </c>
      <c r="DDC2" t="s">
        <v>7123</v>
      </c>
      <c r="DDD2" t="s">
        <v>7124</v>
      </c>
      <c r="DDE2" t="s">
        <v>7125</v>
      </c>
      <c r="DDF2" t="s">
        <v>7126</v>
      </c>
      <c r="DDG2" t="s">
        <v>7127</v>
      </c>
      <c r="DDH2" t="s">
        <v>7128</v>
      </c>
      <c r="DDI2" t="s">
        <v>7129</v>
      </c>
      <c r="DDJ2" t="s">
        <v>7130</v>
      </c>
      <c r="DDK2" t="s">
        <v>7131</v>
      </c>
      <c r="DDL2" t="s">
        <v>7132</v>
      </c>
      <c r="DDM2" t="s">
        <v>7133</v>
      </c>
      <c r="DDN2" t="s">
        <v>7134</v>
      </c>
      <c r="DDO2" t="s">
        <v>7135</v>
      </c>
      <c r="DDP2" t="s">
        <v>7136</v>
      </c>
      <c r="DDQ2" t="s">
        <v>7137</v>
      </c>
      <c r="DDR2" t="s">
        <v>7138</v>
      </c>
      <c r="DDS2" t="s">
        <v>7139</v>
      </c>
      <c r="DDT2" t="s">
        <v>7140</v>
      </c>
      <c r="DDU2" t="s">
        <v>7141</v>
      </c>
      <c r="DDV2" t="s">
        <v>7142</v>
      </c>
      <c r="DDW2" t="s">
        <v>7143</v>
      </c>
      <c r="DDX2" t="s">
        <v>7144</v>
      </c>
      <c r="DDY2" t="s">
        <v>7145</v>
      </c>
      <c r="DDZ2" t="s">
        <v>7146</v>
      </c>
      <c r="DEA2" t="s">
        <v>7147</v>
      </c>
      <c r="DEB2" t="s">
        <v>7148</v>
      </c>
      <c r="DEC2" t="s">
        <v>7149</v>
      </c>
      <c r="DED2" t="s">
        <v>7150</v>
      </c>
      <c r="DEE2" t="s">
        <v>7151</v>
      </c>
      <c r="DEF2" t="s">
        <v>7152</v>
      </c>
      <c r="DEG2" t="s">
        <v>7153</v>
      </c>
      <c r="DEH2" t="s">
        <v>7154</v>
      </c>
      <c r="DEI2" t="s">
        <v>7155</v>
      </c>
      <c r="DEJ2" t="s">
        <v>7156</v>
      </c>
      <c r="DEK2" t="s">
        <v>7157</v>
      </c>
      <c r="DEL2" t="s">
        <v>7158</v>
      </c>
      <c r="DEM2" t="s">
        <v>7159</v>
      </c>
      <c r="DEN2" t="s">
        <v>7160</v>
      </c>
      <c r="DEO2" t="s">
        <v>7161</v>
      </c>
      <c r="DEP2" t="s">
        <v>7162</v>
      </c>
      <c r="DEQ2" t="s">
        <v>7163</v>
      </c>
      <c r="DER2" t="s">
        <v>7164</v>
      </c>
      <c r="DES2" t="s">
        <v>7165</v>
      </c>
      <c r="DET2" t="s">
        <v>7166</v>
      </c>
      <c r="DEU2" t="s">
        <v>7167</v>
      </c>
      <c r="DEV2" t="s">
        <v>7168</v>
      </c>
      <c r="DEW2" t="s">
        <v>7169</v>
      </c>
      <c r="DEX2" t="s">
        <v>7170</v>
      </c>
      <c r="DEY2" t="s">
        <v>7171</v>
      </c>
      <c r="DEZ2" t="s">
        <v>7172</v>
      </c>
      <c r="DFA2" t="s">
        <v>7173</v>
      </c>
      <c r="DFB2" t="s">
        <v>7174</v>
      </c>
      <c r="DFC2" t="s">
        <v>7175</v>
      </c>
      <c r="DFD2" t="s">
        <v>7176</v>
      </c>
      <c r="DFE2" t="s">
        <v>7177</v>
      </c>
      <c r="DFF2" t="s">
        <v>7178</v>
      </c>
      <c r="DFG2" t="s">
        <v>7179</v>
      </c>
      <c r="DFH2" t="s">
        <v>7180</v>
      </c>
      <c r="DFI2" t="s">
        <v>7181</v>
      </c>
      <c r="DFJ2" t="s">
        <v>7182</v>
      </c>
      <c r="DFK2" t="s">
        <v>7183</v>
      </c>
      <c r="DFL2" t="s">
        <v>7184</v>
      </c>
      <c r="DFM2" t="s">
        <v>7185</v>
      </c>
      <c r="DFN2" t="s">
        <v>7186</v>
      </c>
      <c r="DFO2" t="s">
        <v>7187</v>
      </c>
      <c r="DFP2" t="s">
        <v>7188</v>
      </c>
      <c r="DFQ2" t="s">
        <v>7189</v>
      </c>
      <c r="DFR2" t="s">
        <v>7190</v>
      </c>
      <c r="DFS2" t="s">
        <v>7191</v>
      </c>
      <c r="DFT2" t="s">
        <v>7192</v>
      </c>
      <c r="DFU2" t="s">
        <v>7193</v>
      </c>
      <c r="DFV2" t="s">
        <v>7194</v>
      </c>
      <c r="DFW2" t="s">
        <v>7195</v>
      </c>
      <c r="DFX2" t="s">
        <v>7196</v>
      </c>
      <c r="DFY2" t="s">
        <v>7197</v>
      </c>
      <c r="DFZ2" t="s">
        <v>7198</v>
      </c>
      <c r="DGA2" t="s">
        <v>7199</v>
      </c>
      <c r="DGB2" t="s">
        <v>7200</v>
      </c>
      <c r="DGC2" t="s">
        <v>7201</v>
      </c>
      <c r="DGD2" t="s">
        <v>7202</v>
      </c>
      <c r="DGE2" t="s">
        <v>7203</v>
      </c>
      <c r="DGF2" t="s">
        <v>7204</v>
      </c>
      <c r="DGG2" t="s">
        <v>7205</v>
      </c>
      <c r="DGH2" t="s">
        <v>7206</v>
      </c>
      <c r="DGI2" t="s">
        <v>7207</v>
      </c>
      <c r="DGJ2" t="s">
        <v>7208</v>
      </c>
      <c r="DGK2" t="s">
        <v>7209</v>
      </c>
      <c r="DGL2" t="s">
        <v>7210</v>
      </c>
      <c r="DGM2" t="s">
        <v>7211</v>
      </c>
      <c r="DGN2" t="s">
        <v>7212</v>
      </c>
      <c r="DGO2" t="s">
        <v>7213</v>
      </c>
      <c r="DGP2" t="s">
        <v>7214</v>
      </c>
      <c r="DGQ2" t="s">
        <v>7215</v>
      </c>
      <c r="DGR2" t="s">
        <v>7216</v>
      </c>
      <c r="DGS2" t="s">
        <v>7217</v>
      </c>
      <c r="DGT2" t="s">
        <v>7218</v>
      </c>
      <c r="DGU2" t="s">
        <v>7219</v>
      </c>
      <c r="DGV2" t="s">
        <v>7220</v>
      </c>
      <c r="DGW2" t="s">
        <v>7221</v>
      </c>
      <c r="DGX2" t="s">
        <v>7222</v>
      </c>
      <c r="DGY2" t="s">
        <v>7223</v>
      </c>
      <c r="DGZ2" t="s">
        <v>7224</v>
      </c>
      <c r="DHA2" t="s">
        <v>7225</v>
      </c>
      <c r="DHB2" t="s">
        <v>7226</v>
      </c>
      <c r="DHC2" t="s">
        <v>7227</v>
      </c>
      <c r="DHD2" t="s">
        <v>7228</v>
      </c>
      <c r="DHE2" t="s">
        <v>7229</v>
      </c>
      <c r="DHF2" t="s">
        <v>7230</v>
      </c>
      <c r="DHG2" t="s">
        <v>7231</v>
      </c>
      <c r="DHH2" t="s">
        <v>7232</v>
      </c>
      <c r="DHI2" t="s">
        <v>7233</v>
      </c>
      <c r="DHJ2" t="s">
        <v>7234</v>
      </c>
      <c r="DHK2" t="s">
        <v>7235</v>
      </c>
      <c r="DHL2" t="s">
        <v>7236</v>
      </c>
      <c r="DHM2" t="s">
        <v>7237</v>
      </c>
      <c r="DHN2" t="s">
        <v>7238</v>
      </c>
      <c r="DHO2" t="s">
        <v>7239</v>
      </c>
      <c r="DHP2" t="s">
        <v>7240</v>
      </c>
      <c r="DHQ2" t="s">
        <v>7241</v>
      </c>
      <c r="DHR2" t="s">
        <v>7242</v>
      </c>
      <c r="DHS2" t="s">
        <v>7243</v>
      </c>
      <c r="DHT2" t="s">
        <v>7244</v>
      </c>
      <c r="DHU2" t="s">
        <v>7245</v>
      </c>
      <c r="DHV2" t="s">
        <v>7246</v>
      </c>
      <c r="DHW2" t="s">
        <v>7247</v>
      </c>
      <c r="DHX2" t="s">
        <v>7248</v>
      </c>
      <c r="DHY2" t="s">
        <v>7249</v>
      </c>
      <c r="DHZ2" t="s">
        <v>7250</v>
      </c>
      <c r="DIA2" t="s">
        <v>7251</v>
      </c>
      <c r="DIB2" t="s">
        <v>7252</v>
      </c>
      <c r="DIC2" t="s">
        <v>7253</v>
      </c>
      <c r="DID2" t="s">
        <v>7254</v>
      </c>
      <c r="DIE2" t="s">
        <v>7255</v>
      </c>
      <c r="DIF2" t="s">
        <v>7256</v>
      </c>
      <c r="DIG2" t="s">
        <v>7257</v>
      </c>
      <c r="DIH2" t="s">
        <v>7258</v>
      </c>
      <c r="DII2" t="s">
        <v>7259</v>
      </c>
      <c r="DIJ2" t="s">
        <v>7260</v>
      </c>
      <c r="DIK2" t="s">
        <v>7261</v>
      </c>
      <c r="DIL2" t="s">
        <v>7262</v>
      </c>
      <c r="DIM2" t="s">
        <v>7263</v>
      </c>
      <c r="DIN2" t="s">
        <v>7264</v>
      </c>
      <c r="DIO2" t="s">
        <v>7265</v>
      </c>
      <c r="DIP2" t="s">
        <v>7266</v>
      </c>
      <c r="DIQ2" t="s">
        <v>7267</v>
      </c>
      <c r="DIR2" t="s">
        <v>7268</v>
      </c>
      <c r="DIS2" t="s">
        <v>7269</v>
      </c>
      <c r="DIT2" t="s">
        <v>7270</v>
      </c>
      <c r="DIU2" t="s">
        <v>7271</v>
      </c>
      <c r="DIV2" t="s">
        <v>7272</v>
      </c>
      <c r="DIW2" t="s">
        <v>7273</v>
      </c>
      <c r="DIX2" t="s">
        <v>7274</v>
      </c>
      <c r="DIY2" t="s">
        <v>7275</v>
      </c>
      <c r="DIZ2" t="s">
        <v>7276</v>
      </c>
      <c r="DJA2" t="s">
        <v>7277</v>
      </c>
      <c r="DJB2" t="s">
        <v>7278</v>
      </c>
      <c r="DJC2" t="s">
        <v>7279</v>
      </c>
      <c r="DJD2" t="s">
        <v>7280</v>
      </c>
      <c r="DJE2" t="s">
        <v>7281</v>
      </c>
      <c r="DJF2" t="s">
        <v>7282</v>
      </c>
      <c r="DJG2" t="s">
        <v>7283</v>
      </c>
      <c r="DJH2" t="s">
        <v>7284</v>
      </c>
      <c r="DJI2" t="s">
        <v>7285</v>
      </c>
      <c r="DJJ2" t="s">
        <v>7286</v>
      </c>
      <c r="DJK2" t="s">
        <v>7287</v>
      </c>
      <c r="DJL2" t="s">
        <v>7288</v>
      </c>
      <c r="DJM2" t="s">
        <v>7289</v>
      </c>
      <c r="DJN2" t="s">
        <v>7290</v>
      </c>
      <c r="DJO2" t="s">
        <v>7291</v>
      </c>
      <c r="DJP2" t="s">
        <v>7292</v>
      </c>
      <c r="DJQ2" t="s">
        <v>7293</v>
      </c>
      <c r="DJR2" t="s">
        <v>7294</v>
      </c>
      <c r="DJS2" t="s">
        <v>7295</v>
      </c>
      <c r="DJT2" t="s">
        <v>7296</v>
      </c>
      <c r="DJU2" t="s">
        <v>7297</v>
      </c>
      <c r="DJV2" t="s">
        <v>7298</v>
      </c>
      <c r="DJW2" t="s">
        <v>7299</v>
      </c>
      <c r="DJX2" t="s">
        <v>7300</v>
      </c>
      <c r="DJY2" t="s">
        <v>7301</v>
      </c>
      <c r="DJZ2" t="s">
        <v>7302</v>
      </c>
      <c r="DKA2" t="s">
        <v>7303</v>
      </c>
      <c r="DKB2" t="s">
        <v>7304</v>
      </c>
      <c r="DKC2" t="s">
        <v>7305</v>
      </c>
      <c r="DKD2" t="s">
        <v>7306</v>
      </c>
      <c r="DKE2" t="s">
        <v>7307</v>
      </c>
      <c r="DKF2" t="s">
        <v>7308</v>
      </c>
      <c r="DKG2" t="s">
        <v>7309</v>
      </c>
      <c r="DKH2" t="s">
        <v>7310</v>
      </c>
      <c r="DKI2" t="s">
        <v>7311</v>
      </c>
      <c r="DKJ2" t="s">
        <v>7312</v>
      </c>
      <c r="DKK2" t="s">
        <v>7313</v>
      </c>
      <c r="DKL2" t="s">
        <v>7314</v>
      </c>
      <c r="DKM2" t="s">
        <v>7315</v>
      </c>
      <c r="DKN2" t="s">
        <v>7316</v>
      </c>
      <c r="DKO2" t="s">
        <v>7317</v>
      </c>
      <c r="DKP2" t="s">
        <v>7318</v>
      </c>
      <c r="DKQ2" t="s">
        <v>7319</v>
      </c>
      <c r="DKR2" t="s">
        <v>7320</v>
      </c>
      <c r="DKS2" t="s">
        <v>7321</v>
      </c>
      <c r="DKT2" t="s">
        <v>7322</v>
      </c>
      <c r="DKU2" t="s">
        <v>7323</v>
      </c>
      <c r="DKV2" t="s">
        <v>7324</v>
      </c>
      <c r="DKW2" t="s">
        <v>7325</v>
      </c>
      <c r="DKX2" t="s">
        <v>7326</v>
      </c>
      <c r="DKY2" t="s">
        <v>7327</v>
      </c>
      <c r="DKZ2" t="s">
        <v>7328</v>
      </c>
      <c r="DLA2" t="s">
        <v>7329</v>
      </c>
      <c r="DLB2" t="s">
        <v>7330</v>
      </c>
      <c r="DLC2" t="s">
        <v>7331</v>
      </c>
      <c r="DLD2" t="s">
        <v>7332</v>
      </c>
      <c r="DLE2" t="s">
        <v>7333</v>
      </c>
      <c r="DLF2" t="s">
        <v>7334</v>
      </c>
      <c r="DLG2" t="s">
        <v>7335</v>
      </c>
      <c r="DLH2" t="s">
        <v>7336</v>
      </c>
      <c r="DLI2" t="s">
        <v>7337</v>
      </c>
      <c r="DLJ2" t="s">
        <v>7338</v>
      </c>
      <c r="DLK2" t="s">
        <v>7339</v>
      </c>
      <c r="DLL2" t="s">
        <v>7340</v>
      </c>
      <c r="DLM2" t="s">
        <v>7341</v>
      </c>
      <c r="DLN2" t="s">
        <v>7342</v>
      </c>
      <c r="DLO2" t="s">
        <v>7343</v>
      </c>
      <c r="DLP2" t="s">
        <v>7344</v>
      </c>
      <c r="DLQ2" t="s">
        <v>7345</v>
      </c>
      <c r="DLR2" t="s">
        <v>7346</v>
      </c>
      <c r="DLS2" t="s">
        <v>7347</v>
      </c>
      <c r="DLT2" t="s">
        <v>7348</v>
      </c>
      <c r="DLU2" t="s">
        <v>7349</v>
      </c>
      <c r="DLV2" t="s">
        <v>7350</v>
      </c>
      <c r="DLW2" t="s">
        <v>7351</v>
      </c>
      <c r="DLX2" t="s">
        <v>7352</v>
      </c>
      <c r="DLY2" t="s">
        <v>7353</v>
      </c>
      <c r="DLZ2" t="s">
        <v>7354</v>
      </c>
      <c r="DMA2" t="s">
        <v>7355</v>
      </c>
      <c r="DMB2" t="s">
        <v>7356</v>
      </c>
      <c r="DMC2" t="s">
        <v>7357</v>
      </c>
      <c r="DMD2" t="s">
        <v>7358</v>
      </c>
      <c r="DME2" t="s">
        <v>7359</v>
      </c>
      <c r="DMF2" t="s">
        <v>7360</v>
      </c>
      <c r="DMG2" t="s">
        <v>7361</v>
      </c>
      <c r="DMH2" t="s">
        <v>7362</v>
      </c>
      <c r="DMI2" t="s">
        <v>7363</v>
      </c>
      <c r="DMJ2" t="s">
        <v>7364</v>
      </c>
      <c r="DMK2" t="s">
        <v>7365</v>
      </c>
      <c r="DML2" t="s">
        <v>7366</v>
      </c>
      <c r="DMM2" t="s">
        <v>7367</v>
      </c>
      <c r="DMN2" t="s">
        <v>7368</v>
      </c>
      <c r="DMO2" t="s">
        <v>7369</v>
      </c>
      <c r="DMP2" t="s">
        <v>7370</v>
      </c>
      <c r="DMQ2" t="s">
        <v>7371</v>
      </c>
      <c r="DMR2" t="s">
        <v>7372</v>
      </c>
      <c r="DMS2" t="s">
        <v>7373</v>
      </c>
      <c r="DMT2" t="s">
        <v>7374</v>
      </c>
      <c r="DMU2" t="s">
        <v>7375</v>
      </c>
      <c r="DMV2" t="s">
        <v>7376</v>
      </c>
      <c r="DMW2" t="s">
        <v>7377</v>
      </c>
      <c r="DMX2" t="s">
        <v>7378</v>
      </c>
      <c r="DMY2" t="s">
        <v>7379</v>
      </c>
      <c r="DMZ2" t="s">
        <v>7380</v>
      </c>
      <c r="DNA2" t="s">
        <v>7381</v>
      </c>
      <c r="DNB2" t="s">
        <v>7382</v>
      </c>
      <c r="DNC2" t="s">
        <v>7383</v>
      </c>
      <c r="DND2" t="s">
        <v>7384</v>
      </c>
      <c r="DNE2" t="s">
        <v>7385</v>
      </c>
      <c r="DNF2" t="s">
        <v>7386</v>
      </c>
      <c r="DNG2" t="s">
        <v>7387</v>
      </c>
      <c r="DNH2" t="s">
        <v>7388</v>
      </c>
      <c r="DNI2" t="s">
        <v>7389</v>
      </c>
      <c r="DNJ2" t="s">
        <v>7390</v>
      </c>
      <c r="DNK2" t="s">
        <v>7391</v>
      </c>
      <c r="DNL2" t="s">
        <v>7392</v>
      </c>
      <c r="DNM2" t="s">
        <v>7393</v>
      </c>
      <c r="DNN2" t="s">
        <v>7394</v>
      </c>
      <c r="DNO2" t="s">
        <v>7395</v>
      </c>
      <c r="DNP2" t="s">
        <v>7396</v>
      </c>
      <c r="DNQ2" t="s">
        <v>7397</v>
      </c>
      <c r="DNR2" t="s">
        <v>7398</v>
      </c>
      <c r="DNS2" t="s">
        <v>7399</v>
      </c>
      <c r="DNT2" t="s">
        <v>7400</v>
      </c>
      <c r="DNU2" t="s">
        <v>7401</v>
      </c>
      <c r="DNV2" t="s">
        <v>7402</v>
      </c>
      <c r="DNW2" t="s">
        <v>7403</v>
      </c>
      <c r="DNX2" t="s">
        <v>7404</v>
      </c>
      <c r="DNY2" t="s">
        <v>7405</v>
      </c>
      <c r="DNZ2" t="s">
        <v>7406</v>
      </c>
      <c r="DOA2" t="s">
        <v>7407</v>
      </c>
      <c r="DOB2" t="s">
        <v>7408</v>
      </c>
      <c r="DOC2" t="s">
        <v>7409</v>
      </c>
      <c r="DOD2" t="s">
        <v>7410</v>
      </c>
      <c r="DOE2" t="s">
        <v>7411</v>
      </c>
      <c r="DOF2" t="s">
        <v>7412</v>
      </c>
      <c r="DOG2" t="s">
        <v>7413</v>
      </c>
      <c r="DOH2" t="s">
        <v>7414</v>
      </c>
      <c r="DOI2" t="s">
        <v>7415</v>
      </c>
      <c r="DOJ2" t="s">
        <v>7416</v>
      </c>
      <c r="DOK2" t="s">
        <v>7417</v>
      </c>
      <c r="DOL2" t="s">
        <v>7418</v>
      </c>
      <c r="DOM2" t="s">
        <v>7419</v>
      </c>
      <c r="DON2" t="s">
        <v>7420</v>
      </c>
      <c r="DOO2" t="s">
        <v>7421</v>
      </c>
      <c r="DOP2" t="s">
        <v>7422</v>
      </c>
      <c r="DOQ2" t="s">
        <v>7423</v>
      </c>
      <c r="DOR2" t="s">
        <v>7424</v>
      </c>
      <c r="DOS2" t="s">
        <v>7425</v>
      </c>
      <c r="DOT2" t="s">
        <v>7426</v>
      </c>
      <c r="DOU2" t="s">
        <v>7427</v>
      </c>
      <c r="DOV2" t="s">
        <v>7428</v>
      </c>
      <c r="DOW2" t="s">
        <v>7429</v>
      </c>
      <c r="DOX2" t="s">
        <v>7430</v>
      </c>
      <c r="DOY2" t="s">
        <v>7431</v>
      </c>
      <c r="DOZ2" t="s">
        <v>7432</v>
      </c>
      <c r="DPA2" t="s">
        <v>7433</v>
      </c>
      <c r="DPB2" t="s">
        <v>7434</v>
      </c>
      <c r="DPC2" t="s">
        <v>7435</v>
      </c>
      <c r="DPD2" t="s">
        <v>7436</v>
      </c>
      <c r="DPE2" t="s">
        <v>7437</v>
      </c>
      <c r="DPF2" t="s">
        <v>7438</v>
      </c>
      <c r="DPG2" t="s">
        <v>7439</v>
      </c>
      <c r="DPH2" t="s">
        <v>7440</v>
      </c>
      <c r="DPI2" t="s">
        <v>7441</v>
      </c>
      <c r="DPJ2" t="s">
        <v>7442</v>
      </c>
      <c r="DPK2" t="s">
        <v>7443</v>
      </c>
      <c r="DPL2" t="s">
        <v>7444</v>
      </c>
      <c r="DPM2" t="s">
        <v>7445</v>
      </c>
      <c r="DPN2" t="s">
        <v>7446</v>
      </c>
      <c r="DPO2" t="s">
        <v>7447</v>
      </c>
      <c r="DPP2" t="s">
        <v>7448</v>
      </c>
      <c r="DPQ2" t="s">
        <v>7449</v>
      </c>
      <c r="DPR2" t="s">
        <v>7450</v>
      </c>
      <c r="DPS2" t="s">
        <v>7451</v>
      </c>
      <c r="DPT2" t="s">
        <v>7452</v>
      </c>
      <c r="DPU2" t="s">
        <v>7453</v>
      </c>
      <c r="DPV2" t="s">
        <v>7454</v>
      </c>
      <c r="DPW2" t="s">
        <v>7455</v>
      </c>
      <c r="DPX2" t="s">
        <v>7456</v>
      </c>
      <c r="DPY2" t="s">
        <v>7457</v>
      </c>
      <c r="DPZ2" t="s">
        <v>7458</v>
      </c>
      <c r="DQA2" t="s">
        <v>7459</v>
      </c>
      <c r="DQB2" t="s">
        <v>7460</v>
      </c>
      <c r="DQC2" t="s">
        <v>7461</v>
      </c>
      <c r="DQD2" t="s">
        <v>7462</v>
      </c>
      <c r="DQE2" t="s">
        <v>7463</v>
      </c>
      <c r="DQF2" t="s">
        <v>7464</v>
      </c>
      <c r="DQG2" t="s">
        <v>7465</v>
      </c>
      <c r="DQH2" t="s">
        <v>7466</v>
      </c>
      <c r="DQI2" t="s">
        <v>7467</v>
      </c>
      <c r="DQJ2" t="s">
        <v>7468</v>
      </c>
      <c r="DQK2" t="s">
        <v>7469</v>
      </c>
      <c r="DQL2" t="s">
        <v>7470</v>
      </c>
      <c r="DQM2" t="s">
        <v>7471</v>
      </c>
      <c r="DQN2" t="s">
        <v>7472</v>
      </c>
      <c r="DQO2" t="s">
        <v>7473</v>
      </c>
      <c r="DQP2" t="s">
        <v>7474</v>
      </c>
      <c r="DQQ2" t="s">
        <v>7475</v>
      </c>
      <c r="DQR2" t="s">
        <v>7476</v>
      </c>
      <c r="DQS2" t="s">
        <v>7477</v>
      </c>
      <c r="DQT2" t="s">
        <v>7478</v>
      </c>
      <c r="DQU2" t="s">
        <v>7479</v>
      </c>
      <c r="DQV2" t="s">
        <v>7480</v>
      </c>
      <c r="DQW2" t="s">
        <v>7481</v>
      </c>
      <c r="DQX2" t="s">
        <v>7482</v>
      </c>
      <c r="DQY2" t="s">
        <v>7483</v>
      </c>
      <c r="DQZ2" t="s">
        <v>7484</v>
      </c>
      <c r="DRA2" t="s">
        <v>7485</v>
      </c>
      <c r="DRB2" t="s">
        <v>7486</v>
      </c>
      <c r="DRC2" t="s">
        <v>7487</v>
      </c>
      <c r="DRD2" t="s">
        <v>7488</v>
      </c>
      <c r="DRE2" t="s">
        <v>7489</v>
      </c>
      <c r="DRF2" t="s">
        <v>7490</v>
      </c>
      <c r="DRG2" t="s">
        <v>7491</v>
      </c>
      <c r="DRH2" t="s">
        <v>7492</v>
      </c>
      <c r="DRI2" t="s">
        <v>7493</v>
      </c>
      <c r="DRJ2" t="s">
        <v>7494</v>
      </c>
      <c r="DRK2" t="s">
        <v>7495</v>
      </c>
      <c r="DRL2" t="s">
        <v>7496</v>
      </c>
      <c r="DRM2" t="s">
        <v>7497</v>
      </c>
      <c r="DRN2" t="s">
        <v>7498</v>
      </c>
      <c r="DRO2" t="s">
        <v>7499</v>
      </c>
      <c r="DRP2" t="s">
        <v>7500</v>
      </c>
      <c r="DRQ2" t="s">
        <v>7501</v>
      </c>
      <c r="DRR2" t="s">
        <v>7502</v>
      </c>
      <c r="DRS2" t="s">
        <v>7503</v>
      </c>
      <c r="DRT2" t="s">
        <v>7504</v>
      </c>
      <c r="DRU2" t="s">
        <v>7505</v>
      </c>
      <c r="DRV2" t="s">
        <v>7506</v>
      </c>
      <c r="DRW2" t="s">
        <v>7507</v>
      </c>
      <c r="DRX2" t="s">
        <v>7508</v>
      </c>
      <c r="DRY2" t="s">
        <v>7509</v>
      </c>
      <c r="DRZ2" t="s">
        <v>7510</v>
      </c>
      <c r="DSA2" t="s">
        <v>7511</v>
      </c>
      <c r="DSB2" t="s">
        <v>7512</v>
      </c>
      <c r="DSC2" t="s">
        <v>7513</v>
      </c>
      <c r="DSD2" t="s">
        <v>7514</v>
      </c>
      <c r="DSE2" t="s">
        <v>7515</v>
      </c>
      <c r="DSF2" t="s">
        <v>7516</v>
      </c>
      <c r="DSG2" t="s">
        <v>7517</v>
      </c>
      <c r="DSH2" t="s">
        <v>7518</v>
      </c>
      <c r="DSI2" t="s">
        <v>7519</v>
      </c>
      <c r="DSJ2" t="s">
        <v>7520</v>
      </c>
      <c r="DSK2" t="s">
        <v>7521</v>
      </c>
      <c r="DSL2" t="s">
        <v>7522</v>
      </c>
      <c r="DSM2" t="s">
        <v>7523</v>
      </c>
      <c r="DSN2" t="s">
        <v>7524</v>
      </c>
      <c r="DSO2" t="s">
        <v>7525</v>
      </c>
      <c r="DSP2" t="s">
        <v>7526</v>
      </c>
      <c r="DSQ2" t="s">
        <v>7527</v>
      </c>
      <c r="DSR2" t="s">
        <v>7528</v>
      </c>
      <c r="DSS2" t="s">
        <v>7529</v>
      </c>
      <c r="DST2" t="s">
        <v>7530</v>
      </c>
      <c r="DSU2" t="s">
        <v>7531</v>
      </c>
      <c r="DSV2" t="s">
        <v>7532</v>
      </c>
      <c r="DSW2" t="s">
        <v>7533</v>
      </c>
      <c r="DSX2" t="s">
        <v>7534</v>
      </c>
      <c r="DSY2" t="s">
        <v>7535</v>
      </c>
      <c r="DSZ2" t="s">
        <v>7536</v>
      </c>
      <c r="DTA2" t="s">
        <v>7537</v>
      </c>
      <c r="DTB2" t="s">
        <v>7538</v>
      </c>
      <c r="DTC2" t="s">
        <v>7539</v>
      </c>
      <c r="DTD2" t="s">
        <v>7540</v>
      </c>
      <c r="DTE2" t="s">
        <v>7541</v>
      </c>
      <c r="DTF2" t="s">
        <v>7542</v>
      </c>
      <c r="DTG2" t="s">
        <v>7543</v>
      </c>
      <c r="DTH2" t="s">
        <v>7544</v>
      </c>
      <c r="DTI2" t="s">
        <v>7545</v>
      </c>
      <c r="DTJ2" t="s">
        <v>7546</v>
      </c>
      <c r="DTK2" t="s">
        <v>7547</v>
      </c>
      <c r="DTL2" t="s">
        <v>7548</v>
      </c>
      <c r="DTM2" t="s">
        <v>7549</v>
      </c>
      <c r="DTN2" t="s">
        <v>7550</v>
      </c>
      <c r="DTO2" t="s">
        <v>7551</v>
      </c>
      <c r="DTP2" t="s">
        <v>7552</v>
      </c>
      <c r="DTQ2" t="s">
        <v>7553</v>
      </c>
      <c r="DTR2" t="s">
        <v>7554</v>
      </c>
      <c r="DTS2" t="s">
        <v>7555</v>
      </c>
      <c r="DTT2" t="s">
        <v>7556</v>
      </c>
      <c r="DTU2" t="s">
        <v>7557</v>
      </c>
      <c r="DTV2" t="s">
        <v>7558</v>
      </c>
      <c r="DTW2" t="s">
        <v>7559</v>
      </c>
      <c r="DTX2" t="s">
        <v>7560</v>
      </c>
      <c r="DTY2" t="s">
        <v>7561</v>
      </c>
      <c r="DTZ2" t="s">
        <v>7562</v>
      </c>
      <c r="DUA2" t="s">
        <v>7563</v>
      </c>
      <c r="DUB2" t="s">
        <v>7564</v>
      </c>
      <c r="DUC2" t="s">
        <v>7565</v>
      </c>
      <c r="DUD2" t="s">
        <v>7566</v>
      </c>
      <c r="DUE2" t="s">
        <v>7567</v>
      </c>
      <c r="DUF2" t="s">
        <v>7568</v>
      </c>
      <c r="DUG2" t="s">
        <v>7569</v>
      </c>
      <c r="DUH2" t="s">
        <v>7570</v>
      </c>
      <c r="DUI2" t="s">
        <v>7571</v>
      </c>
      <c r="DUJ2" t="s">
        <v>7572</v>
      </c>
      <c r="DUK2" t="s">
        <v>7573</v>
      </c>
      <c r="DUL2" t="s">
        <v>7574</v>
      </c>
      <c r="DUM2" t="s">
        <v>7575</v>
      </c>
      <c r="DUN2" t="s">
        <v>7576</v>
      </c>
      <c r="DUO2" t="s">
        <v>7577</v>
      </c>
      <c r="DUP2" t="s">
        <v>7578</v>
      </c>
      <c r="DUQ2" t="s">
        <v>7579</v>
      </c>
      <c r="DUR2" t="s">
        <v>7580</v>
      </c>
      <c r="DUS2" t="s">
        <v>7581</v>
      </c>
      <c r="DUT2" t="s">
        <v>7582</v>
      </c>
      <c r="DUU2" t="s">
        <v>7583</v>
      </c>
      <c r="DUV2" t="s">
        <v>7584</v>
      </c>
      <c r="DUW2" t="s">
        <v>7585</v>
      </c>
      <c r="DUX2" t="s">
        <v>7586</v>
      </c>
      <c r="DUY2" t="s">
        <v>7587</v>
      </c>
      <c r="DUZ2" t="s">
        <v>7588</v>
      </c>
      <c r="DVA2" t="s">
        <v>7589</v>
      </c>
      <c r="DVB2" t="s">
        <v>7590</v>
      </c>
      <c r="DVC2" t="s">
        <v>7591</v>
      </c>
      <c r="DVD2" t="s">
        <v>7592</v>
      </c>
      <c r="DVE2" t="s">
        <v>7593</v>
      </c>
      <c r="DVF2" t="s">
        <v>7594</v>
      </c>
      <c r="DVG2" t="s">
        <v>7595</v>
      </c>
      <c r="DVH2" t="s">
        <v>7596</v>
      </c>
      <c r="DVI2" t="s">
        <v>7597</v>
      </c>
      <c r="DVJ2" t="s">
        <v>7598</v>
      </c>
      <c r="DVK2" t="s">
        <v>7599</v>
      </c>
      <c r="DVL2" t="s">
        <v>7600</v>
      </c>
      <c r="DVM2" t="s">
        <v>7601</v>
      </c>
      <c r="DVN2" t="s">
        <v>7602</v>
      </c>
      <c r="DVO2" t="s">
        <v>7603</v>
      </c>
      <c r="DVP2" t="s">
        <v>7604</v>
      </c>
      <c r="DVQ2" t="s">
        <v>7605</v>
      </c>
      <c r="DVR2" t="s">
        <v>7606</v>
      </c>
      <c r="DVS2" t="s">
        <v>7607</v>
      </c>
      <c r="DVT2" t="s">
        <v>7608</v>
      </c>
      <c r="DVU2" t="s">
        <v>7609</v>
      </c>
      <c r="DVV2" t="s">
        <v>7610</v>
      </c>
      <c r="DVW2" t="s">
        <v>7611</v>
      </c>
      <c r="DVX2" t="s">
        <v>7612</v>
      </c>
      <c r="DVY2" t="s">
        <v>7613</v>
      </c>
      <c r="DVZ2" t="s">
        <v>7614</v>
      </c>
      <c r="DWA2" t="s">
        <v>7615</v>
      </c>
      <c r="DWB2" t="s">
        <v>7616</v>
      </c>
      <c r="DWC2" t="s">
        <v>7617</v>
      </c>
      <c r="DWD2" t="s">
        <v>7618</v>
      </c>
      <c r="DWE2" t="s">
        <v>7619</v>
      </c>
      <c r="DWF2" t="s">
        <v>7620</v>
      </c>
      <c r="DWG2" t="s">
        <v>7621</v>
      </c>
      <c r="DWH2" t="s">
        <v>7622</v>
      </c>
      <c r="DWI2" t="s">
        <v>7623</v>
      </c>
      <c r="DWJ2" t="s">
        <v>7624</v>
      </c>
      <c r="DWK2" t="s">
        <v>7625</v>
      </c>
      <c r="DWL2" t="s">
        <v>7626</v>
      </c>
      <c r="DWM2" t="s">
        <v>7627</v>
      </c>
      <c r="DWN2" t="s">
        <v>7628</v>
      </c>
      <c r="DWO2" t="s">
        <v>7629</v>
      </c>
      <c r="DWP2" t="s">
        <v>7630</v>
      </c>
      <c r="DWQ2" t="s">
        <v>7631</v>
      </c>
      <c r="DWR2" t="s">
        <v>7632</v>
      </c>
      <c r="DWS2" t="s">
        <v>7633</v>
      </c>
      <c r="DWT2" t="s">
        <v>7634</v>
      </c>
      <c r="DWU2" t="s">
        <v>7635</v>
      </c>
      <c r="DWV2" t="s">
        <v>7636</v>
      </c>
      <c r="DWW2" t="s">
        <v>7637</v>
      </c>
      <c r="DWX2" t="s">
        <v>7638</v>
      </c>
      <c r="DWY2" t="s">
        <v>7639</v>
      </c>
      <c r="DWZ2" t="s">
        <v>7640</v>
      </c>
      <c r="DXA2" t="s">
        <v>7641</v>
      </c>
      <c r="DXB2" t="s">
        <v>7642</v>
      </c>
      <c r="DXC2" t="s">
        <v>7643</v>
      </c>
      <c r="DXD2" t="s">
        <v>7644</v>
      </c>
      <c r="DXE2" t="s">
        <v>7645</v>
      </c>
      <c r="DXF2" t="s">
        <v>7646</v>
      </c>
      <c r="DXG2" t="s">
        <v>7647</v>
      </c>
      <c r="DXH2" t="s">
        <v>7648</v>
      </c>
      <c r="DXI2" t="s">
        <v>7649</v>
      </c>
      <c r="DXJ2" t="s">
        <v>7650</v>
      </c>
      <c r="DXK2" t="s">
        <v>7651</v>
      </c>
      <c r="DXL2" t="s">
        <v>7652</v>
      </c>
      <c r="DXM2" t="s">
        <v>7653</v>
      </c>
      <c r="DXN2" t="s">
        <v>7654</v>
      </c>
      <c r="DXO2" t="s">
        <v>7655</v>
      </c>
      <c r="DXP2" t="s">
        <v>7656</v>
      </c>
      <c r="DXQ2" t="s">
        <v>7657</v>
      </c>
      <c r="DXR2" t="s">
        <v>7658</v>
      </c>
      <c r="DXS2" t="s">
        <v>7659</v>
      </c>
      <c r="DXT2" t="s">
        <v>7660</v>
      </c>
      <c r="DXU2" t="s">
        <v>7661</v>
      </c>
      <c r="DXV2" t="s">
        <v>7662</v>
      </c>
      <c r="DXW2" t="s">
        <v>7663</v>
      </c>
      <c r="DXX2" t="s">
        <v>7664</v>
      </c>
      <c r="DXY2" t="s">
        <v>7665</v>
      </c>
      <c r="DXZ2" t="s">
        <v>7666</v>
      </c>
      <c r="DYA2" t="s">
        <v>7667</v>
      </c>
      <c r="DYB2" t="s">
        <v>7668</v>
      </c>
      <c r="DYC2" t="s">
        <v>7669</v>
      </c>
      <c r="DYD2" t="s">
        <v>7670</v>
      </c>
      <c r="DYE2" t="s">
        <v>7671</v>
      </c>
      <c r="DYF2" t="s">
        <v>7672</v>
      </c>
      <c r="DYG2" t="s">
        <v>7673</v>
      </c>
      <c r="DYH2" t="s">
        <v>7674</v>
      </c>
      <c r="DYI2" t="s">
        <v>7675</v>
      </c>
      <c r="DYJ2" t="s">
        <v>7676</v>
      </c>
      <c r="DYK2" t="s">
        <v>7677</v>
      </c>
      <c r="DYL2" t="s">
        <v>7678</v>
      </c>
      <c r="DYM2" t="s">
        <v>7679</v>
      </c>
      <c r="DYN2" t="s">
        <v>7680</v>
      </c>
      <c r="DYO2" t="s">
        <v>7681</v>
      </c>
      <c r="DYP2" t="s">
        <v>7682</v>
      </c>
      <c r="DYQ2" t="s">
        <v>7683</v>
      </c>
      <c r="DYR2" t="s">
        <v>7684</v>
      </c>
      <c r="DYS2" t="s">
        <v>7685</v>
      </c>
      <c r="DYT2" t="s">
        <v>7686</v>
      </c>
      <c r="DYU2" t="s">
        <v>7687</v>
      </c>
      <c r="DYV2" t="s">
        <v>7688</v>
      </c>
      <c r="DYW2" t="s">
        <v>7689</v>
      </c>
      <c r="DYX2" t="s">
        <v>7690</v>
      </c>
      <c r="DYY2" t="s">
        <v>7691</v>
      </c>
      <c r="DYZ2" t="s">
        <v>7692</v>
      </c>
      <c r="DZA2" t="s">
        <v>7693</v>
      </c>
      <c r="DZB2" t="s">
        <v>7694</v>
      </c>
      <c r="DZC2" t="s">
        <v>7695</v>
      </c>
      <c r="DZD2" t="s">
        <v>7696</v>
      </c>
      <c r="DZE2" t="s">
        <v>7697</v>
      </c>
      <c r="DZF2" t="s">
        <v>7698</v>
      </c>
      <c r="DZG2" t="s">
        <v>7699</v>
      </c>
      <c r="DZH2" t="s">
        <v>7700</v>
      </c>
      <c r="DZI2" t="s">
        <v>7701</v>
      </c>
      <c r="DZJ2" t="s">
        <v>7702</v>
      </c>
      <c r="DZK2" t="s">
        <v>7703</v>
      </c>
      <c r="DZL2" t="s">
        <v>7704</v>
      </c>
      <c r="DZM2" t="s">
        <v>7705</v>
      </c>
      <c r="DZN2" t="s">
        <v>7706</v>
      </c>
      <c r="DZO2" t="s">
        <v>7707</v>
      </c>
      <c r="DZP2" t="s">
        <v>7708</v>
      </c>
      <c r="DZQ2" t="s">
        <v>7709</v>
      </c>
      <c r="DZR2" t="s">
        <v>7710</v>
      </c>
      <c r="DZS2" t="s">
        <v>7711</v>
      </c>
      <c r="DZT2" t="s">
        <v>7712</v>
      </c>
      <c r="DZU2" t="s">
        <v>7713</v>
      </c>
      <c r="DZV2" t="s">
        <v>7714</v>
      </c>
      <c r="DZW2" t="s">
        <v>7715</v>
      </c>
      <c r="DZX2" t="s">
        <v>7716</v>
      </c>
      <c r="DZY2" t="s">
        <v>7717</v>
      </c>
      <c r="DZZ2" t="s">
        <v>7718</v>
      </c>
      <c r="EAA2" t="s">
        <v>7719</v>
      </c>
      <c r="EAB2" t="s">
        <v>7720</v>
      </c>
      <c r="EAC2" t="s">
        <v>7721</v>
      </c>
      <c r="EAD2" t="s">
        <v>7722</v>
      </c>
      <c r="EAE2" t="s">
        <v>7723</v>
      </c>
      <c r="EAF2" t="s">
        <v>7724</v>
      </c>
      <c r="EAG2" t="s">
        <v>7725</v>
      </c>
      <c r="EAH2" t="s">
        <v>7726</v>
      </c>
      <c r="EAI2" t="s">
        <v>7727</v>
      </c>
      <c r="EAJ2" t="s">
        <v>7728</v>
      </c>
      <c r="EAK2" t="s">
        <v>7729</v>
      </c>
      <c r="EAL2" t="s">
        <v>7730</v>
      </c>
      <c r="EAM2" t="s">
        <v>7731</v>
      </c>
      <c r="EAN2" t="s">
        <v>7732</v>
      </c>
      <c r="EAO2" t="s">
        <v>7733</v>
      </c>
      <c r="EAP2" t="s">
        <v>7734</v>
      </c>
      <c r="EAQ2" t="s">
        <v>7735</v>
      </c>
      <c r="EAR2" t="s">
        <v>7736</v>
      </c>
      <c r="EAS2" t="s">
        <v>7737</v>
      </c>
      <c r="EAT2" t="s">
        <v>7738</v>
      </c>
      <c r="EAU2" t="s">
        <v>7739</v>
      </c>
      <c r="EAV2" t="s">
        <v>7740</v>
      </c>
      <c r="EAW2" t="s">
        <v>7741</v>
      </c>
      <c r="EAX2" t="s">
        <v>7742</v>
      </c>
      <c r="EAY2" t="s">
        <v>7743</v>
      </c>
      <c r="EAZ2" t="s">
        <v>7744</v>
      </c>
      <c r="EBA2" t="s">
        <v>7745</v>
      </c>
      <c r="EBB2" t="s">
        <v>7746</v>
      </c>
      <c r="EBC2" t="s">
        <v>7747</v>
      </c>
      <c r="EBD2" t="s">
        <v>7748</v>
      </c>
      <c r="EBE2" t="s">
        <v>7749</v>
      </c>
      <c r="EBF2" t="s">
        <v>7750</v>
      </c>
      <c r="EBG2" t="s">
        <v>7751</v>
      </c>
      <c r="EBH2" t="s">
        <v>7752</v>
      </c>
      <c r="EBI2" t="s">
        <v>7753</v>
      </c>
      <c r="EBJ2" t="s">
        <v>7754</v>
      </c>
      <c r="EBK2" t="s">
        <v>7755</v>
      </c>
      <c r="EBL2" t="s">
        <v>7756</v>
      </c>
      <c r="EBM2" t="s">
        <v>7757</v>
      </c>
      <c r="EBN2" t="s">
        <v>7758</v>
      </c>
      <c r="EBO2" t="s">
        <v>7759</v>
      </c>
      <c r="EBP2" t="s">
        <v>7760</v>
      </c>
      <c r="EBQ2" t="s">
        <v>7761</v>
      </c>
      <c r="EBR2" t="s">
        <v>7762</v>
      </c>
      <c r="EBS2" t="s">
        <v>7763</v>
      </c>
      <c r="EBT2" t="s">
        <v>7764</v>
      </c>
      <c r="EBU2" t="s">
        <v>7765</v>
      </c>
      <c r="EBV2" t="s">
        <v>7766</v>
      </c>
      <c r="EBW2" t="s">
        <v>7767</v>
      </c>
      <c r="EBX2" t="s">
        <v>7768</v>
      </c>
      <c r="EBY2" t="s">
        <v>7769</v>
      </c>
      <c r="EBZ2" t="s">
        <v>7770</v>
      </c>
      <c r="ECA2" t="s">
        <v>7771</v>
      </c>
      <c r="ECB2" t="s">
        <v>7772</v>
      </c>
      <c r="ECC2" t="s">
        <v>7773</v>
      </c>
      <c r="ECD2" t="s">
        <v>7774</v>
      </c>
      <c r="ECE2" t="s">
        <v>7775</v>
      </c>
      <c r="ECF2" t="s">
        <v>7776</v>
      </c>
      <c r="ECG2" t="s">
        <v>7777</v>
      </c>
      <c r="ECH2" t="s">
        <v>7778</v>
      </c>
      <c r="ECI2" t="s">
        <v>7779</v>
      </c>
      <c r="ECJ2" t="s">
        <v>7780</v>
      </c>
      <c r="ECK2" t="s">
        <v>7781</v>
      </c>
      <c r="ECL2" t="s">
        <v>7782</v>
      </c>
      <c r="ECM2" t="s">
        <v>7783</v>
      </c>
      <c r="ECN2" t="s">
        <v>7784</v>
      </c>
      <c r="ECO2" t="s">
        <v>7785</v>
      </c>
      <c r="ECP2" t="s">
        <v>7786</v>
      </c>
      <c r="ECQ2" t="s">
        <v>7787</v>
      </c>
      <c r="ECR2" t="s">
        <v>7788</v>
      </c>
      <c r="ECS2" t="s">
        <v>7789</v>
      </c>
      <c r="ECT2" t="s">
        <v>7790</v>
      </c>
      <c r="ECU2" t="s">
        <v>7791</v>
      </c>
      <c r="ECV2" t="s">
        <v>7792</v>
      </c>
      <c r="ECW2" t="s">
        <v>7793</v>
      </c>
      <c r="ECX2" t="s">
        <v>7794</v>
      </c>
      <c r="ECY2" t="s">
        <v>7795</v>
      </c>
      <c r="ECZ2" t="s">
        <v>7796</v>
      </c>
      <c r="EDA2" t="s">
        <v>7797</v>
      </c>
      <c r="EDB2" t="s">
        <v>7798</v>
      </c>
      <c r="EDC2" t="s">
        <v>7799</v>
      </c>
      <c r="EDD2" t="s">
        <v>7800</v>
      </c>
      <c r="EDE2" t="s">
        <v>7801</v>
      </c>
      <c r="EDF2" t="s">
        <v>7802</v>
      </c>
      <c r="EDG2" t="s">
        <v>7803</v>
      </c>
      <c r="EDH2" t="s">
        <v>7804</v>
      </c>
      <c r="EDI2" t="s">
        <v>7805</v>
      </c>
      <c r="EDJ2" t="s">
        <v>7806</v>
      </c>
      <c r="EDK2" t="s">
        <v>7807</v>
      </c>
      <c r="EDL2" t="s">
        <v>7808</v>
      </c>
      <c r="EDM2" t="s">
        <v>7809</v>
      </c>
      <c r="EDN2" t="s">
        <v>7810</v>
      </c>
      <c r="EDO2" t="s">
        <v>7811</v>
      </c>
      <c r="EDP2" t="s">
        <v>7812</v>
      </c>
      <c r="EDQ2" t="s">
        <v>7813</v>
      </c>
      <c r="EDR2" t="s">
        <v>7814</v>
      </c>
      <c r="EDS2" t="s">
        <v>7815</v>
      </c>
      <c r="EDT2" t="s">
        <v>7816</v>
      </c>
      <c r="EDU2" t="s">
        <v>7817</v>
      </c>
      <c r="EDV2" t="s">
        <v>7818</v>
      </c>
      <c r="EDW2" t="s">
        <v>7819</v>
      </c>
      <c r="EDX2" t="s">
        <v>7820</v>
      </c>
      <c r="EDY2" t="s">
        <v>7821</v>
      </c>
      <c r="EDZ2" t="s">
        <v>7822</v>
      </c>
      <c r="EEA2" t="s">
        <v>7823</v>
      </c>
      <c r="EEB2" t="s">
        <v>7824</v>
      </c>
      <c r="EEC2" t="s">
        <v>7825</v>
      </c>
      <c r="EED2" t="s">
        <v>7826</v>
      </c>
      <c r="EEE2" t="s">
        <v>7827</v>
      </c>
      <c r="EEF2" t="s">
        <v>7828</v>
      </c>
      <c r="EEG2" t="s">
        <v>7829</v>
      </c>
      <c r="EEH2" t="s">
        <v>7830</v>
      </c>
      <c r="EEI2" t="s">
        <v>7831</v>
      </c>
      <c r="EEJ2" t="s">
        <v>7832</v>
      </c>
      <c r="EEK2" t="s">
        <v>7833</v>
      </c>
      <c r="EEL2" t="s">
        <v>7834</v>
      </c>
      <c r="EEM2" t="s">
        <v>7835</v>
      </c>
      <c r="EEN2" t="s">
        <v>7836</v>
      </c>
      <c r="EEO2" t="s">
        <v>7837</v>
      </c>
      <c r="EEP2" t="s">
        <v>7838</v>
      </c>
      <c r="EEQ2" t="s">
        <v>7839</v>
      </c>
      <c r="EER2" t="s">
        <v>7840</v>
      </c>
      <c r="EES2" t="s">
        <v>7841</v>
      </c>
      <c r="EET2" t="s">
        <v>7842</v>
      </c>
      <c r="EEU2" t="s">
        <v>7843</v>
      </c>
      <c r="EEV2" t="s">
        <v>7844</v>
      </c>
      <c r="EEW2" t="s">
        <v>7845</v>
      </c>
      <c r="EEX2" t="s">
        <v>7846</v>
      </c>
      <c r="EEY2" t="s">
        <v>7847</v>
      </c>
      <c r="EEZ2" t="s">
        <v>7848</v>
      </c>
      <c r="EFA2" t="s">
        <v>7849</v>
      </c>
      <c r="EFB2" t="s">
        <v>7850</v>
      </c>
      <c r="EFC2" t="s">
        <v>7851</v>
      </c>
      <c r="EFD2" t="s">
        <v>7852</v>
      </c>
      <c r="EFE2" t="s">
        <v>7853</v>
      </c>
      <c r="EFF2" t="s">
        <v>7854</v>
      </c>
      <c r="EFG2" t="s">
        <v>7855</v>
      </c>
      <c r="EFH2" t="s">
        <v>7856</v>
      </c>
      <c r="EFI2" t="s">
        <v>7857</v>
      </c>
      <c r="EFJ2" t="s">
        <v>7858</v>
      </c>
      <c r="EFK2" t="s">
        <v>7859</v>
      </c>
      <c r="EFL2" t="s">
        <v>7860</v>
      </c>
      <c r="EFM2" t="s">
        <v>7861</v>
      </c>
      <c r="EFN2" t="s">
        <v>7862</v>
      </c>
      <c r="EFO2" t="s">
        <v>7863</v>
      </c>
      <c r="EFP2" t="s">
        <v>7864</v>
      </c>
      <c r="EFQ2" t="s">
        <v>7865</v>
      </c>
      <c r="EFR2" t="s">
        <v>7866</v>
      </c>
      <c r="EFS2" t="s">
        <v>7867</v>
      </c>
      <c r="EFT2" t="s">
        <v>7868</v>
      </c>
      <c r="EFU2" t="s">
        <v>7869</v>
      </c>
      <c r="EFV2" t="s">
        <v>7870</v>
      </c>
      <c r="EFW2" t="s">
        <v>7871</v>
      </c>
      <c r="EFX2" t="s">
        <v>7872</v>
      </c>
      <c r="EFY2" t="s">
        <v>7873</v>
      </c>
      <c r="EFZ2" t="s">
        <v>7874</v>
      </c>
      <c r="EGA2" t="s">
        <v>7875</v>
      </c>
      <c r="EGB2" t="s">
        <v>7876</v>
      </c>
      <c r="EGC2" t="s">
        <v>7877</v>
      </c>
      <c r="EGD2" t="s">
        <v>7878</v>
      </c>
      <c r="EGE2" t="s">
        <v>7879</v>
      </c>
      <c r="EGF2" t="s">
        <v>7880</v>
      </c>
      <c r="EGG2" t="s">
        <v>7881</v>
      </c>
      <c r="EGH2" t="s">
        <v>7882</v>
      </c>
      <c r="EGI2" t="s">
        <v>7883</v>
      </c>
      <c r="EGJ2" t="s">
        <v>7884</v>
      </c>
      <c r="EGK2" t="s">
        <v>7885</v>
      </c>
      <c r="EGL2" t="s">
        <v>7886</v>
      </c>
      <c r="EGM2" t="s">
        <v>7887</v>
      </c>
      <c r="EGN2" t="s">
        <v>7888</v>
      </c>
      <c r="EGO2" t="s">
        <v>7889</v>
      </c>
      <c r="EGP2" t="s">
        <v>7890</v>
      </c>
      <c r="EGQ2" t="s">
        <v>7891</v>
      </c>
      <c r="EGR2" t="s">
        <v>7892</v>
      </c>
      <c r="EGS2" t="s">
        <v>7893</v>
      </c>
      <c r="EGT2" t="s">
        <v>7894</v>
      </c>
      <c r="EGU2" t="s">
        <v>7895</v>
      </c>
      <c r="EGV2" t="s">
        <v>7896</v>
      </c>
      <c r="EGW2" t="s">
        <v>7897</v>
      </c>
      <c r="EGX2" t="s">
        <v>7898</v>
      </c>
      <c r="EGY2" t="s">
        <v>7899</v>
      </c>
      <c r="EGZ2" t="s">
        <v>7900</v>
      </c>
      <c r="EHA2" t="s">
        <v>7901</v>
      </c>
      <c r="EHB2" t="s">
        <v>7902</v>
      </c>
      <c r="EHC2" t="s">
        <v>7903</v>
      </c>
      <c r="EHD2" t="s">
        <v>7904</v>
      </c>
      <c r="EHE2" t="s">
        <v>7905</v>
      </c>
      <c r="EHF2" t="s">
        <v>7906</v>
      </c>
      <c r="EHG2" t="s">
        <v>7907</v>
      </c>
      <c r="EHH2" t="s">
        <v>7908</v>
      </c>
      <c r="EHI2" t="s">
        <v>7909</v>
      </c>
      <c r="EHJ2" t="s">
        <v>7910</v>
      </c>
      <c r="EHK2" t="s">
        <v>7911</v>
      </c>
      <c r="EHL2" t="s">
        <v>7912</v>
      </c>
      <c r="EHM2" t="s">
        <v>7913</v>
      </c>
      <c r="EHN2" t="s">
        <v>7914</v>
      </c>
      <c r="EHO2" t="s">
        <v>7915</v>
      </c>
      <c r="EHP2" t="s">
        <v>7916</v>
      </c>
      <c r="EHQ2" t="s">
        <v>7917</v>
      </c>
      <c r="EHR2" t="s">
        <v>7918</v>
      </c>
      <c r="EHS2" t="s">
        <v>7919</v>
      </c>
      <c r="EHT2" t="s">
        <v>7920</v>
      </c>
      <c r="EHU2" t="s">
        <v>7921</v>
      </c>
      <c r="EHV2" t="s">
        <v>7922</v>
      </c>
      <c r="EHW2" t="s">
        <v>7923</v>
      </c>
      <c r="EHX2" t="s">
        <v>7924</v>
      </c>
      <c r="EHY2" t="s">
        <v>7925</v>
      </c>
      <c r="EHZ2" t="s">
        <v>7926</v>
      </c>
      <c r="EIA2" t="s">
        <v>7927</v>
      </c>
      <c r="EIB2" t="s">
        <v>7928</v>
      </c>
      <c r="EIC2" t="s">
        <v>7929</v>
      </c>
      <c r="EID2" t="s">
        <v>7930</v>
      </c>
      <c r="EIE2" t="s">
        <v>7931</v>
      </c>
      <c r="EIF2" t="s">
        <v>7932</v>
      </c>
      <c r="EIG2" t="s">
        <v>7933</v>
      </c>
      <c r="EIH2" t="s">
        <v>7934</v>
      </c>
      <c r="EII2" t="s">
        <v>7935</v>
      </c>
      <c r="EIJ2" t="s">
        <v>7936</v>
      </c>
      <c r="EIK2" t="s">
        <v>7937</v>
      </c>
      <c r="EIL2" t="s">
        <v>7938</v>
      </c>
      <c r="EIM2" t="s">
        <v>7939</v>
      </c>
      <c r="EIN2" t="s">
        <v>7940</v>
      </c>
      <c r="EIO2" t="s">
        <v>7941</v>
      </c>
      <c r="EIP2" t="s">
        <v>7942</v>
      </c>
      <c r="EIQ2" t="s">
        <v>7943</v>
      </c>
      <c r="EIR2" t="s">
        <v>7944</v>
      </c>
      <c r="EIS2" t="s">
        <v>7945</v>
      </c>
      <c r="EIT2" t="s">
        <v>7946</v>
      </c>
      <c r="EIU2" t="s">
        <v>7947</v>
      </c>
      <c r="EIV2" t="s">
        <v>7948</v>
      </c>
      <c r="EIW2" t="s">
        <v>7949</v>
      </c>
      <c r="EIX2" t="s">
        <v>7950</v>
      </c>
      <c r="EIY2" t="s">
        <v>7951</v>
      </c>
      <c r="EIZ2" t="s">
        <v>7952</v>
      </c>
      <c r="EJA2" t="s">
        <v>7953</v>
      </c>
      <c r="EJB2" t="s">
        <v>7954</v>
      </c>
      <c r="EJC2" t="s">
        <v>7955</v>
      </c>
      <c r="EJD2" t="s">
        <v>7956</v>
      </c>
      <c r="EJE2" t="s">
        <v>7957</v>
      </c>
      <c r="EJF2" t="s">
        <v>7958</v>
      </c>
      <c r="EJG2" t="s">
        <v>7959</v>
      </c>
      <c r="EJH2" t="s">
        <v>7960</v>
      </c>
      <c r="EJI2" t="s">
        <v>7961</v>
      </c>
      <c r="EJJ2" t="s">
        <v>7962</v>
      </c>
      <c r="EJK2" t="s">
        <v>7963</v>
      </c>
      <c r="EJL2" t="s">
        <v>7964</v>
      </c>
      <c r="EJM2" t="s">
        <v>7965</v>
      </c>
      <c r="EJN2" t="s">
        <v>7966</v>
      </c>
      <c r="EJO2" t="s">
        <v>7967</v>
      </c>
      <c r="EJP2" t="s">
        <v>7968</v>
      </c>
      <c r="EJQ2" t="s">
        <v>7969</v>
      </c>
      <c r="EJR2" t="s">
        <v>7970</v>
      </c>
      <c r="EJS2" t="s">
        <v>7971</v>
      </c>
      <c r="EJT2" t="s">
        <v>7972</v>
      </c>
      <c r="EJU2" t="s">
        <v>7973</v>
      </c>
      <c r="EJV2" t="s">
        <v>7974</v>
      </c>
      <c r="EJW2" t="s">
        <v>7975</v>
      </c>
      <c r="EJX2" t="s">
        <v>7976</v>
      </c>
      <c r="EJY2" t="s">
        <v>7977</v>
      </c>
      <c r="EJZ2" t="s">
        <v>7978</v>
      </c>
      <c r="EKA2" t="s">
        <v>7979</v>
      </c>
      <c r="EKB2" t="s">
        <v>7980</v>
      </c>
      <c r="EKC2" t="s">
        <v>7981</v>
      </c>
      <c r="EKD2" t="s">
        <v>7982</v>
      </c>
      <c r="EKE2" t="s">
        <v>7983</v>
      </c>
      <c r="EKF2" t="s">
        <v>7984</v>
      </c>
      <c r="EKG2" t="s">
        <v>7985</v>
      </c>
      <c r="EKH2" t="s">
        <v>7986</v>
      </c>
      <c r="EKI2" t="s">
        <v>7987</v>
      </c>
      <c r="EKJ2" t="s">
        <v>7988</v>
      </c>
      <c r="EKK2" t="s">
        <v>7989</v>
      </c>
      <c r="EKL2" t="s">
        <v>7990</v>
      </c>
      <c r="EKM2" t="s">
        <v>7991</v>
      </c>
      <c r="EKN2" t="s">
        <v>7992</v>
      </c>
      <c r="EKO2" t="s">
        <v>7993</v>
      </c>
      <c r="EKP2" t="s">
        <v>7994</v>
      </c>
      <c r="EKQ2" t="s">
        <v>7995</v>
      </c>
      <c r="EKR2" t="s">
        <v>7996</v>
      </c>
      <c r="EKS2" t="s">
        <v>7997</v>
      </c>
      <c r="EKT2" t="s">
        <v>7998</v>
      </c>
      <c r="EKU2" t="s">
        <v>7999</v>
      </c>
      <c r="EKV2" t="s">
        <v>8000</v>
      </c>
      <c r="EKW2" t="s">
        <v>8001</v>
      </c>
      <c r="EKX2" t="s">
        <v>8002</v>
      </c>
      <c r="EKY2" t="s">
        <v>8003</v>
      </c>
      <c r="EKZ2" t="s">
        <v>8004</v>
      </c>
      <c r="ELA2" t="s">
        <v>8005</v>
      </c>
      <c r="ELB2" t="s">
        <v>8006</v>
      </c>
      <c r="ELC2" t="s">
        <v>8007</v>
      </c>
      <c r="ELD2" t="s">
        <v>8008</v>
      </c>
      <c r="ELE2" t="s">
        <v>8009</v>
      </c>
      <c r="ELF2" t="s">
        <v>8010</v>
      </c>
      <c r="ELG2" t="s">
        <v>8011</v>
      </c>
      <c r="ELH2" t="s">
        <v>8012</v>
      </c>
      <c r="ELI2" t="s">
        <v>8013</v>
      </c>
      <c r="ELJ2" t="s">
        <v>8014</v>
      </c>
      <c r="ELK2" t="s">
        <v>8015</v>
      </c>
      <c r="ELL2" t="s">
        <v>8016</v>
      </c>
      <c r="ELM2" t="s">
        <v>8017</v>
      </c>
      <c r="ELN2" t="s">
        <v>8018</v>
      </c>
      <c r="ELO2" t="s">
        <v>8019</v>
      </c>
      <c r="ELP2" t="s">
        <v>8020</v>
      </c>
      <c r="ELQ2" t="s">
        <v>8021</v>
      </c>
      <c r="ELR2" t="s">
        <v>8022</v>
      </c>
      <c r="ELS2" t="s">
        <v>8023</v>
      </c>
      <c r="ELT2" t="s">
        <v>8024</v>
      </c>
      <c r="ELU2" t="s">
        <v>8025</v>
      </c>
      <c r="ELV2" t="s">
        <v>8026</v>
      </c>
      <c r="ELW2" t="s">
        <v>8027</v>
      </c>
      <c r="ELX2" t="s">
        <v>8028</v>
      </c>
      <c r="ELY2" t="s">
        <v>8029</v>
      </c>
      <c r="ELZ2" t="s">
        <v>8030</v>
      </c>
      <c r="EMA2" t="s">
        <v>8031</v>
      </c>
      <c r="EMB2" t="s">
        <v>8032</v>
      </c>
      <c r="EMC2" t="s">
        <v>8033</v>
      </c>
      <c r="EMD2" t="s">
        <v>8034</v>
      </c>
      <c r="EME2" t="s">
        <v>8035</v>
      </c>
      <c r="EMF2" t="s">
        <v>8036</v>
      </c>
      <c r="EMG2" t="s">
        <v>8037</v>
      </c>
      <c r="EMH2" t="s">
        <v>8038</v>
      </c>
      <c r="EMI2" t="s">
        <v>8039</v>
      </c>
      <c r="EMJ2" t="s">
        <v>8040</v>
      </c>
      <c r="EMK2" t="s">
        <v>8041</v>
      </c>
      <c r="EML2" t="s">
        <v>8042</v>
      </c>
      <c r="EMM2" t="s">
        <v>8043</v>
      </c>
      <c r="EMN2" t="s">
        <v>8044</v>
      </c>
      <c r="EMO2" t="s">
        <v>8045</v>
      </c>
      <c r="EMP2" t="s">
        <v>8046</v>
      </c>
      <c r="EMQ2" t="s">
        <v>8047</v>
      </c>
      <c r="EMR2" t="s">
        <v>8048</v>
      </c>
      <c r="EMS2" t="s">
        <v>8049</v>
      </c>
      <c r="EMT2" t="s">
        <v>8050</v>
      </c>
      <c r="EMU2" t="s">
        <v>8051</v>
      </c>
      <c r="EMV2" t="s">
        <v>8052</v>
      </c>
      <c r="EMW2" t="s">
        <v>8053</v>
      </c>
      <c r="EMX2" t="s">
        <v>8054</v>
      </c>
      <c r="EMY2" t="s">
        <v>8055</v>
      </c>
      <c r="EMZ2" t="s">
        <v>8056</v>
      </c>
      <c r="ENA2" t="s">
        <v>8057</v>
      </c>
      <c r="ENB2" t="s">
        <v>8058</v>
      </c>
      <c r="ENC2" t="s">
        <v>8059</v>
      </c>
      <c r="END2" t="s">
        <v>8060</v>
      </c>
      <c r="ENE2" t="s">
        <v>8061</v>
      </c>
      <c r="ENF2" t="s">
        <v>8062</v>
      </c>
      <c r="ENG2" t="s">
        <v>8063</v>
      </c>
      <c r="ENH2" t="s">
        <v>8064</v>
      </c>
      <c r="ENI2" t="s">
        <v>8065</v>
      </c>
      <c r="ENJ2" t="s">
        <v>8066</v>
      </c>
      <c r="ENK2" t="s">
        <v>8067</v>
      </c>
      <c r="ENL2" t="s">
        <v>8068</v>
      </c>
      <c r="ENM2" t="s">
        <v>8069</v>
      </c>
      <c r="ENN2" t="s">
        <v>8070</v>
      </c>
      <c r="ENO2" t="s">
        <v>8071</v>
      </c>
      <c r="ENP2" t="s">
        <v>8072</v>
      </c>
      <c r="ENQ2" t="s">
        <v>8073</v>
      </c>
      <c r="ENR2" t="s">
        <v>8074</v>
      </c>
      <c r="ENS2" t="s">
        <v>8075</v>
      </c>
      <c r="ENT2" t="s">
        <v>8076</v>
      </c>
      <c r="ENU2" t="s">
        <v>8077</v>
      </c>
      <c r="ENV2" t="s">
        <v>8078</v>
      </c>
      <c r="ENW2" t="s">
        <v>8079</v>
      </c>
      <c r="ENX2" t="s">
        <v>8080</v>
      </c>
      <c r="ENY2" t="s">
        <v>8081</v>
      </c>
      <c r="ENZ2" t="s">
        <v>8082</v>
      </c>
      <c r="EOA2" t="s">
        <v>8083</v>
      </c>
      <c r="EOB2" t="s">
        <v>8084</v>
      </c>
      <c r="EOC2" t="s">
        <v>8085</v>
      </c>
      <c r="EOD2" t="s">
        <v>8086</v>
      </c>
      <c r="EOE2" t="s">
        <v>8087</v>
      </c>
      <c r="EOF2" t="s">
        <v>8088</v>
      </c>
      <c r="EOG2" t="s">
        <v>8089</v>
      </c>
      <c r="EOH2" t="s">
        <v>8090</v>
      </c>
      <c r="EOI2" t="s">
        <v>8091</v>
      </c>
      <c r="EOJ2" t="s">
        <v>8092</v>
      </c>
      <c r="EOK2" t="s">
        <v>8093</v>
      </c>
      <c r="EOL2" t="s">
        <v>8094</v>
      </c>
      <c r="EOM2" t="s">
        <v>8095</v>
      </c>
      <c r="EON2" t="s">
        <v>8096</v>
      </c>
      <c r="EOO2" t="s">
        <v>8097</v>
      </c>
      <c r="EOP2" t="s">
        <v>8098</v>
      </c>
      <c r="EOQ2" t="s">
        <v>8099</v>
      </c>
      <c r="EOR2" t="s">
        <v>8100</v>
      </c>
      <c r="EOS2" t="s">
        <v>8101</v>
      </c>
      <c r="EOT2" t="s">
        <v>8102</v>
      </c>
      <c r="EOU2" t="s">
        <v>8103</v>
      </c>
      <c r="EOV2" t="s">
        <v>8104</v>
      </c>
      <c r="EOW2" t="s">
        <v>8105</v>
      </c>
      <c r="EOX2" t="s">
        <v>8106</v>
      </c>
      <c r="EOY2" t="s">
        <v>8107</v>
      </c>
      <c r="EOZ2" t="s">
        <v>8108</v>
      </c>
      <c r="EPA2" t="s">
        <v>8109</v>
      </c>
      <c r="EPB2" t="s">
        <v>8110</v>
      </c>
      <c r="EPC2" t="s">
        <v>8111</v>
      </c>
      <c r="EPD2" t="s">
        <v>8112</v>
      </c>
      <c r="EPE2" t="s">
        <v>8113</v>
      </c>
      <c r="EPF2" t="s">
        <v>8114</v>
      </c>
      <c r="EPG2" t="s">
        <v>8115</v>
      </c>
      <c r="EPH2" t="s">
        <v>8116</v>
      </c>
      <c r="EPI2" t="s">
        <v>8117</v>
      </c>
      <c r="EPJ2" t="s">
        <v>8118</v>
      </c>
      <c r="EPK2" t="s">
        <v>8119</v>
      </c>
      <c r="EPL2" t="s">
        <v>8120</v>
      </c>
      <c r="EPM2" t="s">
        <v>8121</v>
      </c>
      <c r="EPN2" t="s">
        <v>8122</v>
      </c>
      <c r="EPO2" t="s">
        <v>8123</v>
      </c>
      <c r="EPP2" t="s">
        <v>8124</v>
      </c>
      <c r="EPQ2" t="s">
        <v>8125</v>
      </c>
      <c r="EPR2" t="s">
        <v>8126</v>
      </c>
      <c r="EPS2" t="s">
        <v>8127</v>
      </c>
      <c r="EPT2" t="s">
        <v>8128</v>
      </c>
      <c r="EPU2" t="s">
        <v>8129</v>
      </c>
      <c r="EPV2" t="s">
        <v>8130</v>
      </c>
      <c r="EPW2" t="s">
        <v>8131</v>
      </c>
      <c r="EPX2" t="s">
        <v>8132</v>
      </c>
      <c r="EPY2" t="s">
        <v>8133</v>
      </c>
      <c r="EPZ2" t="s">
        <v>8134</v>
      </c>
      <c r="EQA2" t="s">
        <v>8135</v>
      </c>
      <c r="EQB2" t="s">
        <v>8136</v>
      </c>
      <c r="EQC2" t="s">
        <v>8137</v>
      </c>
      <c r="EQD2" t="s">
        <v>8138</v>
      </c>
      <c r="EQE2" t="s">
        <v>8139</v>
      </c>
      <c r="EQF2" t="s">
        <v>8140</v>
      </c>
      <c r="EQG2" t="s">
        <v>8141</v>
      </c>
      <c r="EQH2" t="s">
        <v>8142</v>
      </c>
      <c r="EQI2" t="s">
        <v>8143</v>
      </c>
      <c r="EQJ2" t="s">
        <v>8144</v>
      </c>
      <c r="EQK2" t="s">
        <v>8145</v>
      </c>
      <c r="EQL2" t="s">
        <v>8146</v>
      </c>
      <c r="EQM2" t="s">
        <v>8147</v>
      </c>
      <c r="EQN2" t="s">
        <v>8148</v>
      </c>
      <c r="EQO2" t="s">
        <v>8149</v>
      </c>
      <c r="EQP2" t="s">
        <v>8150</v>
      </c>
      <c r="EQQ2" t="s">
        <v>8151</v>
      </c>
      <c r="EQR2" t="s">
        <v>8152</v>
      </c>
      <c r="EQS2" t="s">
        <v>8153</v>
      </c>
      <c r="EQT2" t="s">
        <v>8154</v>
      </c>
      <c r="EQU2" t="s">
        <v>8155</v>
      </c>
      <c r="EQV2" t="s">
        <v>8156</v>
      </c>
      <c r="EQW2" t="s">
        <v>8157</v>
      </c>
      <c r="EQX2" t="s">
        <v>8158</v>
      </c>
      <c r="EQY2" t="s">
        <v>8159</v>
      </c>
      <c r="EQZ2" t="s">
        <v>8160</v>
      </c>
      <c r="ERA2" t="s">
        <v>8161</v>
      </c>
      <c r="ERB2" t="s">
        <v>8162</v>
      </c>
      <c r="ERC2" t="s">
        <v>8163</v>
      </c>
      <c r="ERD2" t="s">
        <v>8164</v>
      </c>
      <c r="ERE2" t="s">
        <v>8165</v>
      </c>
      <c r="ERF2" t="s">
        <v>8166</v>
      </c>
      <c r="ERG2" t="s">
        <v>8167</v>
      </c>
      <c r="ERH2" t="s">
        <v>8168</v>
      </c>
      <c r="ERI2" t="s">
        <v>8169</v>
      </c>
      <c r="ERJ2" t="s">
        <v>8170</v>
      </c>
      <c r="ERK2" t="s">
        <v>8171</v>
      </c>
      <c r="ERL2" t="s">
        <v>8172</v>
      </c>
      <c r="ERM2" t="s">
        <v>8173</v>
      </c>
      <c r="ERN2" t="s">
        <v>8174</v>
      </c>
      <c r="ERO2" t="s">
        <v>8175</v>
      </c>
      <c r="ERP2" t="s">
        <v>8176</v>
      </c>
      <c r="ERQ2" t="s">
        <v>8177</v>
      </c>
      <c r="ERR2" t="s">
        <v>8178</v>
      </c>
      <c r="ERS2" t="s">
        <v>8179</v>
      </c>
      <c r="ERT2" t="s">
        <v>8180</v>
      </c>
      <c r="ERU2" t="s">
        <v>8181</v>
      </c>
      <c r="ERV2" t="s">
        <v>8182</v>
      </c>
      <c r="ERW2" t="s">
        <v>8183</v>
      </c>
      <c r="ERX2" t="s">
        <v>8184</v>
      </c>
      <c r="ERY2" t="s">
        <v>8185</v>
      </c>
      <c r="ERZ2" t="s">
        <v>8186</v>
      </c>
      <c r="ESA2" t="s">
        <v>8187</v>
      </c>
      <c r="ESB2" t="s">
        <v>8188</v>
      </c>
      <c r="ESC2" t="s">
        <v>8189</v>
      </c>
      <c r="ESD2" t="s">
        <v>8190</v>
      </c>
      <c r="ESE2" t="s">
        <v>8191</v>
      </c>
      <c r="ESF2" t="s">
        <v>8192</v>
      </c>
      <c r="ESG2" t="s">
        <v>8193</v>
      </c>
      <c r="ESH2" t="s">
        <v>8194</v>
      </c>
      <c r="ESI2" t="s">
        <v>8195</v>
      </c>
      <c r="ESJ2" t="s">
        <v>8196</v>
      </c>
      <c r="ESK2" t="s">
        <v>8197</v>
      </c>
      <c r="ESL2" t="s">
        <v>8198</v>
      </c>
      <c r="ESM2" t="s">
        <v>8199</v>
      </c>
      <c r="ESN2" t="s">
        <v>8200</v>
      </c>
      <c r="ESO2" t="s">
        <v>8201</v>
      </c>
      <c r="ESP2" t="s">
        <v>8202</v>
      </c>
      <c r="ESQ2" t="s">
        <v>8203</v>
      </c>
      <c r="ESR2" t="s">
        <v>8204</v>
      </c>
      <c r="ESS2" t="s">
        <v>8205</v>
      </c>
      <c r="EST2" t="s">
        <v>8206</v>
      </c>
      <c r="ESU2" t="s">
        <v>8207</v>
      </c>
      <c r="ESV2" t="s">
        <v>8208</v>
      </c>
      <c r="ESW2" t="s">
        <v>8209</v>
      </c>
      <c r="ESX2" t="s">
        <v>8210</v>
      </c>
      <c r="ESY2" t="s">
        <v>8211</v>
      </c>
      <c r="ESZ2" t="s">
        <v>8212</v>
      </c>
      <c r="ETA2" t="s">
        <v>8213</v>
      </c>
      <c r="ETB2" t="s">
        <v>8214</v>
      </c>
      <c r="ETC2" t="s">
        <v>8215</v>
      </c>
      <c r="ETD2" t="s">
        <v>8216</v>
      </c>
      <c r="ETE2" t="s">
        <v>8217</v>
      </c>
      <c r="ETF2" t="s">
        <v>8218</v>
      </c>
      <c r="ETG2" t="s">
        <v>8219</v>
      </c>
      <c r="ETH2" t="s">
        <v>8220</v>
      </c>
      <c r="ETI2" t="s">
        <v>8221</v>
      </c>
      <c r="ETJ2" t="s">
        <v>8222</v>
      </c>
      <c r="ETK2" t="s">
        <v>8223</v>
      </c>
      <c r="ETL2" t="s">
        <v>8224</v>
      </c>
      <c r="ETM2" t="s">
        <v>8225</v>
      </c>
      <c r="ETN2" t="s">
        <v>8226</v>
      </c>
      <c r="ETO2" t="s">
        <v>8227</v>
      </c>
      <c r="ETP2" t="s">
        <v>8228</v>
      </c>
      <c r="ETQ2" t="s">
        <v>8229</v>
      </c>
      <c r="ETR2" t="s">
        <v>8230</v>
      </c>
      <c r="ETS2" t="s">
        <v>8231</v>
      </c>
      <c r="ETT2" t="s">
        <v>8232</v>
      </c>
      <c r="ETU2" t="s">
        <v>8233</v>
      </c>
      <c r="ETV2" t="s">
        <v>8234</v>
      </c>
      <c r="ETW2" t="s">
        <v>8235</v>
      </c>
      <c r="ETX2" t="s">
        <v>8236</v>
      </c>
      <c r="ETY2" t="s">
        <v>8237</v>
      </c>
      <c r="ETZ2" t="s">
        <v>8238</v>
      </c>
      <c r="EUA2" t="s">
        <v>8239</v>
      </c>
      <c r="EUB2" t="s">
        <v>8240</v>
      </c>
      <c r="EUC2" t="s">
        <v>8241</v>
      </c>
      <c r="EUD2" t="s">
        <v>8242</v>
      </c>
      <c r="EUE2" t="s">
        <v>8243</v>
      </c>
      <c r="EUF2" t="s">
        <v>8244</v>
      </c>
      <c r="EUG2" t="s">
        <v>8245</v>
      </c>
      <c r="EUH2" t="s">
        <v>8246</v>
      </c>
      <c r="EUI2" t="s">
        <v>8247</v>
      </c>
      <c r="EUJ2" t="s">
        <v>8248</v>
      </c>
      <c r="EUK2" t="s">
        <v>8249</v>
      </c>
      <c r="EUL2" t="s">
        <v>8250</v>
      </c>
      <c r="EUM2" t="s">
        <v>8251</v>
      </c>
      <c r="EUN2" t="s">
        <v>8252</v>
      </c>
      <c r="EUO2" t="s">
        <v>8253</v>
      </c>
      <c r="EUP2" t="s">
        <v>8254</v>
      </c>
      <c r="EUQ2" t="s">
        <v>8255</v>
      </c>
      <c r="EUR2" t="s">
        <v>8256</v>
      </c>
      <c r="EUS2" t="s">
        <v>8257</v>
      </c>
      <c r="EUT2" t="s">
        <v>8258</v>
      </c>
      <c r="EUU2" t="s">
        <v>8259</v>
      </c>
      <c r="EUV2" t="s">
        <v>8260</v>
      </c>
      <c r="EUW2" t="s">
        <v>8261</v>
      </c>
      <c r="EUX2" t="s">
        <v>8262</v>
      </c>
      <c r="EUY2" t="s">
        <v>8263</v>
      </c>
      <c r="EUZ2" t="s">
        <v>8264</v>
      </c>
      <c r="EVA2" t="s">
        <v>8265</v>
      </c>
      <c r="EVB2" t="s">
        <v>8266</v>
      </c>
      <c r="EVC2" t="s">
        <v>8267</v>
      </c>
      <c r="EVD2" t="s">
        <v>8268</v>
      </c>
      <c r="EVE2" t="s">
        <v>8269</v>
      </c>
      <c r="EVF2" t="s">
        <v>8270</v>
      </c>
      <c r="EVG2" t="s">
        <v>8271</v>
      </c>
      <c r="EVH2" t="s">
        <v>8272</v>
      </c>
      <c r="EVI2" t="s">
        <v>8273</v>
      </c>
      <c r="EVJ2" t="s">
        <v>8274</v>
      </c>
      <c r="EVK2" t="s">
        <v>8275</v>
      </c>
      <c r="EVL2" t="s">
        <v>8276</v>
      </c>
      <c r="EVM2" t="s">
        <v>8277</v>
      </c>
      <c r="EVN2" t="s">
        <v>8278</v>
      </c>
      <c r="EVO2" t="s">
        <v>8279</v>
      </c>
      <c r="EVP2" t="s">
        <v>8280</v>
      </c>
      <c r="EVQ2" t="s">
        <v>8281</v>
      </c>
      <c r="EVR2" t="s">
        <v>8282</v>
      </c>
      <c r="EVS2" t="s">
        <v>8283</v>
      </c>
      <c r="EVT2" t="s">
        <v>8284</v>
      </c>
      <c r="EVU2" t="s">
        <v>8285</v>
      </c>
      <c r="EVV2" t="s">
        <v>8286</v>
      </c>
      <c r="EVW2" t="s">
        <v>8287</v>
      </c>
      <c r="EVX2" t="s">
        <v>8288</v>
      </c>
      <c r="EVY2" t="s">
        <v>8289</v>
      </c>
      <c r="EVZ2" t="s">
        <v>8290</v>
      </c>
      <c r="EWA2" t="s">
        <v>8291</v>
      </c>
      <c r="EWB2" t="s">
        <v>8292</v>
      </c>
      <c r="EWC2" t="s">
        <v>8293</v>
      </c>
      <c r="EWD2" t="s">
        <v>8294</v>
      </c>
      <c r="EWE2" t="s">
        <v>8295</v>
      </c>
      <c r="EWF2" t="s">
        <v>8296</v>
      </c>
      <c r="EWG2" t="s">
        <v>8297</v>
      </c>
      <c r="EWH2" t="s">
        <v>8298</v>
      </c>
      <c r="EWI2" t="s">
        <v>8299</v>
      </c>
      <c r="EWJ2" t="s">
        <v>8300</v>
      </c>
      <c r="EWK2" t="s">
        <v>8301</v>
      </c>
      <c r="EWL2" t="s">
        <v>8302</v>
      </c>
      <c r="EWM2" t="s">
        <v>8303</v>
      </c>
      <c r="EWN2" t="s">
        <v>8304</v>
      </c>
      <c r="EWO2" t="s">
        <v>8305</v>
      </c>
      <c r="EWP2" t="s">
        <v>8306</v>
      </c>
      <c r="EWQ2" t="s">
        <v>8307</v>
      </c>
      <c r="EWR2" t="s">
        <v>8308</v>
      </c>
      <c r="EWS2" t="s">
        <v>8309</v>
      </c>
      <c r="EWT2" t="s">
        <v>8310</v>
      </c>
      <c r="EWU2" t="s">
        <v>8311</v>
      </c>
      <c r="EWV2" t="s">
        <v>8312</v>
      </c>
      <c r="EWW2" t="s">
        <v>8313</v>
      </c>
      <c r="EWX2" t="s">
        <v>8314</v>
      </c>
      <c r="EWY2" t="s">
        <v>8315</v>
      </c>
      <c r="EWZ2" t="s">
        <v>8316</v>
      </c>
      <c r="EXA2" t="s">
        <v>8317</v>
      </c>
      <c r="EXB2" t="s">
        <v>8318</v>
      </c>
      <c r="EXC2" t="s">
        <v>8319</v>
      </c>
      <c r="EXD2" t="s">
        <v>8320</v>
      </c>
      <c r="EXE2" t="s">
        <v>8321</v>
      </c>
      <c r="EXF2" t="s">
        <v>8322</v>
      </c>
      <c r="EXG2" t="s">
        <v>8323</v>
      </c>
      <c r="EXH2" t="s">
        <v>8324</v>
      </c>
      <c r="EXI2" t="s">
        <v>8325</v>
      </c>
      <c r="EXJ2" t="s">
        <v>8326</v>
      </c>
      <c r="EXK2" t="s">
        <v>8327</v>
      </c>
      <c r="EXL2" t="s">
        <v>8328</v>
      </c>
      <c r="EXM2" t="s">
        <v>8329</v>
      </c>
      <c r="EXN2" t="s">
        <v>8330</v>
      </c>
      <c r="EXO2" t="s">
        <v>8331</v>
      </c>
      <c r="EXP2" t="s">
        <v>8332</v>
      </c>
      <c r="EXQ2" t="s">
        <v>8333</v>
      </c>
      <c r="EXR2" t="s">
        <v>8334</v>
      </c>
      <c r="EXS2" t="s">
        <v>8335</v>
      </c>
      <c r="EXT2" t="s">
        <v>8336</v>
      </c>
      <c r="EXU2" t="s">
        <v>8337</v>
      </c>
      <c r="EXV2" t="s">
        <v>8338</v>
      </c>
      <c r="EXW2" t="s">
        <v>8339</v>
      </c>
      <c r="EXX2" t="s">
        <v>8340</v>
      </c>
      <c r="EXY2" t="s">
        <v>8341</v>
      </c>
      <c r="EXZ2" t="s">
        <v>8342</v>
      </c>
      <c r="EYA2" t="s">
        <v>8343</v>
      </c>
      <c r="EYB2" t="s">
        <v>8344</v>
      </c>
      <c r="EYC2" t="s">
        <v>8345</v>
      </c>
      <c r="EYD2" t="s">
        <v>8346</v>
      </c>
      <c r="EYE2" t="s">
        <v>8347</v>
      </c>
      <c r="EYF2" t="s">
        <v>8348</v>
      </c>
      <c r="EYG2" t="s">
        <v>8349</v>
      </c>
      <c r="EYH2" t="s">
        <v>8350</v>
      </c>
      <c r="EYI2" t="s">
        <v>8351</v>
      </c>
      <c r="EYJ2" t="s">
        <v>8352</v>
      </c>
      <c r="EYK2" t="s">
        <v>8353</v>
      </c>
      <c r="EYL2" t="s">
        <v>8354</v>
      </c>
      <c r="EYM2" t="s">
        <v>8355</v>
      </c>
      <c r="EYN2" t="s">
        <v>8356</v>
      </c>
      <c r="EYO2" t="s">
        <v>8357</v>
      </c>
      <c r="EYP2" t="s">
        <v>8358</v>
      </c>
      <c r="EYQ2" t="s">
        <v>8359</v>
      </c>
      <c r="EYR2" t="s">
        <v>8360</v>
      </c>
      <c r="EYS2" t="s">
        <v>8361</v>
      </c>
      <c r="EYT2" t="s">
        <v>8362</v>
      </c>
      <c r="EYU2" t="s">
        <v>8363</v>
      </c>
      <c r="EYV2" t="s">
        <v>8364</v>
      </c>
      <c r="EYW2" t="s">
        <v>8365</v>
      </c>
      <c r="EYX2" t="s">
        <v>8366</v>
      </c>
      <c r="EYY2" t="s">
        <v>8367</v>
      </c>
      <c r="EYZ2" t="s">
        <v>8368</v>
      </c>
      <c r="EZA2" t="s">
        <v>8369</v>
      </c>
      <c r="EZB2" t="s">
        <v>8370</v>
      </c>
      <c r="EZC2" t="s">
        <v>8371</v>
      </c>
      <c r="EZD2" t="s">
        <v>8372</v>
      </c>
      <c r="EZE2" t="s">
        <v>8373</v>
      </c>
      <c r="EZF2" t="s">
        <v>8374</v>
      </c>
      <c r="EZG2" t="s">
        <v>8375</v>
      </c>
      <c r="EZH2" t="s">
        <v>8376</v>
      </c>
      <c r="EZI2" t="s">
        <v>8377</v>
      </c>
      <c r="EZJ2" t="s">
        <v>8378</v>
      </c>
      <c r="EZK2" t="s">
        <v>8379</v>
      </c>
      <c r="EZL2" t="s">
        <v>8380</v>
      </c>
      <c r="EZM2" t="s">
        <v>8381</v>
      </c>
      <c r="EZN2" t="s">
        <v>8382</v>
      </c>
      <c r="EZO2" t="s">
        <v>8383</v>
      </c>
      <c r="EZP2" t="s">
        <v>8384</v>
      </c>
      <c r="EZQ2" t="s">
        <v>8385</v>
      </c>
      <c r="EZR2" t="s">
        <v>8386</v>
      </c>
      <c r="EZS2" t="s">
        <v>8387</v>
      </c>
      <c r="EZT2" t="s">
        <v>8388</v>
      </c>
      <c r="EZU2" t="s">
        <v>8389</v>
      </c>
      <c r="EZV2" t="s">
        <v>8390</v>
      </c>
      <c r="EZW2" t="s">
        <v>8391</v>
      </c>
      <c r="EZX2" t="s">
        <v>8392</v>
      </c>
      <c r="EZY2" t="s">
        <v>8393</v>
      </c>
      <c r="EZZ2" t="s">
        <v>8394</v>
      </c>
      <c r="FAA2" t="s">
        <v>8395</v>
      </c>
      <c r="FAB2" t="s">
        <v>8396</v>
      </c>
      <c r="FAC2" t="s">
        <v>8397</v>
      </c>
      <c r="FAD2" t="s">
        <v>8398</v>
      </c>
      <c r="FAE2" t="s">
        <v>8399</v>
      </c>
      <c r="FAF2" t="s">
        <v>8400</v>
      </c>
      <c r="FAG2" t="s">
        <v>8401</v>
      </c>
      <c r="FAH2" t="s">
        <v>8402</v>
      </c>
      <c r="FAI2" t="s">
        <v>8403</v>
      </c>
      <c r="FAJ2" t="s">
        <v>8404</v>
      </c>
      <c r="FAK2" t="s">
        <v>8405</v>
      </c>
      <c r="FAL2" t="s">
        <v>8406</v>
      </c>
      <c r="FAM2" t="s">
        <v>8407</v>
      </c>
      <c r="FAN2" t="s">
        <v>8408</v>
      </c>
      <c r="FAO2" t="s">
        <v>8409</v>
      </c>
      <c r="FAP2" t="s">
        <v>8410</v>
      </c>
      <c r="FAQ2" t="s">
        <v>8411</v>
      </c>
      <c r="FAR2" t="s">
        <v>8412</v>
      </c>
      <c r="FAS2" t="s">
        <v>8413</v>
      </c>
      <c r="FAT2" t="s">
        <v>8414</v>
      </c>
      <c r="FAU2" t="s">
        <v>8415</v>
      </c>
      <c r="FAV2" t="s">
        <v>8416</v>
      </c>
      <c r="FAW2" t="s">
        <v>8417</v>
      </c>
      <c r="FAX2" t="s">
        <v>8418</v>
      </c>
      <c r="FAY2" t="s">
        <v>8419</v>
      </c>
      <c r="FAZ2" t="s">
        <v>8420</v>
      </c>
      <c r="FBA2" t="s">
        <v>8421</v>
      </c>
      <c r="FBB2" t="s">
        <v>8422</v>
      </c>
      <c r="FBC2" t="s">
        <v>8423</v>
      </c>
      <c r="FBD2" t="s">
        <v>8424</v>
      </c>
      <c r="FBE2" t="s">
        <v>8425</v>
      </c>
      <c r="FBF2" t="s">
        <v>8426</v>
      </c>
      <c r="FBG2" t="s">
        <v>8427</v>
      </c>
      <c r="FBH2" t="s">
        <v>8428</v>
      </c>
      <c r="FBI2" t="s">
        <v>8429</v>
      </c>
      <c r="FBJ2" t="s">
        <v>8430</v>
      </c>
      <c r="FBK2" t="s">
        <v>8431</v>
      </c>
      <c r="FBL2" t="s">
        <v>8432</v>
      </c>
      <c r="FBM2" t="s">
        <v>8433</v>
      </c>
      <c r="FBN2" t="s">
        <v>8434</v>
      </c>
      <c r="FBO2" t="s">
        <v>8435</v>
      </c>
      <c r="FBP2" t="s">
        <v>8436</v>
      </c>
      <c r="FBQ2" t="s">
        <v>8437</v>
      </c>
      <c r="FBR2" t="s">
        <v>8438</v>
      </c>
      <c r="FBS2" t="s">
        <v>8439</v>
      </c>
      <c r="FBT2" t="s">
        <v>8440</v>
      </c>
      <c r="FBU2" t="s">
        <v>8441</v>
      </c>
      <c r="FBV2" t="s">
        <v>8442</v>
      </c>
      <c r="FBW2" t="s">
        <v>8443</v>
      </c>
      <c r="FBX2" t="s">
        <v>8444</v>
      </c>
      <c r="FBY2" t="s">
        <v>8445</v>
      </c>
      <c r="FBZ2" t="s">
        <v>8446</v>
      </c>
      <c r="FCA2" t="s">
        <v>8447</v>
      </c>
      <c r="FCB2" t="s">
        <v>8448</v>
      </c>
      <c r="FCC2" t="s">
        <v>8449</v>
      </c>
      <c r="FCD2" t="s">
        <v>8450</v>
      </c>
      <c r="FCE2" t="s">
        <v>8451</v>
      </c>
      <c r="FCF2" t="s">
        <v>8452</v>
      </c>
      <c r="FCG2" t="s">
        <v>8453</v>
      </c>
      <c r="FCH2" t="s">
        <v>8454</v>
      </c>
      <c r="FCI2" t="s">
        <v>8455</v>
      </c>
      <c r="FCJ2" t="s">
        <v>8456</v>
      </c>
      <c r="FCK2" t="s">
        <v>8457</v>
      </c>
      <c r="FCL2" t="s">
        <v>8458</v>
      </c>
      <c r="FCM2" t="s">
        <v>8459</v>
      </c>
      <c r="FCN2" t="s">
        <v>8460</v>
      </c>
      <c r="FCO2" t="s">
        <v>8461</v>
      </c>
      <c r="FCP2" t="s">
        <v>8462</v>
      </c>
      <c r="FCQ2" t="s">
        <v>8463</v>
      </c>
      <c r="FCR2" t="s">
        <v>8464</v>
      </c>
      <c r="FCS2" t="s">
        <v>8465</v>
      </c>
      <c r="FCT2" t="s">
        <v>8466</v>
      </c>
      <c r="FCU2" t="s">
        <v>8467</v>
      </c>
      <c r="FCV2" t="s">
        <v>8468</v>
      </c>
      <c r="FCW2" t="s">
        <v>8469</v>
      </c>
      <c r="FCX2" t="s">
        <v>8470</v>
      </c>
      <c r="FCY2" t="s">
        <v>8471</v>
      </c>
      <c r="FCZ2" t="s">
        <v>8472</v>
      </c>
      <c r="FDA2" t="s">
        <v>8473</v>
      </c>
      <c r="FDB2" t="s">
        <v>8474</v>
      </c>
      <c r="FDC2" t="s">
        <v>8475</v>
      </c>
      <c r="FDD2" t="s">
        <v>8476</v>
      </c>
      <c r="FDE2" t="s">
        <v>8477</v>
      </c>
      <c r="FDF2" t="s">
        <v>8478</v>
      </c>
      <c r="FDG2" t="s">
        <v>8479</v>
      </c>
      <c r="FDH2" t="s">
        <v>8480</v>
      </c>
      <c r="FDI2" t="s">
        <v>8481</v>
      </c>
      <c r="FDJ2" t="s">
        <v>8482</v>
      </c>
      <c r="FDK2" t="s">
        <v>8483</v>
      </c>
      <c r="FDL2" t="s">
        <v>8484</v>
      </c>
      <c r="FDM2" t="s">
        <v>8485</v>
      </c>
      <c r="FDN2" t="s">
        <v>8486</v>
      </c>
      <c r="FDO2" t="s">
        <v>8487</v>
      </c>
      <c r="FDP2" t="s">
        <v>8488</v>
      </c>
      <c r="FDQ2" t="s">
        <v>8489</v>
      </c>
      <c r="FDR2" t="s">
        <v>8490</v>
      </c>
      <c r="FDS2" t="s">
        <v>8491</v>
      </c>
      <c r="FDT2" t="s">
        <v>8492</v>
      </c>
      <c r="FDU2" t="s">
        <v>8493</v>
      </c>
      <c r="FDV2" t="s">
        <v>8494</v>
      </c>
      <c r="FDW2" t="s">
        <v>8495</v>
      </c>
      <c r="FDX2" t="s">
        <v>8496</v>
      </c>
      <c r="FDY2" t="s">
        <v>8497</v>
      </c>
      <c r="FDZ2" t="s">
        <v>8498</v>
      </c>
      <c r="FEA2" t="s">
        <v>8499</v>
      </c>
      <c r="FEB2" t="s">
        <v>8500</v>
      </c>
      <c r="FEC2" t="s">
        <v>8501</v>
      </c>
      <c r="FED2" t="s">
        <v>8502</v>
      </c>
      <c r="FEE2" t="s">
        <v>8503</v>
      </c>
      <c r="FEF2" t="s">
        <v>8504</v>
      </c>
      <c r="FEG2" t="s">
        <v>8505</v>
      </c>
      <c r="FEH2" t="s">
        <v>8506</v>
      </c>
      <c r="FEI2" t="s">
        <v>8507</v>
      </c>
      <c r="FEJ2" t="s">
        <v>8508</v>
      </c>
      <c r="FEK2" t="s">
        <v>8509</v>
      </c>
      <c r="FEL2" t="s">
        <v>8510</v>
      </c>
      <c r="FEM2" t="s">
        <v>8511</v>
      </c>
      <c r="FEN2" t="s">
        <v>8512</v>
      </c>
      <c r="FEO2" t="s">
        <v>8513</v>
      </c>
      <c r="FEP2" t="s">
        <v>8514</v>
      </c>
      <c r="FEQ2" t="s">
        <v>8515</v>
      </c>
      <c r="FER2" t="s">
        <v>8516</v>
      </c>
      <c r="FES2" t="s">
        <v>8517</v>
      </c>
      <c r="FET2" t="s">
        <v>8518</v>
      </c>
      <c r="FEU2" t="s">
        <v>8519</v>
      </c>
      <c r="FEV2" t="s">
        <v>8520</v>
      </c>
      <c r="FEW2" t="s">
        <v>8521</v>
      </c>
      <c r="FEX2" t="s">
        <v>8522</v>
      </c>
      <c r="FEY2" t="s">
        <v>8523</v>
      </c>
      <c r="FEZ2" t="s">
        <v>8524</v>
      </c>
      <c r="FFA2" t="s">
        <v>8525</v>
      </c>
      <c r="FFB2" t="s">
        <v>8526</v>
      </c>
      <c r="FFC2" t="s">
        <v>8527</v>
      </c>
      <c r="FFD2" t="s">
        <v>8528</v>
      </c>
      <c r="FFE2" t="s">
        <v>8529</v>
      </c>
      <c r="FFF2" t="s">
        <v>8530</v>
      </c>
      <c r="FFG2" t="s">
        <v>8531</v>
      </c>
      <c r="FFH2" t="s">
        <v>8532</v>
      </c>
      <c r="FFI2" t="s">
        <v>8533</v>
      </c>
      <c r="FFJ2" t="s">
        <v>8534</v>
      </c>
      <c r="FFK2" t="s">
        <v>8535</v>
      </c>
      <c r="FFL2" t="s">
        <v>8536</v>
      </c>
      <c r="FFM2" t="s">
        <v>8537</v>
      </c>
      <c r="FFN2" t="s">
        <v>8538</v>
      </c>
      <c r="FFO2" t="s">
        <v>8539</v>
      </c>
      <c r="FFP2" t="s">
        <v>8540</v>
      </c>
      <c r="FFQ2" t="s">
        <v>8541</v>
      </c>
      <c r="FFR2" t="s">
        <v>8542</v>
      </c>
      <c r="FFS2" t="s">
        <v>8543</v>
      </c>
      <c r="FFT2" t="s">
        <v>8544</v>
      </c>
      <c r="FFU2" t="s">
        <v>8545</v>
      </c>
      <c r="FFV2" t="s">
        <v>8546</v>
      </c>
      <c r="FFW2" t="s">
        <v>8547</v>
      </c>
      <c r="FFX2" t="s">
        <v>8548</v>
      </c>
      <c r="FFY2" t="s">
        <v>8549</v>
      </c>
      <c r="FFZ2" t="s">
        <v>8550</v>
      </c>
      <c r="FGA2" t="s">
        <v>8551</v>
      </c>
      <c r="FGB2" t="s">
        <v>8552</v>
      </c>
      <c r="FGC2" t="s">
        <v>8553</v>
      </c>
      <c r="FGD2" t="s">
        <v>8554</v>
      </c>
      <c r="FGE2" t="s">
        <v>8555</v>
      </c>
      <c r="FGF2" t="s">
        <v>8556</v>
      </c>
      <c r="FGG2" t="s">
        <v>8557</v>
      </c>
      <c r="FGH2" t="s">
        <v>8558</v>
      </c>
      <c r="FGI2" t="s">
        <v>8559</v>
      </c>
      <c r="FGJ2" t="s">
        <v>8560</v>
      </c>
      <c r="FGK2" t="s">
        <v>8561</v>
      </c>
      <c r="FGL2" t="s">
        <v>8562</v>
      </c>
      <c r="FGM2" t="s">
        <v>8563</v>
      </c>
      <c r="FGN2" t="s">
        <v>8564</v>
      </c>
      <c r="FGO2" t="s">
        <v>8565</v>
      </c>
      <c r="FGP2" t="s">
        <v>8566</v>
      </c>
      <c r="FGQ2" t="s">
        <v>8567</v>
      </c>
      <c r="FGR2" t="s">
        <v>8568</v>
      </c>
      <c r="FGS2" t="s">
        <v>8569</v>
      </c>
      <c r="FGT2" t="s">
        <v>8570</v>
      </c>
      <c r="FGU2" t="s">
        <v>8571</v>
      </c>
      <c r="FGV2" t="s">
        <v>8572</v>
      </c>
      <c r="FGW2" t="s">
        <v>8573</v>
      </c>
      <c r="FGX2" t="s">
        <v>8574</v>
      </c>
      <c r="FGY2" t="s">
        <v>8575</v>
      </c>
      <c r="FGZ2" t="s">
        <v>8576</v>
      </c>
      <c r="FHA2" t="s">
        <v>8577</v>
      </c>
      <c r="FHB2" t="s">
        <v>8578</v>
      </c>
      <c r="FHC2" t="s">
        <v>8579</v>
      </c>
      <c r="FHD2" t="s">
        <v>8580</v>
      </c>
      <c r="FHE2" t="s">
        <v>8581</v>
      </c>
      <c r="FHF2" t="s">
        <v>8582</v>
      </c>
      <c r="FHG2" t="s">
        <v>8583</v>
      </c>
      <c r="FHH2" t="s">
        <v>8584</v>
      </c>
      <c r="FHI2" t="s">
        <v>8585</v>
      </c>
      <c r="FHJ2" t="s">
        <v>8586</v>
      </c>
      <c r="FHK2" t="s">
        <v>8587</v>
      </c>
      <c r="FHL2" t="s">
        <v>8588</v>
      </c>
      <c r="FHM2" t="s">
        <v>8589</v>
      </c>
      <c r="FHN2" t="s">
        <v>8590</v>
      </c>
      <c r="FHO2" t="s">
        <v>8591</v>
      </c>
      <c r="FHP2" t="s">
        <v>8592</v>
      </c>
      <c r="FHQ2" t="s">
        <v>8593</v>
      </c>
      <c r="FHR2" t="s">
        <v>8594</v>
      </c>
      <c r="FHS2" t="s">
        <v>8595</v>
      </c>
      <c r="FHT2" t="s">
        <v>8596</v>
      </c>
      <c r="FHU2" t="s">
        <v>8597</v>
      </c>
      <c r="FHV2" t="s">
        <v>8598</v>
      </c>
      <c r="FHW2" t="s">
        <v>8599</v>
      </c>
      <c r="FHX2" t="s">
        <v>8600</v>
      </c>
      <c r="FHY2" t="s">
        <v>8601</v>
      </c>
      <c r="FHZ2" t="s">
        <v>8602</v>
      </c>
      <c r="FIA2" t="s">
        <v>8603</v>
      </c>
      <c r="FIB2" t="s">
        <v>8604</v>
      </c>
      <c r="FIC2" t="s">
        <v>8605</v>
      </c>
      <c r="FID2" t="s">
        <v>8606</v>
      </c>
      <c r="FIE2" t="s">
        <v>8607</v>
      </c>
      <c r="FIF2" t="s">
        <v>8608</v>
      </c>
      <c r="FIG2" t="s">
        <v>8609</v>
      </c>
      <c r="FIH2" t="s">
        <v>8610</v>
      </c>
      <c r="FII2" t="s">
        <v>8611</v>
      </c>
      <c r="FIJ2" t="s">
        <v>8612</v>
      </c>
      <c r="FIK2" t="s">
        <v>8613</v>
      </c>
      <c r="FIL2" t="s">
        <v>8614</v>
      </c>
      <c r="FIM2" t="s">
        <v>8615</v>
      </c>
      <c r="FIN2" t="s">
        <v>8616</v>
      </c>
      <c r="FIO2" t="s">
        <v>8617</v>
      </c>
      <c r="FIP2" t="s">
        <v>8618</v>
      </c>
      <c r="FIQ2" t="s">
        <v>8619</v>
      </c>
      <c r="FIR2" t="s">
        <v>8620</v>
      </c>
      <c r="FIS2" t="s">
        <v>8621</v>
      </c>
      <c r="FIT2" t="s">
        <v>8622</v>
      </c>
      <c r="FIU2" t="s">
        <v>8623</v>
      </c>
      <c r="FIV2" t="s">
        <v>8624</v>
      </c>
      <c r="FIW2" t="s">
        <v>8625</v>
      </c>
      <c r="FIX2" t="s">
        <v>8626</v>
      </c>
      <c r="FIY2" t="s">
        <v>8627</v>
      </c>
      <c r="FIZ2" t="s">
        <v>8628</v>
      </c>
      <c r="FJA2" t="s">
        <v>8629</v>
      </c>
      <c r="FJB2" t="s">
        <v>8630</v>
      </c>
      <c r="FJC2" t="s">
        <v>8631</v>
      </c>
      <c r="FJD2" t="s">
        <v>8632</v>
      </c>
      <c r="FJE2" t="s">
        <v>8633</v>
      </c>
      <c r="FJF2" t="s">
        <v>8634</v>
      </c>
      <c r="FJG2" t="s">
        <v>8635</v>
      </c>
      <c r="FJH2" t="s">
        <v>8636</v>
      </c>
      <c r="FJI2" t="s">
        <v>8637</v>
      </c>
      <c r="FJJ2" t="s">
        <v>8638</v>
      </c>
      <c r="FJK2" t="s">
        <v>8639</v>
      </c>
      <c r="FJL2" t="s">
        <v>8640</v>
      </c>
      <c r="FJM2" t="s">
        <v>8641</v>
      </c>
      <c r="FJN2" t="s">
        <v>8642</v>
      </c>
      <c r="FJO2" t="s">
        <v>8643</v>
      </c>
      <c r="FJP2" t="s">
        <v>8644</v>
      </c>
      <c r="FJQ2" t="s">
        <v>8645</v>
      </c>
      <c r="FJR2" t="s">
        <v>8646</v>
      </c>
      <c r="FJS2" t="s">
        <v>8647</v>
      </c>
      <c r="FJT2" t="s">
        <v>8648</v>
      </c>
      <c r="FJU2" t="s">
        <v>8649</v>
      </c>
      <c r="FJV2" t="s">
        <v>8650</v>
      </c>
      <c r="FJW2" t="s">
        <v>8651</v>
      </c>
      <c r="FJX2" t="s">
        <v>8652</v>
      </c>
      <c r="FJY2" t="s">
        <v>8653</v>
      </c>
      <c r="FJZ2" t="s">
        <v>8654</v>
      </c>
      <c r="FKA2" t="s">
        <v>8655</v>
      </c>
      <c r="FKB2" t="s">
        <v>8656</v>
      </c>
      <c r="FKC2" t="s">
        <v>8657</v>
      </c>
      <c r="FKD2" t="s">
        <v>8658</v>
      </c>
      <c r="FKE2" t="s">
        <v>8659</v>
      </c>
      <c r="FKF2" t="s">
        <v>8660</v>
      </c>
      <c r="FKG2" t="s">
        <v>8661</v>
      </c>
      <c r="FKH2" t="s">
        <v>8662</v>
      </c>
      <c r="FKI2" t="s">
        <v>8663</v>
      </c>
      <c r="FKJ2" t="s">
        <v>8664</v>
      </c>
      <c r="FKK2" t="s">
        <v>8665</v>
      </c>
      <c r="FKL2" t="s">
        <v>8666</v>
      </c>
      <c r="FKM2" t="s">
        <v>8667</v>
      </c>
      <c r="FKN2" t="s">
        <v>8668</v>
      </c>
      <c r="FKO2" t="s">
        <v>8669</v>
      </c>
      <c r="FKP2" t="s">
        <v>8670</v>
      </c>
      <c r="FKQ2" t="s">
        <v>8671</v>
      </c>
      <c r="FKR2" t="s">
        <v>8672</v>
      </c>
      <c r="FKS2" t="s">
        <v>8673</v>
      </c>
      <c r="FKT2" t="s">
        <v>8674</v>
      </c>
      <c r="FKU2" t="s">
        <v>8675</v>
      </c>
      <c r="FKV2" t="s">
        <v>8676</v>
      </c>
      <c r="FKW2" t="s">
        <v>8677</v>
      </c>
      <c r="FKX2" t="s">
        <v>8678</v>
      </c>
      <c r="FKY2" t="s">
        <v>8679</v>
      </c>
      <c r="FKZ2" t="s">
        <v>8680</v>
      </c>
      <c r="FLA2" t="s">
        <v>8681</v>
      </c>
      <c r="FLB2" t="s">
        <v>8682</v>
      </c>
      <c r="FLC2" t="s">
        <v>8683</v>
      </c>
      <c r="FLD2" t="s">
        <v>8684</v>
      </c>
      <c r="FLE2" t="s">
        <v>8685</v>
      </c>
      <c r="FLF2" t="s">
        <v>8686</v>
      </c>
      <c r="FLG2" t="s">
        <v>8687</v>
      </c>
      <c r="FLH2" t="s">
        <v>8688</v>
      </c>
      <c r="FLI2" t="s">
        <v>8689</v>
      </c>
      <c r="FLJ2" t="s">
        <v>8690</v>
      </c>
      <c r="FLK2" t="s">
        <v>8691</v>
      </c>
      <c r="FLL2" t="s">
        <v>8692</v>
      </c>
      <c r="FLM2" t="s">
        <v>8693</v>
      </c>
      <c r="FLN2" t="s">
        <v>8694</v>
      </c>
      <c r="FLO2" t="s">
        <v>8695</v>
      </c>
      <c r="FLP2" t="s">
        <v>8696</v>
      </c>
      <c r="FLQ2" t="s">
        <v>8697</v>
      </c>
      <c r="FLR2" t="s">
        <v>8698</v>
      </c>
      <c r="FLS2" t="s">
        <v>8699</v>
      </c>
      <c r="FLT2" t="s">
        <v>8700</v>
      </c>
      <c r="FLU2" t="s">
        <v>8701</v>
      </c>
      <c r="FLV2" t="s">
        <v>8702</v>
      </c>
      <c r="FLW2" t="s">
        <v>8703</v>
      </c>
      <c r="FLX2" t="s">
        <v>8704</v>
      </c>
      <c r="FLY2" t="s">
        <v>8705</v>
      </c>
      <c r="FLZ2" t="s">
        <v>8706</v>
      </c>
      <c r="FMA2" t="s">
        <v>8707</v>
      </c>
      <c r="FMB2" t="s">
        <v>8708</v>
      </c>
      <c r="FMC2" t="s">
        <v>8709</v>
      </c>
      <c r="FMD2" t="s">
        <v>8710</v>
      </c>
      <c r="FME2" t="s">
        <v>8711</v>
      </c>
      <c r="FMF2" t="s">
        <v>8712</v>
      </c>
      <c r="FMG2" t="s">
        <v>8713</v>
      </c>
      <c r="FMH2" t="s">
        <v>8714</v>
      </c>
      <c r="FMI2" t="s">
        <v>8715</v>
      </c>
      <c r="FMJ2" t="s">
        <v>8716</v>
      </c>
      <c r="FMK2" t="s">
        <v>8717</v>
      </c>
      <c r="FML2" t="s">
        <v>8718</v>
      </c>
      <c r="FMM2" t="s">
        <v>8719</v>
      </c>
      <c r="FMN2" t="s">
        <v>8720</v>
      </c>
      <c r="FMO2" t="s">
        <v>8721</v>
      </c>
      <c r="FMP2" t="s">
        <v>8722</v>
      </c>
      <c r="FMQ2" t="s">
        <v>8723</v>
      </c>
      <c r="FMR2" t="s">
        <v>8724</v>
      </c>
      <c r="FMS2" t="s">
        <v>8725</v>
      </c>
      <c r="FMT2" t="s">
        <v>8726</v>
      </c>
      <c r="FMU2" t="s">
        <v>8727</v>
      </c>
      <c r="FMV2" t="s">
        <v>8728</v>
      </c>
      <c r="FMW2" t="s">
        <v>8729</v>
      </c>
      <c r="FMX2" t="s">
        <v>8730</v>
      </c>
      <c r="FMY2" t="s">
        <v>8731</v>
      </c>
      <c r="FMZ2" t="s">
        <v>8732</v>
      </c>
      <c r="FNA2" t="s">
        <v>8733</v>
      </c>
      <c r="FNB2" t="s">
        <v>8734</v>
      </c>
      <c r="FNC2" t="s">
        <v>8735</v>
      </c>
      <c r="FND2" t="s">
        <v>8736</v>
      </c>
      <c r="FNE2" t="s">
        <v>8737</v>
      </c>
      <c r="FNF2" t="s">
        <v>8738</v>
      </c>
      <c r="FNG2" t="s">
        <v>8739</v>
      </c>
      <c r="FNH2" t="s">
        <v>8740</v>
      </c>
      <c r="FNI2" t="s">
        <v>8741</v>
      </c>
      <c r="FNJ2" t="s">
        <v>8742</v>
      </c>
      <c r="FNK2" t="s">
        <v>8743</v>
      </c>
      <c r="FNL2" t="s">
        <v>8744</v>
      </c>
      <c r="FNM2" t="s">
        <v>8745</v>
      </c>
      <c r="FNN2" t="s">
        <v>8746</v>
      </c>
      <c r="FNO2" t="s">
        <v>8747</v>
      </c>
      <c r="FNP2" t="s">
        <v>8748</v>
      </c>
      <c r="FNQ2" t="s">
        <v>8749</v>
      </c>
      <c r="FNR2" t="s">
        <v>8750</v>
      </c>
      <c r="FNS2" t="s">
        <v>8751</v>
      </c>
      <c r="FNT2" t="s">
        <v>8752</v>
      </c>
      <c r="FNU2" t="s">
        <v>8753</v>
      </c>
      <c r="FNV2" t="s">
        <v>8754</v>
      </c>
      <c r="FNW2" t="s">
        <v>8755</v>
      </c>
      <c r="FNX2" t="s">
        <v>8756</v>
      </c>
      <c r="FNY2" t="s">
        <v>8757</v>
      </c>
      <c r="FNZ2" t="s">
        <v>8758</v>
      </c>
      <c r="FOA2" t="s">
        <v>8759</v>
      </c>
      <c r="FOB2" t="s">
        <v>8760</v>
      </c>
      <c r="FOC2" t="s">
        <v>8761</v>
      </c>
      <c r="FOD2" t="s">
        <v>8762</v>
      </c>
      <c r="FOE2" t="s">
        <v>8763</v>
      </c>
      <c r="FOF2" t="s">
        <v>8764</v>
      </c>
      <c r="FOG2" t="s">
        <v>8765</v>
      </c>
      <c r="FOH2" t="s">
        <v>8766</v>
      </c>
      <c r="FOI2" t="s">
        <v>8767</v>
      </c>
      <c r="FOJ2" t="s">
        <v>8768</v>
      </c>
      <c r="FOK2" t="s">
        <v>8769</v>
      </c>
      <c r="FOL2" t="s">
        <v>8770</v>
      </c>
      <c r="FOM2" t="s">
        <v>8771</v>
      </c>
      <c r="FON2" t="s">
        <v>8772</v>
      </c>
      <c r="FOO2" t="s">
        <v>8773</v>
      </c>
      <c r="FOP2" t="s">
        <v>8774</v>
      </c>
      <c r="FOQ2" t="s">
        <v>8775</v>
      </c>
      <c r="FOR2" t="s">
        <v>8776</v>
      </c>
      <c r="FOS2" t="s">
        <v>8777</v>
      </c>
      <c r="FOT2" t="s">
        <v>8778</v>
      </c>
      <c r="FOU2" t="s">
        <v>8779</v>
      </c>
      <c r="FOV2" t="s">
        <v>8780</v>
      </c>
      <c r="FOW2" t="s">
        <v>8781</v>
      </c>
      <c r="FOX2" t="s">
        <v>8782</v>
      </c>
      <c r="FOY2" t="s">
        <v>8783</v>
      </c>
      <c r="FOZ2" t="s">
        <v>8784</v>
      </c>
      <c r="FPA2" t="s">
        <v>8785</v>
      </c>
      <c r="FPB2" t="s">
        <v>8786</v>
      </c>
      <c r="FPC2" t="s">
        <v>8787</v>
      </c>
      <c r="FPD2" t="s">
        <v>8788</v>
      </c>
      <c r="FPE2" t="s">
        <v>8789</v>
      </c>
      <c r="FPF2" t="s">
        <v>8790</v>
      </c>
      <c r="FPG2" t="s">
        <v>8791</v>
      </c>
      <c r="FPH2" t="s">
        <v>8792</v>
      </c>
      <c r="FPI2" t="s">
        <v>8793</v>
      </c>
      <c r="FPJ2" t="s">
        <v>8794</v>
      </c>
      <c r="FPK2" t="s">
        <v>8795</v>
      </c>
      <c r="FPL2" t="s">
        <v>8796</v>
      </c>
      <c r="FPM2" t="s">
        <v>8797</v>
      </c>
      <c r="FPN2" t="s">
        <v>8798</v>
      </c>
      <c r="FPO2" t="s">
        <v>8799</v>
      </c>
      <c r="FPP2" t="s">
        <v>8800</v>
      </c>
      <c r="FPQ2" t="s">
        <v>8801</v>
      </c>
      <c r="FPR2" t="s">
        <v>8802</v>
      </c>
      <c r="FPS2" t="s">
        <v>8803</v>
      </c>
      <c r="FPT2" t="s">
        <v>8804</v>
      </c>
      <c r="FPU2" t="s">
        <v>8805</v>
      </c>
      <c r="FPV2" t="s">
        <v>8806</v>
      </c>
      <c r="FPW2" t="s">
        <v>8807</v>
      </c>
      <c r="FPX2" t="s">
        <v>8808</v>
      </c>
      <c r="FPY2" t="s">
        <v>8809</v>
      </c>
      <c r="FPZ2" t="s">
        <v>8810</v>
      </c>
      <c r="FQA2" t="s">
        <v>8811</v>
      </c>
      <c r="FQB2" t="s">
        <v>8812</v>
      </c>
      <c r="FQC2" t="s">
        <v>8813</v>
      </c>
      <c r="FQD2" t="s">
        <v>8814</v>
      </c>
      <c r="FQE2" t="s">
        <v>8815</v>
      </c>
      <c r="FQF2" t="s">
        <v>8816</v>
      </c>
      <c r="FQG2" t="s">
        <v>8817</v>
      </c>
      <c r="FQH2" t="s">
        <v>8818</v>
      </c>
      <c r="FQI2" t="s">
        <v>8819</v>
      </c>
      <c r="FQJ2" t="s">
        <v>8820</v>
      </c>
      <c r="FQK2" t="s">
        <v>8821</v>
      </c>
      <c r="FQL2" t="s">
        <v>8822</v>
      </c>
      <c r="FQM2" t="s">
        <v>8823</v>
      </c>
      <c r="FQN2" t="s">
        <v>8824</v>
      </c>
      <c r="FQO2" t="s">
        <v>8825</v>
      </c>
      <c r="FQP2" t="s">
        <v>8826</v>
      </c>
      <c r="FQQ2" t="s">
        <v>8827</v>
      </c>
      <c r="FQR2" t="s">
        <v>8828</v>
      </c>
      <c r="FQS2" t="s">
        <v>8829</v>
      </c>
      <c r="FQT2" t="s">
        <v>8830</v>
      </c>
      <c r="FQU2" t="s">
        <v>8831</v>
      </c>
      <c r="FQV2" t="s">
        <v>8832</v>
      </c>
      <c r="FQW2" t="s">
        <v>8833</v>
      </c>
      <c r="FQX2" t="s">
        <v>8834</v>
      </c>
      <c r="FQY2" t="s">
        <v>8835</v>
      </c>
      <c r="FQZ2" t="s">
        <v>8836</v>
      </c>
      <c r="FRA2" t="s">
        <v>8837</v>
      </c>
      <c r="FRB2" t="s">
        <v>8838</v>
      </c>
      <c r="FRC2" t="s">
        <v>8839</v>
      </c>
      <c r="FRD2" t="s">
        <v>8840</v>
      </c>
      <c r="FRE2" t="s">
        <v>8841</v>
      </c>
      <c r="FRF2" t="s">
        <v>8842</v>
      </c>
      <c r="FRG2" t="s">
        <v>8843</v>
      </c>
      <c r="FRH2" t="s">
        <v>8844</v>
      </c>
      <c r="FRI2" t="s">
        <v>8845</v>
      </c>
      <c r="FRJ2" t="s">
        <v>8846</v>
      </c>
      <c r="FRK2" t="s">
        <v>8847</v>
      </c>
      <c r="FRL2" t="s">
        <v>8848</v>
      </c>
      <c r="FRM2" t="s">
        <v>8849</v>
      </c>
      <c r="FRN2" t="s">
        <v>8850</v>
      </c>
      <c r="FRO2" t="s">
        <v>8851</v>
      </c>
      <c r="FRP2" t="s">
        <v>8852</v>
      </c>
      <c r="FRQ2" t="s">
        <v>8853</v>
      </c>
      <c r="FRR2" t="s">
        <v>8854</v>
      </c>
      <c r="FRS2" t="s">
        <v>8855</v>
      </c>
      <c r="FRT2" t="s">
        <v>8856</v>
      </c>
      <c r="FRU2" t="s">
        <v>8857</v>
      </c>
      <c r="FRV2" t="s">
        <v>8858</v>
      </c>
      <c r="FRW2" t="s">
        <v>8859</v>
      </c>
      <c r="FRX2" t="s">
        <v>8860</v>
      </c>
      <c r="FRY2" t="s">
        <v>8861</v>
      </c>
      <c r="FRZ2" t="s">
        <v>8862</v>
      </c>
      <c r="FSA2" t="s">
        <v>8863</v>
      </c>
      <c r="FSB2" t="s">
        <v>8864</v>
      </c>
      <c r="FSC2" t="s">
        <v>8865</v>
      </c>
      <c r="FSD2" t="s">
        <v>8866</v>
      </c>
      <c r="FSE2" t="s">
        <v>8867</v>
      </c>
      <c r="FSF2" t="s">
        <v>8868</v>
      </c>
      <c r="FSG2" t="s">
        <v>8869</v>
      </c>
      <c r="FSH2" t="s">
        <v>8870</v>
      </c>
      <c r="FSI2" t="s">
        <v>8871</v>
      </c>
      <c r="FSJ2" t="s">
        <v>8872</v>
      </c>
      <c r="FSK2" t="s">
        <v>8873</v>
      </c>
      <c r="FSL2" t="s">
        <v>8874</v>
      </c>
      <c r="FSM2" t="s">
        <v>8875</v>
      </c>
      <c r="FSN2" t="s">
        <v>8876</v>
      </c>
      <c r="FSO2" t="s">
        <v>8877</v>
      </c>
      <c r="FSP2" t="s">
        <v>8878</v>
      </c>
      <c r="FSQ2" t="s">
        <v>8879</v>
      </c>
      <c r="FSR2" t="s">
        <v>8880</v>
      </c>
      <c r="FSS2" t="s">
        <v>8881</v>
      </c>
      <c r="FST2" t="s">
        <v>8882</v>
      </c>
      <c r="FSU2" t="s">
        <v>8883</v>
      </c>
      <c r="FSV2" t="s">
        <v>8884</v>
      </c>
      <c r="FSW2" t="s">
        <v>8885</v>
      </c>
      <c r="FSX2" t="s">
        <v>8886</v>
      </c>
      <c r="FSY2" t="s">
        <v>8887</v>
      </c>
      <c r="FSZ2" t="s">
        <v>8888</v>
      </c>
      <c r="FTA2" t="s">
        <v>8889</v>
      </c>
      <c r="FTB2" t="s">
        <v>8890</v>
      </c>
      <c r="FTC2" t="s">
        <v>8891</v>
      </c>
      <c r="FTD2" t="s">
        <v>8892</v>
      </c>
      <c r="FTE2" t="s">
        <v>8893</v>
      </c>
      <c r="FTF2" t="s">
        <v>8894</v>
      </c>
      <c r="FTG2" t="s">
        <v>8895</v>
      </c>
      <c r="FTH2" t="s">
        <v>8896</v>
      </c>
      <c r="FTI2" t="s">
        <v>8897</v>
      </c>
      <c r="FTJ2" t="s">
        <v>8898</v>
      </c>
      <c r="FTK2" t="s">
        <v>8899</v>
      </c>
      <c r="FTL2" t="s">
        <v>8900</v>
      </c>
      <c r="FTM2" t="s">
        <v>8901</v>
      </c>
      <c r="FTN2" t="s">
        <v>8902</v>
      </c>
      <c r="FTO2" t="s">
        <v>8903</v>
      </c>
      <c r="FTP2" t="s">
        <v>8904</v>
      </c>
      <c r="FTQ2" t="s">
        <v>8905</v>
      </c>
      <c r="FTR2" t="s">
        <v>8906</v>
      </c>
      <c r="FTS2" t="s">
        <v>8907</v>
      </c>
      <c r="FTT2" t="s">
        <v>8908</v>
      </c>
      <c r="FTU2" t="s">
        <v>8909</v>
      </c>
      <c r="FTV2" t="s">
        <v>8910</v>
      </c>
      <c r="FTW2" t="s">
        <v>8911</v>
      </c>
      <c r="FTX2" t="s">
        <v>8912</v>
      </c>
      <c r="FTY2" t="s">
        <v>8913</v>
      </c>
      <c r="FTZ2" t="s">
        <v>8914</v>
      </c>
      <c r="FUA2" t="s">
        <v>8915</v>
      </c>
      <c r="FUB2" t="s">
        <v>8916</v>
      </c>
      <c r="FUC2" t="s">
        <v>8917</v>
      </c>
      <c r="FUD2" t="s">
        <v>8918</v>
      </c>
      <c r="FUE2" t="s">
        <v>8919</v>
      </c>
      <c r="FUF2" t="s">
        <v>8920</v>
      </c>
      <c r="FUG2" t="s">
        <v>8921</v>
      </c>
      <c r="FUH2" t="s">
        <v>8922</v>
      </c>
      <c r="FUI2" t="s">
        <v>8923</v>
      </c>
      <c r="FUJ2" t="s">
        <v>8924</v>
      </c>
      <c r="FUK2" t="s">
        <v>8925</v>
      </c>
      <c r="FUL2" t="s">
        <v>8926</v>
      </c>
      <c r="FUM2" t="s">
        <v>8927</v>
      </c>
      <c r="FUN2" t="s">
        <v>8928</v>
      </c>
      <c r="FUO2" t="s">
        <v>8929</v>
      </c>
      <c r="FUP2" t="s">
        <v>8930</v>
      </c>
      <c r="FUQ2" t="s">
        <v>8931</v>
      </c>
      <c r="FUR2" t="s">
        <v>8932</v>
      </c>
      <c r="FUS2" t="s">
        <v>8933</v>
      </c>
      <c r="FUT2" t="s">
        <v>8934</v>
      </c>
      <c r="FUU2" t="s">
        <v>8935</v>
      </c>
      <c r="FUV2" t="s">
        <v>8936</v>
      </c>
      <c r="FUW2" t="s">
        <v>8937</v>
      </c>
      <c r="FUX2" t="s">
        <v>8938</v>
      </c>
      <c r="FUY2" t="s">
        <v>8939</v>
      </c>
      <c r="FUZ2" t="s">
        <v>8940</v>
      </c>
      <c r="FVA2" t="s">
        <v>8941</v>
      </c>
      <c r="FVB2" t="s">
        <v>8942</v>
      </c>
      <c r="FVC2" t="s">
        <v>8943</v>
      </c>
      <c r="FVD2" t="s">
        <v>8944</v>
      </c>
      <c r="FVE2" t="s">
        <v>8945</v>
      </c>
      <c r="FVF2" t="s">
        <v>8946</v>
      </c>
      <c r="FVG2" t="s">
        <v>8947</v>
      </c>
      <c r="FVH2" t="s">
        <v>8948</v>
      </c>
      <c r="FVI2" t="s">
        <v>8949</v>
      </c>
      <c r="FVJ2" t="s">
        <v>8950</v>
      </c>
      <c r="FVK2" t="s">
        <v>8951</v>
      </c>
      <c r="FVL2" t="s">
        <v>8952</v>
      </c>
      <c r="FVM2" t="s">
        <v>8953</v>
      </c>
      <c r="FVN2" t="s">
        <v>8954</v>
      </c>
      <c r="FVO2" t="s">
        <v>8955</v>
      </c>
      <c r="FVP2" t="s">
        <v>8956</v>
      </c>
      <c r="FVQ2" t="s">
        <v>8957</v>
      </c>
      <c r="FVR2" t="s">
        <v>8958</v>
      </c>
      <c r="FVS2" t="s">
        <v>8959</v>
      </c>
      <c r="FVT2" t="s">
        <v>8960</v>
      </c>
      <c r="FVU2" t="s">
        <v>8961</v>
      </c>
      <c r="FVV2" t="s">
        <v>8962</v>
      </c>
      <c r="FVW2" t="s">
        <v>8963</v>
      </c>
      <c r="FVX2" t="s">
        <v>8964</v>
      </c>
      <c r="FVY2" t="s">
        <v>8965</v>
      </c>
      <c r="FVZ2" t="s">
        <v>8966</v>
      </c>
      <c r="FWA2" t="s">
        <v>8967</v>
      </c>
      <c r="FWB2" t="s">
        <v>8968</v>
      </c>
      <c r="FWC2" t="s">
        <v>8969</v>
      </c>
      <c r="FWD2" t="s">
        <v>8970</v>
      </c>
      <c r="FWE2" t="s">
        <v>8971</v>
      </c>
      <c r="FWF2" t="s">
        <v>8972</v>
      </c>
      <c r="FWG2" t="s">
        <v>8973</v>
      </c>
      <c r="FWH2" t="s">
        <v>8974</v>
      </c>
      <c r="FWI2" t="s">
        <v>8975</v>
      </c>
      <c r="FWJ2" t="s">
        <v>8976</v>
      </c>
      <c r="FWK2" t="s">
        <v>8977</v>
      </c>
      <c r="FWL2" t="s">
        <v>8978</v>
      </c>
      <c r="FWM2" t="s">
        <v>8979</v>
      </c>
      <c r="FWN2" t="s">
        <v>8980</v>
      </c>
      <c r="FWO2" t="s">
        <v>8981</v>
      </c>
      <c r="FWP2" t="s">
        <v>8982</v>
      </c>
      <c r="FWQ2" t="s">
        <v>8983</v>
      </c>
      <c r="FWR2" t="s">
        <v>8984</v>
      </c>
      <c r="FWS2" t="s">
        <v>8985</v>
      </c>
      <c r="FWT2" t="s">
        <v>8986</v>
      </c>
      <c r="FWU2" t="s">
        <v>8987</v>
      </c>
      <c r="FWV2" t="s">
        <v>8988</v>
      </c>
      <c r="FWW2" t="s">
        <v>8989</v>
      </c>
      <c r="FWX2" t="s">
        <v>8990</v>
      </c>
      <c r="FWY2" t="s">
        <v>8991</v>
      </c>
      <c r="FWZ2" t="s">
        <v>8992</v>
      </c>
      <c r="FXA2" t="s">
        <v>8993</v>
      </c>
      <c r="FXB2" t="s">
        <v>8994</v>
      </c>
      <c r="FXC2" t="s">
        <v>8995</v>
      </c>
      <c r="FXD2" t="s">
        <v>8996</v>
      </c>
      <c r="FXE2" t="s">
        <v>8997</v>
      </c>
      <c r="FXF2" t="s">
        <v>8998</v>
      </c>
      <c r="FXG2" t="s">
        <v>8999</v>
      </c>
      <c r="FXH2" t="s">
        <v>9000</v>
      </c>
      <c r="FXI2" t="s">
        <v>9001</v>
      </c>
      <c r="FXJ2" t="s">
        <v>9002</v>
      </c>
      <c r="FXK2" t="s">
        <v>9003</v>
      </c>
      <c r="FXL2" t="s">
        <v>9004</v>
      </c>
      <c r="FXM2" t="s">
        <v>9005</v>
      </c>
      <c r="FXN2" t="s">
        <v>9006</v>
      </c>
      <c r="FXO2" t="s">
        <v>9007</v>
      </c>
      <c r="FXP2" t="s">
        <v>9008</v>
      </c>
      <c r="FXQ2" t="s">
        <v>9009</v>
      </c>
      <c r="FXR2" t="s">
        <v>9010</v>
      </c>
      <c r="FXS2" t="s">
        <v>9011</v>
      </c>
      <c r="FXT2" t="s">
        <v>9012</v>
      </c>
      <c r="FXU2" t="s">
        <v>9013</v>
      </c>
      <c r="FXV2" t="s">
        <v>9014</v>
      </c>
      <c r="FXW2" t="s">
        <v>9015</v>
      </c>
      <c r="FXX2" t="s">
        <v>9016</v>
      </c>
      <c r="FXY2" t="s">
        <v>9017</v>
      </c>
      <c r="FXZ2" t="s">
        <v>9018</v>
      </c>
      <c r="FYA2" t="s">
        <v>9019</v>
      </c>
      <c r="FYB2" t="s">
        <v>9020</v>
      </c>
      <c r="FYC2" t="s">
        <v>9021</v>
      </c>
      <c r="FYD2" t="s">
        <v>9022</v>
      </c>
      <c r="FYE2" t="s">
        <v>9023</v>
      </c>
      <c r="FYF2" t="s">
        <v>9024</v>
      </c>
      <c r="FYG2" t="s">
        <v>9025</v>
      </c>
      <c r="FYH2" t="s">
        <v>9026</v>
      </c>
      <c r="FYI2" t="s">
        <v>9027</v>
      </c>
      <c r="FYJ2" t="s">
        <v>9028</v>
      </c>
      <c r="FYK2" t="s">
        <v>9029</v>
      </c>
      <c r="FYL2" t="s">
        <v>9030</v>
      </c>
      <c r="FYM2" t="s">
        <v>9031</v>
      </c>
      <c r="FYN2" t="s">
        <v>9032</v>
      </c>
      <c r="FYO2" t="s">
        <v>9033</v>
      </c>
      <c r="FYP2" t="s">
        <v>9034</v>
      </c>
      <c r="FYQ2" t="s">
        <v>9035</v>
      </c>
      <c r="FYR2" t="s">
        <v>9036</v>
      </c>
      <c r="FYS2" t="s">
        <v>9037</v>
      </c>
      <c r="FYT2" t="s">
        <v>9038</v>
      </c>
      <c r="FYU2" t="s">
        <v>9039</v>
      </c>
      <c r="FYV2" t="s">
        <v>9040</v>
      </c>
      <c r="FYW2" t="s">
        <v>9041</v>
      </c>
      <c r="FYX2" t="s">
        <v>9042</v>
      </c>
      <c r="FYY2" t="s">
        <v>9043</v>
      </c>
      <c r="FYZ2" t="s">
        <v>9044</v>
      </c>
      <c r="FZA2" t="s">
        <v>9045</v>
      </c>
      <c r="FZB2" t="s">
        <v>9046</v>
      </c>
      <c r="FZC2" t="s">
        <v>9047</v>
      </c>
      <c r="FZD2" t="s">
        <v>9048</v>
      </c>
      <c r="FZE2" t="s">
        <v>9049</v>
      </c>
      <c r="FZF2" t="s">
        <v>9050</v>
      </c>
      <c r="FZG2" t="s">
        <v>9051</v>
      </c>
      <c r="FZH2" t="s">
        <v>9052</v>
      </c>
      <c r="FZI2" t="s">
        <v>9053</v>
      </c>
      <c r="FZJ2" t="s">
        <v>9054</v>
      </c>
      <c r="FZK2" t="s">
        <v>9055</v>
      </c>
      <c r="FZL2" t="s">
        <v>9056</v>
      </c>
      <c r="FZM2" t="s">
        <v>9057</v>
      </c>
      <c r="FZN2" t="s">
        <v>9058</v>
      </c>
      <c r="FZO2" t="s">
        <v>9059</v>
      </c>
      <c r="FZP2" t="s">
        <v>9060</v>
      </c>
      <c r="FZQ2" t="s">
        <v>9061</v>
      </c>
      <c r="FZR2" t="s">
        <v>9062</v>
      </c>
      <c r="FZS2" t="s">
        <v>9063</v>
      </c>
      <c r="FZT2" t="s">
        <v>9064</v>
      </c>
      <c r="FZU2" t="s">
        <v>9065</v>
      </c>
      <c r="FZV2" t="s">
        <v>9066</v>
      </c>
      <c r="FZW2" t="s">
        <v>9067</v>
      </c>
      <c r="FZX2" t="s">
        <v>9068</v>
      </c>
      <c r="FZY2" t="s">
        <v>9069</v>
      </c>
      <c r="FZZ2" t="s">
        <v>9070</v>
      </c>
      <c r="GAA2" t="s">
        <v>9071</v>
      </c>
      <c r="GAB2" t="s">
        <v>9072</v>
      </c>
      <c r="GAC2" t="s">
        <v>9073</v>
      </c>
      <c r="GAD2" t="s">
        <v>9074</v>
      </c>
      <c r="GAE2" t="s">
        <v>9075</v>
      </c>
      <c r="GAF2" t="s">
        <v>9076</v>
      </c>
      <c r="GAG2" t="s">
        <v>9077</v>
      </c>
      <c r="GAH2" t="s">
        <v>9078</v>
      </c>
      <c r="GAI2" t="s">
        <v>9079</v>
      </c>
      <c r="GAJ2" t="s">
        <v>9080</v>
      </c>
      <c r="GAK2" t="s">
        <v>9081</v>
      </c>
      <c r="GAL2" t="s">
        <v>9082</v>
      </c>
      <c r="GAM2" t="s">
        <v>9083</v>
      </c>
      <c r="GAN2" t="s">
        <v>9084</v>
      </c>
      <c r="GAO2" t="s">
        <v>9085</v>
      </c>
      <c r="GAP2" t="s">
        <v>9086</v>
      </c>
      <c r="GAQ2" t="s">
        <v>9087</v>
      </c>
      <c r="GAR2" t="s">
        <v>9088</v>
      </c>
      <c r="GAS2" t="s">
        <v>9089</v>
      </c>
      <c r="GAT2" t="s">
        <v>9090</v>
      </c>
      <c r="GAU2" t="s">
        <v>9091</v>
      </c>
      <c r="GAV2" t="s">
        <v>9092</v>
      </c>
      <c r="GAW2" t="s">
        <v>9093</v>
      </c>
      <c r="GAX2" t="s">
        <v>9094</v>
      </c>
      <c r="GAY2" t="s">
        <v>9095</v>
      </c>
      <c r="GAZ2" t="s">
        <v>9096</v>
      </c>
      <c r="GBA2" t="s">
        <v>9097</v>
      </c>
      <c r="GBB2" t="s">
        <v>9098</v>
      </c>
      <c r="GBC2" t="s">
        <v>9099</v>
      </c>
      <c r="GBD2" t="s">
        <v>9100</v>
      </c>
      <c r="GBE2" t="s">
        <v>9101</v>
      </c>
      <c r="GBF2" t="s">
        <v>9102</v>
      </c>
      <c r="GBG2" t="s">
        <v>9103</v>
      </c>
      <c r="GBH2" t="s">
        <v>9104</v>
      </c>
      <c r="GBI2" t="s">
        <v>9105</v>
      </c>
      <c r="GBJ2" t="s">
        <v>9106</v>
      </c>
      <c r="GBK2" t="s">
        <v>9107</v>
      </c>
      <c r="GBL2" t="s">
        <v>9108</v>
      </c>
      <c r="GBM2" t="s">
        <v>9109</v>
      </c>
      <c r="GBN2" t="s">
        <v>9110</v>
      </c>
      <c r="GBO2" t="s">
        <v>9111</v>
      </c>
      <c r="GBP2" t="s">
        <v>9112</v>
      </c>
      <c r="GBQ2" t="s">
        <v>9113</v>
      </c>
      <c r="GBR2" t="s">
        <v>9114</v>
      </c>
      <c r="GBS2" t="s">
        <v>9115</v>
      </c>
      <c r="GBT2" t="s">
        <v>9116</v>
      </c>
      <c r="GBU2" t="s">
        <v>9117</v>
      </c>
      <c r="GBV2" t="s">
        <v>9118</v>
      </c>
      <c r="GBW2" t="s">
        <v>9119</v>
      </c>
      <c r="GBX2" t="s">
        <v>9120</v>
      </c>
      <c r="GBY2" t="s">
        <v>9121</v>
      </c>
      <c r="GBZ2" t="s">
        <v>9122</v>
      </c>
      <c r="GCA2" t="s">
        <v>9123</v>
      </c>
      <c r="GCB2" t="s">
        <v>9124</v>
      </c>
      <c r="GCC2" t="s">
        <v>9125</v>
      </c>
      <c r="GCD2" t="s">
        <v>9126</v>
      </c>
      <c r="GCE2" t="s">
        <v>9127</v>
      </c>
      <c r="GCF2" t="s">
        <v>9128</v>
      </c>
      <c r="GCG2" t="s">
        <v>9129</v>
      </c>
      <c r="GCH2" t="s">
        <v>9130</v>
      </c>
      <c r="GCI2" t="s">
        <v>9131</v>
      </c>
      <c r="GCJ2" t="s">
        <v>9132</v>
      </c>
      <c r="GCK2" t="s">
        <v>9133</v>
      </c>
      <c r="GCL2" t="s">
        <v>9134</v>
      </c>
      <c r="GCM2" t="s">
        <v>9135</v>
      </c>
      <c r="GCN2" t="s">
        <v>9136</v>
      </c>
      <c r="GCO2" t="s">
        <v>9137</v>
      </c>
      <c r="GCP2" t="s">
        <v>9138</v>
      </c>
      <c r="GCQ2" t="s">
        <v>9139</v>
      </c>
      <c r="GCR2" t="s">
        <v>9140</v>
      </c>
      <c r="GCS2" t="s">
        <v>9141</v>
      </c>
      <c r="GCT2" t="s">
        <v>9142</v>
      </c>
      <c r="GCU2" t="s">
        <v>9143</v>
      </c>
      <c r="GCV2" t="s">
        <v>9144</v>
      </c>
      <c r="GCW2" t="s">
        <v>9145</v>
      </c>
      <c r="GCX2" t="s">
        <v>9146</v>
      </c>
      <c r="GCY2" t="s">
        <v>9147</v>
      </c>
      <c r="GCZ2" t="s">
        <v>9148</v>
      </c>
      <c r="GDA2" t="s">
        <v>9149</v>
      </c>
      <c r="GDB2" t="s">
        <v>9150</v>
      </c>
      <c r="GDC2" t="s">
        <v>9151</v>
      </c>
      <c r="GDD2" t="s">
        <v>9152</v>
      </c>
      <c r="GDE2" t="s">
        <v>9153</v>
      </c>
      <c r="GDF2" t="s">
        <v>9154</v>
      </c>
      <c r="GDG2" t="s">
        <v>9155</v>
      </c>
      <c r="GDH2" t="s">
        <v>9156</v>
      </c>
      <c r="GDI2" t="s">
        <v>9157</v>
      </c>
      <c r="GDJ2" t="s">
        <v>9158</v>
      </c>
      <c r="GDK2" t="s">
        <v>9159</v>
      </c>
      <c r="GDL2" t="s">
        <v>9160</v>
      </c>
      <c r="GDM2" t="s">
        <v>9161</v>
      </c>
      <c r="GDN2" t="s">
        <v>9162</v>
      </c>
      <c r="GDO2" t="s">
        <v>9163</v>
      </c>
      <c r="GDP2" t="s">
        <v>9164</v>
      </c>
      <c r="GDQ2" t="s">
        <v>9165</v>
      </c>
      <c r="GDR2" t="s">
        <v>9166</v>
      </c>
      <c r="GDS2" t="s">
        <v>9167</v>
      </c>
      <c r="GDT2" t="s">
        <v>9168</v>
      </c>
      <c r="GDU2" t="s">
        <v>9169</v>
      </c>
      <c r="GDV2" t="s">
        <v>9170</v>
      </c>
      <c r="GDW2" t="s">
        <v>9171</v>
      </c>
      <c r="GDX2" t="s">
        <v>9172</v>
      </c>
      <c r="GDY2" t="s">
        <v>9173</v>
      </c>
      <c r="GDZ2" t="s">
        <v>9174</v>
      </c>
      <c r="GEA2" t="s">
        <v>9175</v>
      </c>
      <c r="GEB2" t="s">
        <v>9176</v>
      </c>
      <c r="GEC2" t="s">
        <v>9177</v>
      </c>
      <c r="GED2" t="s">
        <v>9178</v>
      </c>
      <c r="GEE2" t="s">
        <v>9179</v>
      </c>
      <c r="GEF2" t="s">
        <v>9180</v>
      </c>
      <c r="GEG2" t="s">
        <v>9181</v>
      </c>
      <c r="GEH2" t="s">
        <v>9182</v>
      </c>
      <c r="GEI2" t="s">
        <v>9183</v>
      </c>
      <c r="GEJ2" t="s">
        <v>9184</v>
      </c>
      <c r="GEK2" t="s">
        <v>9185</v>
      </c>
      <c r="GEL2" t="s">
        <v>9186</v>
      </c>
      <c r="GEM2" t="s">
        <v>9187</v>
      </c>
      <c r="GEN2" t="s">
        <v>9188</v>
      </c>
      <c r="GEO2" t="s">
        <v>9189</v>
      </c>
      <c r="GEP2" t="s">
        <v>9190</v>
      </c>
      <c r="GEQ2" t="s">
        <v>9191</v>
      </c>
      <c r="GER2" t="s">
        <v>9192</v>
      </c>
      <c r="GES2" t="s">
        <v>9193</v>
      </c>
      <c r="GET2" t="s">
        <v>9194</v>
      </c>
      <c r="GEU2" t="s">
        <v>9195</v>
      </c>
      <c r="GEV2" t="s">
        <v>9196</v>
      </c>
      <c r="GEW2" t="s">
        <v>9197</v>
      </c>
      <c r="GEX2" t="s">
        <v>9198</v>
      </c>
      <c r="GEY2" t="s">
        <v>9199</v>
      </c>
      <c r="GEZ2" t="s">
        <v>9200</v>
      </c>
      <c r="GFA2" t="s">
        <v>9201</v>
      </c>
      <c r="GFB2" t="s">
        <v>9202</v>
      </c>
      <c r="GFC2" t="s">
        <v>9203</v>
      </c>
      <c r="GFD2" t="s">
        <v>9204</v>
      </c>
      <c r="GFE2" t="s">
        <v>9205</v>
      </c>
      <c r="GFF2" t="s">
        <v>9206</v>
      </c>
      <c r="GFG2" t="s">
        <v>9207</v>
      </c>
      <c r="GFH2" t="s">
        <v>9208</v>
      </c>
      <c r="GFI2" t="s">
        <v>9209</v>
      </c>
      <c r="GFJ2" t="s">
        <v>9210</v>
      </c>
      <c r="GFK2" t="s">
        <v>9211</v>
      </c>
      <c r="GFL2" t="s">
        <v>9212</v>
      </c>
      <c r="GFM2" t="s">
        <v>9213</v>
      </c>
      <c r="GFN2" t="s">
        <v>9214</v>
      </c>
      <c r="GFO2" t="s">
        <v>9215</v>
      </c>
      <c r="GFP2" t="s">
        <v>9216</v>
      </c>
      <c r="GFQ2" t="s">
        <v>9217</v>
      </c>
      <c r="GFR2" t="s">
        <v>9218</v>
      </c>
      <c r="GFS2" t="s">
        <v>9219</v>
      </c>
      <c r="GFT2" t="s">
        <v>9220</v>
      </c>
      <c r="GFU2" t="s">
        <v>9221</v>
      </c>
      <c r="GFV2" t="s">
        <v>9222</v>
      </c>
      <c r="GFW2" t="s">
        <v>9223</v>
      </c>
      <c r="GFX2" t="s">
        <v>9224</v>
      </c>
      <c r="GFY2" t="s">
        <v>9225</v>
      </c>
      <c r="GFZ2" t="s">
        <v>9226</v>
      </c>
      <c r="GGA2" t="s">
        <v>9227</v>
      </c>
      <c r="GGB2" t="s">
        <v>9228</v>
      </c>
      <c r="GGC2" t="s">
        <v>9229</v>
      </c>
      <c r="GGD2" t="s">
        <v>9230</v>
      </c>
      <c r="GGE2" t="s">
        <v>9231</v>
      </c>
      <c r="GGF2" t="s">
        <v>9232</v>
      </c>
      <c r="GGG2" t="s">
        <v>9233</v>
      </c>
      <c r="GGH2" t="s">
        <v>9234</v>
      </c>
      <c r="GGI2" t="s">
        <v>9235</v>
      </c>
      <c r="GGJ2" t="s">
        <v>9236</v>
      </c>
      <c r="GGK2" t="s">
        <v>9237</v>
      </c>
      <c r="GGL2" t="s">
        <v>9238</v>
      </c>
      <c r="GGM2" t="s">
        <v>9239</v>
      </c>
      <c r="GGN2" t="s">
        <v>9240</v>
      </c>
      <c r="GGO2" t="s">
        <v>9241</v>
      </c>
      <c r="GGP2" t="s">
        <v>9242</v>
      </c>
      <c r="GGQ2" t="s">
        <v>9243</v>
      </c>
      <c r="GGR2" t="s">
        <v>9244</v>
      </c>
      <c r="GGS2" t="s">
        <v>9245</v>
      </c>
      <c r="GGT2" t="s">
        <v>9246</v>
      </c>
      <c r="GGU2" t="s">
        <v>9247</v>
      </c>
      <c r="GGV2" t="s">
        <v>9248</v>
      </c>
      <c r="GGW2" t="s">
        <v>9249</v>
      </c>
      <c r="GGX2" t="s">
        <v>9250</v>
      </c>
      <c r="GGY2" t="s">
        <v>9251</v>
      </c>
      <c r="GGZ2" t="s">
        <v>9252</v>
      </c>
      <c r="GHA2" t="s">
        <v>9253</v>
      </c>
      <c r="GHB2" t="s">
        <v>9254</v>
      </c>
      <c r="GHC2" t="s">
        <v>9255</v>
      </c>
      <c r="GHD2" t="s">
        <v>9256</v>
      </c>
      <c r="GHE2" t="s">
        <v>9257</v>
      </c>
      <c r="GHF2" t="s">
        <v>9258</v>
      </c>
      <c r="GHG2" t="s">
        <v>9259</v>
      </c>
      <c r="GHH2" t="s">
        <v>9260</v>
      </c>
      <c r="GHI2" t="s">
        <v>9261</v>
      </c>
      <c r="GHJ2" t="s">
        <v>9262</v>
      </c>
      <c r="GHK2" t="s">
        <v>9263</v>
      </c>
      <c r="GHL2" t="s">
        <v>9264</v>
      </c>
      <c r="GHM2" t="s">
        <v>9265</v>
      </c>
      <c r="GHN2" t="s">
        <v>9266</v>
      </c>
      <c r="GHO2" t="s">
        <v>9267</v>
      </c>
      <c r="GHP2" t="s">
        <v>9268</v>
      </c>
      <c r="GHQ2" t="s">
        <v>9269</v>
      </c>
      <c r="GHR2" t="s">
        <v>9270</v>
      </c>
      <c r="GHS2" t="s">
        <v>9271</v>
      </c>
      <c r="GHT2" t="s">
        <v>9272</v>
      </c>
      <c r="GHU2" t="s">
        <v>9273</v>
      </c>
      <c r="GHV2" t="s">
        <v>9274</v>
      </c>
      <c r="GHW2" t="s">
        <v>9275</v>
      </c>
      <c r="GHX2" t="s">
        <v>9276</v>
      </c>
      <c r="GHY2" t="s">
        <v>9277</v>
      </c>
      <c r="GHZ2" t="s">
        <v>9278</v>
      </c>
      <c r="GIA2" t="s">
        <v>9279</v>
      </c>
      <c r="GIB2" t="s">
        <v>9280</v>
      </c>
      <c r="GIC2" t="s">
        <v>9281</v>
      </c>
      <c r="GID2" t="s">
        <v>9282</v>
      </c>
      <c r="GIE2" t="s">
        <v>9283</v>
      </c>
      <c r="GIF2" t="s">
        <v>9284</v>
      </c>
      <c r="GIG2" t="s">
        <v>9285</v>
      </c>
      <c r="GIH2" t="s">
        <v>9286</v>
      </c>
      <c r="GII2" t="s">
        <v>9287</v>
      </c>
      <c r="GIJ2" t="s">
        <v>9288</v>
      </c>
      <c r="GIK2" t="s">
        <v>9289</v>
      </c>
      <c r="GIL2" t="s">
        <v>9290</v>
      </c>
      <c r="GIM2" t="s">
        <v>9291</v>
      </c>
      <c r="GIN2" t="s">
        <v>9292</v>
      </c>
      <c r="GIO2" t="s">
        <v>9293</v>
      </c>
      <c r="GIP2" t="s">
        <v>9294</v>
      </c>
      <c r="GIQ2" t="s">
        <v>9295</v>
      </c>
      <c r="GIR2" t="s">
        <v>9296</v>
      </c>
      <c r="GIS2" t="s">
        <v>9297</v>
      </c>
      <c r="GIT2" t="s">
        <v>9298</v>
      </c>
      <c r="GIU2" t="s">
        <v>9299</v>
      </c>
      <c r="GIV2" t="s">
        <v>9300</v>
      </c>
      <c r="GIW2" t="s">
        <v>9301</v>
      </c>
      <c r="GIX2" t="s">
        <v>9302</v>
      </c>
      <c r="GIY2" t="s">
        <v>9303</v>
      </c>
      <c r="GIZ2" t="s">
        <v>9304</v>
      </c>
      <c r="GJA2" t="s">
        <v>9305</v>
      </c>
      <c r="GJB2" t="s">
        <v>9306</v>
      </c>
      <c r="GJC2" t="s">
        <v>9307</v>
      </c>
      <c r="GJD2" t="s">
        <v>9308</v>
      </c>
      <c r="GJE2" t="s">
        <v>9309</v>
      </c>
      <c r="GJF2" t="s">
        <v>9310</v>
      </c>
      <c r="GJG2" t="s">
        <v>9311</v>
      </c>
      <c r="GJH2" t="s">
        <v>9312</v>
      </c>
      <c r="GJI2" t="s">
        <v>9313</v>
      </c>
      <c r="GJJ2" t="s">
        <v>9314</v>
      </c>
      <c r="GJK2" t="s">
        <v>9315</v>
      </c>
      <c r="GJL2" t="s">
        <v>9316</v>
      </c>
      <c r="GJM2" t="s">
        <v>9317</v>
      </c>
      <c r="GJN2" t="s">
        <v>9318</v>
      </c>
      <c r="GJO2" t="s">
        <v>9319</v>
      </c>
      <c r="GJP2" t="s">
        <v>9320</v>
      </c>
      <c r="GJQ2" t="s">
        <v>9321</v>
      </c>
      <c r="GJR2" t="s">
        <v>9322</v>
      </c>
      <c r="GJS2" t="s">
        <v>9323</v>
      </c>
      <c r="GJT2" t="s">
        <v>9324</v>
      </c>
      <c r="GJU2" t="s">
        <v>9325</v>
      </c>
      <c r="GJV2" t="s">
        <v>9326</v>
      </c>
      <c r="GJW2" t="s">
        <v>9327</v>
      </c>
      <c r="GJX2" t="s">
        <v>9328</v>
      </c>
      <c r="GJY2" t="s">
        <v>9329</v>
      </c>
      <c r="GJZ2" t="s">
        <v>9330</v>
      </c>
      <c r="GKA2" t="s">
        <v>9331</v>
      </c>
      <c r="GKB2" t="s">
        <v>9332</v>
      </c>
      <c r="GKC2" t="s">
        <v>9333</v>
      </c>
      <c r="GKD2" t="s">
        <v>9334</v>
      </c>
      <c r="GKE2" t="s">
        <v>9335</v>
      </c>
      <c r="GKF2" t="s">
        <v>9336</v>
      </c>
      <c r="GKG2" t="s">
        <v>9337</v>
      </c>
      <c r="GKH2" t="s">
        <v>9338</v>
      </c>
      <c r="GKI2" t="s">
        <v>9339</v>
      </c>
      <c r="GKJ2" t="s">
        <v>9340</v>
      </c>
      <c r="GKK2" t="s">
        <v>9341</v>
      </c>
      <c r="GKL2" t="s">
        <v>9342</v>
      </c>
      <c r="GKM2" t="s">
        <v>9343</v>
      </c>
      <c r="GKN2" t="s">
        <v>9344</v>
      </c>
      <c r="GKO2" t="s">
        <v>9345</v>
      </c>
      <c r="GKP2" t="s">
        <v>9346</v>
      </c>
      <c r="GKQ2" t="s">
        <v>9347</v>
      </c>
      <c r="GKR2" t="s">
        <v>9348</v>
      </c>
      <c r="GKS2" t="s">
        <v>9349</v>
      </c>
      <c r="GKT2" t="s">
        <v>9350</v>
      </c>
      <c r="GKU2" t="s">
        <v>9351</v>
      </c>
      <c r="GKV2" t="s">
        <v>9352</v>
      </c>
      <c r="GKW2" t="s">
        <v>9353</v>
      </c>
      <c r="GKX2" t="s">
        <v>9354</v>
      </c>
      <c r="GKY2" t="s">
        <v>9355</v>
      </c>
      <c r="GKZ2" t="s">
        <v>9356</v>
      </c>
      <c r="GLA2" t="s">
        <v>9357</v>
      </c>
      <c r="GLB2" t="s">
        <v>9358</v>
      </c>
      <c r="GLC2" t="s">
        <v>9359</v>
      </c>
      <c r="GLD2" t="s">
        <v>9360</v>
      </c>
      <c r="GLE2" t="s">
        <v>9361</v>
      </c>
      <c r="GLF2" t="s">
        <v>9362</v>
      </c>
      <c r="GLG2" t="s">
        <v>9363</v>
      </c>
      <c r="GLH2" t="s">
        <v>9364</v>
      </c>
      <c r="GLI2" t="s">
        <v>9365</v>
      </c>
      <c r="GLJ2" t="s">
        <v>9366</v>
      </c>
      <c r="GLK2" t="s">
        <v>9367</v>
      </c>
      <c r="GLL2" t="s">
        <v>9368</v>
      </c>
      <c r="GLM2" t="s">
        <v>9369</v>
      </c>
      <c r="GLN2" t="s">
        <v>9370</v>
      </c>
      <c r="GLO2" t="s">
        <v>9371</v>
      </c>
      <c r="GLP2" t="s">
        <v>9372</v>
      </c>
      <c r="GLQ2" t="s">
        <v>9373</v>
      </c>
      <c r="GLR2" t="s">
        <v>9374</v>
      </c>
      <c r="GLS2" t="s">
        <v>9375</v>
      </c>
      <c r="GLT2" t="s">
        <v>9376</v>
      </c>
      <c r="GLU2" t="s">
        <v>9377</v>
      </c>
      <c r="GLV2" t="s">
        <v>9378</v>
      </c>
      <c r="GLW2" t="s">
        <v>9379</v>
      </c>
      <c r="GLX2" t="s">
        <v>9380</v>
      </c>
      <c r="GLY2" t="s">
        <v>9381</v>
      </c>
      <c r="GLZ2" t="s">
        <v>9382</v>
      </c>
      <c r="GMA2" t="s">
        <v>9383</v>
      </c>
      <c r="GMB2" t="s">
        <v>9384</v>
      </c>
      <c r="GMC2" t="s">
        <v>9385</v>
      </c>
      <c r="GMD2" t="s">
        <v>9386</v>
      </c>
      <c r="GME2" t="s">
        <v>9387</v>
      </c>
      <c r="GMF2" t="s">
        <v>9388</v>
      </c>
      <c r="GMG2" t="s">
        <v>9389</v>
      </c>
      <c r="GMH2" t="s">
        <v>9390</v>
      </c>
      <c r="GMI2" t="s">
        <v>9391</v>
      </c>
      <c r="GMJ2" t="s">
        <v>9392</v>
      </c>
      <c r="GMK2" t="s">
        <v>9393</v>
      </c>
      <c r="GML2" t="s">
        <v>9394</v>
      </c>
      <c r="GMM2" t="s">
        <v>9395</v>
      </c>
      <c r="GMN2" t="s">
        <v>9396</v>
      </c>
      <c r="GMO2" t="s">
        <v>9397</v>
      </c>
      <c r="GMP2" t="s">
        <v>9398</v>
      </c>
      <c r="GMQ2" t="s">
        <v>9399</v>
      </c>
      <c r="GMR2" t="s">
        <v>9400</v>
      </c>
      <c r="GMS2" t="s">
        <v>9401</v>
      </c>
      <c r="GMT2" t="s">
        <v>9402</v>
      </c>
      <c r="GMU2" t="s">
        <v>9403</v>
      </c>
      <c r="GMV2" t="s">
        <v>9404</v>
      </c>
      <c r="GMW2" t="s">
        <v>9405</v>
      </c>
      <c r="GMX2" t="s">
        <v>9406</v>
      </c>
      <c r="GMY2" t="s">
        <v>9407</v>
      </c>
      <c r="GMZ2" t="s">
        <v>9408</v>
      </c>
      <c r="GNA2" t="s">
        <v>9409</v>
      </c>
      <c r="GNB2" t="s">
        <v>9410</v>
      </c>
      <c r="GNC2" t="s">
        <v>9411</v>
      </c>
      <c r="GND2" t="s">
        <v>9412</v>
      </c>
      <c r="GNE2" t="s">
        <v>9413</v>
      </c>
      <c r="GNF2" t="s">
        <v>9414</v>
      </c>
      <c r="GNG2" t="s">
        <v>9415</v>
      </c>
      <c r="GNH2" t="s">
        <v>9416</v>
      </c>
      <c r="GNI2" t="s">
        <v>9417</v>
      </c>
      <c r="GNJ2" t="s">
        <v>9418</v>
      </c>
      <c r="GNK2" t="s">
        <v>9419</v>
      </c>
      <c r="GNL2" t="s">
        <v>9420</v>
      </c>
      <c r="GNM2" t="s">
        <v>9421</v>
      </c>
      <c r="GNN2" t="s">
        <v>9422</v>
      </c>
      <c r="GNO2" t="s">
        <v>9423</v>
      </c>
      <c r="GNP2" t="s">
        <v>9424</v>
      </c>
      <c r="GNQ2" t="s">
        <v>9425</v>
      </c>
      <c r="GNR2" t="s">
        <v>9426</v>
      </c>
      <c r="GNS2" t="s">
        <v>9427</v>
      </c>
      <c r="GNT2" t="s">
        <v>9428</v>
      </c>
      <c r="GNU2" t="s">
        <v>9429</v>
      </c>
      <c r="GNV2" t="s">
        <v>9430</v>
      </c>
      <c r="GNW2" t="s">
        <v>9431</v>
      </c>
      <c r="GNX2" t="s">
        <v>9432</v>
      </c>
      <c r="GNY2" t="s">
        <v>9433</v>
      </c>
      <c r="GNZ2" t="s">
        <v>9434</v>
      </c>
      <c r="GOA2" t="s">
        <v>9435</v>
      </c>
      <c r="GOB2" t="s">
        <v>9436</v>
      </c>
      <c r="GOC2" t="s">
        <v>9437</v>
      </c>
      <c r="GOD2" t="s">
        <v>9438</v>
      </c>
      <c r="GOE2" t="s">
        <v>9439</v>
      </c>
      <c r="GOF2" t="s">
        <v>9440</v>
      </c>
      <c r="GOG2" t="s">
        <v>9441</v>
      </c>
      <c r="GOH2" t="s">
        <v>9442</v>
      </c>
      <c r="GOI2" t="s">
        <v>9443</v>
      </c>
      <c r="GOJ2" t="s">
        <v>9444</v>
      </c>
      <c r="GOK2" t="s">
        <v>9445</v>
      </c>
      <c r="GOL2" t="s">
        <v>9446</v>
      </c>
      <c r="GOM2" t="s">
        <v>9447</v>
      </c>
      <c r="GON2" t="s">
        <v>9448</v>
      </c>
      <c r="GOO2" t="s">
        <v>9449</v>
      </c>
      <c r="GOP2" t="s">
        <v>9450</v>
      </c>
      <c r="GOQ2" t="s">
        <v>9451</v>
      </c>
      <c r="GOR2" t="s">
        <v>9452</v>
      </c>
      <c r="GOS2" t="s">
        <v>9453</v>
      </c>
      <c r="GOT2" t="s">
        <v>9454</v>
      </c>
      <c r="GOU2" t="s">
        <v>9455</v>
      </c>
      <c r="GOV2" t="s">
        <v>9456</v>
      </c>
      <c r="GOW2" t="s">
        <v>9457</v>
      </c>
      <c r="GOX2" t="s">
        <v>9458</v>
      </c>
      <c r="GOY2" t="s">
        <v>9459</v>
      </c>
      <c r="GOZ2" t="s">
        <v>9460</v>
      </c>
      <c r="GPA2" t="s">
        <v>9461</v>
      </c>
      <c r="GPB2" t="s">
        <v>9462</v>
      </c>
      <c r="GPC2" t="s">
        <v>9463</v>
      </c>
      <c r="GPD2" t="s">
        <v>9464</v>
      </c>
      <c r="GPE2" t="s">
        <v>9465</v>
      </c>
      <c r="GPF2" t="s">
        <v>9466</v>
      </c>
      <c r="GPG2" t="s">
        <v>9467</v>
      </c>
      <c r="GPH2" t="s">
        <v>9468</v>
      </c>
      <c r="GPI2" t="s">
        <v>9469</v>
      </c>
      <c r="GPJ2" t="s">
        <v>9470</v>
      </c>
      <c r="GPK2" t="s">
        <v>9471</v>
      </c>
      <c r="GPL2" t="s">
        <v>9472</v>
      </c>
      <c r="GPM2" t="s">
        <v>9473</v>
      </c>
      <c r="GPN2" t="s">
        <v>9474</v>
      </c>
      <c r="GPO2" t="s">
        <v>9475</v>
      </c>
      <c r="GPP2" t="s">
        <v>9476</v>
      </c>
      <c r="GPQ2" t="s">
        <v>9477</v>
      </c>
      <c r="GPR2" t="s">
        <v>9478</v>
      </c>
      <c r="GPS2" t="s">
        <v>9479</v>
      </c>
      <c r="GPT2" t="s">
        <v>9480</v>
      </c>
      <c r="GPU2" t="s">
        <v>9481</v>
      </c>
      <c r="GPV2" t="s">
        <v>9482</v>
      </c>
      <c r="GPW2" t="s">
        <v>9483</v>
      </c>
      <c r="GPX2" t="s">
        <v>9484</v>
      </c>
      <c r="GPY2" t="s">
        <v>9485</v>
      </c>
      <c r="GPZ2" t="s">
        <v>9486</v>
      </c>
      <c r="GQA2" t="s">
        <v>9487</v>
      </c>
      <c r="GQB2" t="s">
        <v>9488</v>
      </c>
      <c r="GQC2" t="s">
        <v>9489</v>
      </c>
      <c r="GQD2" t="s">
        <v>9490</v>
      </c>
      <c r="GQE2" t="s">
        <v>9491</v>
      </c>
      <c r="GQF2" t="s">
        <v>9492</v>
      </c>
      <c r="GQG2" t="s">
        <v>9493</v>
      </c>
      <c r="GQH2" t="s">
        <v>9494</v>
      </c>
      <c r="GQI2" t="s">
        <v>9495</v>
      </c>
      <c r="GQJ2" t="s">
        <v>9496</v>
      </c>
      <c r="GQK2" t="s">
        <v>9497</v>
      </c>
      <c r="GQL2" t="s">
        <v>9498</v>
      </c>
      <c r="GQM2" t="s">
        <v>9499</v>
      </c>
      <c r="GQN2" t="s">
        <v>9500</v>
      </c>
      <c r="GQO2" t="s">
        <v>9501</v>
      </c>
      <c r="GQP2" t="s">
        <v>9502</v>
      </c>
      <c r="GQQ2" t="s">
        <v>9503</v>
      </c>
      <c r="GQR2" t="s">
        <v>9504</v>
      </c>
      <c r="GQS2" t="s">
        <v>9505</v>
      </c>
      <c r="GQT2" t="s">
        <v>9506</v>
      </c>
      <c r="GQU2" t="s">
        <v>9507</v>
      </c>
      <c r="GQV2" t="s">
        <v>9508</v>
      </c>
      <c r="GQW2" t="s">
        <v>9509</v>
      </c>
      <c r="GQX2" t="s">
        <v>9510</v>
      </c>
      <c r="GQY2" t="s">
        <v>9511</v>
      </c>
      <c r="GQZ2" t="s">
        <v>9512</v>
      </c>
      <c r="GRA2" t="s">
        <v>9513</v>
      </c>
      <c r="GRB2" t="s">
        <v>9514</v>
      </c>
      <c r="GRC2" t="s">
        <v>9515</v>
      </c>
      <c r="GRD2" t="s">
        <v>9516</v>
      </c>
      <c r="GRE2" t="s">
        <v>9517</v>
      </c>
      <c r="GRF2" t="s">
        <v>9518</v>
      </c>
      <c r="GRG2" t="s">
        <v>9519</v>
      </c>
      <c r="GRH2" t="s">
        <v>9520</v>
      </c>
      <c r="GRI2" t="s">
        <v>9521</v>
      </c>
      <c r="GRJ2" t="s">
        <v>9522</v>
      </c>
      <c r="GRK2" t="s">
        <v>9523</v>
      </c>
      <c r="GRL2" t="s">
        <v>9524</v>
      </c>
      <c r="GRM2" t="s">
        <v>9525</v>
      </c>
      <c r="GRN2" t="s">
        <v>9526</v>
      </c>
      <c r="GRO2" t="s">
        <v>9527</v>
      </c>
      <c r="GRP2" t="s">
        <v>9528</v>
      </c>
      <c r="GRQ2" t="s">
        <v>9529</v>
      </c>
      <c r="GRR2" t="s">
        <v>9530</v>
      </c>
      <c r="GRS2" t="s">
        <v>9531</v>
      </c>
      <c r="GRT2" t="s">
        <v>9532</v>
      </c>
      <c r="GRU2" t="s">
        <v>9533</v>
      </c>
      <c r="GRV2" t="s">
        <v>9534</v>
      </c>
      <c r="GRW2" t="s">
        <v>9535</v>
      </c>
      <c r="GRX2" t="s">
        <v>9536</v>
      </c>
      <c r="GRY2" t="s">
        <v>9537</v>
      </c>
      <c r="GRZ2" t="s">
        <v>9538</v>
      </c>
      <c r="GSA2" t="s">
        <v>9539</v>
      </c>
      <c r="GSB2" t="s">
        <v>9540</v>
      </c>
      <c r="GSC2" t="s">
        <v>9541</v>
      </c>
      <c r="GSD2" t="s">
        <v>9542</v>
      </c>
      <c r="GSE2" t="s">
        <v>9543</v>
      </c>
      <c r="GSF2" t="s">
        <v>9544</v>
      </c>
      <c r="GSG2" t="s">
        <v>9545</v>
      </c>
      <c r="GSH2" t="s">
        <v>9546</v>
      </c>
      <c r="GSI2" t="s">
        <v>9547</v>
      </c>
      <c r="GSJ2" t="s">
        <v>9548</v>
      </c>
      <c r="GSK2" t="s">
        <v>9549</v>
      </c>
      <c r="GSL2" t="s">
        <v>9550</v>
      </c>
      <c r="GSM2" t="s">
        <v>9551</v>
      </c>
      <c r="GSN2" t="s">
        <v>9552</v>
      </c>
      <c r="GSO2" t="s">
        <v>9553</v>
      </c>
      <c r="GSP2" t="s">
        <v>9554</v>
      </c>
      <c r="GSQ2" t="s">
        <v>9555</v>
      </c>
      <c r="GSR2" t="s">
        <v>9556</v>
      </c>
      <c r="GSS2" t="s">
        <v>9557</v>
      </c>
      <c r="GST2" t="s">
        <v>9558</v>
      </c>
      <c r="GSU2" t="s">
        <v>9559</v>
      </c>
      <c r="GSV2" t="s">
        <v>9560</v>
      </c>
      <c r="GSW2" t="s">
        <v>9561</v>
      </c>
      <c r="GSX2" t="s">
        <v>9562</v>
      </c>
      <c r="GSY2" t="s">
        <v>9563</v>
      </c>
      <c r="GSZ2" t="s">
        <v>9564</v>
      </c>
      <c r="GTA2" t="s">
        <v>9565</v>
      </c>
      <c r="GTB2" t="s">
        <v>9566</v>
      </c>
      <c r="GTC2" t="s">
        <v>9567</v>
      </c>
      <c r="GTD2" t="s">
        <v>9568</v>
      </c>
      <c r="GTE2" t="s">
        <v>9569</v>
      </c>
      <c r="GTF2" t="s">
        <v>9570</v>
      </c>
      <c r="GTG2" t="s">
        <v>9571</v>
      </c>
      <c r="GTH2" t="s">
        <v>9572</v>
      </c>
      <c r="GTI2" t="s">
        <v>9573</v>
      </c>
      <c r="GTJ2" t="s">
        <v>9574</v>
      </c>
      <c r="GTK2" t="s">
        <v>9575</v>
      </c>
      <c r="GTL2" t="s">
        <v>9576</v>
      </c>
      <c r="GTM2" t="s">
        <v>9577</v>
      </c>
      <c r="GTN2" t="s">
        <v>9578</v>
      </c>
      <c r="GTO2" t="s">
        <v>9579</v>
      </c>
      <c r="GTP2" t="s">
        <v>9580</v>
      </c>
      <c r="GTQ2" t="s">
        <v>9581</v>
      </c>
      <c r="GTR2" t="s">
        <v>9582</v>
      </c>
      <c r="GTS2" t="s">
        <v>9583</v>
      </c>
      <c r="GTT2" t="s">
        <v>9584</v>
      </c>
      <c r="GTU2" t="s">
        <v>9585</v>
      </c>
      <c r="GTV2" t="s">
        <v>9586</v>
      </c>
      <c r="GTW2" t="s">
        <v>9587</v>
      </c>
      <c r="GTX2" t="s">
        <v>9588</v>
      </c>
      <c r="GTY2" t="s">
        <v>9589</v>
      </c>
      <c r="GTZ2" t="s">
        <v>9590</v>
      </c>
      <c r="GUA2" t="s">
        <v>9591</v>
      </c>
      <c r="GUB2" t="s">
        <v>9592</v>
      </c>
      <c r="GUC2" t="s">
        <v>9593</v>
      </c>
      <c r="GUD2" t="s">
        <v>9594</v>
      </c>
      <c r="GUE2" t="s">
        <v>9595</v>
      </c>
      <c r="GUF2" t="s">
        <v>9596</v>
      </c>
      <c r="GUG2" t="s">
        <v>9597</v>
      </c>
      <c r="GUH2" t="s">
        <v>9598</v>
      </c>
      <c r="GUI2" t="s">
        <v>9599</v>
      </c>
      <c r="GUJ2" t="s">
        <v>9600</v>
      </c>
      <c r="GUK2" t="s">
        <v>9601</v>
      </c>
      <c r="GUL2" t="s">
        <v>9602</v>
      </c>
      <c r="GUM2" t="s">
        <v>9603</v>
      </c>
      <c r="GUN2" t="s">
        <v>9604</v>
      </c>
      <c r="GUO2" t="s">
        <v>9605</v>
      </c>
      <c r="GUP2" t="s">
        <v>9606</v>
      </c>
      <c r="GUQ2" t="s">
        <v>9607</v>
      </c>
      <c r="GUR2" t="s">
        <v>9608</v>
      </c>
      <c r="GUS2" t="s">
        <v>9609</v>
      </c>
      <c r="GUT2" t="s">
        <v>9610</v>
      </c>
      <c r="GUU2" t="s">
        <v>9611</v>
      </c>
      <c r="GUV2" t="s">
        <v>9612</v>
      </c>
      <c r="GUW2" t="s">
        <v>9613</v>
      </c>
      <c r="GUX2" t="s">
        <v>9614</v>
      </c>
      <c r="GUY2" t="s">
        <v>9615</v>
      </c>
      <c r="GUZ2" t="s">
        <v>9616</v>
      </c>
      <c r="GVA2" t="s">
        <v>9617</v>
      </c>
      <c r="GVB2" t="s">
        <v>9618</v>
      </c>
      <c r="GVC2" t="s">
        <v>9619</v>
      </c>
      <c r="GVD2" t="s">
        <v>9620</v>
      </c>
      <c r="GVE2" t="s">
        <v>9621</v>
      </c>
      <c r="GVF2" t="s">
        <v>9622</v>
      </c>
      <c r="GVG2" t="s">
        <v>9623</v>
      </c>
      <c r="GVH2" t="s">
        <v>9624</v>
      </c>
      <c r="GVI2" t="s">
        <v>9625</v>
      </c>
      <c r="GVJ2" t="s">
        <v>9626</v>
      </c>
      <c r="GVK2" t="s">
        <v>9627</v>
      </c>
      <c r="GVL2" t="s">
        <v>9628</v>
      </c>
      <c r="GVM2" t="s">
        <v>9629</v>
      </c>
      <c r="GVN2" t="s">
        <v>9630</v>
      </c>
      <c r="GVO2" t="s">
        <v>9631</v>
      </c>
      <c r="GVP2" t="s">
        <v>9632</v>
      </c>
      <c r="GVQ2" t="s">
        <v>9633</v>
      </c>
      <c r="GVR2" t="s">
        <v>9634</v>
      </c>
      <c r="GVS2" t="s">
        <v>9635</v>
      </c>
      <c r="GVT2" t="s">
        <v>9636</v>
      </c>
      <c r="GVU2" t="s">
        <v>9637</v>
      </c>
      <c r="GVV2" t="s">
        <v>9638</v>
      </c>
      <c r="GVW2" t="s">
        <v>9639</v>
      </c>
      <c r="GVX2" t="s">
        <v>9640</v>
      </c>
      <c r="GVY2" t="s">
        <v>9641</v>
      </c>
      <c r="GVZ2" t="s">
        <v>9642</v>
      </c>
      <c r="GWA2" t="s">
        <v>9643</v>
      </c>
      <c r="GWB2" t="s">
        <v>9644</v>
      </c>
      <c r="GWC2" t="s">
        <v>9645</v>
      </c>
      <c r="GWD2" t="s">
        <v>9646</v>
      </c>
      <c r="GWE2" t="s">
        <v>9647</v>
      </c>
      <c r="GWF2" t="s">
        <v>9648</v>
      </c>
      <c r="GWG2" t="s">
        <v>9649</v>
      </c>
      <c r="GWH2" t="s">
        <v>9650</v>
      </c>
      <c r="GWI2" t="s">
        <v>9651</v>
      </c>
      <c r="GWJ2" t="s">
        <v>9652</v>
      </c>
      <c r="GWK2" t="s">
        <v>9653</v>
      </c>
      <c r="GWL2" t="s">
        <v>9654</v>
      </c>
      <c r="GWM2" t="s">
        <v>9655</v>
      </c>
      <c r="GWN2" t="s">
        <v>9656</v>
      </c>
      <c r="GWO2" t="s">
        <v>9657</v>
      </c>
      <c r="GWP2" t="s">
        <v>9658</v>
      </c>
      <c r="GWQ2" t="s">
        <v>9659</v>
      </c>
      <c r="GWR2" t="s">
        <v>9660</v>
      </c>
      <c r="GWS2" t="s">
        <v>9661</v>
      </c>
      <c r="GWT2" t="s">
        <v>9662</v>
      </c>
      <c r="GWU2" t="s">
        <v>9663</v>
      </c>
      <c r="GWV2" t="s">
        <v>9664</v>
      </c>
      <c r="GWW2" t="s">
        <v>9665</v>
      </c>
      <c r="GWX2" t="s">
        <v>9666</v>
      </c>
      <c r="GWY2" t="s">
        <v>9667</v>
      </c>
      <c r="GWZ2" t="s">
        <v>9668</v>
      </c>
      <c r="GXA2" t="s">
        <v>9669</v>
      </c>
      <c r="GXB2" t="s">
        <v>9670</v>
      </c>
      <c r="GXC2" t="s">
        <v>9671</v>
      </c>
      <c r="GXD2" t="s">
        <v>9672</v>
      </c>
      <c r="GXE2" t="s">
        <v>9673</v>
      </c>
      <c r="GXF2" t="s">
        <v>9674</v>
      </c>
      <c r="GXG2" t="s">
        <v>9675</v>
      </c>
      <c r="GXH2" t="s">
        <v>9676</v>
      </c>
      <c r="GXI2" t="s">
        <v>9677</v>
      </c>
      <c r="GXJ2" t="s">
        <v>9678</v>
      </c>
      <c r="GXK2" t="s">
        <v>9679</v>
      </c>
      <c r="GXL2" t="s">
        <v>9680</v>
      </c>
      <c r="GXM2" t="s">
        <v>9681</v>
      </c>
      <c r="GXN2" t="s">
        <v>9682</v>
      </c>
      <c r="GXO2" t="s">
        <v>9683</v>
      </c>
      <c r="GXP2" t="s">
        <v>9684</v>
      </c>
      <c r="GXQ2" t="s">
        <v>9685</v>
      </c>
      <c r="GXR2" t="s">
        <v>9686</v>
      </c>
      <c r="GXS2" t="s">
        <v>9687</v>
      </c>
      <c r="GXT2" t="s">
        <v>9688</v>
      </c>
      <c r="GXU2" t="s">
        <v>9689</v>
      </c>
      <c r="GXV2" t="s">
        <v>9690</v>
      </c>
      <c r="GXW2" t="s">
        <v>9691</v>
      </c>
      <c r="GXX2" t="s">
        <v>9692</v>
      </c>
      <c r="GXY2" t="s">
        <v>9693</v>
      </c>
      <c r="GXZ2" t="s">
        <v>9694</v>
      </c>
      <c r="GYA2" t="s">
        <v>9695</v>
      </c>
      <c r="GYB2" t="s">
        <v>9696</v>
      </c>
      <c r="GYC2" t="s">
        <v>9697</v>
      </c>
      <c r="GYD2" t="s">
        <v>9698</v>
      </c>
      <c r="GYE2" t="s">
        <v>9699</v>
      </c>
      <c r="GYF2" t="s">
        <v>9700</v>
      </c>
      <c r="GYG2" t="s">
        <v>9701</v>
      </c>
      <c r="GYH2" t="s">
        <v>9702</v>
      </c>
      <c r="GYI2" t="s">
        <v>9703</v>
      </c>
      <c r="GYJ2" t="s">
        <v>9704</v>
      </c>
      <c r="GYK2" t="s">
        <v>9705</v>
      </c>
      <c r="GYL2" t="s">
        <v>9706</v>
      </c>
      <c r="GYM2" t="s">
        <v>9707</v>
      </c>
      <c r="GYN2" t="s">
        <v>9708</v>
      </c>
      <c r="GYO2" t="s">
        <v>9709</v>
      </c>
      <c r="GYP2" t="s">
        <v>9710</v>
      </c>
      <c r="GYQ2" t="s">
        <v>9711</v>
      </c>
      <c r="GYR2" t="s">
        <v>9712</v>
      </c>
      <c r="GYS2" t="s">
        <v>9713</v>
      </c>
      <c r="GYT2" t="s">
        <v>9714</v>
      </c>
      <c r="GYU2" t="s">
        <v>9715</v>
      </c>
      <c r="GYV2" t="s">
        <v>9716</v>
      </c>
      <c r="GYW2" t="s">
        <v>9717</v>
      </c>
      <c r="GYX2" t="s">
        <v>9718</v>
      </c>
      <c r="GYY2" t="s">
        <v>9719</v>
      </c>
      <c r="GYZ2" t="s">
        <v>9720</v>
      </c>
      <c r="GZA2" t="s">
        <v>9721</v>
      </c>
      <c r="GZB2" t="s">
        <v>9722</v>
      </c>
      <c r="GZC2" t="s">
        <v>9723</v>
      </c>
      <c r="GZD2" t="s">
        <v>9724</v>
      </c>
      <c r="GZE2" t="s">
        <v>9725</v>
      </c>
      <c r="GZF2" t="s">
        <v>9726</v>
      </c>
      <c r="GZG2" t="s">
        <v>9727</v>
      </c>
      <c r="GZH2" t="s">
        <v>9728</v>
      </c>
      <c r="GZI2" t="s">
        <v>9729</v>
      </c>
      <c r="GZJ2" t="s">
        <v>9730</v>
      </c>
      <c r="GZK2" t="s">
        <v>9731</v>
      </c>
      <c r="GZL2" t="s">
        <v>9732</v>
      </c>
      <c r="GZM2" t="s">
        <v>9733</v>
      </c>
      <c r="GZN2" t="s">
        <v>9734</v>
      </c>
      <c r="GZO2" t="s">
        <v>9735</v>
      </c>
      <c r="GZP2" t="s">
        <v>9736</v>
      </c>
      <c r="GZQ2" t="s">
        <v>9737</v>
      </c>
      <c r="GZR2" t="s">
        <v>9738</v>
      </c>
      <c r="GZS2" t="s">
        <v>9739</v>
      </c>
      <c r="GZT2" t="s">
        <v>9740</v>
      </c>
      <c r="GZU2" t="s">
        <v>9741</v>
      </c>
      <c r="GZV2" t="s">
        <v>9742</v>
      </c>
      <c r="GZW2" t="s">
        <v>9743</v>
      </c>
      <c r="GZX2" t="s">
        <v>9744</v>
      </c>
      <c r="GZY2" t="s">
        <v>9745</v>
      </c>
      <c r="GZZ2" t="s">
        <v>9746</v>
      </c>
      <c r="HAA2" t="s">
        <v>9747</v>
      </c>
      <c r="HAB2" t="s">
        <v>9748</v>
      </c>
      <c r="HAC2" t="s">
        <v>9749</v>
      </c>
      <c r="HAD2" t="s">
        <v>9750</v>
      </c>
      <c r="HAE2" t="s">
        <v>9751</v>
      </c>
      <c r="HAF2" t="s">
        <v>9752</v>
      </c>
      <c r="HAG2" t="s">
        <v>9753</v>
      </c>
      <c r="HAH2" t="s">
        <v>9754</v>
      </c>
      <c r="HAI2" t="s">
        <v>9755</v>
      </c>
      <c r="HAJ2" t="s">
        <v>9756</v>
      </c>
      <c r="HAK2" t="s">
        <v>9757</v>
      </c>
      <c r="HAL2" t="s">
        <v>9758</v>
      </c>
      <c r="HAM2" t="s">
        <v>9759</v>
      </c>
      <c r="HAN2" t="s">
        <v>9760</v>
      </c>
      <c r="HAO2" t="s">
        <v>9761</v>
      </c>
      <c r="HAP2" t="s">
        <v>9762</v>
      </c>
      <c r="HAQ2" t="s">
        <v>9763</v>
      </c>
      <c r="HAR2" t="s">
        <v>9764</v>
      </c>
      <c r="HAS2" t="s">
        <v>9765</v>
      </c>
      <c r="HAT2" t="s">
        <v>9766</v>
      </c>
      <c r="HAU2" t="s">
        <v>9767</v>
      </c>
      <c r="HAV2" t="s">
        <v>9768</v>
      </c>
      <c r="HAW2" t="s">
        <v>9769</v>
      </c>
      <c r="HAX2" t="s">
        <v>9770</v>
      </c>
      <c r="HAY2" t="s">
        <v>9771</v>
      </c>
      <c r="HAZ2" t="s">
        <v>9772</v>
      </c>
      <c r="HBA2" t="s">
        <v>9773</v>
      </c>
      <c r="HBB2" t="s">
        <v>9774</v>
      </c>
      <c r="HBC2" t="s">
        <v>9775</v>
      </c>
      <c r="HBD2" t="s">
        <v>9776</v>
      </c>
      <c r="HBE2" t="s">
        <v>9777</v>
      </c>
      <c r="HBF2" t="s">
        <v>9778</v>
      </c>
      <c r="HBG2" t="s">
        <v>9779</v>
      </c>
      <c r="HBH2" t="s">
        <v>9780</v>
      </c>
      <c r="HBI2" t="s">
        <v>9781</v>
      </c>
      <c r="HBJ2" t="s">
        <v>9782</v>
      </c>
      <c r="HBK2" t="s">
        <v>9783</v>
      </c>
      <c r="HBL2" t="s">
        <v>9784</v>
      </c>
      <c r="HBM2" t="s">
        <v>9785</v>
      </c>
      <c r="HBN2" t="s">
        <v>9786</v>
      </c>
      <c r="HBO2" t="s">
        <v>9787</v>
      </c>
      <c r="HBP2" t="s">
        <v>9788</v>
      </c>
      <c r="HBQ2" t="s">
        <v>9789</v>
      </c>
      <c r="HBR2" t="s">
        <v>9790</v>
      </c>
      <c r="HBS2" t="s">
        <v>9791</v>
      </c>
      <c r="HBT2" t="s">
        <v>9792</v>
      </c>
      <c r="HBU2" t="s">
        <v>9793</v>
      </c>
      <c r="HBV2" t="s">
        <v>9794</v>
      </c>
      <c r="HBW2" t="s">
        <v>9795</v>
      </c>
      <c r="HBX2" t="s">
        <v>9796</v>
      </c>
      <c r="HBY2" t="s">
        <v>9797</v>
      </c>
      <c r="HBZ2" t="s">
        <v>9798</v>
      </c>
      <c r="HCA2" t="s">
        <v>9799</v>
      </c>
      <c r="HCB2" t="s">
        <v>9800</v>
      </c>
      <c r="HCC2" t="s">
        <v>9801</v>
      </c>
      <c r="HCD2" t="s">
        <v>9802</v>
      </c>
      <c r="HCE2" t="s">
        <v>9803</v>
      </c>
      <c r="HCF2" t="s">
        <v>9804</v>
      </c>
      <c r="HCG2" t="s">
        <v>9805</v>
      </c>
      <c r="HCH2" t="s">
        <v>9806</v>
      </c>
      <c r="HCI2" t="s">
        <v>9807</v>
      </c>
      <c r="HCJ2" t="s">
        <v>9808</v>
      </c>
      <c r="HCK2" t="s">
        <v>9809</v>
      </c>
      <c r="HCL2" t="s">
        <v>9810</v>
      </c>
      <c r="HCM2" t="s">
        <v>9811</v>
      </c>
      <c r="HCN2" t="s">
        <v>9812</v>
      </c>
      <c r="HCO2" t="s">
        <v>9813</v>
      </c>
      <c r="HCP2" t="s">
        <v>9814</v>
      </c>
      <c r="HCQ2" t="s">
        <v>9815</v>
      </c>
      <c r="HCR2" t="s">
        <v>9816</v>
      </c>
      <c r="HCS2" t="s">
        <v>9817</v>
      </c>
      <c r="HCT2" t="s">
        <v>9818</v>
      </c>
      <c r="HCU2" t="s">
        <v>9819</v>
      </c>
      <c r="HCV2" t="s">
        <v>9820</v>
      </c>
      <c r="HCW2" t="s">
        <v>9821</v>
      </c>
      <c r="HCX2" t="s">
        <v>9822</v>
      </c>
      <c r="HCY2" t="s">
        <v>9823</v>
      </c>
      <c r="HCZ2" t="s">
        <v>9824</v>
      </c>
      <c r="HDA2" t="s">
        <v>9825</v>
      </c>
      <c r="HDB2" t="s">
        <v>9826</v>
      </c>
      <c r="HDC2" t="s">
        <v>9827</v>
      </c>
      <c r="HDD2" t="s">
        <v>9828</v>
      </c>
      <c r="HDE2" t="s">
        <v>9829</v>
      </c>
      <c r="HDF2" t="s">
        <v>9830</v>
      </c>
      <c r="HDG2" t="s">
        <v>9831</v>
      </c>
      <c r="HDH2" t="s">
        <v>9832</v>
      </c>
      <c r="HDI2" t="s">
        <v>9833</v>
      </c>
      <c r="HDJ2" t="s">
        <v>9834</v>
      </c>
      <c r="HDK2" t="s">
        <v>9835</v>
      </c>
      <c r="HDL2" t="s">
        <v>9836</v>
      </c>
      <c r="HDM2" t="s">
        <v>9837</v>
      </c>
      <c r="HDN2" t="s">
        <v>9838</v>
      </c>
      <c r="HDO2" t="s">
        <v>9839</v>
      </c>
      <c r="HDP2" t="s">
        <v>9840</v>
      </c>
      <c r="HDQ2" t="s">
        <v>9841</v>
      </c>
      <c r="HDR2" t="s">
        <v>9842</v>
      </c>
      <c r="HDS2" t="s">
        <v>9843</v>
      </c>
      <c r="HDT2" t="s">
        <v>9844</v>
      </c>
      <c r="HDU2" t="s">
        <v>9845</v>
      </c>
      <c r="HDV2" t="s">
        <v>9846</v>
      </c>
      <c r="HDW2" t="s">
        <v>9847</v>
      </c>
      <c r="HDX2" t="s">
        <v>9848</v>
      </c>
      <c r="HDY2" t="s">
        <v>9849</v>
      </c>
      <c r="HDZ2" t="s">
        <v>9850</v>
      </c>
      <c r="HEA2" t="s">
        <v>9851</v>
      </c>
      <c r="HEB2" t="s">
        <v>9852</v>
      </c>
      <c r="HEC2" t="s">
        <v>9853</v>
      </c>
      <c r="HED2" t="s">
        <v>9854</v>
      </c>
      <c r="HEE2" t="s">
        <v>9855</v>
      </c>
      <c r="HEF2" t="s">
        <v>9856</v>
      </c>
      <c r="HEG2" t="s">
        <v>9857</v>
      </c>
      <c r="HEH2" t="s">
        <v>9858</v>
      </c>
      <c r="HEI2" t="s">
        <v>9859</v>
      </c>
      <c r="HEJ2" t="s">
        <v>9860</v>
      </c>
      <c r="HEK2" t="s">
        <v>9861</v>
      </c>
      <c r="HEL2" t="s">
        <v>9862</v>
      </c>
      <c r="HEM2" t="s">
        <v>9863</v>
      </c>
      <c r="HEN2" t="s">
        <v>9864</v>
      </c>
      <c r="HEO2" t="s">
        <v>9865</v>
      </c>
      <c r="HEP2" t="s">
        <v>9866</v>
      </c>
      <c r="HEQ2" t="s">
        <v>9867</v>
      </c>
      <c r="HER2" t="s">
        <v>9868</v>
      </c>
      <c r="HES2" t="s">
        <v>9869</v>
      </c>
      <c r="HET2" t="s">
        <v>9870</v>
      </c>
      <c r="HEU2" t="s">
        <v>9871</v>
      </c>
      <c r="HEV2" t="s">
        <v>9872</v>
      </c>
      <c r="HEW2" t="s">
        <v>9873</v>
      </c>
      <c r="HEX2" t="s">
        <v>9874</v>
      </c>
      <c r="HEY2" t="s">
        <v>9875</v>
      </c>
      <c r="HEZ2" t="s">
        <v>9876</v>
      </c>
      <c r="HFA2" t="s">
        <v>9877</v>
      </c>
      <c r="HFB2" t="s">
        <v>9878</v>
      </c>
      <c r="HFC2" t="s">
        <v>9879</v>
      </c>
      <c r="HFD2" t="s">
        <v>9880</v>
      </c>
      <c r="HFE2" t="s">
        <v>9881</v>
      </c>
      <c r="HFF2" t="s">
        <v>9882</v>
      </c>
      <c r="HFG2" t="s">
        <v>9883</v>
      </c>
      <c r="HFH2" t="s">
        <v>9884</v>
      </c>
      <c r="HFI2" t="s">
        <v>9885</v>
      </c>
      <c r="HFJ2" t="s">
        <v>9886</v>
      </c>
      <c r="HFK2" t="s">
        <v>9887</v>
      </c>
      <c r="HFL2" t="s">
        <v>9888</v>
      </c>
      <c r="HFM2" t="s">
        <v>9889</v>
      </c>
      <c r="HFN2" t="s">
        <v>9890</v>
      </c>
      <c r="HFO2" t="s">
        <v>9891</v>
      </c>
      <c r="HFP2" t="s">
        <v>9892</v>
      </c>
      <c r="HFQ2" t="s">
        <v>9893</v>
      </c>
      <c r="HFR2" t="s">
        <v>9894</v>
      </c>
      <c r="HFS2" t="s">
        <v>9895</v>
      </c>
      <c r="HFT2" t="s">
        <v>9896</v>
      </c>
      <c r="HFU2" t="s">
        <v>9897</v>
      </c>
      <c r="HFV2" t="s">
        <v>9898</v>
      </c>
      <c r="HFW2" t="s">
        <v>9899</v>
      </c>
      <c r="HFX2" t="s">
        <v>9900</v>
      </c>
      <c r="HFY2" t="s">
        <v>9901</v>
      </c>
      <c r="HFZ2" t="s">
        <v>9902</v>
      </c>
      <c r="HGA2" t="s">
        <v>9903</v>
      </c>
      <c r="HGB2" t="s">
        <v>9904</v>
      </c>
      <c r="HGC2" t="s">
        <v>9905</v>
      </c>
      <c r="HGD2" t="s">
        <v>9906</v>
      </c>
      <c r="HGE2" t="s">
        <v>9907</v>
      </c>
      <c r="HGF2" t="s">
        <v>9908</v>
      </c>
      <c r="HGG2" t="s">
        <v>9909</v>
      </c>
      <c r="HGH2" t="s">
        <v>9910</v>
      </c>
      <c r="HGI2" t="s">
        <v>9911</v>
      </c>
      <c r="HGJ2" t="s">
        <v>9912</v>
      </c>
      <c r="HGK2" t="s">
        <v>9913</v>
      </c>
      <c r="HGL2" t="s">
        <v>9914</v>
      </c>
      <c r="HGM2" t="s">
        <v>9915</v>
      </c>
      <c r="HGN2" t="s">
        <v>9916</v>
      </c>
      <c r="HGO2" t="s">
        <v>9917</v>
      </c>
      <c r="HGP2" t="s">
        <v>9918</v>
      </c>
      <c r="HGQ2" t="s">
        <v>9919</v>
      </c>
      <c r="HGR2" t="s">
        <v>9920</v>
      </c>
      <c r="HGS2" t="s">
        <v>9921</v>
      </c>
      <c r="HGT2" t="s">
        <v>9922</v>
      </c>
      <c r="HGU2" t="s">
        <v>9923</v>
      </c>
      <c r="HGV2" t="s">
        <v>9924</v>
      </c>
      <c r="HGW2" t="s">
        <v>9925</v>
      </c>
      <c r="HGX2" t="s">
        <v>9926</v>
      </c>
      <c r="HGY2" t="s">
        <v>9927</v>
      </c>
      <c r="HGZ2" t="s">
        <v>9928</v>
      </c>
      <c r="HHA2" t="s">
        <v>9929</v>
      </c>
      <c r="HHB2" t="s">
        <v>9930</v>
      </c>
      <c r="HHC2" t="s">
        <v>9931</v>
      </c>
      <c r="HHD2" t="s">
        <v>9932</v>
      </c>
      <c r="HHE2" t="s">
        <v>9933</v>
      </c>
      <c r="HHF2" t="s">
        <v>9934</v>
      </c>
      <c r="HHG2" t="s">
        <v>9935</v>
      </c>
      <c r="HHH2" t="s">
        <v>9936</v>
      </c>
      <c r="HHI2" t="s">
        <v>9937</v>
      </c>
      <c r="HHJ2" t="s">
        <v>9938</v>
      </c>
      <c r="HHK2" t="s">
        <v>9939</v>
      </c>
      <c r="HHL2" t="s">
        <v>9940</v>
      </c>
      <c r="HHM2" t="s">
        <v>9941</v>
      </c>
      <c r="HHN2" t="s">
        <v>9942</v>
      </c>
      <c r="HHO2" t="s">
        <v>9943</v>
      </c>
      <c r="HHP2" t="s">
        <v>9944</v>
      </c>
      <c r="HHQ2" t="s">
        <v>9945</v>
      </c>
      <c r="HHR2" t="s">
        <v>9946</v>
      </c>
      <c r="HHS2" t="s">
        <v>9947</v>
      </c>
      <c r="HHT2" t="s">
        <v>9948</v>
      </c>
      <c r="HHU2" t="s">
        <v>9949</v>
      </c>
      <c r="HHV2" t="s">
        <v>9950</v>
      </c>
      <c r="HHW2" t="s">
        <v>9951</v>
      </c>
      <c r="HHX2" t="s">
        <v>9952</v>
      </c>
      <c r="HHY2" t="s">
        <v>9953</v>
      </c>
      <c r="HHZ2" t="s">
        <v>9954</v>
      </c>
      <c r="HIA2" t="s">
        <v>9955</v>
      </c>
      <c r="HIB2" t="s">
        <v>9956</v>
      </c>
      <c r="HIC2" t="s">
        <v>9957</v>
      </c>
      <c r="HID2" t="s">
        <v>9958</v>
      </c>
      <c r="HIE2" t="s">
        <v>9959</v>
      </c>
      <c r="HIF2" t="s">
        <v>9960</v>
      </c>
      <c r="HIG2" t="s">
        <v>9961</v>
      </c>
      <c r="HIH2" t="s">
        <v>9962</v>
      </c>
      <c r="HII2" t="s">
        <v>9963</v>
      </c>
      <c r="HIJ2" t="s">
        <v>9964</v>
      </c>
      <c r="HIK2" t="s">
        <v>9965</v>
      </c>
      <c r="HIL2" t="s">
        <v>9966</v>
      </c>
      <c r="HIM2" t="s">
        <v>9967</v>
      </c>
      <c r="HIN2" t="s">
        <v>9968</v>
      </c>
      <c r="HIO2" t="s">
        <v>9969</v>
      </c>
      <c r="HIP2" t="s">
        <v>9970</v>
      </c>
      <c r="HIQ2" t="s">
        <v>9971</v>
      </c>
      <c r="HIR2" t="s">
        <v>9972</v>
      </c>
      <c r="HIS2" t="s">
        <v>9973</v>
      </c>
      <c r="HIT2" t="s">
        <v>9974</v>
      </c>
      <c r="HIU2" t="s">
        <v>9975</v>
      </c>
      <c r="HIV2" t="s">
        <v>9976</v>
      </c>
      <c r="HIW2" t="s">
        <v>9977</v>
      </c>
      <c r="HIX2" t="s">
        <v>9978</v>
      </c>
      <c r="HIY2" t="s">
        <v>9979</v>
      </c>
      <c r="HIZ2" t="s">
        <v>9980</v>
      </c>
      <c r="HJA2" t="s">
        <v>9981</v>
      </c>
      <c r="HJB2" t="s">
        <v>9982</v>
      </c>
      <c r="HJC2" t="s">
        <v>9983</v>
      </c>
      <c r="HJD2" t="s">
        <v>9984</v>
      </c>
      <c r="HJE2" t="s">
        <v>9985</v>
      </c>
      <c r="HJF2" t="s">
        <v>9986</v>
      </c>
      <c r="HJG2" t="s">
        <v>9987</v>
      </c>
      <c r="HJH2" t="s">
        <v>9988</v>
      </c>
      <c r="HJI2" t="s">
        <v>9989</v>
      </c>
      <c r="HJJ2" t="s">
        <v>9990</v>
      </c>
      <c r="HJK2" t="s">
        <v>9991</v>
      </c>
      <c r="HJL2" t="s">
        <v>9992</v>
      </c>
      <c r="HJM2" t="s">
        <v>9993</v>
      </c>
      <c r="HJN2" t="s">
        <v>9994</v>
      </c>
      <c r="HJO2" t="s">
        <v>9995</v>
      </c>
      <c r="HJP2" t="s">
        <v>9996</v>
      </c>
      <c r="HJQ2" t="s">
        <v>9997</v>
      </c>
      <c r="HJR2" t="s">
        <v>9998</v>
      </c>
      <c r="HJS2" t="s">
        <v>9999</v>
      </c>
      <c r="HJT2" t="s">
        <v>10000</v>
      </c>
      <c r="HJU2" t="s">
        <v>10001</v>
      </c>
      <c r="HJV2" t="s">
        <v>10002</v>
      </c>
      <c r="HJW2" t="s">
        <v>10003</v>
      </c>
      <c r="HJX2" t="s">
        <v>10004</v>
      </c>
      <c r="HJY2" t="s">
        <v>10005</v>
      </c>
      <c r="HJZ2" t="s">
        <v>10006</v>
      </c>
      <c r="HKA2" t="s">
        <v>10007</v>
      </c>
      <c r="HKB2" t="s">
        <v>10008</v>
      </c>
      <c r="HKC2" t="s">
        <v>10009</v>
      </c>
      <c r="HKD2" t="s">
        <v>10010</v>
      </c>
      <c r="HKE2" t="s">
        <v>10011</v>
      </c>
      <c r="HKF2" t="s">
        <v>10012</v>
      </c>
      <c r="HKG2" t="s">
        <v>10013</v>
      </c>
      <c r="HKH2" t="s">
        <v>10014</v>
      </c>
      <c r="HKI2" t="s">
        <v>10015</v>
      </c>
      <c r="HKJ2" t="s">
        <v>10016</v>
      </c>
      <c r="HKK2" t="s">
        <v>10017</v>
      </c>
      <c r="HKL2" t="s">
        <v>10018</v>
      </c>
      <c r="HKM2" t="s">
        <v>10019</v>
      </c>
      <c r="HKN2" t="s">
        <v>10020</v>
      </c>
      <c r="HKO2" t="s">
        <v>10021</v>
      </c>
      <c r="HKP2" t="s">
        <v>10022</v>
      </c>
      <c r="HKQ2" t="s">
        <v>10023</v>
      </c>
      <c r="HKR2" t="s">
        <v>10024</v>
      </c>
      <c r="HKS2" t="s">
        <v>10025</v>
      </c>
      <c r="HKT2" t="s">
        <v>10026</v>
      </c>
      <c r="HKU2" t="s">
        <v>10027</v>
      </c>
      <c r="HKV2" t="s">
        <v>10028</v>
      </c>
      <c r="HKW2" t="s">
        <v>10029</v>
      </c>
      <c r="HKX2" t="s">
        <v>10030</v>
      </c>
      <c r="HKY2" t="s">
        <v>10031</v>
      </c>
      <c r="HKZ2" t="s">
        <v>10032</v>
      </c>
      <c r="HLA2" t="s">
        <v>10033</v>
      </c>
      <c r="HLB2" t="s">
        <v>10034</v>
      </c>
      <c r="HLC2" t="s">
        <v>10035</v>
      </c>
      <c r="HLD2" t="s">
        <v>10036</v>
      </c>
      <c r="HLE2" t="s">
        <v>10037</v>
      </c>
      <c r="HLF2" t="s">
        <v>10038</v>
      </c>
      <c r="HLG2" t="s">
        <v>10039</v>
      </c>
      <c r="HLH2" t="s">
        <v>10040</v>
      </c>
      <c r="HLI2" t="s">
        <v>10041</v>
      </c>
      <c r="HLJ2" t="s">
        <v>10042</v>
      </c>
      <c r="HLK2" t="s">
        <v>10043</v>
      </c>
      <c r="HLL2" t="s">
        <v>10044</v>
      </c>
      <c r="HLM2" t="s">
        <v>10045</v>
      </c>
      <c r="HLN2" t="s">
        <v>10046</v>
      </c>
      <c r="HLO2" t="s">
        <v>10047</v>
      </c>
      <c r="HLP2" t="s">
        <v>10048</v>
      </c>
      <c r="HLQ2" t="s">
        <v>10049</v>
      </c>
      <c r="HLR2" t="s">
        <v>10050</v>
      </c>
      <c r="HLS2" t="s">
        <v>10051</v>
      </c>
      <c r="HLT2" t="s">
        <v>10052</v>
      </c>
      <c r="HLU2" t="s">
        <v>10053</v>
      </c>
      <c r="HLV2" t="s">
        <v>10054</v>
      </c>
      <c r="HLW2" t="s">
        <v>10055</v>
      </c>
      <c r="HLX2" t="s">
        <v>10056</v>
      </c>
      <c r="HLY2" t="s">
        <v>10057</v>
      </c>
      <c r="HLZ2" t="s">
        <v>10058</v>
      </c>
      <c r="HMA2" t="s">
        <v>10059</v>
      </c>
      <c r="HMB2" t="s">
        <v>10060</v>
      </c>
      <c r="HMC2" t="s">
        <v>10061</v>
      </c>
      <c r="HMD2" t="s">
        <v>10062</v>
      </c>
      <c r="HME2" t="s">
        <v>10063</v>
      </c>
      <c r="HMF2" t="s">
        <v>10064</v>
      </c>
      <c r="HMG2" t="s">
        <v>10065</v>
      </c>
      <c r="HMH2" t="s">
        <v>10066</v>
      </c>
      <c r="HMI2" t="s">
        <v>10067</v>
      </c>
      <c r="HMJ2" t="s">
        <v>10068</v>
      </c>
      <c r="HMK2" t="s">
        <v>10069</v>
      </c>
      <c r="HML2" t="s">
        <v>10070</v>
      </c>
      <c r="HMM2" t="s">
        <v>10071</v>
      </c>
      <c r="HMN2" t="s">
        <v>10072</v>
      </c>
      <c r="HMO2" t="s">
        <v>10073</v>
      </c>
      <c r="HMP2" t="s">
        <v>10074</v>
      </c>
      <c r="HMQ2" t="s">
        <v>10075</v>
      </c>
      <c r="HMR2" t="s">
        <v>10076</v>
      </c>
      <c r="HMS2" t="s">
        <v>10077</v>
      </c>
      <c r="HMT2" t="s">
        <v>10078</v>
      </c>
      <c r="HMU2" t="s">
        <v>10079</v>
      </c>
      <c r="HMV2" t="s">
        <v>10080</v>
      </c>
      <c r="HMW2" t="s">
        <v>10081</v>
      </c>
      <c r="HMX2" t="s">
        <v>10082</v>
      </c>
      <c r="HMY2" t="s">
        <v>10083</v>
      </c>
      <c r="HMZ2" t="s">
        <v>10084</v>
      </c>
      <c r="HNA2" t="s">
        <v>10085</v>
      </c>
      <c r="HNB2" t="s">
        <v>10086</v>
      </c>
      <c r="HNC2" t="s">
        <v>10087</v>
      </c>
      <c r="HND2" t="s">
        <v>10088</v>
      </c>
      <c r="HNE2" t="s">
        <v>10089</v>
      </c>
      <c r="HNF2" t="s">
        <v>10090</v>
      </c>
      <c r="HNG2" t="s">
        <v>10091</v>
      </c>
      <c r="HNH2" t="s">
        <v>10092</v>
      </c>
      <c r="HNI2" t="s">
        <v>10093</v>
      </c>
      <c r="HNJ2" t="s">
        <v>10094</v>
      </c>
      <c r="HNK2" t="s">
        <v>10095</v>
      </c>
      <c r="HNL2" t="s">
        <v>10096</v>
      </c>
      <c r="HNM2" t="s">
        <v>10097</v>
      </c>
      <c r="HNN2" t="s">
        <v>10098</v>
      </c>
      <c r="HNO2" t="s">
        <v>10099</v>
      </c>
      <c r="HNP2" t="s">
        <v>10100</v>
      </c>
      <c r="HNQ2" t="s">
        <v>10101</v>
      </c>
      <c r="HNR2" t="s">
        <v>10102</v>
      </c>
      <c r="HNS2" t="s">
        <v>10103</v>
      </c>
      <c r="HNT2" t="s">
        <v>10104</v>
      </c>
      <c r="HNU2" t="s">
        <v>10105</v>
      </c>
      <c r="HNV2" t="s">
        <v>10106</v>
      </c>
      <c r="HNW2" t="s">
        <v>10107</v>
      </c>
      <c r="HNX2" t="s">
        <v>10108</v>
      </c>
      <c r="HNY2" t="s">
        <v>10109</v>
      </c>
      <c r="HNZ2" t="s">
        <v>10110</v>
      </c>
      <c r="HOA2" t="s">
        <v>10111</v>
      </c>
      <c r="HOB2" t="s">
        <v>10112</v>
      </c>
      <c r="HOC2" t="s">
        <v>10113</v>
      </c>
      <c r="HOD2" t="s">
        <v>10114</v>
      </c>
      <c r="HOE2" t="s">
        <v>10115</v>
      </c>
      <c r="HOF2" t="s">
        <v>10116</v>
      </c>
      <c r="HOG2" t="s">
        <v>10117</v>
      </c>
      <c r="HOH2" t="s">
        <v>10118</v>
      </c>
      <c r="HOI2" t="s">
        <v>10119</v>
      </c>
      <c r="HOJ2" t="s">
        <v>10120</v>
      </c>
      <c r="HOK2" t="s">
        <v>10121</v>
      </c>
      <c r="HOL2" t="s">
        <v>10122</v>
      </c>
      <c r="HOM2" t="s">
        <v>10123</v>
      </c>
      <c r="HON2" t="s">
        <v>10124</v>
      </c>
      <c r="HOO2" t="s">
        <v>10125</v>
      </c>
      <c r="HOP2" t="s">
        <v>10126</v>
      </c>
      <c r="HOQ2" t="s">
        <v>10127</v>
      </c>
      <c r="HOR2" t="s">
        <v>10128</v>
      </c>
      <c r="HOS2" t="s">
        <v>10129</v>
      </c>
      <c r="HOT2" t="s">
        <v>10130</v>
      </c>
      <c r="HOU2" t="s">
        <v>10131</v>
      </c>
      <c r="HOV2" t="s">
        <v>10132</v>
      </c>
      <c r="HOW2" t="s">
        <v>10133</v>
      </c>
      <c r="HOX2" t="s">
        <v>10134</v>
      </c>
      <c r="HOY2" t="s">
        <v>10135</v>
      </c>
      <c r="HOZ2" t="s">
        <v>10136</v>
      </c>
      <c r="HPA2" t="s">
        <v>10137</v>
      </c>
      <c r="HPB2" t="s">
        <v>10138</v>
      </c>
      <c r="HPC2" t="s">
        <v>10139</v>
      </c>
      <c r="HPD2" t="s">
        <v>10140</v>
      </c>
      <c r="HPE2" t="s">
        <v>10141</v>
      </c>
      <c r="HPF2" t="s">
        <v>10142</v>
      </c>
      <c r="HPG2" t="s">
        <v>10143</v>
      </c>
      <c r="HPH2" t="s">
        <v>10144</v>
      </c>
      <c r="HPI2" t="s">
        <v>10145</v>
      </c>
      <c r="HPJ2" t="s">
        <v>10146</v>
      </c>
      <c r="HPK2" t="s">
        <v>10147</v>
      </c>
      <c r="HPL2" t="s">
        <v>10148</v>
      </c>
      <c r="HPM2" t="s">
        <v>10149</v>
      </c>
      <c r="HPN2" t="s">
        <v>10150</v>
      </c>
      <c r="HPO2" t="s">
        <v>10151</v>
      </c>
      <c r="HPP2" t="s">
        <v>10152</v>
      </c>
      <c r="HPQ2" t="s">
        <v>10153</v>
      </c>
      <c r="HPR2" t="s">
        <v>10154</v>
      </c>
      <c r="HPS2" t="s">
        <v>10155</v>
      </c>
      <c r="HPT2" t="s">
        <v>10156</v>
      </c>
      <c r="HPU2" t="s">
        <v>10157</v>
      </c>
      <c r="HPV2" t="s">
        <v>10158</v>
      </c>
      <c r="HPW2" t="s">
        <v>10159</v>
      </c>
      <c r="HPX2" t="s">
        <v>10160</v>
      </c>
      <c r="HPY2" t="s">
        <v>10161</v>
      </c>
      <c r="HPZ2" t="s">
        <v>10162</v>
      </c>
      <c r="HQA2" t="s">
        <v>10163</v>
      </c>
      <c r="HQB2" t="s">
        <v>10164</v>
      </c>
      <c r="HQC2" t="s">
        <v>10165</v>
      </c>
      <c r="HQD2" t="s">
        <v>10166</v>
      </c>
      <c r="HQE2" t="s">
        <v>10167</v>
      </c>
      <c r="HQF2" t="s">
        <v>10168</v>
      </c>
      <c r="HQG2" t="s">
        <v>10169</v>
      </c>
      <c r="HQH2" t="s">
        <v>10170</v>
      </c>
      <c r="HQI2" t="s">
        <v>10171</v>
      </c>
      <c r="HQJ2" t="s">
        <v>10172</v>
      </c>
      <c r="HQK2" t="s">
        <v>10173</v>
      </c>
      <c r="HQL2" t="s">
        <v>10174</v>
      </c>
      <c r="HQM2" t="s">
        <v>10175</v>
      </c>
      <c r="HQN2" t="s">
        <v>10176</v>
      </c>
      <c r="HQO2" t="s">
        <v>10177</v>
      </c>
      <c r="HQP2" t="s">
        <v>10178</v>
      </c>
      <c r="HQQ2" t="s">
        <v>10179</v>
      </c>
      <c r="HQR2" t="s">
        <v>10180</v>
      </c>
      <c r="HQS2" t="s">
        <v>10181</v>
      </c>
      <c r="HQT2" t="s">
        <v>10182</v>
      </c>
      <c r="HQU2" t="s">
        <v>10183</v>
      </c>
      <c r="HQV2" t="s">
        <v>10184</v>
      </c>
      <c r="HQW2" t="s">
        <v>10185</v>
      </c>
      <c r="HQX2" t="s">
        <v>10186</v>
      </c>
      <c r="HQY2" t="s">
        <v>10187</v>
      </c>
      <c r="HQZ2" t="s">
        <v>10188</v>
      </c>
      <c r="HRA2" t="s">
        <v>10189</v>
      </c>
      <c r="HRB2" t="s">
        <v>10190</v>
      </c>
      <c r="HRC2" t="s">
        <v>10191</v>
      </c>
      <c r="HRD2" t="s">
        <v>10192</v>
      </c>
      <c r="HRE2" t="s">
        <v>10193</v>
      </c>
      <c r="HRF2" t="s">
        <v>10194</v>
      </c>
      <c r="HRG2" t="s">
        <v>10195</v>
      </c>
      <c r="HRH2" t="s">
        <v>10196</v>
      </c>
      <c r="HRI2" t="s">
        <v>10197</v>
      </c>
      <c r="HRJ2" t="s">
        <v>10198</v>
      </c>
      <c r="HRK2" t="s">
        <v>10199</v>
      </c>
      <c r="HRL2" t="s">
        <v>10200</v>
      </c>
      <c r="HRM2" t="s">
        <v>10201</v>
      </c>
      <c r="HRN2" t="s">
        <v>10202</v>
      </c>
      <c r="HRO2" t="s">
        <v>10203</v>
      </c>
      <c r="HRP2" t="s">
        <v>10204</v>
      </c>
      <c r="HRQ2" t="s">
        <v>10205</v>
      </c>
      <c r="HRR2" t="s">
        <v>10206</v>
      </c>
      <c r="HRS2" t="s">
        <v>10207</v>
      </c>
      <c r="HRT2" t="s">
        <v>10208</v>
      </c>
      <c r="HRU2" t="s">
        <v>10209</v>
      </c>
      <c r="HRV2" t="s">
        <v>10210</v>
      </c>
      <c r="HRW2" t="s">
        <v>10211</v>
      </c>
      <c r="HRX2" t="s">
        <v>10212</v>
      </c>
      <c r="HRY2" t="s">
        <v>10213</v>
      </c>
      <c r="HRZ2" t="s">
        <v>10214</v>
      </c>
      <c r="HSA2" t="s">
        <v>10215</v>
      </c>
      <c r="HSB2" t="s">
        <v>10216</v>
      </c>
      <c r="HSC2" t="s">
        <v>10217</v>
      </c>
      <c r="HSD2" t="s">
        <v>10218</v>
      </c>
      <c r="HSE2" t="s">
        <v>10219</v>
      </c>
      <c r="HSF2" t="s">
        <v>10220</v>
      </c>
      <c r="HSG2" t="s">
        <v>10221</v>
      </c>
      <c r="HSH2" t="s">
        <v>10222</v>
      </c>
      <c r="HSI2" t="s">
        <v>10223</v>
      </c>
      <c r="HSJ2" t="s">
        <v>10224</v>
      </c>
      <c r="HSK2" t="s">
        <v>10225</v>
      </c>
      <c r="HSL2" t="s">
        <v>10226</v>
      </c>
      <c r="HSM2" t="s">
        <v>10227</v>
      </c>
      <c r="HSN2" t="s">
        <v>10228</v>
      </c>
      <c r="HSO2" t="s">
        <v>10229</v>
      </c>
      <c r="HSP2" t="s">
        <v>10230</v>
      </c>
      <c r="HSQ2" t="s">
        <v>10231</v>
      </c>
      <c r="HSR2" t="s">
        <v>10232</v>
      </c>
      <c r="HSS2" t="s">
        <v>10233</v>
      </c>
      <c r="HST2" t="s">
        <v>10234</v>
      </c>
      <c r="HSU2" t="s">
        <v>10235</v>
      </c>
      <c r="HSV2" t="s">
        <v>10236</v>
      </c>
      <c r="HSW2" t="s">
        <v>10237</v>
      </c>
      <c r="HSX2" t="s">
        <v>10238</v>
      </c>
      <c r="HSY2" t="s">
        <v>10239</v>
      </c>
      <c r="HSZ2" t="s">
        <v>10240</v>
      </c>
      <c r="HTA2" t="s">
        <v>10241</v>
      </c>
      <c r="HTB2" t="s">
        <v>10242</v>
      </c>
      <c r="HTC2" t="s">
        <v>10243</v>
      </c>
      <c r="HTD2" t="s">
        <v>10244</v>
      </c>
      <c r="HTE2" t="s">
        <v>10245</v>
      </c>
      <c r="HTF2" t="s">
        <v>10246</v>
      </c>
      <c r="HTG2" t="s">
        <v>10247</v>
      </c>
      <c r="HTH2" t="s">
        <v>10248</v>
      </c>
      <c r="HTI2" t="s">
        <v>10249</v>
      </c>
      <c r="HTJ2" t="s">
        <v>10250</v>
      </c>
      <c r="HTK2" t="s">
        <v>10251</v>
      </c>
      <c r="HTL2" t="s">
        <v>10252</v>
      </c>
      <c r="HTM2" t="s">
        <v>10253</v>
      </c>
      <c r="HTN2" t="s">
        <v>10254</v>
      </c>
      <c r="HTO2" t="s">
        <v>10255</v>
      </c>
      <c r="HTP2" t="s">
        <v>10256</v>
      </c>
      <c r="HTQ2" t="s">
        <v>10257</v>
      </c>
      <c r="HTR2" t="s">
        <v>10258</v>
      </c>
      <c r="HTS2" t="s">
        <v>10259</v>
      </c>
      <c r="HTT2" t="s">
        <v>10260</v>
      </c>
      <c r="HTU2" t="s">
        <v>10261</v>
      </c>
      <c r="HTV2" t="s">
        <v>10262</v>
      </c>
      <c r="HTW2" t="s">
        <v>10263</v>
      </c>
      <c r="HTX2" t="s">
        <v>10264</v>
      </c>
      <c r="HTY2" t="s">
        <v>10265</v>
      </c>
      <c r="HTZ2" t="s">
        <v>10266</v>
      </c>
      <c r="HUA2" t="s">
        <v>10267</v>
      </c>
      <c r="HUB2" t="s">
        <v>10268</v>
      </c>
      <c r="HUC2" t="s">
        <v>10269</v>
      </c>
      <c r="HUD2" t="s">
        <v>10270</v>
      </c>
      <c r="HUE2" t="s">
        <v>10271</v>
      </c>
      <c r="HUF2" t="s">
        <v>10272</v>
      </c>
      <c r="HUG2" t="s">
        <v>10273</v>
      </c>
      <c r="HUH2" t="s">
        <v>10274</v>
      </c>
      <c r="HUI2" t="s">
        <v>10275</v>
      </c>
      <c r="HUJ2" t="s">
        <v>10276</v>
      </c>
      <c r="HUK2" t="s">
        <v>10277</v>
      </c>
      <c r="HUL2" t="s">
        <v>10278</v>
      </c>
      <c r="HUM2" t="s">
        <v>10279</v>
      </c>
      <c r="HUN2" t="s">
        <v>10280</v>
      </c>
      <c r="HUO2" t="s">
        <v>10281</v>
      </c>
      <c r="HUP2" t="s">
        <v>10282</v>
      </c>
      <c r="HUQ2" t="s">
        <v>10283</v>
      </c>
      <c r="HUR2" t="s">
        <v>10284</v>
      </c>
      <c r="HUS2" t="s">
        <v>10285</v>
      </c>
      <c r="HUT2" t="s">
        <v>10286</v>
      </c>
      <c r="HUU2" t="s">
        <v>10287</v>
      </c>
      <c r="HUV2" t="s">
        <v>10288</v>
      </c>
      <c r="HUW2" t="s">
        <v>10289</v>
      </c>
      <c r="HUX2" t="s">
        <v>10290</v>
      </c>
      <c r="HUY2" t="s">
        <v>10291</v>
      </c>
      <c r="HUZ2" t="s">
        <v>10292</v>
      </c>
      <c r="HVA2" t="s">
        <v>10293</v>
      </c>
      <c r="HVB2" t="s">
        <v>10294</v>
      </c>
      <c r="HVC2" t="s">
        <v>10295</v>
      </c>
      <c r="HVD2" t="s">
        <v>10296</v>
      </c>
      <c r="HVE2" t="s">
        <v>10297</v>
      </c>
      <c r="HVF2" t="s">
        <v>10298</v>
      </c>
      <c r="HVG2" t="s">
        <v>10299</v>
      </c>
      <c r="HVH2" t="s">
        <v>10300</v>
      </c>
      <c r="HVI2" t="s">
        <v>10301</v>
      </c>
      <c r="HVJ2" t="s">
        <v>10302</v>
      </c>
      <c r="HVK2" t="s">
        <v>10303</v>
      </c>
      <c r="HVL2" t="s">
        <v>10304</v>
      </c>
      <c r="HVM2" t="s">
        <v>10305</v>
      </c>
      <c r="HVN2" t="s">
        <v>10306</v>
      </c>
      <c r="HVO2" t="s">
        <v>10307</v>
      </c>
      <c r="HVP2" t="s">
        <v>10308</v>
      </c>
      <c r="HVQ2" t="s">
        <v>10309</v>
      </c>
      <c r="HVR2" t="s">
        <v>10310</v>
      </c>
      <c r="HVS2" t="s">
        <v>10311</v>
      </c>
      <c r="HVT2" t="s">
        <v>10312</v>
      </c>
      <c r="HVU2" t="s">
        <v>10313</v>
      </c>
      <c r="HVV2" t="s">
        <v>10314</v>
      </c>
      <c r="HVW2" t="s">
        <v>10315</v>
      </c>
      <c r="HVX2" t="s">
        <v>10316</v>
      </c>
      <c r="HVY2" t="s">
        <v>10317</v>
      </c>
      <c r="HVZ2" t="s">
        <v>10318</v>
      </c>
      <c r="HWA2" t="s">
        <v>10319</v>
      </c>
      <c r="HWB2" t="s">
        <v>10320</v>
      </c>
      <c r="HWC2" t="s">
        <v>10321</v>
      </c>
      <c r="HWD2" t="s">
        <v>10322</v>
      </c>
      <c r="HWE2" t="s">
        <v>10323</v>
      </c>
      <c r="HWF2" t="s">
        <v>10324</v>
      </c>
      <c r="HWG2" t="s">
        <v>10325</v>
      </c>
      <c r="HWH2" t="s">
        <v>10326</v>
      </c>
      <c r="HWI2" t="s">
        <v>10327</v>
      </c>
      <c r="HWJ2" t="s">
        <v>10328</v>
      </c>
      <c r="HWK2" t="s">
        <v>10329</v>
      </c>
      <c r="HWL2" t="s">
        <v>10330</v>
      </c>
      <c r="HWM2" t="s">
        <v>10331</v>
      </c>
      <c r="HWN2" t="s">
        <v>10332</v>
      </c>
      <c r="HWO2" t="s">
        <v>10333</v>
      </c>
      <c r="HWP2" t="s">
        <v>10334</v>
      </c>
      <c r="HWQ2" t="s">
        <v>10335</v>
      </c>
      <c r="HWR2" t="s">
        <v>10336</v>
      </c>
      <c r="HWS2" t="s">
        <v>10337</v>
      </c>
      <c r="HWT2" t="s">
        <v>10338</v>
      </c>
      <c r="HWU2" t="s">
        <v>10339</v>
      </c>
      <c r="HWV2" t="s">
        <v>10340</v>
      </c>
      <c r="HWW2" t="s">
        <v>10341</v>
      </c>
      <c r="HWX2" t="s">
        <v>10342</v>
      </c>
      <c r="HWY2" t="s">
        <v>10343</v>
      </c>
      <c r="HWZ2" t="s">
        <v>10344</v>
      </c>
      <c r="HXA2" t="s">
        <v>10345</v>
      </c>
      <c r="HXB2" t="s">
        <v>10346</v>
      </c>
      <c r="HXC2" t="s">
        <v>10347</v>
      </c>
      <c r="HXD2" t="s">
        <v>10348</v>
      </c>
      <c r="HXE2" t="s">
        <v>10349</v>
      </c>
      <c r="HXF2" t="s">
        <v>10350</v>
      </c>
      <c r="HXG2" t="s">
        <v>10351</v>
      </c>
      <c r="HXH2" t="s">
        <v>10352</v>
      </c>
      <c r="HXI2" t="s">
        <v>10353</v>
      </c>
      <c r="HXJ2" t="s">
        <v>10354</v>
      </c>
      <c r="HXK2" t="s">
        <v>10355</v>
      </c>
      <c r="HXL2" t="s">
        <v>10356</v>
      </c>
      <c r="HXM2" t="s">
        <v>10357</v>
      </c>
      <c r="HXN2" t="s">
        <v>10358</v>
      </c>
      <c r="HXO2" t="s">
        <v>10359</v>
      </c>
      <c r="HXP2" t="s">
        <v>10360</v>
      </c>
      <c r="HXQ2" t="s">
        <v>10361</v>
      </c>
      <c r="HXR2" t="s">
        <v>10362</v>
      </c>
      <c r="HXS2" t="s">
        <v>10363</v>
      </c>
      <c r="HXT2" t="s">
        <v>10364</v>
      </c>
      <c r="HXU2" t="s">
        <v>10365</v>
      </c>
      <c r="HXV2" t="s">
        <v>10366</v>
      </c>
      <c r="HXW2" t="s">
        <v>10367</v>
      </c>
      <c r="HXX2" t="s">
        <v>10368</v>
      </c>
      <c r="HXY2" t="s">
        <v>10369</v>
      </c>
      <c r="HXZ2" t="s">
        <v>10370</v>
      </c>
      <c r="HYA2" t="s">
        <v>10371</v>
      </c>
      <c r="HYB2" t="s">
        <v>10372</v>
      </c>
      <c r="HYC2" t="s">
        <v>10373</v>
      </c>
      <c r="HYD2" t="s">
        <v>10374</v>
      </c>
      <c r="HYE2" t="s">
        <v>10375</v>
      </c>
      <c r="HYF2" t="s">
        <v>10376</v>
      </c>
      <c r="HYG2" t="s">
        <v>10377</v>
      </c>
      <c r="HYH2" t="s">
        <v>10378</v>
      </c>
      <c r="HYI2" t="s">
        <v>10379</v>
      </c>
      <c r="HYJ2" t="s">
        <v>10380</v>
      </c>
      <c r="HYK2" t="s">
        <v>10381</v>
      </c>
      <c r="HYL2" t="s">
        <v>10382</v>
      </c>
      <c r="HYM2" t="s">
        <v>10383</v>
      </c>
      <c r="HYN2" t="s">
        <v>10384</v>
      </c>
      <c r="HYO2" t="s">
        <v>10385</v>
      </c>
      <c r="HYP2" t="s">
        <v>10386</v>
      </c>
      <c r="HYQ2" t="s">
        <v>10387</v>
      </c>
      <c r="HYR2" t="s">
        <v>10388</v>
      </c>
      <c r="HYS2" t="s">
        <v>10389</v>
      </c>
      <c r="HYT2" t="s">
        <v>10390</v>
      </c>
      <c r="HYU2" t="s">
        <v>10391</v>
      </c>
      <c r="HYV2" t="s">
        <v>10392</v>
      </c>
      <c r="HYW2" t="s">
        <v>10393</v>
      </c>
      <c r="HYX2" t="s">
        <v>10394</v>
      </c>
      <c r="HYY2" t="s">
        <v>10395</v>
      </c>
      <c r="HYZ2" t="s">
        <v>10396</v>
      </c>
      <c r="HZA2" t="s">
        <v>10397</v>
      </c>
      <c r="HZB2" t="s">
        <v>10398</v>
      </c>
      <c r="HZC2" t="s">
        <v>10399</v>
      </c>
      <c r="HZD2" t="s">
        <v>10400</v>
      </c>
      <c r="HZE2" t="s">
        <v>10401</v>
      </c>
      <c r="HZF2" t="s">
        <v>10402</v>
      </c>
      <c r="HZG2" t="s">
        <v>10403</v>
      </c>
      <c r="HZH2" t="s">
        <v>10404</v>
      </c>
      <c r="HZI2" t="s">
        <v>10405</v>
      </c>
      <c r="HZJ2" t="s">
        <v>10406</v>
      </c>
      <c r="HZK2" t="s">
        <v>10407</v>
      </c>
      <c r="HZL2" t="s">
        <v>10408</v>
      </c>
      <c r="HZM2" t="s">
        <v>10409</v>
      </c>
      <c r="HZN2" t="s">
        <v>10410</v>
      </c>
      <c r="HZO2" t="s">
        <v>10411</v>
      </c>
      <c r="HZP2" t="s">
        <v>10412</v>
      </c>
      <c r="HZQ2" t="s">
        <v>10413</v>
      </c>
      <c r="HZR2" t="s">
        <v>10414</v>
      </c>
      <c r="HZS2" t="s">
        <v>10415</v>
      </c>
      <c r="HZT2" t="s">
        <v>10416</v>
      </c>
      <c r="HZU2" t="s">
        <v>10417</v>
      </c>
      <c r="HZV2" t="s">
        <v>10418</v>
      </c>
      <c r="HZW2" t="s">
        <v>10419</v>
      </c>
      <c r="HZX2" t="s">
        <v>10420</v>
      </c>
      <c r="HZY2" t="s">
        <v>10421</v>
      </c>
      <c r="HZZ2" t="s">
        <v>10422</v>
      </c>
      <c r="IAA2" t="s">
        <v>10423</v>
      </c>
      <c r="IAB2" t="s">
        <v>10424</v>
      </c>
      <c r="IAC2" t="s">
        <v>10425</v>
      </c>
      <c r="IAD2" t="s">
        <v>10426</v>
      </c>
      <c r="IAE2" t="s">
        <v>10427</v>
      </c>
      <c r="IAF2" t="s">
        <v>10428</v>
      </c>
      <c r="IAG2" t="s">
        <v>10429</v>
      </c>
      <c r="IAH2" t="s">
        <v>10430</v>
      </c>
      <c r="IAI2" t="s">
        <v>10431</v>
      </c>
      <c r="IAJ2" t="s">
        <v>10432</v>
      </c>
      <c r="IAK2" t="s">
        <v>10433</v>
      </c>
      <c r="IAL2" t="s">
        <v>10434</v>
      </c>
      <c r="IAM2" t="s">
        <v>10435</v>
      </c>
      <c r="IAN2" t="s">
        <v>10436</v>
      </c>
      <c r="IAO2" t="s">
        <v>10437</v>
      </c>
      <c r="IAP2" t="s">
        <v>10438</v>
      </c>
      <c r="IAQ2" t="s">
        <v>10439</v>
      </c>
      <c r="IAR2" t="s">
        <v>10440</v>
      </c>
      <c r="IAS2" t="s">
        <v>10441</v>
      </c>
      <c r="IAT2" t="s">
        <v>10442</v>
      </c>
      <c r="IAU2" t="s">
        <v>10443</v>
      </c>
      <c r="IAV2" t="s">
        <v>10444</v>
      </c>
      <c r="IAW2" t="s">
        <v>10445</v>
      </c>
      <c r="IAX2" t="s">
        <v>10446</v>
      </c>
      <c r="IAY2" t="s">
        <v>10447</v>
      </c>
      <c r="IAZ2" t="s">
        <v>10448</v>
      </c>
      <c r="IBA2" t="s">
        <v>10449</v>
      </c>
      <c r="IBB2" t="s">
        <v>10450</v>
      </c>
      <c r="IBC2" t="s">
        <v>10451</v>
      </c>
      <c r="IBD2" t="s">
        <v>10452</v>
      </c>
      <c r="IBE2" t="s">
        <v>10453</v>
      </c>
      <c r="IBF2" t="s">
        <v>10454</v>
      </c>
      <c r="IBG2" t="s">
        <v>10455</v>
      </c>
      <c r="IBH2" t="s">
        <v>10456</v>
      </c>
      <c r="IBI2" t="s">
        <v>10457</v>
      </c>
      <c r="IBJ2" t="s">
        <v>10458</v>
      </c>
      <c r="IBK2" t="s">
        <v>10459</v>
      </c>
      <c r="IBL2" t="s">
        <v>10460</v>
      </c>
      <c r="IBM2" t="s">
        <v>10461</v>
      </c>
      <c r="IBN2" t="s">
        <v>10462</v>
      </c>
      <c r="IBO2" t="s">
        <v>10463</v>
      </c>
      <c r="IBP2" t="s">
        <v>10464</v>
      </c>
      <c r="IBQ2" t="s">
        <v>10465</v>
      </c>
      <c r="IBR2" t="s">
        <v>10466</v>
      </c>
      <c r="IBS2" t="s">
        <v>10467</v>
      </c>
      <c r="IBT2" t="s">
        <v>10468</v>
      </c>
      <c r="IBU2" t="s">
        <v>10469</v>
      </c>
      <c r="IBV2" t="s">
        <v>10470</v>
      </c>
      <c r="IBW2" t="s">
        <v>10471</v>
      </c>
      <c r="IBX2" t="s">
        <v>10472</v>
      </c>
      <c r="IBY2" t="s">
        <v>10473</v>
      </c>
      <c r="IBZ2" t="s">
        <v>10474</v>
      </c>
      <c r="ICA2" t="s">
        <v>10475</v>
      </c>
      <c r="ICB2" t="s">
        <v>10476</v>
      </c>
      <c r="ICC2" t="s">
        <v>10477</v>
      </c>
      <c r="ICD2" t="s">
        <v>10478</v>
      </c>
      <c r="ICE2" t="s">
        <v>10479</v>
      </c>
      <c r="ICF2" t="s">
        <v>10480</v>
      </c>
      <c r="ICG2" t="s">
        <v>10481</v>
      </c>
      <c r="ICH2" t="s">
        <v>10482</v>
      </c>
      <c r="ICI2" t="s">
        <v>10483</v>
      </c>
      <c r="ICJ2" t="s">
        <v>10484</v>
      </c>
      <c r="ICK2" t="s">
        <v>10485</v>
      </c>
      <c r="ICL2" t="s">
        <v>10486</v>
      </c>
      <c r="ICM2" t="s">
        <v>10487</v>
      </c>
      <c r="ICN2" t="s">
        <v>10488</v>
      </c>
      <c r="ICO2" t="s">
        <v>10489</v>
      </c>
      <c r="ICP2" t="s">
        <v>10490</v>
      </c>
      <c r="ICQ2" t="s">
        <v>10491</v>
      </c>
      <c r="ICR2" t="s">
        <v>10492</v>
      </c>
      <c r="ICS2" t="s">
        <v>10493</v>
      </c>
      <c r="ICT2" t="s">
        <v>10494</v>
      </c>
      <c r="ICU2" t="s">
        <v>10495</v>
      </c>
      <c r="ICV2" t="s">
        <v>10496</v>
      </c>
      <c r="ICW2" t="s">
        <v>10497</v>
      </c>
      <c r="ICX2" t="s">
        <v>10498</v>
      </c>
      <c r="ICY2" t="s">
        <v>10499</v>
      </c>
      <c r="ICZ2" t="s">
        <v>10500</v>
      </c>
      <c r="IDA2" t="s">
        <v>10501</v>
      </c>
      <c r="IDB2" t="s">
        <v>10502</v>
      </c>
      <c r="IDC2" t="s">
        <v>10503</v>
      </c>
      <c r="IDD2" t="s">
        <v>10504</v>
      </c>
      <c r="IDE2" t="s">
        <v>10505</v>
      </c>
      <c r="IDF2" t="s">
        <v>10506</v>
      </c>
      <c r="IDG2" t="s">
        <v>10507</v>
      </c>
      <c r="IDH2" t="s">
        <v>10508</v>
      </c>
      <c r="IDI2" t="s">
        <v>10509</v>
      </c>
      <c r="IDJ2" t="s">
        <v>10510</v>
      </c>
      <c r="IDK2" t="s">
        <v>10511</v>
      </c>
      <c r="IDL2" t="s">
        <v>10512</v>
      </c>
      <c r="IDM2" t="s">
        <v>10513</v>
      </c>
      <c r="IDN2" t="s">
        <v>10514</v>
      </c>
      <c r="IDO2" t="s">
        <v>10515</v>
      </c>
      <c r="IDP2" t="s">
        <v>10516</v>
      </c>
      <c r="IDQ2" t="s">
        <v>10517</v>
      </c>
      <c r="IDR2" t="s">
        <v>10518</v>
      </c>
      <c r="IDS2" t="s">
        <v>10519</v>
      </c>
      <c r="IDT2" t="s">
        <v>10520</v>
      </c>
      <c r="IDU2" t="s">
        <v>10521</v>
      </c>
      <c r="IDV2" t="s">
        <v>10522</v>
      </c>
      <c r="IDW2" t="s">
        <v>10523</v>
      </c>
      <c r="IDX2" t="s">
        <v>10524</v>
      </c>
      <c r="IDY2" t="s">
        <v>10525</v>
      </c>
      <c r="IDZ2" t="s">
        <v>10526</v>
      </c>
      <c r="IEA2" t="s">
        <v>10527</v>
      </c>
      <c r="IEB2" t="s">
        <v>10528</v>
      </c>
      <c r="IEC2" t="s">
        <v>10529</v>
      </c>
      <c r="IED2" t="s">
        <v>10530</v>
      </c>
      <c r="IEE2" t="s">
        <v>10531</v>
      </c>
      <c r="IEF2" t="s">
        <v>10532</v>
      </c>
      <c r="IEG2" t="s">
        <v>10533</v>
      </c>
      <c r="IEH2" t="s">
        <v>10534</v>
      </c>
      <c r="IEI2" t="s">
        <v>10535</v>
      </c>
      <c r="IEJ2" t="s">
        <v>10536</v>
      </c>
      <c r="IEK2" t="s">
        <v>10537</v>
      </c>
      <c r="IEL2" t="s">
        <v>10538</v>
      </c>
      <c r="IEM2" t="s">
        <v>10539</v>
      </c>
      <c r="IEN2" t="s">
        <v>10540</v>
      </c>
      <c r="IEO2" t="s">
        <v>10541</v>
      </c>
      <c r="IEP2" t="s">
        <v>10542</v>
      </c>
      <c r="IEQ2" t="s">
        <v>10543</v>
      </c>
      <c r="IER2" t="s">
        <v>10544</v>
      </c>
      <c r="IES2" t="s">
        <v>10545</v>
      </c>
      <c r="IET2" t="s">
        <v>10546</v>
      </c>
      <c r="IEU2" t="s">
        <v>10547</v>
      </c>
      <c r="IEV2" t="s">
        <v>10548</v>
      </c>
      <c r="IEW2" t="s">
        <v>10549</v>
      </c>
      <c r="IEX2" t="s">
        <v>10550</v>
      </c>
      <c r="IEY2" t="s">
        <v>10551</v>
      </c>
      <c r="IEZ2" t="s">
        <v>10552</v>
      </c>
      <c r="IFA2" t="s">
        <v>10553</v>
      </c>
      <c r="IFB2" t="s">
        <v>10554</v>
      </c>
      <c r="IFC2" t="s">
        <v>10555</v>
      </c>
      <c r="IFD2" t="s">
        <v>10556</v>
      </c>
      <c r="IFE2" t="s">
        <v>10557</v>
      </c>
      <c r="IFF2" t="s">
        <v>10558</v>
      </c>
      <c r="IFG2" t="s">
        <v>10559</v>
      </c>
      <c r="IFH2" t="s">
        <v>10560</v>
      </c>
      <c r="IFI2" t="s">
        <v>10561</v>
      </c>
      <c r="IFJ2" t="s">
        <v>10562</v>
      </c>
      <c r="IFK2" t="s">
        <v>10563</v>
      </c>
      <c r="IFL2" t="s">
        <v>10564</v>
      </c>
      <c r="IFM2" t="s">
        <v>10565</v>
      </c>
      <c r="IFN2" t="s">
        <v>10566</v>
      </c>
      <c r="IFO2" t="s">
        <v>10567</v>
      </c>
      <c r="IFP2" t="s">
        <v>10568</v>
      </c>
      <c r="IFQ2" t="s">
        <v>10569</v>
      </c>
      <c r="IFR2" t="s">
        <v>10570</v>
      </c>
      <c r="IFS2" t="s">
        <v>10571</v>
      </c>
      <c r="IFT2" t="s">
        <v>10572</v>
      </c>
      <c r="IFU2" t="s">
        <v>10573</v>
      </c>
      <c r="IFV2" t="s">
        <v>10574</v>
      </c>
      <c r="IFW2" t="s">
        <v>10575</v>
      </c>
      <c r="IFX2" t="s">
        <v>10576</v>
      </c>
      <c r="IFY2" t="s">
        <v>10577</v>
      </c>
      <c r="IFZ2" t="s">
        <v>10578</v>
      </c>
      <c r="IGA2" t="s">
        <v>10579</v>
      </c>
      <c r="IGB2" t="s">
        <v>10580</v>
      </c>
      <c r="IGC2" t="s">
        <v>10581</v>
      </c>
      <c r="IGD2" t="s">
        <v>10582</v>
      </c>
      <c r="IGE2" t="s">
        <v>10583</v>
      </c>
      <c r="IGF2" t="s">
        <v>10584</v>
      </c>
      <c r="IGG2" t="s">
        <v>10585</v>
      </c>
      <c r="IGH2" t="s">
        <v>10586</v>
      </c>
      <c r="IGI2" t="s">
        <v>10587</v>
      </c>
      <c r="IGJ2" t="s">
        <v>10588</v>
      </c>
      <c r="IGK2" t="s">
        <v>10589</v>
      </c>
      <c r="IGL2" t="s">
        <v>10590</v>
      </c>
      <c r="IGM2" t="s">
        <v>10591</v>
      </c>
      <c r="IGN2" t="s">
        <v>10592</v>
      </c>
      <c r="IGO2" t="s">
        <v>10593</v>
      </c>
      <c r="IGP2" t="s">
        <v>10594</v>
      </c>
      <c r="IGQ2" t="s">
        <v>10595</v>
      </c>
      <c r="IGR2" t="s">
        <v>10596</v>
      </c>
      <c r="IGS2" t="s">
        <v>10597</v>
      </c>
      <c r="IGT2" t="s">
        <v>10598</v>
      </c>
      <c r="IGU2" t="s">
        <v>10599</v>
      </c>
      <c r="IGV2" t="s">
        <v>10600</v>
      </c>
      <c r="IGW2" t="s">
        <v>10601</v>
      </c>
      <c r="IGX2" t="s">
        <v>10602</v>
      </c>
      <c r="IGY2" t="s">
        <v>10603</v>
      </c>
      <c r="IGZ2" t="s">
        <v>10604</v>
      </c>
      <c r="IHA2" t="s">
        <v>10605</v>
      </c>
      <c r="IHB2" t="s">
        <v>10606</v>
      </c>
      <c r="IHC2" t="s">
        <v>10607</v>
      </c>
      <c r="IHD2" t="s">
        <v>10608</v>
      </c>
      <c r="IHE2" t="s">
        <v>10609</v>
      </c>
      <c r="IHF2" t="s">
        <v>10610</v>
      </c>
      <c r="IHG2" t="s">
        <v>10611</v>
      </c>
      <c r="IHH2" t="s">
        <v>10612</v>
      </c>
      <c r="IHI2" t="s">
        <v>10613</v>
      </c>
      <c r="IHJ2" t="s">
        <v>10614</v>
      </c>
      <c r="IHK2" t="s">
        <v>10615</v>
      </c>
      <c r="IHL2" t="s">
        <v>10616</v>
      </c>
      <c r="IHM2" t="s">
        <v>10617</v>
      </c>
      <c r="IHN2" t="s">
        <v>10618</v>
      </c>
      <c r="IHO2" t="s">
        <v>10619</v>
      </c>
      <c r="IHP2" t="s">
        <v>10620</v>
      </c>
      <c r="IHQ2" t="s">
        <v>10621</v>
      </c>
      <c r="IHR2" t="s">
        <v>10622</v>
      </c>
      <c r="IHS2" t="s">
        <v>10623</v>
      </c>
      <c r="IHT2" t="s">
        <v>10624</v>
      </c>
      <c r="IHU2" t="s">
        <v>10625</v>
      </c>
      <c r="IHV2" t="s">
        <v>10626</v>
      </c>
      <c r="IHW2" t="s">
        <v>10627</v>
      </c>
      <c r="IHX2" t="s">
        <v>10628</v>
      </c>
      <c r="IHY2" t="s">
        <v>10629</v>
      </c>
      <c r="IHZ2" t="s">
        <v>10630</v>
      </c>
      <c r="IIA2" t="s">
        <v>10631</v>
      </c>
      <c r="IIB2" t="s">
        <v>10632</v>
      </c>
      <c r="IIC2" t="s">
        <v>10633</v>
      </c>
      <c r="IID2" t="s">
        <v>10634</v>
      </c>
      <c r="IIE2" t="s">
        <v>10635</v>
      </c>
      <c r="IIF2" t="s">
        <v>10636</v>
      </c>
      <c r="IIG2" t="s">
        <v>10637</v>
      </c>
      <c r="IIH2" t="s">
        <v>10638</v>
      </c>
      <c r="III2" t="s">
        <v>10639</v>
      </c>
      <c r="IIJ2" t="s">
        <v>10640</v>
      </c>
      <c r="IIK2" t="s">
        <v>10641</v>
      </c>
      <c r="IIL2" t="s">
        <v>10642</v>
      </c>
      <c r="IIM2" t="s">
        <v>10643</v>
      </c>
      <c r="IIN2" t="s">
        <v>10644</v>
      </c>
      <c r="IIO2" t="s">
        <v>10645</v>
      </c>
      <c r="IIP2" t="s">
        <v>10646</v>
      </c>
      <c r="IIQ2" t="s">
        <v>10647</v>
      </c>
      <c r="IIR2" t="s">
        <v>10648</v>
      </c>
      <c r="IIS2" t="s">
        <v>10649</v>
      </c>
      <c r="IIT2" t="s">
        <v>10650</v>
      </c>
      <c r="IIU2" t="s">
        <v>10651</v>
      </c>
      <c r="IIV2" t="s">
        <v>10652</v>
      </c>
      <c r="IIW2" t="s">
        <v>10653</v>
      </c>
      <c r="IIX2" t="s">
        <v>10654</v>
      </c>
      <c r="IIY2" t="s">
        <v>10655</v>
      </c>
      <c r="IIZ2" t="s">
        <v>10656</v>
      </c>
      <c r="IJA2" t="s">
        <v>10657</v>
      </c>
      <c r="IJB2" t="s">
        <v>10658</v>
      </c>
      <c r="IJC2" t="s">
        <v>10659</v>
      </c>
      <c r="IJD2" t="s">
        <v>10660</v>
      </c>
      <c r="IJE2" t="s">
        <v>10661</v>
      </c>
      <c r="IJF2" t="s">
        <v>10662</v>
      </c>
      <c r="IJG2" t="s">
        <v>10663</v>
      </c>
      <c r="IJH2" t="s">
        <v>10664</v>
      </c>
      <c r="IJI2" t="s">
        <v>10665</v>
      </c>
      <c r="IJJ2" t="s">
        <v>10666</v>
      </c>
      <c r="IJK2" t="s">
        <v>10667</v>
      </c>
      <c r="IJL2" t="s">
        <v>10668</v>
      </c>
      <c r="IJM2" t="s">
        <v>10669</v>
      </c>
      <c r="IJN2" t="s">
        <v>10670</v>
      </c>
      <c r="IJO2" t="s">
        <v>10671</v>
      </c>
      <c r="IJP2" t="s">
        <v>10672</v>
      </c>
      <c r="IJQ2" t="s">
        <v>10673</v>
      </c>
      <c r="IJR2" t="s">
        <v>10674</v>
      </c>
      <c r="IJS2" t="s">
        <v>10675</v>
      </c>
      <c r="IJT2" t="s">
        <v>10676</v>
      </c>
      <c r="IJU2" t="s">
        <v>10677</v>
      </c>
      <c r="IJV2" t="s">
        <v>10678</v>
      </c>
      <c r="IJW2" t="s">
        <v>10679</v>
      </c>
      <c r="IJX2" t="s">
        <v>10680</v>
      </c>
      <c r="IJY2" t="s">
        <v>10681</v>
      </c>
      <c r="IJZ2" t="s">
        <v>10682</v>
      </c>
      <c r="IKA2" t="s">
        <v>10683</v>
      </c>
      <c r="IKB2" t="s">
        <v>10684</v>
      </c>
      <c r="IKC2" t="s">
        <v>10685</v>
      </c>
      <c r="IKD2" t="s">
        <v>10686</v>
      </c>
      <c r="IKE2" t="s">
        <v>10687</v>
      </c>
      <c r="IKF2" t="s">
        <v>10688</v>
      </c>
      <c r="IKG2" t="s">
        <v>10689</v>
      </c>
      <c r="IKH2" t="s">
        <v>10690</v>
      </c>
      <c r="IKI2" t="s">
        <v>10691</v>
      </c>
      <c r="IKJ2" t="s">
        <v>10692</v>
      </c>
      <c r="IKK2" t="s">
        <v>10693</v>
      </c>
      <c r="IKL2" t="s">
        <v>10694</v>
      </c>
      <c r="IKM2" t="s">
        <v>10695</v>
      </c>
      <c r="IKN2" t="s">
        <v>10696</v>
      </c>
      <c r="IKO2" t="s">
        <v>10697</v>
      </c>
      <c r="IKP2" t="s">
        <v>10698</v>
      </c>
      <c r="IKQ2" t="s">
        <v>10699</v>
      </c>
      <c r="IKR2" t="s">
        <v>10700</v>
      </c>
      <c r="IKS2" t="s">
        <v>10701</v>
      </c>
      <c r="IKT2" t="s">
        <v>10702</v>
      </c>
      <c r="IKU2" t="s">
        <v>10703</v>
      </c>
      <c r="IKV2" t="s">
        <v>10704</v>
      </c>
      <c r="IKW2" t="s">
        <v>10705</v>
      </c>
      <c r="IKX2" t="s">
        <v>10706</v>
      </c>
      <c r="IKY2" t="s">
        <v>10707</v>
      </c>
      <c r="IKZ2" t="s">
        <v>10708</v>
      </c>
      <c r="ILA2" t="s">
        <v>10709</v>
      </c>
      <c r="ILB2" t="s">
        <v>10710</v>
      </c>
      <c r="ILC2" t="s">
        <v>10711</v>
      </c>
      <c r="ILD2" t="s">
        <v>10712</v>
      </c>
      <c r="ILE2" t="s">
        <v>10713</v>
      </c>
      <c r="ILF2" t="s">
        <v>10714</v>
      </c>
      <c r="ILG2" t="s">
        <v>10715</v>
      </c>
      <c r="ILH2" t="s">
        <v>10716</v>
      </c>
      <c r="ILI2" t="s">
        <v>10717</v>
      </c>
      <c r="ILJ2" t="s">
        <v>10718</v>
      </c>
      <c r="ILK2" t="s">
        <v>10719</v>
      </c>
      <c r="ILL2" t="s">
        <v>10720</v>
      </c>
      <c r="ILM2" t="s">
        <v>10721</v>
      </c>
      <c r="ILN2" t="s">
        <v>10722</v>
      </c>
      <c r="ILO2" t="s">
        <v>10723</v>
      </c>
      <c r="ILP2" t="s">
        <v>10724</v>
      </c>
      <c r="ILQ2" t="s">
        <v>10725</v>
      </c>
      <c r="ILR2" t="s">
        <v>10726</v>
      </c>
      <c r="ILS2" t="s">
        <v>10727</v>
      </c>
      <c r="ILT2" t="s">
        <v>10728</v>
      </c>
      <c r="ILU2" t="s">
        <v>10729</v>
      </c>
      <c r="ILV2" t="s">
        <v>10730</v>
      </c>
      <c r="ILW2" t="s">
        <v>10731</v>
      </c>
      <c r="ILX2" t="s">
        <v>10732</v>
      </c>
      <c r="ILY2" t="s">
        <v>10733</v>
      </c>
      <c r="ILZ2" t="s">
        <v>10734</v>
      </c>
      <c r="IMA2" t="s">
        <v>10735</v>
      </c>
      <c r="IMB2" t="s">
        <v>10736</v>
      </c>
      <c r="IMC2" t="s">
        <v>10737</v>
      </c>
      <c r="IMD2" t="s">
        <v>10738</v>
      </c>
      <c r="IME2" t="s">
        <v>10739</v>
      </c>
      <c r="IMF2" t="s">
        <v>10740</v>
      </c>
      <c r="IMG2" t="s">
        <v>10741</v>
      </c>
      <c r="IMH2" t="s">
        <v>10742</v>
      </c>
      <c r="IMI2" t="s">
        <v>10743</v>
      </c>
      <c r="IMJ2" t="s">
        <v>10744</v>
      </c>
      <c r="IMK2" t="s">
        <v>10745</v>
      </c>
      <c r="IML2" t="s">
        <v>10746</v>
      </c>
      <c r="IMM2" t="s">
        <v>10747</v>
      </c>
      <c r="IMN2" t="s">
        <v>10748</v>
      </c>
      <c r="IMO2" t="s">
        <v>10749</v>
      </c>
      <c r="IMP2" t="s">
        <v>10750</v>
      </c>
      <c r="IMQ2" t="s">
        <v>10751</v>
      </c>
      <c r="IMR2" t="s">
        <v>10752</v>
      </c>
      <c r="IMS2" t="s">
        <v>10753</v>
      </c>
      <c r="IMT2" t="s">
        <v>10754</v>
      </c>
      <c r="IMU2" t="s">
        <v>10755</v>
      </c>
      <c r="IMV2" t="s">
        <v>10756</v>
      </c>
      <c r="IMW2" t="s">
        <v>10757</v>
      </c>
      <c r="IMX2" t="s">
        <v>10758</v>
      </c>
      <c r="IMY2" t="s">
        <v>10759</v>
      </c>
      <c r="IMZ2" t="s">
        <v>10760</v>
      </c>
      <c r="INA2" t="s">
        <v>10761</v>
      </c>
      <c r="INB2" t="s">
        <v>10762</v>
      </c>
      <c r="INC2" t="s">
        <v>10763</v>
      </c>
      <c r="IND2" t="s">
        <v>10764</v>
      </c>
      <c r="INE2" t="s">
        <v>10765</v>
      </c>
      <c r="INF2" t="s">
        <v>10766</v>
      </c>
      <c r="ING2" t="s">
        <v>10767</v>
      </c>
      <c r="INH2" t="s">
        <v>10768</v>
      </c>
      <c r="INI2" t="s">
        <v>10769</v>
      </c>
      <c r="INJ2" t="s">
        <v>10770</v>
      </c>
      <c r="INK2" t="s">
        <v>10771</v>
      </c>
      <c r="INL2" t="s">
        <v>10772</v>
      </c>
      <c r="INM2" t="s">
        <v>10773</v>
      </c>
      <c r="INN2" t="s">
        <v>10774</v>
      </c>
      <c r="INO2" t="s">
        <v>10775</v>
      </c>
      <c r="INP2" t="s">
        <v>10776</v>
      </c>
      <c r="INQ2" t="s">
        <v>10777</v>
      </c>
      <c r="INR2" t="s">
        <v>10778</v>
      </c>
      <c r="INS2" t="s">
        <v>10779</v>
      </c>
      <c r="INT2" t="s">
        <v>10780</v>
      </c>
      <c r="INU2" t="s">
        <v>10781</v>
      </c>
      <c r="INV2" t="s">
        <v>10782</v>
      </c>
      <c r="INW2" t="s">
        <v>10783</v>
      </c>
      <c r="INX2" t="s">
        <v>10784</v>
      </c>
      <c r="INY2" t="s">
        <v>10785</v>
      </c>
      <c r="INZ2" t="s">
        <v>10786</v>
      </c>
      <c r="IOA2" t="s">
        <v>10787</v>
      </c>
      <c r="IOB2" t="s">
        <v>10788</v>
      </c>
      <c r="IOC2" t="s">
        <v>10789</v>
      </c>
      <c r="IOD2" t="s">
        <v>10790</v>
      </c>
      <c r="IOE2" t="s">
        <v>10791</v>
      </c>
      <c r="IOF2" t="s">
        <v>10792</v>
      </c>
      <c r="IOG2" t="s">
        <v>10793</v>
      </c>
      <c r="IOH2" t="s">
        <v>10794</v>
      </c>
      <c r="IOI2" t="s">
        <v>10795</v>
      </c>
      <c r="IOJ2" t="s">
        <v>10796</v>
      </c>
      <c r="IOK2" t="s">
        <v>10797</v>
      </c>
      <c r="IOL2" t="s">
        <v>10798</v>
      </c>
      <c r="IOM2" t="s">
        <v>10799</v>
      </c>
      <c r="ION2" t="s">
        <v>10800</v>
      </c>
      <c r="IOO2" t="s">
        <v>10801</v>
      </c>
      <c r="IOP2" t="s">
        <v>10802</v>
      </c>
      <c r="IOQ2" t="s">
        <v>10803</v>
      </c>
      <c r="IOR2" t="s">
        <v>10804</v>
      </c>
      <c r="IOS2" t="s">
        <v>10805</v>
      </c>
      <c r="IOT2" t="s">
        <v>10806</v>
      </c>
      <c r="IOU2" t="s">
        <v>10807</v>
      </c>
      <c r="IOV2" t="s">
        <v>10808</v>
      </c>
      <c r="IOW2" t="s">
        <v>10809</v>
      </c>
      <c r="IOX2" t="s">
        <v>10810</v>
      </c>
      <c r="IOY2" t="s">
        <v>10811</v>
      </c>
      <c r="IOZ2" t="s">
        <v>10812</v>
      </c>
      <c r="IPA2" t="s">
        <v>10813</v>
      </c>
      <c r="IPB2" t="s">
        <v>10814</v>
      </c>
      <c r="IPC2" t="s">
        <v>10815</v>
      </c>
      <c r="IPD2" t="s">
        <v>10816</v>
      </c>
      <c r="IPE2" t="s">
        <v>10817</v>
      </c>
      <c r="IPF2" t="s">
        <v>10818</v>
      </c>
      <c r="IPG2" t="s">
        <v>10819</v>
      </c>
      <c r="IPH2" t="s">
        <v>10820</v>
      </c>
      <c r="IPI2" t="s">
        <v>10821</v>
      </c>
      <c r="IPJ2" t="s">
        <v>10822</v>
      </c>
      <c r="IPK2" t="s">
        <v>10823</v>
      </c>
      <c r="IPL2" t="s">
        <v>10824</v>
      </c>
      <c r="IPM2" t="s">
        <v>10825</v>
      </c>
      <c r="IPN2" t="s">
        <v>10826</v>
      </c>
      <c r="IPO2" t="s">
        <v>10827</v>
      </c>
      <c r="IPP2" t="s">
        <v>10828</v>
      </c>
      <c r="IPQ2" t="s">
        <v>10829</v>
      </c>
      <c r="IPR2" t="s">
        <v>10830</v>
      </c>
      <c r="IPS2" t="s">
        <v>10831</v>
      </c>
      <c r="IPT2" t="s">
        <v>10832</v>
      </c>
      <c r="IPU2" t="s">
        <v>10833</v>
      </c>
      <c r="IPV2" t="s">
        <v>10834</v>
      </c>
      <c r="IPW2" t="s">
        <v>10835</v>
      </c>
      <c r="IPX2" t="s">
        <v>10836</v>
      </c>
      <c r="IPY2" t="s">
        <v>10837</v>
      </c>
      <c r="IPZ2" t="s">
        <v>10838</v>
      </c>
      <c r="IQA2" t="s">
        <v>10839</v>
      </c>
      <c r="IQB2" t="s">
        <v>10840</v>
      </c>
      <c r="IQC2" t="s">
        <v>10841</v>
      </c>
      <c r="IQD2" t="s">
        <v>10842</v>
      </c>
      <c r="IQE2" t="s">
        <v>10843</v>
      </c>
      <c r="IQF2" t="s">
        <v>10844</v>
      </c>
      <c r="IQG2" t="s">
        <v>10845</v>
      </c>
      <c r="IQH2" t="s">
        <v>10846</v>
      </c>
      <c r="IQI2" t="s">
        <v>10847</v>
      </c>
      <c r="IQJ2" t="s">
        <v>10848</v>
      </c>
      <c r="IQK2" t="s">
        <v>10849</v>
      </c>
      <c r="IQL2" t="s">
        <v>10850</v>
      </c>
      <c r="IQM2" t="s">
        <v>10851</v>
      </c>
      <c r="IQN2" t="s">
        <v>10852</v>
      </c>
      <c r="IQO2" t="s">
        <v>10853</v>
      </c>
      <c r="IQP2" t="s">
        <v>10854</v>
      </c>
      <c r="IQQ2" t="s">
        <v>10855</v>
      </c>
      <c r="IQR2" t="s">
        <v>10856</v>
      </c>
      <c r="IQS2" t="s">
        <v>10857</v>
      </c>
      <c r="IQT2" t="s">
        <v>10858</v>
      </c>
      <c r="IQU2" t="s">
        <v>10859</v>
      </c>
      <c r="IQV2" t="s">
        <v>10860</v>
      </c>
      <c r="IQW2" t="s">
        <v>10861</v>
      </c>
      <c r="IQX2" t="s">
        <v>10862</v>
      </c>
      <c r="IQY2" t="s">
        <v>10863</v>
      </c>
      <c r="IQZ2" t="s">
        <v>10864</v>
      </c>
      <c r="IRA2" t="s">
        <v>10865</v>
      </c>
      <c r="IRB2" t="s">
        <v>10866</v>
      </c>
      <c r="IRC2" t="s">
        <v>10867</v>
      </c>
      <c r="IRD2" t="s">
        <v>10868</v>
      </c>
      <c r="IRE2" t="s">
        <v>10869</v>
      </c>
      <c r="IRF2" t="s">
        <v>10870</v>
      </c>
      <c r="IRG2" t="s">
        <v>10871</v>
      </c>
      <c r="IRH2" t="s">
        <v>10872</v>
      </c>
      <c r="IRI2" t="s">
        <v>10873</v>
      </c>
      <c r="IRJ2" t="s">
        <v>10874</v>
      </c>
      <c r="IRK2" t="s">
        <v>10875</v>
      </c>
      <c r="IRL2" t="s">
        <v>10876</v>
      </c>
      <c r="IRM2" t="s">
        <v>10877</v>
      </c>
      <c r="IRN2" t="s">
        <v>10878</v>
      </c>
      <c r="IRO2" t="s">
        <v>10879</v>
      </c>
      <c r="IRP2" t="s">
        <v>10880</v>
      </c>
      <c r="IRQ2" t="s">
        <v>10881</v>
      </c>
      <c r="IRR2" t="s">
        <v>10882</v>
      </c>
      <c r="IRS2" t="s">
        <v>10883</v>
      </c>
      <c r="IRT2" t="s">
        <v>10884</v>
      </c>
      <c r="IRU2" t="s">
        <v>10885</v>
      </c>
      <c r="IRV2" t="s">
        <v>10886</v>
      </c>
      <c r="IRW2" t="s">
        <v>10887</v>
      </c>
      <c r="IRX2" t="s">
        <v>10888</v>
      </c>
      <c r="IRY2" t="s">
        <v>10889</v>
      </c>
      <c r="IRZ2" t="s">
        <v>10890</v>
      </c>
      <c r="ISA2" t="s">
        <v>10891</v>
      </c>
      <c r="ISB2" t="s">
        <v>10892</v>
      </c>
      <c r="ISC2" t="s">
        <v>10893</v>
      </c>
      <c r="ISD2" t="s">
        <v>10894</v>
      </c>
      <c r="ISE2" t="s">
        <v>10895</v>
      </c>
      <c r="ISF2" t="s">
        <v>10896</v>
      </c>
      <c r="ISG2" t="s">
        <v>10897</v>
      </c>
      <c r="ISH2" t="s">
        <v>10898</v>
      </c>
      <c r="ISI2" t="s">
        <v>10899</v>
      </c>
      <c r="ISJ2" t="s">
        <v>10900</v>
      </c>
      <c r="ISK2" t="s">
        <v>10901</v>
      </c>
      <c r="ISL2" t="s">
        <v>10902</v>
      </c>
      <c r="ISM2" t="s">
        <v>10903</v>
      </c>
      <c r="ISN2" t="s">
        <v>10904</v>
      </c>
      <c r="ISO2" t="s">
        <v>10905</v>
      </c>
      <c r="ISP2" t="s">
        <v>10906</v>
      </c>
      <c r="ISQ2" t="s">
        <v>10907</v>
      </c>
      <c r="ISR2" t="s">
        <v>10908</v>
      </c>
      <c r="ISS2" t="s">
        <v>10909</v>
      </c>
      <c r="IST2" t="s">
        <v>10910</v>
      </c>
      <c r="ISU2" t="s">
        <v>10911</v>
      </c>
      <c r="ISV2" t="s">
        <v>10912</v>
      </c>
      <c r="ISW2" t="s">
        <v>10913</v>
      </c>
      <c r="ISX2" t="s">
        <v>10914</v>
      </c>
      <c r="ISY2" t="s">
        <v>10915</v>
      </c>
      <c r="ISZ2" t="s">
        <v>10916</v>
      </c>
      <c r="ITA2" t="s">
        <v>10917</v>
      </c>
      <c r="ITB2" t="s">
        <v>10918</v>
      </c>
      <c r="ITC2" t="s">
        <v>10919</v>
      </c>
      <c r="ITD2" t="s">
        <v>10920</v>
      </c>
      <c r="ITE2" t="s">
        <v>10921</v>
      </c>
      <c r="ITF2" t="s">
        <v>10922</v>
      </c>
      <c r="ITG2" t="s">
        <v>10923</v>
      </c>
      <c r="ITH2" t="s">
        <v>10924</v>
      </c>
      <c r="ITI2" t="s">
        <v>10925</v>
      </c>
      <c r="ITJ2" t="s">
        <v>10926</v>
      </c>
      <c r="ITK2" t="s">
        <v>10927</v>
      </c>
      <c r="ITL2" t="s">
        <v>10928</v>
      </c>
      <c r="ITM2" t="s">
        <v>10929</v>
      </c>
      <c r="ITN2" t="s">
        <v>10930</v>
      </c>
      <c r="ITO2" t="s">
        <v>10931</v>
      </c>
      <c r="ITP2" t="s">
        <v>10932</v>
      </c>
      <c r="ITQ2" t="s">
        <v>10933</v>
      </c>
      <c r="ITR2" t="s">
        <v>10934</v>
      </c>
      <c r="ITS2" t="s">
        <v>10935</v>
      </c>
      <c r="ITT2" t="s">
        <v>10936</v>
      </c>
      <c r="ITU2" t="s">
        <v>10937</v>
      </c>
      <c r="ITV2" t="s">
        <v>10938</v>
      </c>
      <c r="ITW2" t="s">
        <v>10939</v>
      </c>
      <c r="ITX2" t="s">
        <v>10940</v>
      </c>
      <c r="ITY2" t="s">
        <v>10941</v>
      </c>
      <c r="ITZ2" t="s">
        <v>10942</v>
      </c>
      <c r="IUA2" t="s">
        <v>10943</v>
      </c>
      <c r="IUB2" t="s">
        <v>10944</v>
      </c>
      <c r="IUC2" t="s">
        <v>10945</v>
      </c>
      <c r="IUD2" t="s">
        <v>10946</v>
      </c>
      <c r="IUE2" t="s">
        <v>10947</v>
      </c>
      <c r="IUF2" t="s">
        <v>10948</v>
      </c>
      <c r="IUG2" t="s">
        <v>10949</v>
      </c>
      <c r="IUH2" t="s">
        <v>10950</v>
      </c>
      <c r="IUI2" t="s">
        <v>10951</v>
      </c>
      <c r="IUJ2" t="s">
        <v>10952</v>
      </c>
      <c r="IUK2" t="s">
        <v>10953</v>
      </c>
      <c r="IUL2" t="s">
        <v>10954</v>
      </c>
      <c r="IUM2" t="s">
        <v>10955</v>
      </c>
      <c r="IUN2" t="s">
        <v>10956</v>
      </c>
      <c r="IUO2" t="s">
        <v>10957</v>
      </c>
      <c r="IUP2" t="s">
        <v>10958</v>
      </c>
      <c r="IUQ2" t="s">
        <v>10959</v>
      </c>
      <c r="IUR2" t="s">
        <v>10960</v>
      </c>
      <c r="IUS2" t="s">
        <v>10961</v>
      </c>
      <c r="IUT2" t="s">
        <v>10962</v>
      </c>
      <c r="IUU2" t="s">
        <v>10963</v>
      </c>
      <c r="IUV2" t="s">
        <v>10964</v>
      </c>
      <c r="IUW2" t="s">
        <v>10965</v>
      </c>
      <c r="IUX2" t="s">
        <v>10966</v>
      </c>
      <c r="IUY2" t="s">
        <v>10967</v>
      </c>
      <c r="IUZ2" t="s">
        <v>10968</v>
      </c>
      <c r="IVA2" t="s">
        <v>10969</v>
      </c>
      <c r="IVB2" t="s">
        <v>10970</v>
      </c>
      <c r="IVC2" t="s">
        <v>10971</v>
      </c>
      <c r="IVD2" t="s">
        <v>10972</v>
      </c>
      <c r="IVE2" t="s">
        <v>10973</v>
      </c>
      <c r="IVF2" t="s">
        <v>10974</v>
      </c>
      <c r="IVG2" t="s">
        <v>10975</v>
      </c>
      <c r="IVH2" t="s">
        <v>10976</v>
      </c>
      <c r="IVI2" t="s">
        <v>10977</v>
      </c>
      <c r="IVJ2" t="s">
        <v>10978</v>
      </c>
      <c r="IVK2" t="s">
        <v>10979</v>
      </c>
      <c r="IVL2" t="s">
        <v>10980</v>
      </c>
      <c r="IVM2" t="s">
        <v>10981</v>
      </c>
      <c r="IVN2" t="s">
        <v>10982</v>
      </c>
      <c r="IVO2" t="s">
        <v>10983</v>
      </c>
      <c r="IVP2" t="s">
        <v>10984</v>
      </c>
      <c r="IVQ2" t="s">
        <v>10985</v>
      </c>
      <c r="IVR2" t="s">
        <v>10986</v>
      </c>
      <c r="IVS2" t="s">
        <v>10987</v>
      </c>
      <c r="IVT2" t="s">
        <v>10988</v>
      </c>
      <c r="IVU2" t="s">
        <v>10989</v>
      </c>
      <c r="IVV2" t="s">
        <v>10990</v>
      </c>
      <c r="IVW2" t="s">
        <v>10991</v>
      </c>
      <c r="IVX2" t="s">
        <v>10992</v>
      </c>
      <c r="IVY2" t="s">
        <v>10993</v>
      </c>
      <c r="IVZ2" t="s">
        <v>10994</v>
      </c>
      <c r="IWA2" t="s">
        <v>10995</v>
      </c>
      <c r="IWB2" t="s">
        <v>10996</v>
      </c>
      <c r="IWC2" t="s">
        <v>10997</v>
      </c>
      <c r="IWD2" t="s">
        <v>10998</v>
      </c>
      <c r="IWE2" t="s">
        <v>10999</v>
      </c>
      <c r="IWF2" t="s">
        <v>11000</v>
      </c>
      <c r="IWG2" t="s">
        <v>11001</v>
      </c>
      <c r="IWH2" t="s">
        <v>11002</v>
      </c>
      <c r="IWI2" t="s">
        <v>11003</v>
      </c>
      <c r="IWJ2" t="s">
        <v>11004</v>
      </c>
      <c r="IWK2" t="s">
        <v>11005</v>
      </c>
      <c r="IWL2" t="s">
        <v>11006</v>
      </c>
      <c r="IWM2" t="s">
        <v>11007</v>
      </c>
      <c r="IWN2" t="s">
        <v>11008</v>
      </c>
      <c r="IWO2" t="s">
        <v>11009</v>
      </c>
      <c r="IWP2" t="s">
        <v>11010</v>
      </c>
      <c r="IWQ2" t="s">
        <v>11011</v>
      </c>
      <c r="IWR2" t="s">
        <v>11012</v>
      </c>
      <c r="IWS2" t="s">
        <v>11013</v>
      </c>
      <c r="IWT2" t="s">
        <v>11014</v>
      </c>
      <c r="IWU2" t="s">
        <v>11015</v>
      </c>
      <c r="IWV2" t="s">
        <v>11016</v>
      </c>
      <c r="IWW2" t="s">
        <v>11017</v>
      </c>
      <c r="IWX2" t="s">
        <v>11018</v>
      </c>
      <c r="IWY2" t="s">
        <v>11019</v>
      </c>
      <c r="IWZ2" t="s">
        <v>11020</v>
      </c>
      <c r="IXA2" t="s">
        <v>11021</v>
      </c>
      <c r="IXB2" t="s">
        <v>11022</v>
      </c>
      <c r="IXC2" t="s">
        <v>11023</v>
      </c>
      <c r="IXD2" t="s">
        <v>11024</v>
      </c>
      <c r="IXE2" t="s">
        <v>11025</v>
      </c>
      <c r="IXF2" t="s">
        <v>11026</v>
      </c>
      <c r="IXG2" t="s">
        <v>11027</v>
      </c>
      <c r="IXH2" t="s">
        <v>11028</v>
      </c>
      <c r="IXI2" t="s">
        <v>11029</v>
      </c>
      <c r="IXJ2" t="s">
        <v>11030</v>
      </c>
      <c r="IXK2" t="s">
        <v>11031</v>
      </c>
      <c r="IXL2" t="s">
        <v>11032</v>
      </c>
      <c r="IXM2" t="s">
        <v>11033</v>
      </c>
      <c r="IXN2" t="s">
        <v>11034</v>
      </c>
      <c r="IXO2" t="s">
        <v>11035</v>
      </c>
      <c r="IXP2" t="s">
        <v>11036</v>
      </c>
      <c r="IXQ2" t="s">
        <v>11037</v>
      </c>
      <c r="IXR2" t="s">
        <v>11038</v>
      </c>
      <c r="IXS2" t="s">
        <v>11039</v>
      </c>
      <c r="IXT2" t="s">
        <v>11040</v>
      </c>
      <c r="IXU2" t="s">
        <v>11041</v>
      </c>
      <c r="IXV2" t="s">
        <v>11042</v>
      </c>
      <c r="IXW2" t="s">
        <v>11043</v>
      </c>
      <c r="IXX2" t="s">
        <v>11044</v>
      </c>
      <c r="IXY2" t="s">
        <v>11045</v>
      </c>
      <c r="IXZ2" t="s">
        <v>11046</v>
      </c>
      <c r="IYA2" t="s">
        <v>11047</v>
      </c>
      <c r="IYB2" t="s">
        <v>11048</v>
      </c>
      <c r="IYC2" t="s">
        <v>11049</v>
      </c>
      <c r="IYD2" t="s">
        <v>11050</v>
      </c>
      <c r="IYE2" t="s">
        <v>11051</v>
      </c>
      <c r="IYF2" t="s">
        <v>11052</v>
      </c>
      <c r="IYG2" t="s">
        <v>11053</v>
      </c>
      <c r="IYH2" t="s">
        <v>11054</v>
      </c>
      <c r="IYI2" t="s">
        <v>11055</v>
      </c>
      <c r="IYJ2" t="s">
        <v>11056</v>
      </c>
      <c r="IYK2" t="s">
        <v>11057</v>
      </c>
      <c r="IYL2" t="s">
        <v>11058</v>
      </c>
      <c r="IYM2" t="s">
        <v>11059</v>
      </c>
      <c r="IYN2" t="s">
        <v>11060</v>
      </c>
      <c r="IYO2" t="s">
        <v>11061</v>
      </c>
      <c r="IYP2" t="s">
        <v>11062</v>
      </c>
      <c r="IYQ2" t="s">
        <v>11063</v>
      </c>
      <c r="IYR2" t="s">
        <v>11064</v>
      </c>
      <c r="IYS2" t="s">
        <v>11065</v>
      </c>
      <c r="IYT2" t="s">
        <v>11066</v>
      </c>
      <c r="IYU2" t="s">
        <v>11067</v>
      </c>
      <c r="IYV2" t="s">
        <v>11068</v>
      </c>
      <c r="IYW2" t="s">
        <v>11069</v>
      </c>
      <c r="IYX2" t="s">
        <v>11070</v>
      </c>
      <c r="IYY2" t="s">
        <v>11071</v>
      </c>
      <c r="IYZ2" t="s">
        <v>11072</v>
      </c>
      <c r="IZA2" t="s">
        <v>11073</v>
      </c>
      <c r="IZB2" t="s">
        <v>11074</v>
      </c>
      <c r="IZC2" t="s">
        <v>11075</v>
      </c>
      <c r="IZD2" t="s">
        <v>11076</v>
      </c>
      <c r="IZE2" t="s">
        <v>11077</v>
      </c>
      <c r="IZF2" t="s">
        <v>11078</v>
      </c>
      <c r="IZG2" t="s">
        <v>11079</v>
      </c>
      <c r="IZH2" t="s">
        <v>11080</v>
      </c>
      <c r="IZI2" t="s">
        <v>11081</v>
      </c>
      <c r="IZJ2" t="s">
        <v>11082</v>
      </c>
      <c r="IZK2" t="s">
        <v>11083</v>
      </c>
      <c r="IZL2" t="s">
        <v>11084</v>
      </c>
      <c r="IZM2" t="s">
        <v>11085</v>
      </c>
      <c r="IZN2" t="s">
        <v>11086</v>
      </c>
      <c r="IZO2" t="s">
        <v>11087</v>
      </c>
      <c r="IZP2" t="s">
        <v>11088</v>
      </c>
      <c r="IZQ2" t="s">
        <v>11089</v>
      </c>
      <c r="IZR2" t="s">
        <v>11090</v>
      </c>
      <c r="IZS2" t="s">
        <v>11091</v>
      </c>
      <c r="IZT2" t="s">
        <v>11092</v>
      </c>
      <c r="IZU2" t="s">
        <v>11093</v>
      </c>
      <c r="IZV2" t="s">
        <v>11094</v>
      </c>
      <c r="IZW2" t="s">
        <v>11095</v>
      </c>
      <c r="IZX2" t="s">
        <v>11096</v>
      </c>
      <c r="IZY2" t="s">
        <v>11097</v>
      </c>
      <c r="IZZ2" t="s">
        <v>11098</v>
      </c>
      <c r="JAA2" t="s">
        <v>11099</v>
      </c>
      <c r="JAB2" t="s">
        <v>11100</v>
      </c>
      <c r="JAC2" t="s">
        <v>11101</v>
      </c>
      <c r="JAD2" t="s">
        <v>11102</v>
      </c>
      <c r="JAE2" t="s">
        <v>11103</v>
      </c>
      <c r="JAF2" t="s">
        <v>11104</v>
      </c>
      <c r="JAG2" t="s">
        <v>11105</v>
      </c>
      <c r="JAH2" t="s">
        <v>11106</v>
      </c>
      <c r="JAI2" t="s">
        <v>11107</v>
      </c>
      <c r="JAJ2" t="s">
        <v>11108</v>
      </c>
      <c r="JAK2" t="s">
        <v>11109</v>
      </c>
      <c r="JAL2" t="s">
        <v>11110</v>
      </c>
      <c r="JAM2" t="s">
        <v>11111</v>
      </c>
      <c r="JAN2" t="s">
        <v>11112</v>
      </c>
      <c r="JAO2" t="s">
        <v>11113</v>
      </c>
      <c r="JAP2" t="s">
        <v>11114</v>
      </c>
      <c r="JAQ2" t="s">
        <v>11115</v>
      </c>
      <c r="JAR2" t="s">
        <v>11116</v>
      </c>
      <c r="JAS2" t="s">
        <v>11117</v>
      </c>
      <c r="JAT2" t="s">
        <v>11118</v>
      </c>
      <c r="JAU2" t="s">
        <v>11119</v>
      </c>
      <c r="JAV2" t="s">
        <v>11120</v>
      </c>
      <c r="JAW2" t="s">
        <v>11121</v>
      </c>
      <c r="JAX2" t="s">
        <v>11122</v>
      </c>
      <c r="JAY2" t="s">
        <v>11123</v>
      </c>
      <c r="JAZ2" t="s">
        <v>11124</v>
      </c>
      <c r="JBA2" t="s">
        <v>11125</v>
      </c>
      <c r="JBB2" t="s">
        <v>11126</v>
      </c>
      <c r="JBC2" t="s">
        <v>11127</v>
      </c>
      <c r="JBD2" t="s">
        <v>11128</v>
      </c>
      <c r="JBE2" t="s">
        <v>11129</v>
      </c>
      <c r="JBF2" t="s">
        <v>11130</v>
      </c>
      <c r="JBG2" t="s">
        <v>11131</v>
      </c>
      <c r="JBH2" t="s">
        <v>11132</v>
      </c>
      <c r="JBI2" t="s">
        <v>11133</v>
      </c>
      <c r="JBJ2" t="s">
        <v>11134</v>
      </c>
      <c r="JBK2" t="s">
        <v>11135</v>
      </c>
      <c r="JBL2" t="s">
        <v>11136</v>
      </c>
      <c r="JBM2" t="s">
        <v>11137</v>
      </c>
      <c r="JBN2" t="s">
        <v>11138</v>
      </c>
      <c r="JBO2" t="s">
        <v>11139</v>
      </c>
      <c r="JBP2" t="s">
        <v>11140</v>
      </c>
      <c r="JBQ2" t="s">
        <v>11141</v>
      </c>
      <c r="JBR2" t="s">
        <v>11142</v>
      </c>
      <c r="JBS2" t="s">
        <v>11143</v>
      </c>
      <c r="JBT2" t="s">
        <v>11144</v>
      </c>
      <c r="JBU2" t="s">
        <v>11145</v>
      </c>
      <c r="JBV2" t="s">
        <v>11146</v>
      </c>
      <c r="JBW2" t="s">
        <v>11147</v>
      </c>
      <c r="JBX2" t="s">
        <v>11148</v>
      </c>
      <c r="JBY2" t="s">
        <v>11149</v>
      </c>
      <c r="JBZ2" t="s">
        <v>11150</v>
      </c>
      <c r="JCA2" t="s">
        <v>11151</v>
      </c>
      <c r="JCB2" t="s">
        <v>11152</v>
      </c>
      <c r="JCC2" t="s">
        <v>11153</v>
      </c>
      <c r="JCD2" t="s">
        <v>11154</v>
      </c>
      <c r="JCE2" t="s">
        <v>11155</v>
      </c>
      <c r="JCF2" t="s">
        <v>11156</v>
      </c>
      <c r="JCG2" t="s">
        <v>11157</v>
      </c>
      <c r="JCH2" t="s">
        <v>11158</v>
      </c>
      <c r="JCI2" t="s">
        <v>11159</v>
      </c>
      <c r="JCJ2" t="s">
        <v>11160</v>
      </c>
      <c r="JCK2" t="s">
        <v>11161</v>
      </c>
      <c r="JCL2" t="s">
        <v>11162</v>
      </c>
      <c r="JCM2" t="s">
        <v>11163</v>
      </c>
      <c r="JCN2" t="s">
        <v>11164</v>
      </c>
      <c r="JCO2" t="s">
        <v>11165</v>
      </c>
      <c r="JCP2" t="s">
        <v>11166</v>
      </c>
      <c r="JCQ2" t="s">
        <v>11167</v>
      </c>
      <c r="JCR2" t="s">
        <v>11168</v>
      </c>
      <c r="JCS2" t="s">
        <v>11169</v>
      </c>
      <c r="JCT2" t="s">
        <v>11170</v>
      </c>
      <c r="JCU2" t="s">
        <v>11171</v>
      </c>
      <c r="JCV2" t="s">
        <v>11172</v>
      </c>
      <c r="JCW2" t="s">
        <v>11173</v>
      </c>
      <c r="JCX2" t="s">
        <v>11174</v>
      </c>
      <c r="JCY2" t="s">
        <v>11175</v>
      </c>
      <c r="JCZ2" t="s">
        <v>11176</v>
      </c>
      <c r="JDA2" t="s">
        <v>11177</v>
      </c>
      <c r="JDB2" t="s">
        <v>11178</v>
      </c>
      <c r="JDC2" t="s">
        <v>11179</v>
      </c>
      <c r="JDD2" t="s">
        <v>11180</v>
      </c>
      <c r="JDE2" t="s">
        <v>11181</v>
      </c>
      <c r="JDF2" t="s">
        <v>11182</v>
      </c>
      <c r="JDG2" t="s">
        <v>11183</v>
      </c>
      <c r="JDH2" t="s">
        <v>11184</v>
      </c>
      <c r="JDI2" t="s">
        <v>11185</v>
      </c>
      <c r="JDJ2" t="s">
        <v>11186</v>
      </c>
      <c r="JDK2" t="s">
        <v>11187</v>
      </c>
      <c r="JDL2" t="s">
        <v>11188</v>
      </c>
      <c r="JDM2" t="s">
        <v>11189</v>
      </c>
      <c r="JDN2" t="s">
        <v>11190</v>
      </c>
      <c r="JDO2" t="s">
        <v>11191</v>
      </c>
      <c r="JDP2" t="s">
        <v>11192</v>
      </c>
      <c r="JDQ2" t="s">
        <v>11193</v>
      </c>
      <c r="JDR2" t="s">
        <v>11194</v>
      </c>
      <c r="JDS2" t="s">
        <v>11195</v>
      </c>
      <c r="JDT2" t="s">
        <v>11196</v>
      </c>
      <c r="JDU2" t="s">
        <v>11197</v>
      </c>
      <c r="JDV2" t="s">
        <v>11198</v>
      </c>
      <c r="JDW2" t="s">
        <v>11199</v>
      </c>
      <c r="JDX2" t="s">
        <v>11200</v>
      </c>
      <c r="JDY2" t="s">
        <v>11201</v>
      </c>
      <c r="JDZ2" t="s">
        <v>11202</v>
      </c>
      <c r="JEA2" t="s">
        <v>11203</v>
      </c>
      <c r="JEB2" t="s">
        <v>11204</v>
      </c>
      <c r="JEC2" t="s">
        <v>11205</v>
      </c>
      <c r="JED2" t="s">
        <v>11206</v>
      </c>
      <c r="JEE2" t="s">
        <v>11207</v>
      </c>
      <c r="JEF2" t="s">
        <v>11208</v>
      </c>
      <c r="JEG2" t="s">
        <v>11209</v>
      </c>
      <c r="JEH2" t="s">
        <v>11210</v>
      </c>
      <c r="JEI2" t="s">
        <v>11211</v>
      </c>
      <c r="JEJ2" t="s">
        <v>11212</v>
      </c>
      <c r="JEK2" t="s">
        <v>11213</v>
      </c>
      <c r="JEL2" t="s">
        <v>11214</v>
      </c>
      <c r="JEM2" t="s">
        <v>11215</v>
      </c>
      <c r="JEN2" t="s">
        <v>11216</v>
      </c>
      <c r="JEO2" t="s">
        <v>11217</v>
      </c>
      <c r="JEP2" t="s">
        <v>11218</v>
      </c>
      <c r="JEQ2" t="s">
        <v>11219</v>
      </c>
      <c r="JER2" t="s">
        <v>11220</v>
      </c>
      <c r="JES2" t="s">
        <v>11221</v>
      </c>
      <c r="JET2" t="s">
        <v>11222</v>
      </c>
      <c r="JEU2" t="s">
        <v>11223</v>
      </c>
      <c r="JEV2" t="s">
        <v>11224</v>
      </c>
      <c r="JEW2" t="s">
        <v>11225</v>
      </c>
      <c r="JEX2" t="s">
        <v>11226</v>
      </c>
      <c r="JEY2" t="s">
        <v>11227</v>
      </c>
      <c r="JEZ2" t="s">
        <v>11228</v>
      </c>
      <c r="JFA2" t="s">
        <v>11229</v>
      </c>
      <c r="JFB2" t="s">
        <v>11230</v>
      </c>
      <c r="JFC2" t="s">
        <v>11231</v>
      </c>
      <c r="JFD2" t="s">
        <v>11232</v>
      </c>
      <c r="JFE2" t="s">
        <v>11233</v>
      </c>
      <c r="JFF2" t="s">
        <v>11234</v>
      </c>
      <c r="JFG2" t="s">
        <v>11235</v>
      </c>
      <c r="JFH2" t="s">
        <v>11236</v>
      </c>
      <c r="JFI2" t="s">
        <v>11237</v>
      </c>
      <c r="JFJ2" t="s">
        <v>11238</v>
      </c>
      <c r="JFK2" t="s">
        <v>11239</v>
      </c>
      <c r="JFL2" t="s">
        <v>11240</v>
      </c>
      <c r="JFM2" t="s">
        <v>11241</v>
      </c>
      <c r="JFN2" t="s">
        <v>11242</v>
      </c>
      <c r="JFO2" t="s">
        <v>11243</v>
      </c>
      <c r="JFP2" t="s">
        <v>11244</v>
      </c>
      <c r="JFQ2" t="s">
        <v>11245</v>
      </c>
      <c r="JFR2" t="s">
        <v>11246</v>
      </c>
      <c r="JFS2" t="s">
        <v>11247</v>
      </c>
      <c r="JFT2" t="s">
        <v>11248</v>
      </c>
      <c r="JFU2" t="s">
        <v>11249</v>
      </c>
      <c r="JFV2" t="s">
        <v>11250</v>
      </c>
      <c r="JFW2" t="s">
        <v>11251</v>
      </c>
      <c r="JFX2" t="s">
        <v>11252</v>
      </c>
      <c r="JFY2" t="s">
        <v>11253</v>
      </c>
      <c r="JFZ2" t="s">
        <v>11254</v>
      </c>
      <c r="JGA2" t="s">
        <v>11255</v>
      </c>
      <c r="JGB2" t="s">
        <v>11256</v>
      </c>
      <c r="JGC2" t="s">
        <v>11257</v>
      </c>
      <c r="JGD2" t="s">
        <v>11258</v>
      </c>
      <c r="JGE2" t="s">
        <v>11259</v>
      </c>
      <c r="JGF2" t="s">
        <v>11260</v>
      </c>
      <c r="JGG2" t="s">
        <v>11261</v>
      </c>
      <c r="JGH2" t="s">
        <v>11262</v>
      </c>
      <c r="JGI2" t="s">
        <v>11263</v>
      </c>
      <c r="JGJ2" t="s">
        <v>11264</v>
      </c>
      <c r="JGK2" t="s">
        <v>11265</v>
      </c>
      <c r="JGL2" t="s">
        <v>11266</v>
      </c>
      <c r="JGM2" t="s">
        <v>11267</v>
      </c>
      <c r="JGN2" t="s">
        <v>11268</v>
      </c>
      <c r="JGO2" t="s">
        <v>11269</v>
      </c>
      <c r="JGP2" t="s">
        <v>11270</v>
      </c>
      <c r="JGQ2" t="s">
        <v>11271</v>
      </c>
      <c r="JGR2" t="s">
        <v>11272</v>
      </c>
      <c r="JGS2" t="s">
        <v>11273</v>
      </c>
      <c r="JGT2" t="s">
        <v>11274</v>
      </c>
      <c r="JGU2" t="s">
        <v>11275</v>
      </c>
      <c r="JGV2" t="s">
        <v>11276</v>
      </c>
      <c r="JGW2" t="s">
        <v>11277</v>
      </c>
      <c r="JGX2" t="s">
        <v>11278</v>
      </c>
      <c r="JGY2" t="s">
        <v>11279</v>
      </c>
      <c r="JGZ2" t="s">
        <v>11280</v>
      </c>
      <c r="JHA2" t="s">
        <v>11281</v>
      </c>
      <c r="JHB2" t="s">
        <v>11282</v>
      </c>
      <c r="JHC2" t="s">
        <v>11283</v>
      </c>
      <c r="JHD2" t="s">
        <v>11284</v>
      </c>
      <c r="JHE2" t="s">
        <v>11285</v>
      </c>
      <c r="JHF2" t="s">
        <v>11286</v>
      </c>
      <c r="JHG2" t="s">
        <v>11287</v>
      </c>
      <c r="JHH2" t="s">
        <v>11288</v>
      </c>
      <c r="JHI2" t="s">
        <v>11289</v>
      </c>
      <c r="JHJ2" t="s">
        <v>11290</v>
      </c>
      <c r="JHK2" t="s">
        <v>11291</v>
      </c>
      <c r="JHL2" t="s">
        <v>11292</v>
      </c>
      <c r="JHM2" t="s">
        <v>11293</v>
      </c>
      <c r="JHN2" t="s">
        <v>11294</v>
      </c>
      <c r="JHO2" t="s">
        <v>11295</v>
      </c>
      <c r="JHP2" t="s">
        <v>11296</v>
      </c>
      <c r="JHQ2" t="s">
        <v>11297</v>
      </c>
      <c r="JHR2" t="s">
        <v>11298</v>
      </c>
      <c r="JHS2" t="s">
        <v>11299</v>
      </c>
      <c r="JHT2" t="s">
        <v>11300</v>
      </c>
      <c r="JHU2" t="s">
        <v>11301</v>
      </c>
      <c r="JHV2" t="s">
        <v>11302</v>
      </c>
      <c r="JHW2" t="s">
        <v>11303</v>
      </c>
      <c r="JHX2" t="s">
        <v>11304</v>
      </c>
      <c r="JHY2" t="s">
        <v>11305</v>
      </c>
      <c r="JHZ2" t="s">
        <v>11306</v>
      </c>
      <c r="JIA2" t="s">
        <v>11307</v>
      </c>
      <c r="JIB2" t="s">
        <v>11308</v>
      </c>
      <c r="JIC2" t="s">
        <v>11309</v>
      </c>
      <c r="JID2" t="s">
        <v>11310</v>
      </c>
      <c r="JIE2" t="s">
        <v>11311</v>
      </c>
      <c r="JIF2" t="s">
        <v>11312</v>
      </c>
      <c r="JIG2" t="s">
        <v>11313</v>
      </c>
      <c r="JIH2" t="s">
        <v>11314</v>
      </c>
      <c r="JII2" t="s">
        <v>11315</v>
      </c>
      <c r="JIJ2" t="s">
        <v>11316</v>
      </c>
      <c r="JIK2" t="s">
        <v>11317</v>
      </c>
      <c r="JIL2" t="s">
        <v>11318</v>
      </c>
      <c r="JIM2" t="s">
        <v>11319</v>
      </c>
      <c r="JIN2" t="s">
        <v>11320</v>
      </c>
      <c r="JIO2" t="s">
        <v>11321</v>
      </c>
      <c r="JIP2" t="s">
        <v>11322</v>
      </c>
      <c r="JIQ2" t="s">
        <v>11323</v>
      </c>
      <c r="JIR2" t="s">
        <v>11324</v>
      </c>
      <c r="JIS2" t="s">
        <v>11325</v>
      </c>
      <c r="JIT2" t="s">
        <v>11326</v>
      </c>
      <c r="JIU2" t="s">
        <v>11327</v>
      </c>
      <c r="JIV2" t="s">
        <v>11328</v>
      </c>
      <c r="JIW2" t="s">
        <v>11329</v>
      </c>
      <c r="JIX2" t="s">
        <v>11330</v>
      </c>
      <c r="JIY2" t="s">
        <v>11331</v>
      </c>
      <c r="JIZ2" t="s">
        <v>11332</v>
      </c>
      <c r="JJA2" t="s">
        <v>11333</v>
      </c>
      <c r="JJB2" t="s">
        <v>11334</v>
      </c>
      <c r="JJC2" t="s">
        <v>11335</v>
      </c>
      <c r="JJD2" t="s">
        <v>11336</v>
      </c>
      <c r="JJE2" t="s">
        <v>11337</v>
      </c>
      <c r="JJF2" t="s">
        <v>11338</v>
      </c>
      <c r="JJG2" t="s">
        <v>11339</v>
      </c>
      <c r="JJH2" t="s">
        <v>11340</v>
      </c>
      <c r="JJI2" t="s">
        <v>11341</v>
      </c>
      <c r="JJJ2" t="s">
        <v>11342</v>
      </c>
      <c r="JJK2" t="s">
        <v>11343</v>
      </c>
      <c r="JJL2" t="s">
        <v>11344</v>
      </c>
      <c r="JJM2" t="s">
        <v>11345</v>
      </c>
      <c r="JJN2" t="s">
        <v>11346</v>
      </c>
      <c r="JJO2" t="s">
        <v>11347</v>
      </c>
      <c r="JJP2" t="s">
        <v>11348</v>
      </c>
      <c r="JJQ2" t="s">
        <v>11349</v>
      </c>
      <c r="JJR2" t="s">
        <v>11350</v>
      </c>
      <c r="JJS2" t="s">
        <v>11351</v>
      </c>
      <c r="JJT2" t="s">
        <v>11352</v>
      </c>
      <c r="JJU2" t="s">
        <v>11353</v>
      </c>
      <c r="JJV2" t="s">
        <v>11354</v>
      </c>
      <c r="JJW2" t="s">
        <v>11355</v>
      </c>
      <c r="JJX2" t="s">
        <v>11356</v>
      </c>
      <c r="JJY2" t="s">
        <v>11357</v>
      </c>
      <c r="JJZ2" t="s">
        <v>11358</v>
      </c>
      <c r="JKA2" t="s">
        <v>11359</v>
      </c>
      <c r="JKB2" t="s">
        <v>11360</v>
      </c>
      <c r="JKC2" t="s">
        <v>11361</v>
      </c>
      <c r="JKD2" t="s">
        <v>11362</v>
      </c>
      <c r="JKE2" t="s">
        <v>11363</v>
      </c>
      <c r="JKF2" t="s">
        <v>11364</v>
      </c>
      <c r="JKG2" t="s">
        <v>11365</v>
      </c>
      <c r="JKH2" t="s">
        <v>11366</v>
      </c>
      <c r="JKI2" t="s">
        <v>11367</v>
      </c>
      <c r="JKJ2" t="s">
        <v>11368</v>
      </c>
      <c r="JKK2" t="s">
        <v>11369</v>
      </c>
      <c r="JKL2" t="s">
        <v>11370</v>
      </c>
      <c r="JKM2" t="s">
        <v>11371</v>
      </c>
      <c r="JKN2" t="s">
        <v>11372</v>
      </c>
      <c r="JKO2" t="s">
        <v>11373</v>
      </c>
      <c r="JKP2" t="s">
        <v>11374</v>
      </c>
      <c r="JKQ2" t="s">
        <v>11375</v>
      </c>
      <c r="JKR2" t="s">
        <v>11376</v>
      </c>
      <c r="JKS2" t="s">
        <v>11377</v>
      </c>
      <c r="JKT2" t="s">
        <v>11378</v>
      </c>
      <c r="JKU2" t="s">
        <v>11379</v>
      </c>
      <c r="JKV2" t="s">
        <v>11380</v>
      </c>
      <c r="JKW2" t="s">
        <v>11381</v>
      </c>
      <c r="JKX2" t="s">
        <v>11382</v>
      </c>
      <c r="JKY2" t="s">
        <v>11383</v>
      </c>
      <c r="JKZ2" t="s">
        <v>11384</v>
      </c>
      <c r="JLA2" t="s">
        <v>11385</v>
      </c>
      <c r="JLB2" t="s">
        <v>11386</v>
      </c>
      <c r="JLC2" t="s">
        <v>11387</v>
      </c>
      <c r="JLD2" t="s">
        <v>11388</v>
      </c>
      <c r="JLE2" t="s">
        <v>11389</v>
      </c>
      <c r="JLF2" t="s">
        <v>11390</v>
      </c>
      <c r="JLG2" t="s">
        <v>11391</v>
      </c>
      <c r="JLH2" t="s">
        <v>11392</v>
      </c>
      <c r="JLI2" t="s">
        <v>11393</v>
      </c>
      <c r="JLJ2" t="s">
        <v>11394</v>
      </c>
      <c r="JLK2" t="s">
        <v>11395</v>
      </c>
      <c r="JLL2" t="s">
        <v>11396</v>
      </c>
      <c r="JLM2" t="s">
        <v>11397</v>
      </c>
      <c r="JLN2" t="s">
        <v>11398</v>
      </c>
      <c r="JLO2" t="s">
        <v>11399</v>
      </c>
      <c r="JLP2" t="s">
        <v>11400</v>
      </c>
      <c r="JLQ2" t="s">
        <v>11401</v>
      </c>
      <c r="JLR2" t="s">
        <v>11402</v>
      </c>
      <c r="JLS2" t="s">
        <v>11403</v>
      </c>
      <c r="JLT2" t="s">
        <v>11404</v>
      </c>
      <c r="JLU2" t="s">
        <v>11405</v>
      </c>
      <c r="JLV2" t="s">
        <v>11406</v>
      </c>
      <c r="JLW2" t="s">
        <v>11407</v>
      </c>
      <c r="JLX2" t="s">
        <v>11408</v>
      </c>
      <c r="JLY2" t="s">
        <v>11409</v>
      </c>
      <c r="JLZ2" t="s">
        <v>11410</v>
      </c>
      <c r="JMA2" t="s">
        <v>11411</v>
      </c>
      <c r="JMB2" t="s">
        <v>11412</v>
      </c>
      <c r="JMC2" t="s">
        <v>11413</v>
      </c>
      <c r="JMD2" t="s">
        <v>11414</v>
      </c>
      <c r="JME2" t="s">
        <v>11415</v>
      </c>
      <c r="JMF2" t="s">
        <v>11416</v>
      </c>
      <c r="JMG2" t="s">
        <v>11417</v>
      </c>
      <c r="JMH2" t="s">
        <v>11418</v>
      </c>
      <c r="JMI2" t="s">
        <v>11419</v>
      </c>
      <c r="JMJ2" t="s">
        <v>11420</v>
      </c>
      <c r="JMK2" t="s">
        <v>11421</v>
      </c>
      <c r="JML2" t="s">
        <v>11422</v>
      </c>
      <c r="JMM2" t="s">
        <v>11423</v>
      </c>
      <c r="JMN2" t="s">
        <v>11424</v>
      </c>
      <c r="JMO2" t="s">
        <v>11425</v>
      </c>
      <c r="JMP2" t="s">
        <v>11426</v>
      </c>
      <c r="JMQ2" t="s">
        <v>11427</v>
      </c>
      <c r="JMR2" t="s">
        <v>11428</v>
      </c>
      <c r="JMS2" t="s">
        <v>11429</v>
      </c>
      <c r="JMT2" t="s">
        <v>11430</v>
      </c>
      <c r="JMU2" t="s">
        <v>11431</v>
      </c>
      <c r="JMV2" t="s">
        <v>11432</v>
      </c>
      <c r="JMW2" t="s">
        <v>11433</v>
      </c>
      <c r="JMX2" t="s">
        <v>11434</v>
      </c>
      <c r="JMY2" t="s">
        <v>11435</v>
      </c>
      <c r="JMZ2" t="s">
        <v>11436</v>
      </c>
      <c r="JNA2" t="s">
        <v>11437</v>
      </c>
      <c r="JNB2" t="s">
        <v>11438</v>
      </c>
      <c r="JNC2" t="s">
        <v>11439</v>
      </c>
      <c r="JND2" t="s">
        <v>11440</v>
      </c>
      <c r="JNE2" t="s">
        <v>11441</v>
      </c>
      <c r="JNF2" t="s">
        <v>11442</v>
      </c>
      <c r="JNG2" t="s">
        <v>11443</v>
      </c>
      <c r="JNH2" t="s">
        <v>11444</v>
      </c>
      <c r="JNI2" t="s">
        <v>11445</v>
      </c>
      <c r="JNJ2" t="s">
        <v>11446</v>
      </c>
      <c r="JNK2" t="s">
        <v>11447</v>
      </c>
      <c r="JNL2" t="s">
        <v>11448</v>
      </c>
      <c r="JNM2" t="s">
        <v>11449</v>
      </c>
      <c r="JNN2" t="s">
        <v>11450</v>
      </c>
      <c r="JNO2" t="s">
        <v>11451</v>
      </c>
      <c r="JNP2" t="s">
        <v>11452</v>
      </c>
      <c r="JNQ2" t="s">
        <v>11453</v>
      </c>
      <c r="JNR2" t="s">
        <v>11454</v>
      </c>
      <c r="JNS2" t="s">
        <v>11455</v>
      </c>
      <c r="JNT2" t="s">
        <v>11456</v>
      </c>
      <c r="JNU2" t="s">
        <v>11457</v>
      </c>
      <c r="JNV2" t="s">
        <v>11458</v>
      </c>
      <c r="JNW2" t="s">
        <v>11459</v>
      </c>
      <c r="JNX2" t="s">
        <v>11460</v>
      </c>
      <c r="JNY2" t="s">
        <v>11461</v>
      </c>
      <c r="JNZ2" t="s">
        <v>11462</v>
      </c>
      <c r="JOA2" t="s">
        <v>11463</v>
      </c>
      <c r="JOB2" t="s">
        <v>11464</v>
      </c>
      <c r="JOC2" t="s">
        <v>11465</v>
      </c>
      <c r="JOD2" t="s">
        <v>11466</v>
      </c>
      <c r="JOE2" t="s">
        <v>11467</v>
      </c>
      <c r="JOF2" t="s">
        <v>11468</v>
      </c>
      <c r="JOG2" t="s">
        <v>11469</v>
      </c>
      <c r="JOH2" t="s">
        <v>11470</v>
      </c>
      <c r="JOI2" t="s">
        <v>11471</v>
      </c>
      <c r="JOJ2" t="s">
        <v>11472</v>
      </c>
      <c r="JOK2" t="s">
        <v>11473</v>
      </c>
      <c r="JOL2" t="s">
        <v>11474</v>
      </c>
      <c r="JOM2" t="s">
        <v>11475</v>
      </c>
      <c r="JON2" t="s">
        <v>11476</v>
      </c>
      <c r="JOO2" t="s">
        <v>11477</v>
      </c>
      <c r="JOP2" t="s">
        <v>11478</v>
      </c>
      <c r="JOQ2" t="s">
        <v>11479</v>
      </c>
      <c r="JOR2" t="s">
        <v>11480</v>
      </c>
      <c r="JOS2" t="s">
        <v>11481</v>
      </c>
      <c r="JOT2" t="s">
        <v>11482</v>
      </c>
      <c r="JOU2" t="s">
        <v>11483</v>
      </c>
      <c r="JOV2" t="s">
        <v>11484</v>
      </c>
      <c r="JOW2" t="s">
        <v>11485</v>
      </c>
      <c r="JOX2" t="s">
        <v>11486</v>
      </c>
      <c r="JOY2" t="s">
        <v>11487</v>
      </c>
      <c r="JOZ2" t="s">
        <v>11488</v>
      </c>
      <c r="JPA2" t="s">
        <v>11489</v>
      </c>
      <c r="JPB2" t="s">
        <v>11490</v>
      </c>
      <c r="JPC2" t="s">
        <v>11491</v>
      </c>
      <c r="JPD2" t="s">
        <v>11492</v>
      </c>
      <c r="JPE2" t="s">
        <v>11493</v>
      </c>
      <c r="JPF2" t="s">
        <v>11494</v>
      </c>
      <c r="JPG2" t="s">
        <v>11495</v>
      </c>
      <c r="JPH2" t="s">
        <v>11496</v>
      </c>
      <c r="JPI2" t="s">
        <v>11497</v>
      </c>
      <c r="JPJ2" t="s">
        <v>11498</v>
      </c>
      <c r="JPK2" t="s">
        <v>11499</v>
      </c>
      <c r="JPL2" t="s">
        <v>11500</v>
      </c>
      <c r="JPM2" t="s">
        <v>11501</v>
      </c>
      <c r="JPN2" t="s">
        <v>11502</v>
      </c>
      <c r="JPO2" t="s">
        <v>11503</v>
      </c>
      <c r="JPP2" t="s">
        <v>11504</v>
      </c>
      <c r="JPQ2" t="s">
        <v>11505</v>
      </c>
      <c r="JPR2" t="s">
        <v>11506</v>
      </c>
      <c r="JPS2" t="s">
        <v>11507</v>
      </c>
      <c r="JPT2" t="s">
        <v>11508</v>
      </c>
      <c r="JPU2" t="s">
        <v>11509</v>
      </c>
      <c r="JPV2" t="s">
        <v>11510</v>
      </c>
      <c r="JPW2" t="s">
        <v>11511</v>
      </c>
      <c r="JPX2" t="s">
        <v>11512</v>
      </c>
      <c r="JPY2" t="s">
        <v>11513</v>
      </c>
      <c r="JPZ2" t="s">
        <v>11514</v>
      </c>
      <c r="JQA2" t="s">
        <v>11515</v>
      </c>
      <c r="JQB2" t="s">
        <v>11516</v>
      </c>
      <c r="JQC2" t="s">
        <v>11517</v>
      </c>
      <c r="JQD2" t="s">
        <v>11518</v>
      </c>
      <c r="JQE2" t="s">
        <v>11519</v>
      </c>
      <c r="JQF2" t="s">
        <v>11520</v>
      </c>
      <c r="JQG2" t="s">
        <v>11521</v>
      </c>
      <c r="JQH2" t="s">
        <v>11522</v>
      </c>
      <c r="JQI2" t="s">
        <v>11523</v>
      </c>
      <c r="JQJ2" t="s">
        <v>11524</v>
      </c>
      <c r="JQK2" t="s">
        <v>11525</v>
      </c>
      <c r="JQL2" t="s">
        <v>11526</v>
      </c>
      <c r="JQM2" t="s">
        <v>11527</v>
      </c>
      <c r="JQN2" t="s">
        <v>11528</v>
      </c>
      <c r="JQO2" t="s">
        <v>11529</v>
      </c>
      <c r="JQP2" t="s">
        <v>11530</v>
      </c>
      <c r="JQQ2" t="s">
        <v>11531</v>
      </c>
      <c r="JQR2" t="s">
        <v>11532</v>
      </c>
      <c r="JQS2" t="s">
        <v>11533</v>
      </c>
      <c r="JQT2" t="s">
        <v>11534</v>
      </c>
      <c r="JQU2" t="s">
        <v>11535</v>
      </c>
      <c r="JQV2" t="s">
        <v>11536</v>
      </c>
      <c r="JQW2" t="s">
        <v>11537</v>
      </c>
      <c r="JQX2" t="s">
        <v>11538</v>
      </c>
      <c r="JQY2" t="s">
        <v>11539</v>
      </c>
      <c r="JQZ2" t="s">
        <v>11540</v>
      </c>
      <c r="JRA2" t="s">
        <v>11541</v>
      </c>
      <c r="JRB2" t="s">
        <v>11542</v>
      </c>
      <c r="JRC2" t="s">
        <v>11543</v>
      </c>
      <c r="JRD2" t="s">
        <v>11544</v>
      </c>
      <c r="JRE2" t="s">
        <v>11545</v>
      </c>
      <c r="JRF2" t="s">
        <v>11546</v>
      </c>
      <c r="JRG2" t="s">
        <v>11547</v>
      </c>
      <c r="JRH2" t="s">
        <v>11548</v>
      </c>
      <c r="JRI2" t="s">
        <v>11549</v>
      </c>
      <c r="JRJ2" t="s">
        <v>11550</v>
      </c>
      <c r="JRK2" t="s">
        <v>11551</v>
      </c>
      <c r="JRL2" t="s">
        <v>11552</v>
      </c>
      <c r="JRM2" t="s">
        <v>11553</v>
      </c>
      <c r="JRN2" t="s">
        <v>11554</v>
      </c>
      <c r="JRO2" t="s">
        <v>11555</v>
      </c>
      <c r="JRP2" t="s">
        <v>11556</v>
      </c>
      <c r="JRQ2" t="s">
        <v>11557</v>
      </c>
      <c r="JRR2" t="s">
        <v>11558</v>
      </c>
      <c r="JRS2" t="s">
        <v>11559</v>
      </c>
      <c r="JRT2" t="s">
        <v>11560</v>
      </c>
      <c r="JRU2" t="s">
        <v>11561</v>
      </c>
      <c r="JRV2" t="s">
        <v>11562</v>
      </c>
      <c r="JRW2" t="s">
        <v>11563</v>
      </c>
      <c r="JRX2" t="s">
        <v>11564</v>
      </c>
      <c r="JRY2" t="s">
        <v>11565</v>
      </c>
      <c r="JRZ2" t="s">
        <v>11566</v>
      </c>
      <c r="JSA2" t="s">
        <v>11567</v>
      </c>
      <c r="JSB2" t="s">
        <v>11568</v>
      </c>
      <c r="JSC2" t="s">
        <v>11569</v>
      </c>
      <c r="JSD2" t="s">
        <v>11570</v>
      </c>
      <c r="JSE2" t="s">
        <v>11571</v>
      </c>
      <c r="JSF2" t="s">
        <v>11572</v>
      </c>
      <c r="JSG2" t="s">
        <v>11573</v>
      </c>
      <c r="JSH2" t="s">
        <v>11574</v>
      </c>
      <c r="JSI2" t="s">
        <v>11575</v>
      </c>
      <c r="JSJ2" t="s">
        <v>11576</v>
      </c>
      <c r="JSK2" t="s">
        <v>11577</v>
      </c>
      <c r="JSL2" t="s">
        <v>11578</v>
      </c>
      <c r="JSM2" t="s">
        <v>11579</v>
      </c>
      <c r="JSN2" t="s">
        <v>11580</v>
      </c>
      <c r="JSO2" t="s">
        <v>11581</v>
      </c>
      <c r="JSP2" t="s">
        <v>11582</v>
      </c>
      <c r="JSQ2" t="s">
        <v>11583</v>
      </c>
      <c r="JSR2" t="s">
        <v>11584</v>
      </c>
      <c r="JSS2" t="s">
        <v>11585</v>
      </c>
      <c r="JST2" t="s">
        <v>11586</v>
      </c>
      <c r="JSU2" t="s">
        <v>11587</v>
      </c>
      <c r="JSV2" t="s">
        <v>11588</v>
      </c>
      <c r="JSW2" t="s">
        <v>11589</v>
      </c>
      <c r="JSX2" t="s">
        <v>11590</v>
      </c>
      <c r="JSY2" t="s">
        <v>11591</v>
      </c>
      <c r="JSZ2" t="s">
        <v>11592</v>
      </c>
      <c r="JTA2" t="s">
        <v>11593</v>
      </c>
      <c r="JTB2" t="s">
        <v>11594</v>
      </c>
      <c r="JTC2" t="s">
        <v>11595</v>
      </c>
      <c r="JTD2" t="s">
        <v>11596</v>
      </c>
      <c r="JTE2" t="s">
        <v>11597</v>
      </c>
      <c r="JTF2" t="s">
        <v>11598</v>
      </c>
      <c r="JTG2" t="s">
        <v>11599</v>
      </c>
      <c r="JTH2" t="s">
        <v>11600</v>
      </c>
      <c r="JTI2" t="s">
        <v>11601</v>
      </c>
      <c r="JTJ2" t="s">
        <v>11602</v>
      </c>
      <c r="JTK2" t="s">
        <v>11603</v>
      </c>
      <c r="JTL2" t="s">
        <v>11604</v>
      </c>
      <c r="JTM2" t="s">
        <v>11605</v>
      </c>
      <c r="JTN2" t="s">
        <v>11606</v>
      </c>
      <c r="JTO2" t="s">
        <v>11607</v>
      </c>
      <c r="JTP2" t="s">
        <v>11608</v>
      </c>
      <c r="JTQ2" t="s">
        <v>11609</v>
      </c>
      <c r="JTR2" t="s">
        <v>11610</v>
      </c>
      <c r="JTS2" t="s">
        <v>11611</v>
      </c>
      <c r="JTT2" t="s">
        <v>11612</v>
      </c>
      <c r="JTU2" t="s">
        <v>11613</v>
      </c>
      <c r="JTV2" t="s">
        <v>11614</v>
      </c>
      <c r="JTW2" t="s">
        <v>11615</v>
      </c>
      <c r="JTX2" t="s">
        <v>11616</v>
      </c>
      <c r="JTY2" t="s">
        <v>11617</v>
      </c>
      <c r="JTZ2" t="s">
        <v>11618</v>
      </c>
      <c r="JUA2" t="s">
        <v>11619</v>
      </c>
      <c r="JUB2" t="s">
        <v>11620</v>
      </c>
      <c r="JUC2" t="s">
        <v>11621</v>
      </c>
      <c r="JUD2" t="s">
        <v>11622</v>
      </c>
      <c r="JUE2" t="s">
        <v>11623</v>
      </c>
      <c r="JUF2" t="s">
        <v>11624</v>
      </c>
      <c r="JUG2" t="s">
        <v>11625</v>
      </c>
      <c r="JUH2" t="s">
        <v>11626</v>
      </c>
      <c r="JUI2" t="s">
        <v>11627</v>
      </c>
      <c r="JUJ2" t="s">
        <v>11628</v>
      </c>
      <c r="JUK2" t="s">
        <v>11629</v>
      </c>
      <c r="JUL2" t="s">
        <v>11630</v>
      </c>
      <c r="JUM2" t="s">
        <v>11631</v>
      </c>
      <c r="JUN2" t="s">
        <v>11632</v>
      </c>
      <c r="JUO2" t="s">
        <v>11633</v>
      </c>
      <c r="JUP2" t="s">
        <v>11634</v>
      </c>
      <c r="JUQ2" t="s">
        <v>11635</v>
      </c>
      <c r="JUR2" t="s">
        <v>11636</v>
      </c>
      <c r="JUS2" t="s">
        <v>11637</v>
      </c>
      <c r="JUT2" t="s">
        <v>11638</v>
      </c>
      <c r="JUU2" t="s">
        <v>11639</v>
      </c>
      <c r="JUV2" t="s">
        <v>11640</v>
      </c>
      <c r="JUW2" t="s">
        <v>11641</v>
      </c>
      <c r="JUX2" t="s">
        <v>11642</v>
      </c>
      <c r="JUY2" t="s">
        <v>11643</v>
      </c>
      <c r="JUZ2" t="s">
        <v>11644</v>
      </c>
      <c r="JVA2" t="s">
        <v>11645</v>
      </c>
      <c r="JVB2" t="s">
        <v>11646</v>
      </c>
      <c r="JVC2" t="s">
        <v>11647</v>
      </c>
      <c r="JVD2" t="s">
        <v>11648</v>
      </c>
      <c r="JVE2" t="s">
        <v>11649</v>
      </c>
      <c r="JVF2" t="s">
        <v>11650</v>
      </c>
      <c r="JVG2" t="s">
        <v>11651</v>
      </c>
      <c r="JVH2" t="s">
        <v>11652</v>
      </c>
      <c r="JVI2" t="s">
        <v>11653</v>
      </c>
      <c r="JVJ2" t="s">
        <v>11654</v>
      </c>
      <c r="JVK2" t="s">
        <v>11655</v>
      </c>
      <c r="JVL2" t="s">
        <v>11656</v>
      </c>
      <c r="JVM2" t="s">
        <v>11657</v>
      </c>
      <c r="JVN2" t="s">
        <v>11658</v>
      </c>
      <c r="JVO2" t="s">
        <v>11659</v>
      </c>
      <c r="JVP2" t="s">
        <v>11660</v>
      </c>
      <c r="JVQ2" t="s">
        <v>11661</v>
      </c>
      <c r="JVR2" t="s">
        <v>11662</v>
      </c>
      <c r="JVS2" t="s">
        <v>11663</v>
      </c>
      <c r="JVT2" t="s">
        <v>11664</v>
      </c>
      <c r="JVU2" t="s">
        <v>11665</v>
      </c>
      <c r="JVV2" t="s">
        <v>11666</v>
      </c>
      <c r="JVW2" t="s">
        <v>11667</v>
      </c>
      <c r="JVX2" t="s">
        <v>11668</v>
      </c>
      <c r="JVY2" t="s">
        <v>11669</v>
      </c>
      <c r="JVZ2" t="s">
        <v>11670</v>
      </c>
      <c r="JWA2" t="s">
        <v>11671</v>
      </c>
      <c r="JWB2" t="s">
        <v>11672</v>
      </c>
      <c r="JWC2" t="s">
        <v>11673</v>
      </c>
      <c r="JWD2" t="s">
        <v>11674</v>
      </c>
      <c r="JWE2" t="s">
        <v>11675</v>
      </c>
      <c r="JWF2" t="s">
        <v>11676</v>
      </c>
      <c r="JWG2" t="s">
        <v>11677</v>
      </c>
      <c r="JWH2" t="s">
        <v>11678</v>
      </c>
      <c r="JWI2" t="s">
        <v>11679</v>
      </c>
      <c r="JWJ2" t="s">
        <v>11680</v>
      </c>
      <c r="JWK2" t="s">
        <v>11681</v>
      </c>
      <c r="JWL2" t="s">
        <v>11682</v>
      </c>
      <c r="JWM2" t="s">
        <v>11683</v>
      </c>
      <c r="JWN2" t="s">
        <v>11684</v>
      </c>
      <c r="JWO2" t="s">
        <v>11685</v>
      </c>
      <c r="JWP2" t="s">
        <v>11686</v>
      </c>
      <c r="JWQ2" t="s">
        <v>11687</v>
      </c>
      <c r="JWR2" t="s">
        <v>11688</v>
      </c>
      <c r="JWS2" t="s">
        <v>11689</v>
      </c>
      <c r="JWT2" t="s">
        <v>11690</v>
      </c>
      <c r="JWU2" t="s">
        <v>11691</v>
      </c>
      <c r="JWV2" t="s">
        <v>11692</v>
      </c>
      <c r="JWW2" t="s">
        <v>11693</v>
      </c>
      <c r="JWX2" t="s">
        <v>11694</v>
      </c>
      <c r="JWY2" t="s">
        <v>11695</v>
      </c>
      <c r="JWZ2" t="s">
        <v>11696</v>
      </c>
      <c r="JXA2" t="s">
        <v>11697</v>
      </c>
      <c r="JXB2" t="s">
        <v>11698</v>
      </c>
      <c r="JXC2" t="s">
        <v>11699</v>
      </c>
      <c r="JXD2" t="s">
        <v>11700</v>
      </c>
      <c r="JXE2" t="s">
        <v>11701</v>
      </c>
      <c r="JXF2" t="s">
        <v>11702</v>
      </c>
      <c r="JXG2" t="s">
        <v>11703</v>
      </c>
      <c r="JXH2" t="s">
        <v>11704</v>
      </c>
      <c r="JXI2" t="s">
        <v>11705</v>
      </c>
      <c r="JXJ2" t="s">
        <v>11706</v>
      </c>
      <c r="JXK2" t="s">
        <v>11707</v>
      </c>
      <c r="JXL2" t="s">
        <v>11708</v>
      </c>
      <c r="JXM2" t="s">
        <v>11709</v>
      </c>
      <c r="JXN2" t="s">
        <v>11710</v>
      </c>
      <c r="JXO2" t="s">
        <v>11711</v>
      </c>
      <c r="JXP2" t="s">
        <v>11712</v>
      </c>
      <c r="JXQ2" t="s">
        <v>11713</v>
      </c>
      <c r="JXR2" t="s">
        <v>11714</v>
      </c>
      <c r="JXS2" t="s">
        <v>11715</v>
      </c>
      <c r="JXT2" t="s">
        <v>11716</v>
      </c>
      <c r="JXU2" t="s">
        <v>11717</v>
      </c>
      <c r="JXV2" t="s">
        <v>11718</v>
      </c>
      <c r="JXW2" t="s">
        <v>11719</v>
      </c>
      <c r="JXX2" t="s">
        <v>11720</v>
      </c>
      <c r="JXY2" t="s">
        <v>11721</v>
      </c>
      <c r="JXZ2" t="s">
        <v>11722</v>
      </c>
      <c r="JYA2" t="s">
        <v>11723</v>
      </c>
      <c r="JYB2" t="s">
        <v>11724</v>
      </c>
      <c r="JYC2" t="s">
        <v>11725</v>
      </c>
      <c r="JYD2" t="s">
        <v>11726</v>
      </c>
      <c r="JYE2" t="s">
        <v>11727</v>
      </c>
      <c r="JYF2" t="s">
        <v>11728</v>
      </c>
      <c r="JYG2" t="s">
        <v>11729</v>
      </c>
      <c r="JYH2" t="s">
        <v>11730</v>
      </c>
      <c r="JYI2" t="s">
        <v>11731</v>
      </c>
      <c r="JYJ2" t="s">
        <v>11732</v>
      </c>
      <c r="JYK2" t="s">
        <v>11733</v>
      </c>
      <c r="JYL2" t="s">
        <v>11734</v>
      </c>
      <c r="JYM2" t="s">
        <v>11735</v>
      </c>
      <c r="JYN2" t="s">
        <v>11736</v>
      </c>
      <c r="JYO2" t="s">
        <v>11737</v>
      </c>
      <c r="JYP2" t="s">
        <v>11738</v>
      </c>
      <c r="JYQ2" t="s">
        <v>11739</v>
      </c>
      <c r="JYR2" t="s">
        <v>11740</v>
      </c>
      <c r="JYS2" t="s">
        <v>11741</v>
      </c>
      <c r="JYT2" t="s">
        <v>11742</v>
      </c>
      <c r="JYU2" t="s">
        <v>11743</v>
      </c>
      <c r="JYV2" t="s">
        <v>11744</v>
      </c>
      <c r="JYW2" t="s">
        <v>11745</v>
      </c>
      <c r="JYX2" t="s">
        <v>11746</v>
      </c>
      <c r="JYY2" t="s">
        <v>11747</v>
      </c>
      <c r="JYZ2" t="s">
        <v>11748</v>
      </c>
      <c r="JZA2" t="s">
        <v>11749</v>
      </c>
      <c r="JZB2" t="s">
        <v>11750</v>
      </c>
      <c r="JZC2" t="s">
        <v>11751</v>
      </c>
      <c r="JZD2" t="s">
        <v>11752</v>
      </c>
      <c r="JZE2" t="s">
        <v>11753</v>
      </c>
      <c r="JZF2" t="s">
        <v>11754</v>
      </c>
      <c r="JZG2" t="s">
        <v>11755</v>
      </c>
      <c r="JZH2" t="s">
        <v>11756</v>
      </c>
      <c r="JZI2" t="s">
        <v>11757</v>
      </c>
      <c r="JZJ2" t="s">
        <v>11758</v>
      </c>
      <c r="JZK2" t="s">
        <v>11759</v>
      </c>
      <c r="JZL2" t="s">
        <v>11760</v>
      </c>
      <c r="JZM2" t="s">
        <v>11761</v>
      </c>
      <c r="JZN2" t="s">
        <v>11762</v>
      </c>
      <c r="JZO2" t="s">
        <v>11763</v>
      </c>
      <c r="JZP2" t="s">
        <v>11764</v>
      </c>
      <c r="JZQ2" t="s">
        <v>11765</v>
      </c>
      <c r="JZR2" t="s">
        <v>11766</v>
      </c>
      <c r="JZS2" t="s">
        <v>11767</v>
      </c>
      <c r="JZT2" t="s">
        <v>11768</v>
      </c>
      <c r="JZU2" t="s">
        <v>11769</v>
      </c>
      <c r="JZV2" t="s">
        <v>11770</v>
      </c>
      <c r="JZW2" t="s">
        <v>11771</v>
      </c>
      <c r="JZX2" t="s">
        <v>11772</v>
      </c>
      <c r="JZY2" t="s">
        <v>11773</v>
      </c>
      <c r="JZZ2" t="s">
        <v>11774</v>
      </c>
      <c r="KAA2" t="s">
        <v>11775</v>
      </c>
      <c r="KAB2" t="s">
        <v>11776</v>
      </c>
      <c r="KAC2" t="s">
        <v>11777</v>
      </c>
      <c r="KAD2" t="s">
        <v>11778</v>
      </c>
      <c r="KAE2" t="s">
        <v>11779</v>
      </c>
      <c r="KAF2" t="s">
        <v>11780</v>
      </c>
      <c r="KAG2" t="s">
        <v>11781</v>
      </c>
      <c r="KAH2" t="s">
        <v>11782</v>
      </c>
      <c r="KAI2" t="s">
        <v>11783</v>
      </c>
      <c r="KAJ2" t="s">
        <v>11784</v>
      </c>
      <c r="KAK2" t="s">
        <v>11785</v>
      </c>
      <c r="KAL2" t="s">
        <v>11786</v>
      </c>
      <c r="KAM2" t="s">
        <v>11787</v>
      </c>
      <c r="KAN2" t="s">
        <v>11788</v>
      </c>
      <c r="KAO2" t="s">
        <v>11789</v>
      </c>
      <c r="KAP2" t="s">
        <v>11790</v>
      </c>
      <c r="KAQ2" t="s">
        <v>11791</v>
      </c>
      <c r="KAR2" t="s">
        <v>11792</v>
      </c>
      <c r="KAS2" t="s">
        <v>11793</v>
      </c>
      <c r="KAT2" t="s">
        <v>11794</v>
      </c>
      <c r="KAU2" t="s">
        <v>11795</v>
      </c>
      <c r="KAV2" t="s">
        <v>11796</v>
      </c>
      <c r="KAW2" t="s">
        <v>11797</v>
      </c>
      <c r="KAX2" t="s">
        <v>11798</v>
      </c>
      <c r="KAY2" t="s">
        <v>11799</v>
      </c>
      <c r="KAZ2" t="s">
        <v>11800</v>
      </c>
      <c r="KBA2" t="s">
        <v>11801</v>
      </c>
      <c r="KBB2" t="s">
        <v>11802</v>
      </c>
      <c r="KBC2" t="s">
        <v>11803</v>
      </c>
      <c r="KBD2" t="s">
        <v>11804</v>
      </c>
      <c r="KBE2" t="s">
        <v>11805</v>
      </c>
      <c r="KBF2" t="s">
        <v>11806</v>
      </c>
      <c r="KBG2" t="s">
        <v>11807</v>
      </c>
      <c r="KBH2" t="s">
        <v>11808</v>
      </c>
      <c r="KBI2" t="s">
        <v>11809</v>
      </c>
      <c r="KBJ2" t="s">
        <v>11810</v>
      </c>
      <c r="KBK2" t="s">
        <v>11811</v>
      </c>
      <c r="KBL2" t="s">
        <v>11812</v>
      </c>
      <c r="KBM2" t="s">
        <v>11813</v>
      </c>
      <c r="KBN2" t="s">
        <v>11814</v>
      </c>
      <c r="KBO2" t="s">
        <v>11815</v>
      </c>
      <c r="KBP2" t="s">
        <v>11816</v>
      </c>
      <c r="KBQ2" t="s">
        <v>11817</v>
      </c>
      <c r="KBR2" t="s">
        <v>11818</v>
      </c>
      <c r="KBS2" t="s">
        <v>11819</v>
      </c>
      <c r="KBT2" t="s">
        <v>11820</v>
      </c>
      <c r="KBU2" t="s">
        <v>11821</v>
      </c>
      <c r="KBV2" t="s">
        <v>11822</v>
      </c>
      <c r="KBW2" t="s">
        <v>11823</v>
      </c>
      <c r="KBX2" t="s">
        <v>11824</v>
      </c>
      <c r="KBY2" t="s">
        <v>11825</v>
      </c>
      <c r="KBZ2" t="s">
        <v>11826</v>
      </c>
      <c r="KCA2" t="s">
        <v>11827</v>
      </c>
      <c r="KCB2" t="s">
        <v>11828</v>
      </c>
      <c r="KCC2" t="s">
        <v>11829</v>
      </c>
      <c r="KCD2" t="s">
        <v>11830</v>
      </c>
      <c r="KCE2" t="s">
        <v>11831</v>
      </c>
      <c r="KCF2" t="s">
        <v>11832</v>
      </c>
      <c r="KCG2" t="s">
        <v>11833</v>
      </c>
      <c r="KCH2" t="s">
        <v>11834</v>
      </c>
      <c r="KCI2" t="s">
        <v>11835</v>
      </c>
      <c r="KCJ2" t="s">
        <v>11836</v>
      </c>
      <c r="KCK2" t="s">
        <v>11837</v>
      </c>
      <c r="KCL2" t="s">
        <v>11838</v>
      </c>
      <c r="KCM2" t="s">
        <v>11839</v>
      </c>
      <c r="KCN2" t="s">
        <v>11840</v>
      </c>
      <c r="KCO2" t="s">
        <v>11841</v>
      </c>
      <c r="KCP2" t="s">
        <v>11842</v>
      </c>
      <c r="KCQ2" t="s">
        <v>11843</v>
      </c>
      <c r="KCR2" t="s">
        <v>11844</v>
      </c>
      <c r="KCS2" t="s">
        <v>11845</v>
      </c>
      <c r="KCT2" t="s">
        <v>11846</v>
      </c>
      <c r="KCU2" t="s">
        <v>11847</v>
      </c>
      <c r="KCV2" t="s">
        <v>11848</v>
      </c>
      <c r="KCW2" t="s">
        <v>11849</v>
      </c>
      <c r="KCX2" t="s">
        <v>11850</v>
      </c>
      <c r="KCY2" t="s">
        <v>11851</v>
      </c>
      <c r="KCZ2" t="s">
        <v>11852</v>
      </c>
      <c r="KDA2" t="s">
        <v>11853</v>
      </c>
      <c r="KDB2" t="s">
        <v>11854</v>
      </c>
      <c r="KDC2" t="s">
        <v>11855</v>
      </c>
      <c r="KDD2" t="s">
        <v>11856</v>
      </c>
      <c r="KDE2" t="s">
        <v>11857</v>
      </c>
      <c r="KDF2" t="s">
        <v>11858</v>
      </c>
      <c r="KDG2" t="s">
        <v>11859</v>
      </c>
      <c r="KDH2" t="s">
        <v>11860</v>
      </c>
      <c r="KDI2" t="s">
        <v>11861</v>
      </c>
      <c r="KDJ2" t="s">
        <v>11862</v>
      </c>
      <c r="KDK2" t="s">
        <v>11863</v>
      </c>
      <c r="KDL2" t="s">
        <v>11864</v>
      </c>
      <c r="KDM2" t="s">
        <v>11865</v>
      </c>
      <c r="KDN2" t="s">
        <v>11866</v>
      </c>
      <c r="KDO2" t="s">
        <v>11867</v>
      </c>
      <c r="KDP2" t="s">
        <v>11868</v>
      </c>
      <c r="KDQ2" t="s">
        <v>11869</v>
      </c>
      <c r="KDR2" t="s">
        <v>11870</v>
      </c>
      <c r="KDS2" t="s">
        <v>11871</v>
      </c>
      <c r="KDT2" t="s">
        <v>11872</v>
      </c>
      <c r="KDU2" t="s">
        <v>11873</v>
      </c>
      <c r="KDV2" t="s">
        <v>11874</v>
      </c>
      <c r="KDW2" t="s">
        <v>11875</v>
      </c>
      <c r="KDX2" t="s">
        <v>11876</v>
      </c>
      <c r="KDY2" t="s">
        <v>11877</v>
      </c>
      <c r="KDZ2" t="s">
        <v>11878</v>
      </c>
      <c r="KEA2" t="s">
        <v>11879</v>
      </c>
      <c r="KEB2" t="s">
        <v>11880</v>
      </c>
      <c r="KEC2" t="s">
        <v>11881</v>
      </c>
      <c r="KED2" t="s">
        <v>11882</v>
      </c>
      <c r="KEE2" t="s">
        <v>11883</v>
      </c>
      <c r="KEF2" t="s">
        <v>11884</v>
      </c>
      <c r="KEG2" t="s">
        <v>11885</v>
      </c>
      <c r="KEH2" t="s">
        <v>11886</v>
      </c>
      <c r="KEI2" t="s">
        <v>11887</v>
      </c>
      <c r="KEJ2" t="s">
        <v>11888</v>
      </c>
      <c r="KEK2" t="s">
        <v>11889</v>
      </c>
      <c r="KEL2" t="s">
        <v>11890</v>
      </c>
      <c r="KEM2" t="s">
        <v>11891</v>
      </c>
      <c r="KEN2" t="s">
        <v>11892</v>
      </c>
      <c r="KEO2" t="s">
        <v>11893</v>
      </c>
      <c r="KEP2" t="s">
        <v>11894</v>
      </c>
      <c r="KEQ2" t="s">
        <v>11895</v>
      </c>
      <c r="KER2" t="s">
        <v>11896</v>
      </c>
      <c r="KES2" t="s">
        <v>11897</v>
      </c>
      <c r="KET2" t="s">
        <v>11898</v>
      </c>
      <c r="KEU2" t="s">
        <v>11899</v>
      </c>
      <c r="KEV2" t="s">
        <v>11900</v>
      </c>
      <c r="KEW2" t="s">
        <v>11901</v>
      </c>
      <c r="KEX2" t="s">
        <v>11902</v>
      </c>
      <c r="KEY2" t="s">
        <v>11903</v>
      </c>
      <c r="KEZ2" t="s">
        <v>11904</v>
      </c>
      <c r="KFA2" t="s">
        <v>11905</v>
      </c>
      <c r="KFB2" t="s">
        <v>11906</v>
      </c>
      <c r="KFC2" t="s">
        <v>11907</v>
      </c>
      <c r="KFD2" t="s">
        <v>11908</v>
      </c>
      <c r="KFE2" t="s">
        <v>11909</v>
      </c>
      <c r="KFF2" t="s">
        <v>11910</v>
      </c>
      <c r="KFG2" t="s">
        <v>11911</v>
      </c>
      <c r="KFH2" t="s">
        <v>11912</v>
      </c>
      <c r="KFI2" t="s">
        <v>11913</v>
      </c>
      <c r="KFJ2" t="s">
        <v>11914</v>
      </c>
      <c r="KFK2" t="s">
        <v>11915</v>
      </c>
      <c r="KFL2" t="s">
        <v>11916</v>
      </c>
      <c r="KFM2" t="s">
        <v>11917</v>
      </c>
      <c r="KFN2" t="s">
        <v>11918</v>
      </c>
      <c r="KFO2" t="s">
        <v>11919</v>
      </c>
      <c r="KFP2" t="s">
        <v>11920</v>
      </c>
      <c r="KFQ2" t="s">
        <v>11921</v>
      </c>
      <c r="KFR2" t="s">
        <v>11922</v>
      </c>
      <c r="KFS2" t="s">
        <v>11923</v>
      </c>
      <c r="KFT2" t="s">
        <v>11924</v>
      </c>
      <c r="KFU2" t="s">
        <v>11925</v>
      </c>
      <c r="KFV2" t="s">
        <v>11926</v>
      </c>
      <c r="KFW2" t="s">
        <v>11927</v>
      </c>
      <c r="KFX2" t="s">
        <v>11928</v>
      </c>
      <c r="KFY2" t="s">
        <v>11929</v>
      </c>
      <c r="KFZ2" t="s">
        <v>11930</v>
      </c>
      <c r="KGA2" t="s">
        <v>11931</v>
      </c>
      <c r="KGB2" t="s">
        <v>11932</v>
      </c>
      <c r="KGC2" t="s">
        <v>11933</v>
      </c>
      <c r="KGD2" t="s">
        <v>11934</v>
      </c>
      <c r="KGE2" t="s">
        <v>11935</v>
      </c>
      <c r="KGF2" t="s">
        <v>11936</v>
      </c>
      <c r="KGG2" t="s">
        <v>11937</v>
      </c>
      <c r="KGH2" t="s">
        <v>11938</v>
      </c>
      <c r="KGI2" t="s">
        <v>11939</v>
      </c>
      <c r="KGJ2" t="s">
        <v>11940</v>
      </c>
      <c r="KGK2" t="s">
        <v>11941</v>
      </c>
      <c r="KGL2" t="s">
        <v>11942</v>
      </c>
      <c r="KGM2" t="s">
        <v>11943</v>
      </c>
      <c r="KGN2" t="s">
        <v>11944</v>
      </c>
      <c r="KGO2" t="s">
        <v>11945</v>
      </c>
      <c r="KGP2" t="s">
        <v>11946</v>
      </c>
      <c r="KGQ2" t="s">
        <v>11947</v>
      </c>
      <c r="KGR2" t="s">
        <v>11948</v>
      </c>
      <c r="KGS2" t="s">
        <v>11949</v>
      </c>
      <c r="KGT2" t="s">
        <v>11950</v>
      </c>
      <c r="KGU2" t="s">
        <v>11951</v>
      </c>
      <c r="KGV2" t="s">
        <v>11952</v>
      </c>
      <c r="KGW2" t="s">
        <v>11953</v>
      </c>
      <c r="KGX2" t="s">
        <v>11954</v>
      </c>
      <c r="KGY2" t="s">
        <v>11955</v>
      </c>
      <c r="KGZ2" t="s">
        <v>11956</v>
      </c>
      <c r="KHA2" t="s">
        <v>11957</v>
      </c>
      <c r="KHB2" t="s">
        <v>11958</v>
      </c>
      <c r="KHC2" t="s">
        <v>11959</v>
      </c>
      <c r="KHD2" t="s">
        <v>11960</v>
      </c>
      <c r="KHE2" t="s">
        <v>11961</v>
      </c>
      <c r="KHF2" t="s">
        <v>11962</v>
      </c>
      <c r="KHG2" t="s">
        <v>11963</v>
      </c>
      <c r="KHH2" t="s">
        <v>11964</v>
      </c>
      <c r="KHI2" t="s">
        <v>11965</v>
      </c>
      <c r="KHJ2" t="s">
        <v>11966</v>
      </c>
      <c r="KHK2" t="s">
        <v>11967</v>
      </c>
      <c r="KHL2" t="s">
        <v>11968</v>
      </c>
      <c r="KHM2" t="s">
        <v>11969</v>
      </c>
      <c r="KHN2" t="s">
        <v>11970</v>
      </c>
      <c r="KHO2" t="s">
        <v>11971</v>
      </c>
      <c r="KHP2" t="s">
        <v>11972</v>
      </c>
      <c r="KHQ2" t="s">
        <v>11973</v>
      </c>
      <c r="KHR2" t="s">
        <v>11974</v>
      </c>
      <c r="KHS2" t="s">
        <v>11975</v>
      </c>
      <c r="KHT2" t="s">
        <v>11976</v>
      </c>
      <c r="KHU2" t="s">
        <v>11977</v>
      </c>
      <c r="KHV2" t="s">
        <v>11978</v>
      </c>
      <c r="KHW2" t="s">
        <v>11979</v>
      </c>
      <c r="KHX2" t="s">
        <v>11980</v>
      </c>
      <c r="KHY2" t="s">
        <v>11981</v>
      </c>
      <c r="KHZ2" t="s">
        <v>11982</v>
      </c>
      <c r="KIA2" t="s">
        <v>11983</v>
      </c>
      <c r="KIB2" t="s">
        <v>11984</v>
      </c>
      <c r="KIC2" t="s">
        <v>11985</v>
      </c>
      <c r="KID2" t="s">
        <v>11986</v>
      </c>
      <c r="KIE2" t="s">
        <v>11987</v>
      </c>
      <c r="KIF2" t="s">
        <v>11988</v>
      </c>
      <c r="KIG2" t="s">
        <v>11989</v>
      </c>
      <c r="KIH2" t="s">
        <v>11990</v>
      </c>
      <c r="KII2" t="s">
        <v>11991</v>
      </c>
      <c r="KIJ2" t="s">
        <v>11992</v>
      </c>
      <c r="KIK2" t="s">
        <v>11993</v>
      </c>
      <c r="KIL2" t="s">
        <v>11994</v>
      </c>
      <c r="KIM2" t="s">
        <v>11995</v>
      </c>
      <c r="KIN2" t="s">
        <v>11996</v>
      </c>
      <c r="KIO2" t="s">
        <v>11997</v>
      </c>
      <c r="KIP2" t="s">
        <v>11998</v>
      </c>
      <c r="KIQ2" t="s">
        <v>11999</v>
      </c>
      <c r="KIR2" t="s">
        <v>12000</v>
      </c>
      <c r="KIS2" t="s">
        <v>12001</v>
      </c>
      <c r="KIT2" t="s">
        <v>12002</v>
      </c>
      <c r="KIU2" t="s">
        <v>12003</v>
      </c>
      <c r="KIV2" t="s">
        <v>12004</v>
      </c>
      <c r="KIW2" t="s">
        <v>12005</v>
      </c>
      <c r="KIX2" t="s">
        <v>12006</v>
      </c>
      <c r="KIY2" t="s">
        <v>12007</v>
      </c>
      <c r="KIZ2" t="s">
        <v>12008</v>
      </c>
      <c r="KJA2" t="s">
        <v>12009</v>
      </c>
      <c r="KJB2" t="s">
        <v>12010</v>
      </c>
      <c r="KJC2" t="s">
        <v>12011</v>
      </c>
      <c r="KJD2" t="s">
        <v>12012</v>
      </c>
      <c r="KJE2" t="s">
        <v>12013</v>
      </c>
      <c r="KJF2" t="s">
        <v>12014</v>
      </c>
      <c r="KJG2" t="s">
        <v>12015</v>
      </c>
      <c r="KJH2" t="s">
        <v>12016</v>
      </c>
      <c r="KJI2" t="s">
        <v>12017</v>
      </c>
      <c r="KJJ2" t="s">
        <v>12018</v>
      </c>
      <c r="KJK2" t="s">
        <v>12019</v>
      </c>
      <c r="KJL2" t="s">
        <v>12020</v>
      </c>
      <c r="KJM2" t="s">
        <v>12021</v>
      </c>
      <c r="KJN2" t="s">
        <v>12022</v>
      </c>
      <c r="KJO2" t="s">
        <v>12023</v>
      </c>
      <c r="KJP2" t="s">
        <v>12024</v>
      </c>
      <c r="KJQ2" t="s">
        <v>12025</v>
      </c>
      <c r="KJR2" t="s">
        <v>12026</v>
      </c>
      <c r="KJS2" t="s">
        <v>12027</v>
      </c>
      <c r="KJT2" t="s">
        <v>12028</v>
      </c>
      <c r="KJU2" t="s">
        <v>12029</v>
      </c>
      <c r="KJV2" t="s">
        <v>12030</v>
      </c>
      <c r="KJW2" t="s">
        <v>12031</v>
      </c>
      <c r="KJX2" t="s">
        <v>12032</v>
      </c>
      <c r="KJY2" t="s">
        <v>12033</v>
      </c>
      <c r="KJZ2" t="s">
        <v>12034</v>
      </c>
      <c r="KKA2" t="s">
        <v>12035</v>
      </c>
      <c r="KKB2" t="s">
        <v>12036</v>
      </c>
      <c r="KKC2" t="s">
        <v>12037</v>
      </c>
      <c r="KKD2" t="s">
        <v>12038</v>
      </c>
      <c r="KKE2" t="s">
        <v>12039</v>
      </c>
      <c r="KKF2" t="s">
        <v>12040</v>
      </c>
      <c r="KKG2" t="s">
        <v>12041</v>
      </c>
      <c r="KKH2" t="s">
        <v>12042</v>
      </c>
      <c r="KKI2" t="s">
        <v>12043</v>
      </c>
      <c r="KKJ2" t="s">
        <v>12044</v>
      </c>
      <c r="KKK2" t="s">
        <v>12045</v>
      </c>
      <c r="KKL2" t="s">
        <v>12046</v>
      </c>
      <c r="KKM2" t="s">
        <v>12047</v>
      </c>
      <c r="KKN2" t="s">
        <v>12048</v>
      </c>
      <c r="KKO2" t="s">
        <v>12049</v>
      </c>
      <c r="KKP2" t="s">
        <v>12050</v>
      </c>
      <c r="KKQ2" t="s">
        <v>12051</v>
      </c>
      <c r="KKR2" t="s">
        <v>12052</v>
      </c>
      <c r="KKS2" t="s">
        <v>12053</v>
      </c>
      <c r="KKT2" t="s">
        <v>12054</v>
      </c>
      <c r="KKU2" t="s">
        <v>12055</v>
      </c>
      <c r="KKV2" t="s">
        <v>12056</v>
      </c>
      <c r="KKW2" t="s">
        <v>12057</v>
      </c>
      <c r="KKX2" t="s">
        <v>12058</v>
      </c>
      <c r="KKY2" t="s">
        <v>12059</v>
      </c>
      <c r="KKZ2" t="s">
        <v>12060</v>
      </c>
      <c r="KLA2" t="s">
        <v>12061</v>
      </c>
      <c r="KLB2" t="s">
        <v>12062</v>
      </c>
      <c r="KLC2" t="s">
        <v>12063</v>
      </c>
      <c r="KLD2" t="s">
        <v>12064</v>
      </c>
      <c r="KLE2" t="s">
        <v>12065</v>
      </c>
      <c r="KLF2" t="s">
        <v>12066</v>
      </c>
      <c r="KLG2" t="s">
        <v>12067</v>
      </c>
      <c r="KLH2" t="s">
        <v>12068</v>
      </c>
      <c r="KLI2" t="s">
        <v>12069</v>
      </c>
      <c r="KLJ2" t="s">
        <v>12070</v>
      </c>
      <c r="KLK2" t="s">
        <v>12071</v>
      </c>
      <c r="KLL2" t="s">
        <v>12072</v>
      </c>
      <c r="KLM2" t="s">
        <v>12073</v>
      </c>
      <c r="KLN2" t="s">
        <v>12074</v>
      </c>
      <c r="KLO2" t="s">
        <v>12075</v>
      </c>
      <c r="KLP2" t="s">
        <v>12076</v>
      </c>
      <c r="KLQ2" t="s">
        <v>12077</v>
      </c>
      <c r="KLR2" t="s">
        <v>12078</v>
      </c>
      <c r="KLS2" t="s">
        <v>12079</v>
      </c>
      <c r="KLT2" t="s">
        <v>12080</v>
      </c>
      <c r="KLU2" t="s">
        <v>12081</v>
      </c>
      <c r="KLV2" t="s">
        <v>12082</v>
      </c>
      <c r="KLW2" t="s">
        <v>12083</v>
      </c>
      <c r="KLX2" t="s">
        <v>12084</v>
      </c>
      <c r="KLY2" t="s">
        <v>12085</v>
      </c>
      <c r="KLZ2" t="s">
        <v>12086</v>
      </c>
      <c r="KMA2" t="s">
        <v>12087</v>
      </c>
      <c r="KMB2" t="s">
        <v>12088</v>
      </c>
      <c r="KMC2" t="s">
        <v>12089</v>
      </c>
      <c r="KMD2" t="s">
        <v>12090</v>
      </c>
      <c r="KME2" t="s">
        <v>12091</v>
      </c>
      <c r="KMF2" t="s">
        <v>12092</v>
      </c>
      <c r="KMG2" t="s">
        <v>12093</v>
      </c>
      <c r="KMH2" t="s">
        <v>12094</v>
      </c>
      <c r="KMI2" t="s">
        <v>12095</v>
      </c>
      <c r="KMJ2" t="s">
        <v>12096</v>
      </c>
      <c r="KMK2" t="s">
        <v>12097</v>
      </c>
      <c r="KML2" t="s">
        <v>12098</v>
      </c>
      <c r="KMM2" t="s">
        <v>12099</v>
      </c>
      <c r="KMN2" t="s">
        <v>12100</v>
      </c>
      <c r="KMO2" t="s">
        <v>12101</v>
      </c>
      <c r="KMP2" t="s">
        <v>12102</v>
      </c>
      <c r="KMQ2" t="s">
        <v>12103</v>
      </c>
      <c r="KMR2" t="s">
        <v>12104</v>
      </c>
      <c r="KMS2" t="s">
        <v>12105</v>
      </c>
      <c r="KMT2" t="s">
        <v>12106</v>
      </c>
      <c r="KMU2" t="s">
        <v>12107</v>
      </c>
      <c r="KMV2" t="s">
        <v>12108</v>
      </c>
      <c r="KMW2" t="s">
        <v>12109</v>
      </c>
      <c r="KMX2" t="s">
        <v>12110</v>
      </c>
      <c r="KMY2" t="s">
        <v>12111</v>
      </c>
      <c r="KMZ2" t="s">
        <v>12112</v>
      </c>
      <c r="KNA2" t="s">
        <v>12113</v>
      </c>
      <c r="KNB2" t="s">
        <v>12114</v>
      </c>
      <c r="KNC2" t="s">
        <v>12115</v>
      </c>
      <c r="KND2" t="s">
        <v>12116</v>
      </c>
      <c r="KNE2" t="s">
        <v>12117</v>
      </c>
      <c r="KNF2" t="s">
        <v>12118</v>
      </c>
      <c r="KNG2" t="s">
        <v>12119</v>
      </c>
      <c r="KNH2" t="s">
        <v>12120</v>
      </c>
      <c r="KNI2" t="s">
        <v>12121</v>
      </c>
      <c r="KNJ2" t="s">
        <v>12122</v>
      </c>
      <c r="KNK2" t="s">
        <v>12123</v>
      </c>
      <c r="KNL2" t="s">
        <v>12124</v>
      </c>
      <c r="KNM2" t="s">
        <v>12125</v>
      </c>
      <c r="KNN2" t="s">
        <v>12126</v>
      </c>
      <c r="KNO2" t="s">
        <v>12127</v>
      </c>
      <c r="KNP2" t="s">
        <v>12128</v>
      </c>
      <c r="KNQ2" t="s">
        <v>12129</v>
      </c>
      <c r="KNR2" t="s">
        <v>12130</v>
      </c>
      <c r="KNS2" t="s">
        <v>12131</v>
      </c>
      <c r="KNT2" t="s">
        <v>12132</v>
      </c>
      <c r="KNU2" t="s">
        <v>12133</v>
      </c>
      <c r="KNV2" t="s">
        <v>12134</v>
      </c>
      <c r="KNW2" t="s">
        <v>12135</v>
      </c>
      <c r="KNX2" t="s">
        <v>12136</v>
      </c>
      <c r="KNY2" t="s">
        <v>12137</v>
      </c>
      <c r="KNZ2" t="s">
        <v>12138</v>
      </c>
      <c r="KOA2" t="s">
        <v>12139</v>
      </c>
      <c r="KOB2" t="s">
        <v>12140</v>
      </c>
      <c r="KOC2" t="s">
        <v>12141</v>
      </c>
      <c r="KOD2" t="s">
        <v>12142</v>
      </c>
      <c r="KOE2" t="s">
        <v>12143</v>
      </c>
      <c r="KOF2" t="s">
        <v>12144</v>
      </c>
      <c r="KOG2" t="s">
        <v>12145</v>
      </c>
      <c r="KOH2" t="s">
        <v>12146</v>
      </c>
      <c r="KOI2" t="s">
        <v>12147</v>
      </c>
      <c r="KOJ2" t="s">
        <v>12148</v>
      </c>
      <c r="KOK2" t="s">
        <v>12149</v>
      </c>
      <c r="KOL2" t="s">
        <v>12150</v>
      </c>
      <c r="KOM2" t="s">
        <v>12151</v>
      </c>
      <c r="KON2" t="s">
        <v>12152</v>
      </c>
      <c r="KOO2" t="s">
        <v>12153</v>
      </c>
      <c r="KOP2" t="s">
        <v>12154</v>
      </c>
      <c r="KOQ2" t="s">
        <v>12155</v>
      </c>
      <c r="KOR2" t="s">
        <v>12156</v>
      </c>
      <c r="KOS2" t="s">
        <v>12157</v>
      </c>
      <c r="KOT2" t="s">
        <v>12158</v>
      </c>
      <c r="KOU2" t="s">
        <v>12159</v>
      </c>
      <c r="KOV2" t="s">
        <v>12160</v>
      </c>
      <c r="KOW2" t="s">
        <v>12161</v>
      </c>
      <c r="KOX2" t="s">
        <v>12162</v>
      </c>
      <c r="KOY2" t="s">
        <v>12163</v>
      </c>
      <c r="KOZ2" t="s">
        <v>12164</v>
      </c>
      <c r="KPA2" t="s">
        <v>12165</v>
      </c>
      <c r="KPB2" t="s">
        <v>12166</v>
      </c>
      <c r="KPC2" t="s">
        <v>12167</v>
      </c>
      <c r="KPD2" t="s">
        <v>12168</v>
      </c>
      <c r="KPE2" t="s">
        <v>12169</v>
      </c>
      <c r="KPF2" t="s">
        <v>12170</v>
      </c>
      <c r="KPG2" t="s">
        <v>12171</v>
      </c>
      <c r="KPH2" t="s">
        <v>12172</v>
      </c>
      <c r="KPI2" t="s">
        <v>12173</v>
      </c>
      <c r="KPJ2" t="s">
        <v>12174</v>
      </c>
      <c r="KPK2" t="s">
        <v>12175</v>
      </c>
      <c r="KPL2" t="s">
        <v>12176</v>
      </c>
      <c r="KPM2" t="s">
        <v>12177</v>
      </c>
      <c r="KPN2" t="s">
        <v>12178</v>
      </c>
      <c r="KPO2" t="s">
        <v>12179</v>
      </c>
      <c r="KPP2" t="s">
        <v>12180</v>
      </c>
      <c r="KPQ2" t="s">
        <v>12181</v>
      </c>
      <c r="KPR2" t="s">
        <v>12182</v>
      </c>
      <c r="KPS2" t="s">
        <v>12183</v>
      </c>
      <c r="KPT2" t="s">
        <v>12184</v>
      </c>
      <c r="KPU2" t="s">
        <v>12185</v>
      </c>
      <c r="KPV2" t="s">
        <v>12186</v>
      </c>
      <c r="KPW2" t="s">
        <v>12187</v>
      </c>
      <c r="KPX2" t="s">
        <v>12188</v>
      </c>
      <c r="KPY2" t="s">
        <v>12189</v>
      </c>
      <c r="KPZ2" t="s">
        <v>12190</v>
      </c>
      <c r="KQA2" t="s">
        <v>12191</v>
      </c>
      <c r="KQB2" t="s">
        <v>12192</v>
      </c>
      <c r="KQC2" t="s">
        <v>12193</v>
      </c>
      <c r="KQD2" t="s">
        <v>12194</v>
      </c>
      <c r="KQE2" t="s">
        <v>12195</v>
      </c>
      <c r="KQF2" t="s">
        <v>12196</v>
      </c>
      <c r="KQG2" t="s">
        <v>12197</v>
      </c>
      <c r="KQH2" t="s">
        <v>12198</v>
      </c>
      <c r="KQI2" t="s">
        <v>12199</v>
      </c>
      <c r="KQJ2" t="s">
        <v>12200</v>
      </c>
      <c r="KQK2" t="s">
        <v>12201</v>
      </c>
      <c r="KQL2" t="s">
        <v>12202</v>
      </c>
      <c r="KQM2" t="s">
        <v>12203</v>
      </c>
      <c r="KQN2" t="s">
        <v>12204</v>
      </c>
      <c r="KQO2" t="s">
        <v>12205</v>
      </c>
      <c r="KQP2" t="s">
        <v>12206</v>
      </c>
      <c r="KQQ2" t="s">
        <v>12207</v>
      </c>
      <c r="KQR2" t="s">
        <v>12208</v>
      </c>
      <c r="KQS2" t="s">
        <v>12209</v>
      </c>
      <c r="KQT2" t="s">
        <v>12210</v>
      </c>
      <c r="KQU2" t="s">
        <v>12211</v>
      </c>
      <c r="KQV2" t="s">
        <v>12212</v>
      </c>
      <c r="KQW2" t="s">
        <v>12213</v>
      </c>
      <c r="KQX2" t="s">
        <v>12214</v>
      </c>
      <c r="KQY2" t="s">
        <v>12215</v>
      </c>
      <c r="KQZ2" t="s">
        <v>12216</v>
      </c>
      <c r="KRA2" t="s">
        <v>12217</v>
      </c>
      <c r="KRB2" t="s">
        <v>12218</v>
      </c>
      <c r="KRC2" t="s">
        <v>12219</v>
      </c>
      <c r="KRD2" t="s">
        <v>12220</v>
      </c>
      <c r="KRE2" t="s">
        <v>12221</v>
      </c>
      <c r="KRF2" t="s">
        <v>12222</v>
      </c>
      <c r="KRG2" t="s">
        <v>12223</v>
      </c>
      <c r="KRH2" t="s">
        <v>12224</v>
      </c>
      <c r="KRI2" t="s">
        <v>12225</v>
      </c>
      <c r="KRJ2" t="s">
        <v>12226</v>
      </c>
      <c r="KRK2" t="s">
        <v>12227</v>
      </c>
      <c r="KRL2" t="s">
        <v>12228</v>
      </c>
      <c r="KRM2" t="s">
        <v>12229</v>
      </c>
      <c r="KRN2" t="s">
        <v>12230</v>
      </c>
      <c r="KRO2" t="s">
        <v>12231</v>
      </c>
      <c r="KRP2" t="s">
        <v>12232</v>
      </c>
      <c r="KRQ2" t="s">
        <v>12233</v>
      </c>
      <c r="KRR2" t="s">
        <v>12234</v>
      </c>
      <c r="KRS2" t="s">
        <v>12235</v>
      </c>
      <c r="KRT2" t="s">
        <v>12236</v>
      </c>
      <c r="KRU2" t="s">
        <v>12237</v>
      </c>
      <c r="KRV2" t="s">
        <v>12238</v>
      </c>
      <c r="KRW2" t="s">
        <v>12239</v>
      </c>
      <c r="KRX2" t="s">
        <v>12240</v>
      </c>
      <c r="KRY2" t="s">
        <v>12241</v>
      </c>
      <c r="KRZ2" t="s">
        <v>12242</v>
      </c>
      <c r="KSA2" t="s">
        <v>12243</v>
      </c>
      <c r="KSB2" t="s">
        <v>12244</v>
      </c>
      <c r="KSC2" t="s">
        <v>12245</v>
      </c>
      <c r="KSD2" t="s">
        <v>12246</v>
      </c>
      <c r="KSE2" t="s">
        <v>12247</v>
      </c>
      <c r="KSF2" t="s">
        <v>12248</v>
      </c>
      <c r="KSG2" t="s">
        <v>12249</v>
      </c>
      <c r="KSH2" t="s">
        <v>12250</v>
      </c>
      <c r="KSI2" t="s">
        <v>12251</v>
      </c>
      <c r="KSJ2" t="s">
        <v>12252</v>
      </c>
      <c r="KSK2" t="s">
        <v>12253</v>
      </c>
      <c r="KSL2" t="s">
        <v>12254</v>
      </c>
      <c r="KSM2" t="s">
        <v>12255</v>
      </c>
      <c r="KSN2" t="s">
        <v>12256</v>
      </c>
      <c r="KSO2" t="s">
        <v>12257</v>
      </c>
      <c r="KSP2" t="s">
        <v>12258</v>
      </c>
      <c r="KSQ2" t="s">
        <v>12259</v>
      </c>
      <c r="KSR2" t="s">
        <v>12260</v>
      </c>
      <c r="KSS2" t="s">
        <v>12261</v>
      </c>
      <c r="KST2" t="s">
        <v>12262</v>
      </c>
      <c r="KSU2" t="s">
        <v>12263</v>
      </c>
      <c r="KSV2" t="s">
        <v>12264</v>
      </c>
      <c r="KSW2" t="s">
        <v>12265</v>
      </c>
      <c r="KSX2" t="s">
        <v>12266</v>
      </c>
      <c r="KSY2" t="s">
        <v>12267</v>
      </c>
      <c r="KSZ2" t="s">
        <v>12268</v>
      </c>
      <c r="KTA2" t="s">
        <v>12269</v>
      </c>
      <c r="KTB2" t="s">
        <v>12270</v>
      </c>
      <c r="KTC2" t="s">
        <v>12271</v>
      </c>
      <c r="KTD2" t="s">
        <v>12272</v>
      </c>
      <c r="KTE2" t="s">
        <v>12273</v>
      </c>
      <c r="KTF2" t="s">
        <v>12274</v>
      </c>
      <c r="KTG2" t="s">
        <v>12275</v>
      </c>
      <c r="KTH2" t="s">
        <v>12276</v>
      </c>
      <c r="KTI2" t="s">
        <v>12277</v>
      </c>
      <c r="KTJ2" t="s">
        <v>12278</v>
      </c>
      <c r="KTK2" t="s">
        <v>12279</v>
      </c>
      <c r="KTL2" t="s">
        <v>12280</v>
      </c>
      <c r="KTM2" t="s">
        <v>12281</v>
      </c>
      <c r="KTN2" t="s">
        <v>12282</v>
      </c>
      <c r="KTO2" t="s">
        <v>12283</v>
      </c>
      <c r="KTP2" t="s">
        <v>12284</v>
      </c>
      <c r="KTQ2" t="s">
        <v>12285</v>
      </c>
      <c r="KTR2" t="s">
        <v>12286</v>
      </c>
      <c r="KTS2" t="s">
        <v>12287</v>
      </c>
      <c r="KTT2" t="s">
        <v>12288</v>
      </c>
      <c r="KTU2" t="s">
        <v>12289</v>
      </c>
      <c r="KTV2" t="s">
        <v>12290</v>
      </c>
      <c r="KTW2" t="s">
        <v>12291</v>
      </c>
      <c r="KTX2" t="s">
        <v>12292</v>
      </c>
      <c r="KTY2" t="s">
        <v>12293</v>
      </c>
      <c r="KTZ2" t="s">
        <v>12294</v>
      </c>
      <c r="KUA2" t="s">
        <v>12295</v>
      </c>
      <c r="KUB2" t="s">
        <v>12296</v>
      </c>
      <c r="KUC2" t="s">
        <v>12297</v>
      </c>
      <c r="KUD2" t="s">
        <v>12298</v>
      </c>
      <c r="KUE2" t="s">
        <v>12299</v>
      </c>
      <c r="KUF2" t="s">
        <v>12300</v>
      </c>
      <c r="KUG2" t="s">
        <v>12301</v>
      </c>
      <c r="KUH2" t="s">
        <v>12302</v>
      </c>
      <c r="KUI2" t="s">
        <v>12303</v>
      </c>
      <c r="KUJ2" t="s">
        <v>12304</v>
      </c>
      <c r="KUK2" t="s">
        <v>12305</v>
      </c>
      <c r="KUL2" t="s">
        <v>12306</v>
      </c>
      <c r="KUM2" t="s">
        <v>12307</v>
      </c>
      <c r="KUN2" t="s">
        <v>12308</v>
      </c>
      <c r="KUO2" t="s">
        <v>12309</v>
      </c>
      <c r="KUP2" t="s">
        <v>12310</v>
      </c>
      <c r="KUQ2" t="s">
        <v>12311</v>
      </c>
      <c r="KUR2" t="s">
        <v>12312</v>
      </c>
      <c r="KUS2" t="s">
        <v>12313</v>
      </c>
      <c r="KUT2" t="s">
        <v>12314</v>
      </c>
      <c r="KUU2" t="s">
        <v>12315</v>
      </c>
      <c r="KUV2" t="s">
        <v>12316</v>
      </c>
      <c r="KUW2" t="s">
        <v>12317</v>
      </c>
      <c r="KUX2" t="s">
        <v>12318</v>
      </c>
      <c r="KUY2" t="s">
        <v>12319</v>
      </c>
      <c r="KUZ2" t="s">
        <v>12320</v>
      </c>
      <c r="KVA2" t="s">
        <v>12321</v>
      </c>
      <c r="KVB2" t="s">
        <v>12322</v>
      </c>
      <c r="KVC2" t="s">
        <v>12323</v>
      </c>
      <c r="KVD2" t="s">
        <v>12324</v>
      </c>
      <c r="KVE2" t="s">
        <v>12325</v>
      </c>
      <c r="KVF2" t="s">
        <v>12326</v>
      </c>
      <c r="KVG2" t="s">
        <v>12327</v>
      </c>
      <c r="KVH2" t="s">
        <v>12328</v>
      </c>
      <c r="KVI2" t="s">
        <v>12329</v>
      </c>
      <c r="KVJ2" t="s">
        <v>12330</v>
      </c>
      <c r="KVK2" t="s">
        <v>12331</v>
      </c>
      <c r="KVL2" t="s">
        <v>12332</v>
      </c>
      <c r="KVM2" t="s">
        <v>12333</v>
      </c>
      <c r="KVN2" t="s">
        <v>12334</v>
      </c>
      <c r="KVO2" t="s">
        <v>12335</v>
      </c>
      <c r="KVP2" t="s">
        <v>12336</v>
      </c>
      <c r="KVQ2" t="s">
        <v>12337</v>
      </c>
      <c r="KVR2" t="s">
        <v>12338</v>
      </c>
      <c r="KVS2" t="s">
        <v>12339</v>
      </c>
      <c r="KVT2" t="s">
        <v>12340</v>
      </c>
      <c r="KVU2" t="s">
        <v>12341</v>
      </c>
      <c r="KVV2" t="s">
        <v>12342</v>
      </c>
      <c r="KVW2" t="s">
        <v>12343</v>
      </c>
      <c r="KVX2" t="s">
        <v>12344</v>
      </c>
      <c r="KVY2" t="s">
        <v>12345</v>
      </c>
      <c r="KVZ2" t="s">
        <v>12346</v>
      </c>
      <c r="KWA2" t="s">
        <v>12347</v>
      </c>
      <c r="KWB2" t="s">
        <v>12348</v>
      </c>
      <c r="KWC2" t="s">
        <v>12349</v>
      </c>
      <c r="KWD2" t="s">
        <v>12350</v>
      </c>
      <c r="KWE2" t="s">
        <v>12351</v>
      </c>
      <c r="KWF2" t="s">
        <v>12352</v>
      </c>
      <c r="KWG2" t="s">
        <v>12353</v>
      </c>
      <c r="KWH2" t="s">
        <v>12354</v>
      </c>
      <c r="KWI2" t="s">
        <v>12355</v>
      </c>
      <c r="KWJ2" t="s">
        <v>12356</v>
      </c>
      <c r="KWK2" t="s">
        <v>12357</v>
      </c>
      <c r="KWL2" t="s">
        <v>12358</v>
      </c>
      <c r="KWM2" t="s">
        <v>12359</v>
      </c>
      <c r="KWN2" t="s">
        <v>12360</v>
      </c>
      <c r="KWO2" t="s">
        <v>12361</v>
      </c>
      <c r="KWP2" t="s">
        <v>12362</v>
      </c>
      <c r="KWQ2" t="s">
        <v>12363</v>
      </c>
      <c r="KWR2" t="s">
        <v>12364</v>
      </c>
      <c r="KWS2" t="s">
        <v>12365</v>
      </c>
      <c r="KWT2" t="s">
        <v>12366</v>
      </c>
      <c r="KWU2" t="s">
        <v>12367</v>
      </c>
      <c r="KWV2" t="s">
        <v>12368</v>
      </c>
      <c r="KWW2" t="s">
        <v>12369</v>
      </c>
      <c r="KWX2" t="s">
        <v>12370</v>
      </c>
      <c r="KWY2" t="s">
        <v>12371</v>
      </c>
      <c r="KWZ2" t="s">
        <v>12372</v>
      </c>
      <c r="KXA2" t="s">
        <v>12373</v>
      </c>
      <c r="KXB2" t="s">
        <v>12374</v>
      </c>
      <c r="KXC2" t="s">
        <v>12375</v>
      </c>
      <c r="KXD2" t="s">
        <v>12376</v>
      </c>
      <c r="KXE2" t="s">
        <v>12377</v>
      </c>
      <c r="KXF2" t="s">
        <v>12378</v>
      </c>
      <c r="KXG2" t="s">
        <v>12379</v>
      </c>
      <c r="KXH2" t="s">
        <v>12380</v>
      </c>
      <c r="KXI2" t="s">
        <v>12381</v>
      </c>
      <c r="KXJ2" t="s">
        <v>12382</v>
      </c>
      <c r="KXK2" t="s">
        <v>12383</v>
      </c>
      <c r="KXL2" t="s">
        <v>12384</v>
      </c>
      <c r="KXM2" t="s">
        <v>12385</v>
      </c>
      <c r="KXN2" t="s">
        <v>12386</v>
      </c>
      <c r="KXO2" t="s">
        <v>12387</v>
      </c>
      <c r="KXP2" t="s">
        <v>12388</v>
      </c>
      <c r="KXQ2" t="s">
        <v>12389</v>
      </c>
      <c r="KXR2" t="s">
        <v>12390</v>
      </c>
      <c r="KXS2" t="s">
        <v>12391</v>
      </c>
      <c r="KXT2" t="s">
        <v>12392</v>
      </c>
      <c r="KXU2" t="s">
        <v>12393</v>
      </c>
      <c r="KXV2" t="s">
        <v>12394</v>
      </c>
      <c r="KXW2" t="s">
        <v>12395</v>
      </c>
      <c r="KXX2" t="s">
        <v>12396</v>
      </c>
      <c r="KXY2" t="s">
        <v>12397</v>
      </c>
      <c r="KXZ2" t="s">
        <v>12398</v>
      </c>
      <c r="KYA2" t="s">
        <v>12399</v>
      </c>
      <c r="KYB2" t="s">
        <v>12400</v>
      </c>
      <c r="KYC2" t="s">
        <v>12401</v>
      </c>
      <c r="KYD2" t="s">
        <v>12402</v>
      </c>
      <c r="KYE2" t="s">
        <v>12403</v>
      </c>
      <c r="KYF2" t="s">
        <v>12404</v>
      </c>
      <c r="KYG2" t="s">
        <v>12405</v>
      </c>
      <c r="KYH2" t="s">
        <v>12406</v>
      </c>
      <c r="KYI2" t="s">
        <v>12407</v>
      </c>
      <c r="KYJ2" t="s">
        <v>12408</v>
      </c>
      <c r="KYK2" t="s">
        <v>12409</v>
      </c>
      <c r="KYL2" t="s">
        <v>12410</v>
      </c>
      <c r="KYM2" t="s">
        <v>12411</v>
      </c>
      <c r="KYN2" t="s">
        <v>12412</v>
      </c>
      <c r="KYO2" t="s">
        <v>12413</v>
      </c>
      <c r="KYP2" t="s">
        <v>12414</v>
      </c>
      <c r="KYQ2" t="s">
        <v>12415</v>
      </c>
      <c r="KYR2" t="s">
        <v>12416</v>
      </c>
      <c r="KYS2" t="s">
        <v>12417</v>
      </c>
      <c r="KYT2" t="s">
        <v>12418</v>
      </c>
      <c r="KYU2" t="s">
        <v>12419</v>
      </c>
      <c r="KYV2" t="s">
        <v>12420</v>
      </c>
      <c r="KYW2" t="s">
        <v>12421</v>
      </c>
      <c r="KYX2" t="s">
        <v>12422</v>
      </c>
      <c r="KYY2" t="s">
        <v>12423</v>
      </c>
      <c r="KYZ2" t="s">
        <v>12424</v>
      </c>
      <c r="KZA2" t="s">
        <v>12425</v>
      </c>
      <c r="KZB2" t="s">
        <v>12426</v>
      </c>
      <c r="KZC2" t="s">
        <v>12427</v>
      </c>
      <c r="KZD2" t="s">
        <v>12428</v>
      </c>
      <c r="KZE2" t="s">
        <v>12429</v>
      </c>
      <c r="KZF2" t="s">
        <v>12430</v>
      </c>
      <c r="KZG2" t="s">
        <v>12431</v>
      </c>
      <c r="KZH2" t="s">
        <v>12432</v>
      </c>
      <c r="KZI2" t="s">
        <v>12433</v>
      </c>
      <c r="KZJ2" t="s">
        <v>12434</v>
      </c>
      <c r="KZK2" t="s">
        <v>12435</v>
      </c>
      <c r="KZL2" t="s">
        <v>12436</v>
      </c>
      <c r="KZM2" t="s">
        <v>12437</v>
      </c>
      <c r="KZN2" t="s">
        <v>12438</v>
      </c>
      <c r="KZO2" t="s">
        <v>12439</v>
      </c>
      <c r="KZP2" t="s">
        <v>12440</v>
      </c>
      <c r="KZQ2" t="s">
        <v>12441</v>
      </c>
      <c r="KZR2" t="s">
        <v>12442</v>
      </c>
      <c r="KZS2" t="s">
        <v>12443</v>
      </c>
      <c r="KZT2" t="s">
        <v>12444</v>
      </c>
      <c r="KZU2" t="s">
        <v>12445</v>
      </c>
      <c r="KZV2" t="s">
        <v>12446</v>
      </c>
      <c r="KZW2" t="s">
        <v>12447</v>
      </c>
      <c r="KZX2" t="s">
        <v>12448</v>
      </c>
      <c r="KZY2" t="s">
        <v>12449</v>
      </c>
      <c r="KZZ2" t="s">
        <v>12450</v>
      </c>
      <c r="LAA2" t="s">
        <v>12451</v>
      </c>
      <c r="LAB2" t="s">
        <v>12452</v>
      </c>
      <c r="LAC2" t="s">
        <v>12453</v>
      </c>
      <c r="LAD2" t="s">
        <v>12454</v>
      </c>
      <c r="LAE2" t="s">
        <v>12455</v>
      </c>
      <c r="LAF2" t="s">
        <v>12456</v>
      </c>
      <c r="LAG2" t="s">
        <v>12457</v>
      </c>
      <c r="LAH2" t="s">
        <v>12458</v>
      </c>
      <c r="LAI2" t="s">
        <v>12459</v>
      </c>
      <c r="LAJ2" t="s">
        <v>12460</v>
      </c>
      <c r="LAK2" t="s">
        <v>12461</v>
      </c>
      <c r="LAL2" t="s">
        <v>12462</v>
      </c>
      <c r="LAM2" t="s">
        <v>12463</v>
      </c>
      <c r="LAN2" t="s">
        <v>12464</v>
      </c>
      <c r="LAO2" t="s">
        <v>12465</v>
      </c>
      <c r="LAP2" t="s">
        <v>12466</v>
      </c>
      <c r="LAQ2" t="s">
        <v>12467</v>
      </c>
      <c r="LAR2" t="s">
        <v>12468</v>
      </c>
      <c r="LAS2" t="s">
        <v>12469</v>
      </c>
      <c r="LAT2" t="s">
        <v>12470</v>
      </c>
      <c r="LAU2" t="s">
        <v>12471</v>
      </c>
      <c r="LAV2" t="s">
        <v>12472</v>
      </c>
      <c r="LAW2" t="s">
        <v>12473</v>
      </c>
      <c r="LAX2" t="s">
        <v>12474</v>
      </c>
      <c r="LAY2" t="s">
        <v>12475</v>
      </c>
      <c r="LAZ2" t="s">
        <v>12476</v>
      </c>
      <c r="LBA2" t="s">
        <v>12477</v>
      </c>
      <c r="LBB2" t="s">
        <v>12478</v>
      </c>
      <c r="LBC2" t="s">
        <v>12479</v>
      </c>
      <c r="LBD2" t="s">
        <v>12480</v>
      </c>
      <c r="LBE2" t="s">
        <v>12481</v>
      </c>
      <c r="LBF2" t="s">
        <v>12482</v>
      </c>
      <c r="LBG2" t="s">
        <v>12483</v>
      </c>
      <c r="LBH2" t="s">
        <v>12484</v>
      </c>
      <c r="LBI2" t="s">
        <v>12485</v>
      </c>
      <c r="LBJ2" t="s">
        <v>12486</v>
      </c>
      <c r="LBK2" t="s">
        <v>12487</v>
      </c>
      <c r="LBL2" t="s">
        <v>12488</v>
      </c>
      <c r="LBM2" t="s">
        <v>12489</v>
      </c>
      <c r="LBN2" t="s">
        <v>12490</v>
      </c>
      <c r="LBO2" t="s">
        <v>12491</v>
      </c>
      <c r="LBP2" t="s">
        <v>12492</v>
      </c>
      <c r="LBQ2" t="s">
        <v>12493</v>
      </c>
      <c r="LBR2" t="s">
        <v>12494</v>
      </c>
      <c r="LBS2" t="s">
        <v>12495</v>
      </c>
      <c r="LBT2" t="s">
        <v>12496</v>
      </c>
      <c r="LBU2" t="s">
        <v>12497</v>
      </c>
      <c r="LBV2" t="s">
        <v>12498</v>
      </c>
      <c r="LBW2" t="s">
        <v>12499</v>
      </c>
      <c r="LBX2" t="s">
        <v>12500</v>
      </c>
      <c r="LBY2" t="s">
        <v>12501</v>
      </c>
      <c r="LBZ2" t="s">
        <v>12502</v>
      </c>
      <c r="LCA2" t="s">
        <v>12503</v>
      </c>
      <c r="LCB2" t="s">
        <v>12504</v>
      </c>
      <c r="LCC2" t="s">
        <v>12505</v>
      </c>
      <c r="LCD2" t="s">
        <v>12506</v>
      </c>
      <c r="LCE2" t="s">
        <v>12507</v>
      </c>
      <c r="LCF2" t="s">
        <v>12508</v>
      </c>
      <c r="LCG2" t="s">
        <v>12509</v>
      </c>
      <c r="LCH2" t="s">
        <v>12510</v>
      </c>
      <c r="LCI2" t="s">
        <v>12511</v>
      </c>
      <c r="LCJ2" t="s">
        <v>12512</v>
      </c>
      <c r="LCK2" t="s">
        <v>12513</v>
      </c>
      <c r="LCL2" t="s">
        <v>12514</v>
      </c>
      <c r="LCM2" t="s">
        <v>12515</v>
      </c>
      <c r="LCN2" t="s">
        <v>12516</v>
      </c>
      <c r="LCO2" t="s">
        <v>12517</v>
      </c>
      <c r="LCP2" t="s">
        <v>12518</v>
      </c>
      <c r="LCQ2" t="s">
        <v>12519</v>
      </c>
      <c r="LCR2" t="s">
        <v>12520</v>
      </c>
      <c r="LCS2" t="s">
        <v>12521</v>
      </c>
      <c r="LCT2" t="s">
        <v>12522</v>
      </c>
      <c r="LCU2" t="s">
        <v>12523</v>
      </c>
      <c r="LCV2" t="s">
        <v>12524</v>
      </c>
      <c r="LCW2" t="s">
        <v>12525</v>
      </c>
      <c r="LCX2" t="s">
        <v>12526</v>
      </c>
      <c r="LCY2" t="s">
        <v>12527</v>
      </c>
      <c r="LCZ2" t="s">
        <v>12528</v>
      </c>
      <c r="LDA2" t="s">
        <v>12529</v>
      </c>
      <c r="LDB2" t="s">
        <v>12530</v>
      </c>
      <c r="LDC2" t="s">
        <v>12531</v>
      </c>
      <c r="LDD2" t="s">
        <v>12532</v>
      </c>
      <c r="LDE2" t="s">
        <v>12533</v>
      </c>
      <c r="LDF2" t="s">
        <v>12534</v>
      </c>
      <c r="LDG2" t="s">
        <v>12535</v>
      </c>
      <c r="LDH2" t="s">
        <v>12536</v>
      </c>
      <c r="LDI2" t="s">
        <v>12537</v>
      </c>
      <c r="LDJ2" t="s">
        <v>12538</v>
      </c>
      <c r="LDK2" t="s">
        <v>12539</v>
      </c>
      <c r="LDL2" t="s">
        <v>12540</v>
      </c>
      <c r="LDM2" t="s">
        <v>12541</v>
      </c>
      <c r="LDN2" t="s">
        <v>12542</v>
      </c>
      <c r="LDO2" t="s">
        <v>12543</v>
      </c>
      <c r="LDP2" t="s">
        <v>12544</v>
      </c>
      <c r="LDQ2" t="s">
        <v>12545</v>
      </c>
      <c r="LDR2" t="s">
        <v>12546</v>
      </c>
      <c r="LDS2" t="s">
        <v>12547</v>
      </c>
      <c r="LDT2" t="s">
        <v>12548</v>
      </c>
      <c r="LDU2" t="s">
        <v>12549</v>
      </c>
      <c r="LDV2" t="s">
        <v>12550</v>
      </c>
      <c r="LDW2" t="s">
        <v>12551</v>
      </c>
      <c r="LDX2" t="s">
        <v>12552</v>
      </c>
      <c r="LDY2" t="s">
        <v>12553</v>
      </c>
      <c r="LDZ2" t="s">
        <v>12554</v>
      </c>
      <c r="LEA2" t="s">
        <v>12555</v>
      </c>
      <c r="LEB2" t="s">
        <v>12556</v>
      </c>
      <c r="LEC2" t="s">
        <v>12557</v>
      </c>
      <c r="LED2" t="s">
        <v>12558</v>
      </c>
      <c r="LEE2" t="s">
        <v>12559</v>
      </c>
      <c r="LEF2" t="s">
        <v>12560</v>
      </c>
      <c r="LEG2" t="s">
        <v>12561</v>
      </c>
      <c r="LEH2" t="s">
        <v>12562</v>
      </c>
      <c r="LEI2" t="s">
        <v>12563</v>
      </c>
      <c r="LEJ2" t="s">
        <v>12564</v>
      </c>
      <c r="LEK2" t="s">
        <v>12565</v>
      </c>
      <c r="LEL2" t="s">
        <v>12566</v>
      </c>
      <c r="LEM2" t="s">
        <v>12567</v>
      </c>
      <c r="LEN2" t="s">
        <v>12568</v>
      </c>
      <c r="LEO2" t="s">
        <v>12569</v>
      </c>
      <c r="LEP2" t="s">
        <v>12570</v>
      </c>
      <c r="LEQ2" t="s">
        <v>12571</v>
      </c>
      <c r="LER2" t="s">
        <v>12572</v>
      </c>
      <c r="LES2" t="s">
        <v>12573</v>
      </c>
      <c r="LET2" t="s">
        <v>12574</v>
      </c>
      <c r="LEU2" t="s">
        <v>12575</v>
      </c>
      <c r="LEV2" t="s">
        <v>12576</v>
      </c>
      <c r="LEW2" t="s">
        <v>12577</v>
      </c>
      <c r="LEX2" t="s">
        <v>12578</v>
      </c>
      <c r="LEY2" t="s">
        <v>12579</v>
      </c>
      <c r="LEZ2" t="s">
        <v>12580</v>
      </c>
      <c r="LFA2" t="s">
        <v>12581</v>
      </c>
      <c r="LFB2" t="s">
        <v>12582</v>
      </c>
      <c r="LFC2" t="s">
        <v>12583</v>
      </c>
      <c r="LFD2" t="s">
        <v>12584</v>
      </c>
      <c r="LFE2" t="s">
        <v>12585</v>
      </c>
      <c r="LFF2" t="s">
        <v>12586</v>
      </c>
      <c r="LFG2" t="s">
        <v>12587</v>
      </c>
      <c r="LFH2" t="s">
        <v>12588</v>
      </c>
      <c r="LFI2" t="s">
        <v>12589</v>
      </c>
      <c r="LFJ2" t="s">
        <v>12590</v>
      </c>
      <c r="LFK2" t="s">
        <v>12591</v>
      </c>
      <c r="LFL2" t="s">
        <v>12592</v>
      </c>
      <c r="LFM2" t="s">
        <v>12593</v>
      </c>
      <c r="LFN2" t="s">
        <v>12594</v>
      </c>
      <c r="LFO2" t="s">
        <v>12595</v>
      </c>
      <c r="LFP2" t="s">
        <v>12596</v>
      </c>
      <c r="LFQ2" t="s">
        <v>12597</v>
      </c>
      <c r="LFR2" t="s">
        <v>12598</v>
      </c>
      <c r="LFS2" t="s">
        <v>12599</v>
      </c>
      <c r="LFT2" t="s">
        <v>12600</v>
      </c>
      <c r="LFU2" t="s">
        <v>12601</v>
      </c>
      <c r="LFV2" t="s">
        <v>12602</v>
      </c>
      <c r="LFW2" t="s">
        <v>12603</v>
      </c>
      <c r="LFX2" t="s">
        <v>12604</v>
      </c>
      <c r="LFY2" t="s">
        <v>12605</v>
      </c>
      <c r="LFZ2" t="s">
        <v>12606</v>
      </c>
      <c r="LGA2" t="s">
        <v>12607</v>
      </c>
      <c r="LGB2" t="s">
        <v>12608</v>
      </c>
      <c r="LGC2" t="s">
        <v>12609</v>
      </c>
      <c r="LGD2" t="s">
        <v>12610</v>
      </c>
      <c r="LGE2" t="s">
        <v>12611</v>
      </c>
      <c r="LGF2" t="s">
        <v>12612</v>
      </c>
      <c r="LGG2" t="s">
        <v>12613</v>
      </c>
      <c r="LGH2" t="s">
        <v>12614</v>
      </c>
      <c r="LGI2" t="s">
        <v>12615</v>
      </c>
      <c r="LGJ2" t="s">
        <v>12616</v>
      </c>
      <c r="LGK2" t="s">
        <v>12617</v>
      </c>
      <c r="LGL2" t="s">
        <v>12618</v>
      </c>
      <c r="LGM2" t="s">
        <v>12619</v>
      </c>
      <c r="LGN2" t="s">
        <v>12620</v>
      </c>
      <c r="LGO2" t="s">
        <v>12621</v>
      </c>
      <c r="LGP2" t="s">
        <v>12622</v>
      </c>
      <c r="LGQ2" t="s">
        <v>12623</v>
      </c>
      <c r="LGR2" t="s">
        <v>12624</v>
      </c>
      <c r="LGS2" t="s">
        <v>12625</v>
      </c>
      <c r="LGT2" t="s">
        <v>12626</v>
      </c>
      <c r="LGU2" t="s">
        <v>12627</v>
      </c>
      <c r="LGV2" t="s">
        <v>12628</v>
      </c>
      <c r="LGW2" t="s">
        <v>12629</v>
      </c>
      <c r="LGX2" t="s">
        <v>12630</v>
      </c>
      <c r="LGY2" t="s">
        <v>12631</v>
      </c>
      <c r="LGZ2" t="s">
        <v>12632</v>
      </c>
      <c r="LHA2" t="s">
        <v>12633</v>
      </c>
      <c r="LHB2" t="s">
        <v>12634</v>
      </c>
      <c r="LHC2" t="s">
        <v>12635</v>
      </c>
      <c r="LHD2" t="s">
        <v>12636</v>
      </c>
      <c r="LHE2" t="s">
        <v>12637</v>
      </c>
      <c r="LHF2" t="s">
        <v>12638</v>
      </c>
      <c r="LHG2" t="s">
        <v>12639</v>
      </c>
      <c r="LHH2" t="s">
        <v>12640</v>
      </c>
      <c r="LHI2" t="s">
        <v>12641</v>
      </c>
      <c r="LHJ2" t="s">
        <v>12642</v>
      </c>
      <c r="LHK2" t="s">
        <v>12643</v>
      </c>
      <c r="LHL2" t="s">
        <v>12644</v>
      </c>
      <c r="LHM2" t="s">
        <v>12645</v>
      </c>
      <c r="LHN2" t="s">
        <v>12646</v>
      </c>
      <c r="LHO2" t="s">
        <v>12647</v>
      </c>
      <c r="LHP2" t="s">
        <v>12648</v>
      </c>
      <c r="LHQ2" t="s">
        <v>12649</v>
      </c>
      <c r="LHR2" t="s">
        <v>12650</v>
      </c>
      <c r="LHS2" t="s">
        <v>12651</v>
      </c>
      <c r="LHT2" t="s">
        <v>12652</v>
      </c>
      <c r="LHU2" t="s">
        <v>12653</v>
      </c>
      <c r="LHV2" t="s">
        <v>12654</v>
      </c>
      <c r="LHW2" t="s">
        <v>12655</v>
      </c>
      <c r="LHX2" t="s">
        <v>12656</v>
      </c>
      <c r="LHY2" t="s">
        <v>12657</v>
      </c>
      <c r="LHZ2" t="s">
        <v>12658</v>
      </c>
      <c r="LIA2" t="s">
        <v>12659</v>
      </c>
      <c r="LIB2" t="s">
        <v>12660</v>
      </c>
      <c r="LIC2" t="s">
        <v>12661</v>
      </c>
      <c r="LID2" t="s">
        <v>12662</v>
      </c>
      <c r="LIE2" t="s">
        <v>12663</v>
      </c>
      <c r="LIF2" t="s">
        <v>12664</v>
      </c>
      <c r="LIG2" t="s">
        <v>12665</v>
      </c>
      <c r="LIH2" t="s">
        <v>12666</v>
      </c>
      <c r="LII2" t="s">
        <v>12667</v>
      </c>
      <c r="LIJ2" t="s">
        <v>12668</v>
      </c>
      <c r="LIK2" t="s">
        <v>12669</v>
      </c>
      <c r="LIL2" t="s">
        <v>12670</v>
      </c>
      <c r="LIM2" t="s">
        <v>12671</v>
      </c>
      <c r="LIN2" t="s">
        <v>12672</v>
      </c>
      <c r="LIO2" t="s">
        <v>12673</v>
      </c>
      <c r="LIP2" t="s">
        <v>12674</v>
      </c>
      <c r="LIQ2" t="s">
        <v>12675</v>
      </c>
      <c r="LIR2" t="s">
        <v>12676</v>
      </c>
      <c r="LIS2" t="s">
        <v>12677</v>
      </c>
      <c r="LIT2" t="s">
        <v>12678</v>
      </c>
      <c r="LIU2" t="s">
        <v>12679</v>
      </c>
      <c r="LIV2" t="s">
        <v>12680</v>
      </c>
      <c r="LIW2" t="s">
        <v>12681</v>
      </c>
      <c r="LIX2" t="s">
        <v>12682</v>
      </c>
      <c r="LIY2" t="s">
        <v>12683</v>
      </c>
      <c r="LIZ2" t="s">
        <v>12684</v>
      </c>
      <c r="LJA2" t="s">
        <v>12685</v>
      </c>
      <c r="LJB2" t="s">
        <v>12686</v>
      </c>
      <c r="LJC2" t="s">
        <v>12687</v>
      </c>
      <c r="LJD2" t="s">
        <v>12688</v>
      </c>
      <c r="LJE2" t="s">
        <v>12689</v>
      </c>
      <c r="LJF2" t="s">
        <v>12690</v>
      </c>
      <c r="LJG2" t="s">
        <v>12691</v>
      </c>
      <c r="LJH2" t="s">
        <v>12692</v>
      </c>
      <c r="LJI2" t="s">
        <v>12693</v>
      </c>
      <c r="LJJ2" t="s">
        <v>12694</v>
      </c>
      <c r="LJK2" t="s">
        <v>12695</v>
      </c>
      <c r="LJL2" t="s">
        <v>12696</v>
      </c>
      <c r="LJM2" t="s">
        <v>12697</v>
      </c>
      <c r="LJN2" t="s">
        <v>12698</v>
      </c>
      <c r="LJO2" t="s">
        <v>12699</v>
      </c>
      <c r="LJP2" t="s">
        <v>12700</v>
      </c>
      <c r="LJQ2" t="s">
        <v>12701</v>
      </c>
      <c r="LJR2" t="s">
        <v>12702</v>
      </c>
      <c r="LJS2" t="s">
        <v>12703</v>
      </c>
      <c r="LJT2" t="s">
        <v>12704</v>
      </c>
      <c r="LJU2" t="s">
        <v>12705</v>
      </c>
      <c r="LJV2" t="s">
        <v>12706</v>
      </c>
      <c r="LJW2" t="s">
        <v>12707</v>
      </c>
      <c r="LJX2" t="s">
        <v>12708</v>
      </c>
      <c r="LJY2" t="s">
        <v>12709</v>
      </c>
      <c r="LJZ2" t="s">
        <v>12710</v>
      </c>
      <c r="LKA2" t="s">
        <v>12711</v>
      </c>
      <c r="LKB2" t="s">
        <v>12712</v>
      </c>
      <c r="LKC2" t="s">
        <v>12713</v>
      </c>
      <c r="LKD2" t="s">
        <v>12714</v>
      </c>
      <c r="LKE2" t="s">
        <v>12715</v>
      </c>
      <c r="LKF2" t="s">
        <v>12716</v>
      </c>
      <c r="LKG2" t="s">
        <v>12717</v>
      </c>
      <c r="LKH2" t="s">
        <v>12718</v>
      </c>
      <c r="LKI2" t="s">
        <v>12719</v>
      </c>
      <c r="LKJ2" t="s">
        <v>12720</v>
      </c>
      <c r="LKK2" t="s">
        <v>12721</v>
      </c>
      <c r="LKL2" t="s">
        <v>12722</v>
      </c>
      <c r="LKM2" t="s">
        <v>12723</v>
      </c>
      <c r="LKN2" t="s">
        <v>12724</v>
      </c>
      <c r="LKO2" t="s">
        <v>12725</v>
      </c>
      <c r="LKP2" t="s">
        <v>12726</v>
      </c>
      <c r="LKQ2" t="s">
        <v>12727</v>
      </c>
      <c r="LKR2" t="s">
        <v>12728</v>
      </c>
      <c r="LKS2" t="s">
        <v>12729</v>
      </c>
      <c r="LKT2" t="s">
        <v>12730</v>
      </c>
      <c r="LKU2" t="s">
        <v>12731</v>
      </c>
      <c r="LKV2" t="s">
        <v>12732</v>
      </c>
      <c r="LKW2" t="s">
        <v>12733</v>
      </c>
      <c r="LKX2" t="s">
        <v>12734</v>
      </c>
      <c r="LKY2" t="s">
        <v>12735</v>
      </c>
      <c r="LKZ2" t="s">
        <v>12736</v>
      </c>
      <c r="LLA2" t="s">
        <v>12737</v>
      </c>
      <c r="LLB2" t="s">
        <v>12738</v>
      </c>
      <c r="LLC2" t="s">
        <v>12739</v>
      </c>
      <c r="LLD2" t="s">
        <v>12740</v>
      </c>
      <c r="LLE2" t="s">
        <v>12741</v>
      </c>
      <c r="LLF2" t="s">
        <v>12742</v>
      </c>
      <c r="LLG2" t="s">
        <v>12743</v>
      </c>
      <c r="LLH2" t="s">
        <v>12744</v>
      </c>
      <c r="LLI2" t="s">
        <v>12745</v>
      </c>
      <c r="LLJ2" t="s">
        <v>12746</v>
      </c>
      <c r="LLK2" t="s">
        <v>12747</v>
      </c>
      <c r="LLL2" t="s">
        <v>12748</v>
      </c>
      <c r="LLM2" t="s">
        <v>12749</v>
      </c>
      <c r="LLN2" t="s">
        <v>12750</v>
      </c>
      <c r="LLO2" t="s">
        <v>12751</v>
      </c>
      <c r="LLP2" t="s">
        <v>12752</v>
      </c>
      <c r="LLQ2" t="s">
        <v>12753</v>
      </c>
      <c r="LLR2" t="s">
        <v>12754</v>
      </c>
      <c r="LLS2" t="s">
        <v>12755</v>
      </c>
      <c r="LLT2" t="s">
        <v>12756</v>
      </c>
      <c r="LLU2" t="s">
        <v>12757</v>
      </c>
      <c r="LLV2" t="s">
        <v>12758</v>
      </c>
      <c r="LLW2" t="s">
        <v>12759</v>
      </c>
      <c r="LLX2" t="s">
        <v>12760</v>
      </c>
      <c r="LLY2" t="s">
        <v>12761</v>
      </c>
      <c r="LLZ2" t="s">
        <v>12762</v>
      </c>
      <c r="LMA2" t="s">
        <v>12763</v>
      </c>
      <c r="LMB2" t="s">
        <v>12764</v>
      </c>
      <c r="LMC2" t="s">
        <v>12765</v>
      </c>
      <c r="LMD2" t="s">
        <v>12766</v>
      </c>
      <c r="LME2" t="s">
        <v>12767</v>
      </c>
      <c r="LMF2" t="s">
        <v>12768</v>
      </c>
      <c r="LMG2" t="s">
        <v>12769</v>
      </c>
      <c r="LMH2" t="s">
        <v>12770</v>
      </c>
      <c r="LMI2" t="s">
        <v>12771</v>
      </c>
      <c r="LMJ2" t="s">
        <v>12772</v>
      </c>
      <c r="LMK2" t="s">
        <v>12773</v>
      </c>
      <c r="LML2" t="s">
        <v>12774</v>
      </c>
      <c r="LMM2" t="s">
        <v>12775</v>
      </c>
      <c r="LMN2" t="s">
        <v>12776</v>
      </c>
      <c r="LMO2" t="s">
        <v>12777</v>
      </c>
      <c r="LMP2" t="s">
        <v>12778</v>
      </c>
      <c r="LMQ2" t="s">
        <v>12779</v>
      </c>
      <c r="LMR2" t="s">
        <v>12780</v>
      </c>
      <c r="LMS2" t="s">
        <v>12781</v>
      </c>
      <c r="LMT2" t="s">
        <v>12782</v>
      </c>
      <c r="LMU2" t="s">
        <v>12783</v>
      </c>
      <c r="LMV2" t="s">
        <v>12784</v>
      </c>
      <c r="LMW2" t="s">
        <v>12785</v>
      </c>
      <c r="LMX2" t="s">
        <v>12786</v>
      </c>
      <c r="LMY2" t="s">
        <v>12787</v>
      </c>
      <c r="LMZ2" t="s">
        <v>12788</v>
      </c>
      <c r="LNA2" t="s">
        <v>12789</v>
      </c>
      <c r="LNB2" t="s">
        <v>12790</v>
      </c>
      <c r="LNC2" t="s">
        <v>12791</v>
      </c>
      <c r="LND2" t="s">
        <v>12792</v>
      </c>
      <c r="LNE2" t="s">
        <v>12793</v>
      </c>
      <c r="LNF2" t="s">
        <v>12794</v>
      </c>
      <c r="LNG2" t="s">
        <v>12795</v>
      </c>
      <c r="LNH2" t="s">
        <v>12796</v>
      </c>
      <c r="LNI2" t="s">
        <v>12797</v>
      </c>
      <c r="LNJ2" t="s">
        <v>12798</v>
      </c>
      <c r="LNK2" t="s">
        <v>12799</v>
      </c>
      <c r="LNL2" t="s">
        <v>12800</v>
      </c>
      <c r="LNM2" t="s">
        <v>12801</v>
      </c>
      <c r="LNN2" t="s">
        <v>12802</v>
      </c>
      <c r="LNO2" t="s">
        <v>12803</v>
      </c>
      <c r="LNP2" t="s">
        <v>12804</v>
      </c>
      <c r="LNQ2" t="s">
        <v>12805</v>
      </c>
      <c r="LNR2" t="s">
        <v>12806</v>
      </c>
      <c r="LNS2" t="s">
        <v>12807</v>
      </c>
      <c r="LNT2" t="s">
        <v>12808</v>
      </c>
      <c r="LNU2" t="s">
        <v>12809</v>
      </c>
      <c r="LNV2" t="s">
        <v>12810</v>
      </c>
      <c r="LNW2" t="s">
        <v>12811</v>
      </c>
      <c r="LNX2" t="s">
        <v>12812</v>
      </c>
      <c r="LNY2" t="s">
        <v>12813</v>
      </c>
      <c r="LNZ2" t="s">
        <v>12814</v>
      </c>
      <c r="LOA2" t="s">
        <v>12815</v>
      </c>
      <c r="LOB2" t="s">
        <v>12816</v>
      </c>
      <c r="LOC2" t="s">
        <v>12817</v>
      </c>
      <c r="LOD2" t="s">
        <v>12818</v>
      </c>
      <c r="LOE2" t="s">
        <v>12819</v>
      </c>
      <c r="LOF2" t="s">
        <v>12820</v>
      </c>
      <c r="LOG2" t="s">
        <v>12821</v>
      </c>
      <c r="LOH2" t="s">
        <v>12822</v>
      </c>
      <c r="LOI2" t="s">
        <v>12823</v>
      </c>
      <c r="LOJ2" t="s">
        <v>12824</v>
      </c>
      <c r="LOK2" t="s">
        <v>12825</v>
      </c>
      <c r="LOL2" t="s">
        <v>12826</v>
      </c>
      <c r="LOM2" t="s">
        <v>12827</v>
      </c>
      <c r="LON2" t="s">
        <v>12828</v>
      </c>
      <c r="LOO2" t="s">
        <v>12829</v>
      </c>
      <c r="LOP2" t="s">
        <v>12830</v>
      </c>
      <c r="LOQ2" t="s">
        <v>12831</v>
      </c>
      <c r="LOR2" t="s">
        <v>12832</v>
      </c>
      <c r="LOS2" t="s">
        <v>12833</v>
      </c>
      <c r="LOT2" t="s">
        <v>12834</v>
      </c>
      <c r="LOU2" t="s">
        <v>12835</v>
      </c>
      <c r="LOV2" t="s">
        <v>12836</v>
      </c>
      <c r="LOW2" t="s">
        <v>12837</v>
      </c>
      <c r="LOX2" t="s">
        <v>12838</v>
      </c>
      <c r="LOY2" t="s">
        <v>12839</v>
      </c>
      <c r="LOZ2" t="s">
        <v>12840</v>
      </c>
      <c r="LPA2" t="s">
        <v>12841</v>
      </c>
      <c r="LPB2" t="s">
        <v>12842</v>
      </c>
      <c r="LPC2" t="s">
        <v>12843</v>
      </c>
      <c r="LPD2" t="s">
        <v>12844</v>
      </c>
      <c r="LPE2" t="s">
        <v>12845</v>
      </c>
      <c r="LPF2" t="s">
        <v>12846</v>
      </c>
      <c r="LPG2" t="s">
        <v>12847</v>
      </c>
      <c r="LPH2" t="s">
        <v>12848</v>
      </c>
      <c r="LPI2" t="s">
        <v>12849</v>
      </c>
      <c r="LPJ2" t="s">
        <v>12850</v>
      </c>
      <c r="LPK2" t="s">
        <v>12851</v>
      </c>
      <c r="LPL2" t="s">
        <v>12852</v>
      </c>
      <c r="LPM2" t="s">
        <v>12853</v>
      </c>
      <c r="LPN2" t="s">
        <v>12854</v>
      </c>
      <c r="LPO2" t="s">
        <v>12855</v>
      </c>
      <c r="LPP2" t="s">
        <v>12856</v>
      </c>
      <c r="LPQ2" t="s">
        <v>12857</v>
      </c>
      <c r="LPR2" t="s">
        <v>12858</v>
      </c>
      <c r="LPS2" t="s">
        <v>12859</v>
      </c>
      <c r="LPT2" t="s">
        <v>12860</v>
      </c>
      <c r="LPU2" t="s">
        <v>12861</v>
      </c>
      <c r="LPV2" t="s">
        <v>12862</v>
      </c>
      <c r="LPW2" t="s">
        <v>12863</v>
      </c>
      <c r="LPX2" t="s">
        <v>12864</v>
      </c>
      <c r="LPY2" t="s">
        <v>12865</v>
      </c>
      <c r="LPZ2" t="s">
        <v>12866</v>
      </c>
      <c r="LQA2" t="s">
        <v>12867</v>
      </c>
      <c r="LQB2" t="s">
        <v>12868</v>
      </c>
      <c r="LQC2" t="s">
        <v>12869</v>
      </c>
      <c r="LQD2" t="s">
        <v>12870</v>
      </c>
      <c r="LQE2" t="s">
        <v>12871</v>
      </c>
      <c r="LQF2" t="s">
        <v>12872</v>
      </c>
      <c r="LQG2" t="s">
        <v>12873</v>
      </c>
      <c r="LQH2" t="s">
        <v>12874</v>
      </c>
      <c r="LQI2" t="s">
        <v>12875</v>
      </c>
      <c r="LQJ2" t="s">
        <v>12876</v>
      </c>
      <c r="LQK2" t="s">
        <v>12877</v>
      </c>
      <c r="LQL2" t="s">
        <v>12878</v>
      </c>
      <c r="LQM2" t="s">
        <v>12879</v>
      </c>
      <c r="LQN2" t="s">
        <v>12880</v>
      </c>
      <c r="LQO2" t="s">
        <v>12881</v>
      </c>
      <c r="LQP2" t="s">
        <v>12882</v>
      </c>
      <c r="LQQ2" t="s">
        <v>12883</v>
      </c>
      <c r="LQR2" t="s">
        <v>12884</v>
      </c>
      <c r="LQS2" t="s">
        <v>12885</v>
      </c>
      <c r="LQT2" t="s">
        <v>12886</v>
      </c>
      <c r="LQU2" t="s">
        <v>12887</v>
      </c>
      <c r="LQV2" t="s">
        <v>12888</v>
      </c>
      <c r="LQW2" t="s">
        <v>12889</v>
      </c>
      <c r="LQX2" t="s">
        <v>12890</v>
      </c>
      <c r="LQY2" t="s">
        <v>12891</v>
      </c>
      <c r="LQZ2" t="s">
        <v>12892</v>
      </c>
      <c r="LRA2" t="s">
        <v>12893</v>
      </c>
      <c r="LRB2" t="s">
        <v>12894</v>
      </c>
      <c r="LRC2" t="s">
        <v>12895</v>
      </c>
      <c r="LRD2" t="s">
        <v>12896</v>
      </c>
      <c r="LRE2" t="s">
        <v>12897</v>
      </c>
      <c r="LRF2" t="s">
        <v>12898</v>
      </c>
      <c r="LRG2" t="s">
        <v>12899</v>
      </c>
      <c r="LRH2" t="s">
        <v>12900</v>
      </c>
      <c r="LRI2" t="s">
        <v>12901</v>
      </c>
      <c r="LRJ2" t="s">
        <v>12902</v>
      </c>
      <c r="LRK2" t="s">
        <v>12903</v>
      </c>
      <c r="LRL2" t="s">
        <v>12904</v>
      </c>
      <c r="LRM2" t="s">
        <v>12905</v>
      </c>
      <c r="LRN2" t="s">
        <v>12906</v>
      </c>
      <c r="LRO2" t="s">
        <v>12907</v>
      </c>
      <c r="LRP2" t="s">
        <v>12908</v>
      </c>
      <c r="LRQ2" t="s">
        <v>12909</v>
      </c>
      <c r="LRR2" t="s">
        <v>12910</v>
      </c>
      <c r="LRS2" t="s">
        <v>12911</v>
      </c>
      <c r="LRT2" t="s">
        <v>12912</v>
      </c>
      <c r="LRU2" t="s">
        <v>12913</v>
      </c>
      <c r="LRV2" t="s">
        <v>12914</v>
      </c>
      <c r="LRW2" t="s">
        <v>12915</v>
      </c>
      <c r="LRX2" t="s">
        <v>12916</v>
      </c>
      <c r="LRY2" t="s">
        <v>12917</v>
      </c>
      <c r="LRZ2" t="s">
        <v>12918</v>
      </c>
      <c r="LSA2" t="s">
        <v>12919</v>
      </c>
      <c r="LSB2" t="s">
        <v>12920</v>
      </c>
      <c r="LSC2" t="s">
        <v>12921</v>
      </c>
      <c r="LSD2" t="s">
        <v>12922</v>
      </c>
      <c r="LSE2" t="s">
        <v>12923</v>
      </c>
      <c r="LSF2" t="s">
        <v>12924</v>
      </c>
      <c r="LSG2" t="s">
        <v>12925</v>
      </c>
      <c r="LSH2" t="s">
        <v>12926</v>
      </c>
      <c r="LSI2" t="s">
        <v>12927</v>
      </c>
      <c r="LSJ2" t="s">
        <v>12928</v>
      </c>
      <c r="LSK2" t="s">
        <v>12929</v>
      </c>
      <c r="LSL2" t="s">
        <v>12930</v>
      </c>
      <c r="LSM2" t="s">
        <v>12931</v>
      </c>
      <c r="LSN2" t="s">
        <v>12932</v>
      </c>
      <c r="LSO2" t="s">
        <v>12933</v>
      </c>
      <c r="LSP2" t="s">
        <v>12934</v>
      </c>
      <c r="LSQ2" t="s">
        <v>12935</v>
      </c>
      <c r="LSR2" t="s">
        <v>12936</v>
      </c>
      <c r="LSS2" t="s">
        <v>12937</v>
      </c>
      <c r="LST2" t="s">
        <v>12938</v>
      </c>
      <c r="LSU2" t="s">
        <v>12939</v>
      </c>
      <c r="LSV2" t="s">
        <v>12940</v>
      </c>
      <c r="LSW2" t="s">
        <v>12941</v>
      </c>
      <c r="LSX2" t="s">
        <v>12942</v>
      </c>
      <c r="LSY2" t="s">
        <v>12943</v>
      </c>
      <c r="LSZ2" t="s">
        <v>12944</v>
      </c>
      <c r="LTA2" t="s">
        <v>12945</v>
      </c>
      <c r="LTB2" t="s">
        <v>12946</v>
      </c>
      <c r="LTC2" t="s">
        <v>12947</v>
      </c>
      <c r="LTD2" t="s">
        <v>12948</v>
      </c>
      <c r="LTE2" t="s">
        <v>12949</v>
      </c>
      <c r="LTF2" t="s">
        <v>12950</v>
      </c>
      <c r="LTG2" t="s">
        <v>12951</v>
      </c>
      <c r="LTH2" t="s">
        <v>12952</v>
      </c>
      <c r="LTI2" t="s">
        <v>12953</v>
      </c>
      <c r="LTJ2" t="s">
        <v>12954</v>
      </c>
      <c r="LTK2" t="s">
        <v>12955</v>
      </c>
      <c r="LTL2" t="s">
        <v>12956</v>
      </c>
      <c r="LTM2" t="s">
        <v>12957</v>
      </c>
      <c r="LTN2" t="s">
        <v>12958</v>
      </c>
      <c r="LTO2" t="s">
        <v>12959</v>
      </c>
      <c r="LTP2" t="s">
        <v>12960</v>
      </c>
      <c r="LTQ2" t="s">
        <v>12961</v>
      </c>
      <c r="LTR2" t="s">
        <v>12962</v>
      </c>
      <c r="LTS2" t="s">
        <v>12963</v>
      </c>
      <c r="LTT2" t="s">
        <v>12964</v>
      </c>
      <c r="LTU2" t="s">
        <v>12965</v>
      </c>
      <c r="LTV2" t="s">
        <v>12966</v>
      </c>
      <c r="LTW2" t="s">
        <v>12967</v>
      </c>
      <c r="LTX2" t="s">
        <v>12968</v>
      </c>
      <c r="LTY2" t="s">
        <v>12969</v>
      </c>
      <c r="LTZ2" t="s">
        <v>12970</v>
      </c>
      <c r="LUA2" t="s">
        <v>12971</v>
      </c>
      <c r="LUB2" t="s">
        <v>12972</v>
      </c>
      <c r="LUC2" t="s">
        <v>12973</v>
      </c>
      <c r="LUD2" t="s">
        <v>12974</v>
      </c>
      <c r="LUE2" t="s">
        <v>12975</v>
      </c>
      <c r="LUF2" t="s">
        <v>12976</v>
      </c>
      <c r="LUG2" t="s">
        <v>12977</v>
      </c>
      <c r="LUH2" t="s">
        <v>12978</v>
      </c>
      <c r="LUI2" t="s">
        <v>12979</v>
      </c>
      <c r="LUJ2" t="s">
        <v>12980</v>
      </c>
      <c r="LUK2" t="s">
        <v>12981</v>
      </c>
      <c r="LUL2" t="s">
        <v>12982</v>
      </c>
      <c r="LUM2" t="s">
        <v>12983</v>
      </c>
      <c r="LUN2" t="s">
        <v>12984</v>
      </c>
      <c r="LUO2" t="s">
        <v>12985</v>
      </c>
      <c r="LUP2" t="s">
        <v>12986</v>
      </c>
      <c r="LUQ2" t="s">
        <v>12987</v>
      </c>
      <c r="LUR2" t="s">
        <v>12988</v>
      </c>
      <c r="LUS2" t="s">
        <v>12989</v>
      </c>
      <c r="LUT2" t="s">
        <v>12990</v>
      </c>
      <c r="LUU2" t="s">
        <v>12991</v>
      </c>
      <c r="LUV2" t="s">
        <v>12992</v>
      </c>
      <c r="LUW2" t="s">
        <v>12993</v>
      </c>
      <c r="LUX2" t="s">
        <v>12994</v>
      </c>
      <c r="LUY2" t="s">
        <v>12995</v>
      </c>
      <c r="LUZ2" t="s">
        <v>12996</v>
      </c>
      <c r="LVA2" t="s">
        <v>12997</v>
      </c>
      <c r="LVB2" t="s">
        <v>12998</v>
      </c>
      <c r="LVC2" t="s">
        <v>12999</v>
      </c>
      <c r="LVD2" t="s">
        <v>13000</v>
      </c>
      <c r="LVE2" t="s">
        <v>13001</v>
      </c>
      <c r="LVF2" t="s">
        <v>13002</v>
      </c>
      <c r="LVG2" t="s">
        <v>13003</v>
      </c>
      <c r="LVH2" t="s">
        <v>13004</v>
      </c>
      <c r="LVI2" t="s">
        <v>13005</v>
      </c>
      <c r="LVJ2" t="s">
        <v>13006</v>
      </c>
      <c r="LVK2" t="s">
        <v>13007</v>
      </c>
      <c r="LVL2" t="s">
        <v>13008</v>
      </c>
      <c r="LVM2" t="s">
        <v>13009</v>
      </c>
      <c r="LVN2" t="s">
        <v>13010</v>
      </c>
      <c r="LVO2" t="s">
        <v>13011</v>
      </c>
      <c r="LVP2" t="s">
        <v>13012</v>
      </c>
      <c r="LVQ2" t="s">
        <v>13013</v>
      </c>
      <c r="LVR2" t="s">
        <v>13014</v>
      </c>
      <c r="LVS2" t="s">
        <v>13015</v>
      </c>
      <c r="LVT2" t="s">
        <v>13016</v>
      </c>
      <c r="LVU2" t="s">
        <v>13017</v>
      </c>
      <c r="LVV2" t="s">
        <v>13018</v>
      </c>
      <c r="LVW2" t="s">
        <v>13019</v>
      </c>
      <c r="LVX2" t="s">
        <v>13020</v>
      </c>
      <c r="LVY2" t="s">
        <v>13021</v>
      </c>
      <c r="LVZ2" t="s">
        <v>13022</v>
      </c>
      <c r="LWA2" t="s">
        <v>13023</v>
      </c>
      <c r="LWB2" t="s">
        <v>13024</v>
      </c>
      <c r="LWC2" t="s">
        <v>13025</v>
      </c>
      <c r="LWD2" t="s">
        <v>13026</v>
      </c>
      <c r="LWE2" t="s">
        <v>13027</v>
      </c>
      <c r="LWF2" t="s">
        <v>13028</v>
      </c>
      <c r="LWG2" t="s">
        <v>13029</v>
      </c>
      <c r="LWH2" t="s">
        <v>13030</v>
      </c>
      <c r="LWI2" t="s">
        <v>13031</v>
      </c>
      <c r="LWJ2" t="s">
        <v>13032</v>
      </c>
      <c r="LWK2" t="s">
        <v>13033</v>
      </c>
      <c r="LWL2" t="s">
        <v>13034</v>
      </c>
      <c r="LWM2" t="s">
        <v>13035</v>
      </c>
      <c r="LWN2" t="s">
        <v>13036</v>
      </c>
      <c r="LWO2" t="s">
        <v>13037</v>
      </c>
      <c r="LWP2" t="s">
        <v>13038</v>
      </c>
      <c r="LWQ2" t="s">
        <v>13039</v>
      </c>
      <c r="LWR2" t="s">
        <v>13040</v>
      </c>
      <c r="LWS2" t="s">
        <v>13041</v>
      </c>
      <c r="LWT2" t="s">
        <v>13042</v>
      </c>
      <c r="LWU2" t="s">
        <v>13043</v>
      </c>
      <c r="LWV2" t="s">
        <v>13044</v>
      </c>
      <c r="LWW2" t="s">
        <v>13045</v>
      </c>
      <c r="LWX2" t="s">
        <v>13046</v>
      </c>
      <c r="LWY2" t="s">
        <v>13047</v>
      </c>
      <c r="LWZ2" t="s">
        <v>13048</v>
      </c>
      <c r="LXA2" t="s">
        <v>13049</v>
      </c>
      <c r="LXB2" t="s">
        <v>13050</v>
      </c>
      <c r="LXC2" t="s">
        <v>13051</v>
      </c>
      <c r="LXD2" t="s">
        <v>13052</v>
      </c>
      <c r="LXE2" t="s">
        <v>13053</v>
      </c>
      <c r="LXF2" t="s">
        <v>13054</v>
      </c>
      <c r="LXG2" t="s">
        <v>13055</v>
      </c>
      <c r="LXH2" t="s">
        <v>13056</v>
      </c>
      <c r="LXI2" t="s">
        <v>13057</v>
      </c>
      <c r="LXJ2" t="s">
        <v>13058</v>
      </c>
      <c r="LXK2" t="s">
        <v>13059</v>
      </c>
      <c r="LXL2" t="s">
        <v>13060</v>
      </c>
      <c r="LXM2" t="s">
        <v>13061</v>
      </c>
      <c r="LXN2" t="s">
        <v>13062</v>
      </c>
      <c r="LXO2" t="s">
        <v>13063</v>
      </c>
      <c r="LXP2" t="s">
        <v>13064</v>
      </c>
      <c r="LXQ2" t="s">
        <v>13065</v>
      </c>
      <c r="LXR2" t="s">
        <v>13066</v>
      </c>
      <c r="LXS2" t="s">
        <v>13067</v>
      </c>
      <c r="LXT2" t="s">
        <v>13068</v>
      </c>
      <c r="LXU2" t="s">
        <v>13069</v>
      </c>
      <c r="LXV2" t="s">
        <v>13070</v>
      </c>
      <c r="LXW2" t="s">
        <v>13071</v>
      </c>
      <c r="LXX2" t="s">
        <v>13072</v>
      </c>
      <c r="LXY2" t="s">
        <v>13073</v>
      </c>
      <c r="LXZ2" t="s">
        <v>13074</v>
      </c>
      <c r="LYA2" t="s">
        <v>13075</v>
      </c>
      <c r="LYB2" t="s">
        <v>13076</v>
      </c>
      <c r="LYC2" t="s">
        <v>13077</v>
      </c>
      <c r="LYD2" t="s">
        <v>13078</v>
      </c>
      <c r="LYE2" t="s">
        <v>13079</v>
      </c>
      <c r="LYF2" t="s">
        <v>13080</v>
      </c>
      <c r="LYG2" t="s">
        <v>13081</v>
      </c>
      <c r="LYH2" t="s">
        <v>13082</v>
      </c>
      <c r="LYI2" t="s">
        <v>13083</v>
      </c>
      <c r="LYJ2" t="s">
        <v>13084</v>
      </c>
      <c r="LYK2" t="s">
        <v>13085</v>
      </c>
      <c r="LYL2" t="s">
        <v>13086</v>
      </c>
      <c r="LYM2" t="s">
        <v>13087</v>
      </c>
      <c r="LYN2" t="s">
        <v>13088</v>
      </c>
      <c r="LYO2" t="s">
        <v>13089</v>
      </c>
      <c r="LYP2" t="s">
        <v>13090</v>
      </c>
      <c r="LYQ2" t="s">
        <v>13091</v>
      </c>
      <c r="LYR2" t="s">
        <v>13092</v>
      </c>
      <c r="LYS2" t="s">
        <v>13093</v>
      </c>
      <c r="LYT2" t="s">
        <v>13094</v>
      </c>
      <c r="LYU2" t="s">
        <v>13095</v>
      </c>
      <c r="LYV2" t="s">
        <v>13096</v>
      </c>
      <c r="LYW2" t="s">
        <v>13097</v>
      </c>
      <c r="LYX2" t="s">
        <v>13098</v>
      </c>
      <c r="LYY2" t="s">
        <v>13099</v>
      </c>
      <c r="LYZ2" t="s">
        <v>13100</v>
      </c>
      <c r="LZA2" t="s">
        <v>13101</v>
      </c>
      <c r="LZB2" t="s">
        <v>13102</v>
      </c>
      <c r="LZC2" t="s">
        <v>13103</v>
      </c>
      <c r="LZD2" t="s">
        <v>13104</v>
      </c>
      <c r="LZE2" t="s">
        <v>13105</v>
      </c>
      <c r="LZF2" t="s">
        <v>13106</v>
      </c>
      <c r="LZG2" t="s">
        <v>13107</v>
      </c>
      <c r="LZH2" t="s">
        <v>13108</v>
      </c>
      <c r="LZI2" t="s">
        <v>13109</v>
      </c>
      <c r="LZJ2" t="s">
        <v>13110</v>
      </c>
      <c r="LZK2" t="s">
        <v>13111</v>
      </c>
      <c r="LZL2" t="s">
        <v>13112</v>
      </c>
      <c r="LZM2" t="s">
        <v>13113</v>
      </c>
      <c r="LZN2" t="s">
        <v>13114</v>
      </c>
      <c r="LZO2" t="s">
        <v>13115</v>
      </c>
      <c r="LZP2" t="s">
        <v>13116</v>
      </c>
      <c r="LZQ2" t="s">
        <v>13117</v>
      </c>
      <c r="LZR2" t="s">
        <v>13118</v>
      </c>
      <c r="LZS2" t="s">
        <v>13119</v>
      </c>
      <c r="LZT2" t="s">
        <v>13120</v>
      </c>
      <c r="LZU2" t="s">
        <v>13121</v>
      </c>
      <c r="LZV2" t="s">
        <v>13122</v>
      </c>
      <c r="LZW2" t="s">
        <v>13123</v>
      </c>
      <c r="LZX2" t="s">
        <v>13124</v>
      </c>
      <c r="LZY2" t="s">
        <v>13125</v>
      </c>
      <c r="LZZ2" t="s">
        <v>13126</v>
      </c>
      <c r="MAA2" t="s">
        <v>13127</v>
      </c>
      <c r="MAB2" t="s">
        <v>13128</v>
      </c>
      <c r="MAC2" t="s">
        <v>13129</v>
      </c>
      <c r="MAD2" t="s">
        <v>13130</v>
      </c>
      <c r="MAE2" t="s">
        <v>13131</v>
      </c>
      <c r="MAF2" t="s">
        <v>13132</v>
      </c>
      <c r="MAG2" t="s">
        <v>13133</v>
      </c>
      <c r="MAH2" t="s">
        <v>13134</v>
      </c>
      <c r="MAI2" t="s">
        <v>13135</v>
      </c>
      <c r="MAJ2" t="s">
        <v>13136</v>
      </c>
      <c r="MAK2" t="s">
        <v>13137</v>
      </c>
      <c r="MAL2" t="s">
        <v>13138</v>
      </c>
      <c r="MAM2" t="s">
        <v>13139</v>
      </c>
      <c r="MAN2" t="s">
        <v>13140</v>
      </c>
      <c r="MAO2" t="s">
        <v>13141</v>
      </c>
      <c r="MAP2" t="s">
        <v>13142</v>
      </c>
      <c r="MAQ2" t="s">
        <v>13143</v>
      </c>
      <c r="MAR2" t="s">
        <v>13144</v>
      </c>
      <c r="MAS2" t="s">
        <v>13145</v>
      </c>
      <c r="MAT2" t="s">
        <v>13146</v>
      </c>
      <c r="MAU2" t="s">
        <v>13147</v>
      </c>
      <c r="MAV2" t="s">
        <v>13148</v>
      </c>
      <c r="MAW2" t="s">
        <v>13149</v>
      </c>
      <c r="MAX2" t="s">
        <v>13150</v>
      </c>
      <c r="MAY2" t="s">
        <v>13151</v>
      </c>
      <c r="MAZ2" t="s">
        <v>13152</v>
      </c>
      <c r="MBA2" t="s">
        <v>13153</v>
      </c>
      <c r="MBB2" t="s">
        <v>13154</v>
      </c>
      <c r="MBC2" t="s">
        <v>13155</v>
      </c>
      <c r="MBD2" t="s">
        <v>13156</v>
      </c>
      <c r="MBE2" t="s">
        <v>13157</v>
      </c>
      <c r="MBF2" t="s">
        <v>13158</v>
      </c>
      <c r="MBG2" t="s">
        <v>13159</v>
      </c>
      <c r="MBH2" t="s">
        <v>13160</v>
      </c>
      <c r="MBI2" t="s">
        <v>13161</v>
      </c>
      <c r="MBJ2" t="s">
        <v>13162</v>
      </c>
      <c r="MBK2" t="s">
        <v>13163</v>
      </c>
      <c r="MBL2" t="s">
        <v>13164</v>
      </c>
      <c r="MBM2" t="s">
        <v>13165</v>
      </c>
      <c r="MBN2" t="s">
        <v>13166</v>
      </c>
      <c r="MBO2" t="s">
        <v>13167</v>
      </c>
      <c r="MBP2" t="s">
        <v>13168</v>
      </c>
      <c r="MBQ2" t="s">
        <v>13169</v>
      </c>
      <c r="MBR2" t="s">
        <v>13170</v>
      </c>
      <c r="MBS2" t="s">
        <v>13171</v>
      </c>
      <c r="MBT2" t="s">
        <v>13172</v>
      </c>
      <c r="MBU2" t="s">
        <v>13173</v>
      </c>
      <c r="MBV2" t="s">
        <v>13174</v>
      </c>
      <c r="MBW2" t="s">
        <v>13175</v>
      </c>
      <c r="MBX2" t="s">
        <v>13176</v>
      </c>
      <c r="MBY2" t="s">
        <v>13177</v>
      </c>
      <c r="MBZ2" t="s">
        <v>13178</v>
      </c>
      <c r="MCA2" t="s">
        <v>13179</v>
      </c>
      <c r="MCB2" t="s">
        <v>13180</v>
      </c>
      <c r="MCC2" t="s">
        <v>13181</v>
      </c>
      <c r="MCD2" t="s">
        <v>13182</v>
      </c>
      <c r="MCE2" t="s">
        <v>13183</v>
      </c>
      <c r="MCF2" t="s">
        <v>13184</v>
      </c>
      <c r="MCG2" t="s">
        <v>13185</v>
      </c>
      <c r="MCH2" t="s">
        <v>13186</v>
      </c>
      <c r="MCI2" t="s">
        <v>13187</v>
      </c>
      <c r="MCJ2" t="s">
        <v>13188</v>
      </c>
      <c r="MCK2" t="s">
        <v>13189</v>
      </c>
      <c r="MCL2" t="s">
        <v>13190</v>
      </c>
      <c r="MCM2" t="s">
        <v>13191</v>
      </c>
      <c r="MCN2" t="s">
        <v>13192</v>
      </c>
      <c r="MCO2" t="s">
        <v>13193</v>
      </c>
      <c r="MCP2" t="s">
        <v>13194</v>
      </c>
      <c r="MCQ2" t="s">
        <v>13195</v>
      </c>
      <c r="MCR2" t="s">
        <v>13196</v>
      </c>
      <c r="MCS2" t="s">
        <v>13197</v>
      </c>
      <c r="MCT2" t="s">
        <v>13198</v>
      </c>
      <c r="MCU2" t="s">
        <v>13199</v>
      </c>
      <c r="MCV2" t="s">
        <v>13200</v>
      </c>
      <c r="MCW2" t="s">
        <v>13201</v>
      </c>
      <c r="MCX2" t="s">
        <v>13202</v>
      </c>
      <c r="MCY2" t="s">
        <v>13203</v>
      </c>
      <c r="MCZ2" t="s">
        <v>13204</v>
      </c>
      <c r="MDA2" t="s">
        <v>13205</v>
      </c>
      <c r="MDB2" t="s">
        <v>13206</v>
      </c>
      <c r="MDC2" t="s">
        <v>13207</v>
      </c>
      <c r="MDD2" t="s">
        <v>13208</v>
      </c>
      <c r="MDE2" t="s">
        <v>13209</v>
      </c>
      <c r="MDF2" t="s">
        <v>13210</v>
      </c>
      <c r="MDG2" t="s">
        <v>13211</v>
      </c>
      <c r="MDH2" t="s">
        <v>13212</v>
      </c>
      <c r="MDI2" t="s">
        <v>13213</v>
      </c>
      <c r="MDJ2" t="s">
        <v>13214</v>
      </c>
      <c r="MDK2" t="s">
        <v>13215</v>
      </c>
      <c r="MDL2" t="s">
        <v>13216</v>
      </c>
      <c r="MDM2" t="s">
        <v>13217</v>
      </c>
      <c r="MDN2" t="s">
        <v>13218</v>
      </c>
      <c r="MDO2" t="s">
        <v>13219</v>
      </c>
      <c r="MDP2" t="s">
        <v>13220</v>
      </c>
      <c r="MDQ2" t="s">
        <v>13221</v>
      </c>
      <c r="MDR2" t="s">
        <v>13222</v>
      </c>
      <c r="MDS2" t="s">
        <v>13223</v>
      </c>
      <c r="MDT2" t="s">
        <v>13224</v>
      </c>
      <c r="MDU2" t="s">
        <v>13225</v>
      </c>
      <c r="MDV2" t="s">
        <v>13226</v>
      </c>
      <c r="MDW2" t="s">
        <v>13227</v>
      </c>
      <c r="MDX2" t="s">
        <v>13228</v>
      </c>
      <c r="MDY2" t="s">
        <v>13229</v>
      </c>
      <c r="MDZ2" t="s">
        <v>13230</v>
      </c>
      <c r="MEA2" t="s">
        <v>13231</v>
      </c>
      <c r="MEB2" t="s">
        <v>13232</v>
      </c>
      <c r="MEC2" t="s">
        <v>13233</v>
      </c>
      <c r="MED2" t="s">
        <v>13234</v>
      </c>
      <c r="MEE2" t="s">
        <v>13235</v>
      </c>
      <c r="MEF2" t="s">
        <v>13236</v>
      </c>
      <c r="MEG2" t="s">
        <v>13237</v>
      </c>
      <c r="MEH2" t="s">
        <v>13238</v>
      </c>
      <c r="MEI2" t="s">
        <v>13239</v>
      </c>
      <c r="MEJ2" t="s">
        <v>13240</v>
      </c>
      <c r="MEK2" t="s">
        <v>13241</v>
      </c>
      <c r="MEL2" t="s">
        <v>13242</v>
      </c>
      <c r="MEM2" t="s">
        <v>13243</v>
      </c>
      <c r="MEN2" t="s">
        <v>13244</v>
      </c>
      <c r="MEO2" t="s">
        <v>13245</v>
      </c>
      <c r="MEP2" t="s">
        <v>13246</v>
      </c>
      <c r="MEQ2" t="s">
        <v>13247</v>
      </c>
      <c r="MER2" t="s">
        <v>13248</v>
      </c>
      <c r="MES2" t="s">
        <v>13249</v>
      </c>
      <c r="MET2" t="s">
        <v>13250</v>
      </c>
      <c r="MEU2" t="s">
        <v>13251</v>
      </c>
      <c r="MEV2" t="s">
        <v>13252</v>
      </c>
      <c r="MEW2" t="s">
        <v>13253</v>
      </c>
      <c r="MEX2" t="s">
        <v>13254</v>
      </c>
      <c r="MEY2" t="s">
        <v>13255</v>
      </c>
      <c r="MEZ2" t="s">
        <v>13256</v>
      </c>
      <c r="MFA2" t="s">
        <v>13257</v>
      </c>
      <c r="MFB2" t="s">
        <v>13258</v>
      </c>
      <c r="MFC2" t="s">
        <v>13259</v>
      </c>
      <c r="MFD2" t="s">
        <v>13260</v>
      </c>
      <c r="MFE2" t="s">
        <v>13261</v>
      </c>
      <c r="MFF2" t="s">
        <v>13262</v>
      </c>
      <c r="MFG2" t="s">
        <v>13263</v>
      </c>
      <c r="MFH2" t="s">
        <v>13264</v>
      </c>
      <c r="MFI2" t="s">
        <v>13265</v>
      </c>
      <c r="MFJ2" t="s">
        <v>13266</v>
      </c>
      <c r="MFK2" t="s">
        <v>13267</v>
      </c>
      <c r="MFL2" t="s">
        <v>13268</v>
      </c>
      <c r="MFM2" t="s">
        <v>13269</v>
      </c>
      <c r="MFN2" t="s">
        <v>13270</v>
      </c>
      <c r="MFO2" t="s">
        <v>13271</v>
      </c>
      <c r="MFP2" t="s">
        <v>13272</v>
      </c>
      <c r="MFQ2" t="s">
        <v>13273</v>
      </c>
      <c r="MFR2" t="s">
        <v>13274</v>
      </c>
      <c r="MFS2" t="s">
        <v>13275</v>
      </c>
      <c r="MFT2" t="s">
        <v>13276</v>
      </c>
      <c r="MFU2" t="s">
        <v>13277</v>
      </c>
      <c r="MFV2" t="s">
        <v>13278</v>
      </c>
      <c r="MFW2" t="s">
        <v>13279</v>
      </c>
      <c r="MFX2" t="s">
        <v>13280</v>
      </c>
      <c r="MFY2" t="s">
        <v>13281</v>
      </c>
      <c r="MFZ2" t="s">
        <v>13282</v>
      </c>
      <c r="MGA2" t="s">
        <v>13283</v>
      </c>
      <c r="MGB2" t="s">
        <v>13284</v>
      </c>
      <c r="MGC2" t="s">
        <v>13285</v>
      </c>
      <c r="MGD2" t="s">
        <v>13286</v>
      </c>
      <c r="MGE2" t="s">
        <v>13287</v>
      </c>
      <c r="MGF2" t="s">
        <v>13288</v>
      </c>
      <c r="MGG2" t="s">
        <v>13289</v>
      </c>
      <c r="MGH2" t="s">
        <v>13290</v>
      </c>
      <c r="MGI2" t="s">
        <v>13291</v>
      </c>
      <c r="MGJ2" t="s">
        <v>13292</v>
      </c>
      <c r="MGK2" t="s">
        <v>13293</v>
      </c>
      <c r="MGL2" t="s">
        <v>13294</v>
      </c>
      <c r="MGM2" t="s">
        <v>13295</v>
      </c>
      <c r="MGN2" t="s">
        <v>13296</v>
      </c>
      <c r="MGO2" t="s">
        <v>13297</v>
      </c>
      <c r="MGP2" t="s">
        <v>13298</v>
      </c>
      <c r="MGQ2" t="s">
        <v>13299</v>
      </c>
      <c r="MGR2" t="s">
        <v>13300</v>
      </c>
      <c r="MGS2" t="s">
        <v>13301</v>
      </c>
      <c r="MGT2" t="s">
        <v>13302</v>
      </c>
      <c r="MGU2" t="s">
        <v>13303</v>
      </c>
      <c r="MGV2" t="s">
        <v>13304</v>
      </c>
      <c r="MGW2" t="s">
        <v>13305</v>
      </c>
      <c r="MGX2" t="s">
        <v>13306</v>
      </c>
      <c r="MGY2" t="s">
        <v>13307</v>
      </c>
      <c r="MGZ2" t="s">
        <v>13308</v>
      </c>
      <c r="MHA2" t="s">
        <v>13309</v>
      </c>
      <c r="MHB2" t="s">
        <v>13310</v>
      </c>
      <c r="MHC2" t="s">
        <v>13311</v>
      </c>
      <c r="MHD2" t="s">
        <v>13312</v>
      </c>
      <c r="MHE2" t="s">
        <v>13313</v>
      </c>
      <c r="MHF2" t="s">
        <v>13314</v>
      </c>
      <c r="MHG2" t="s">
        <v>13315</v>
      </c>
      <c r="MHH2" t="s">
        <v>13316</v>
      </c>
      <c r="MHI2" t="s">
        <v>13317</v>
      </c>
      <c r="MHJ2" t="s">
        <v>13318</v>
      </c>
      <c r="MHK2" t="s">
        <v>13319</v>
      </c>
      <c r="MHL2" t="s">
        <v>13320</v>
      </c>
      <c r="MHM2" t="s">
        <v>13321</v>
      </c>
      <c r="MHN2" t="s">
        <v>13322</v>
      </c>
      <c r="MHO2" t="s">
        <v>13323</v>
      </c>
      <c r="MHP2" t="s">
        <v>13324</v>
      </c>
      <c r="MHQ2" t="s">
        <v>13325</v>
      </c>
      <c r="MHR2" t="s">
        <v>13326</v>
      </c>
      <c r="MHS2" t="s">
        <v>13327</v>
      </c>
      <c r="MHT2" t="s">
        <v>13328</v>
      </c>
      <c r="MHU2" t="s">
        <v>13329</v>
      </c>
      <c r="MHV2" t="s">
        <v>13330</v>
      </c>
      <c r="MHW2" t="s">
        <v>13331</v>
      </c>
      <c r="MHX2" t="s">
        <v>13332</v>
      </c>
      <c r="MHY2" t="s">
        <v>13333</v>
      </c>
      <c r="MHZ2" t="s">
        <v>13334</v>
      </c>
      <c r="MIA2" t="s">
        <v>13335</v>
      </c>
      <c r="MIB2" t="s">
        <v>13336</v>
      </c>
      <c r="MIC2" t="s">
        <v>13337</v>
      </c>
      <c r="MID2" t="s">
        <v>13338</v>
      </c>
      <c r="MIE2" t="s">
        <v>13339</v>
      </c>
      <c r="MIF2" t="s">
        <v>13340</v>
      </c>
      <c r="MIG2" t="s">
        <v>13341</v>
      </c>
      <c r="MIH2" t="s">
        <v>13342</v>
      </c>
      <c r="MII2" t="s">
        <v>13343</v>
      </c>
      <c r="MIJ2" t="s">
        <v>13344</v>
      </c>
      <c r="MIK2" t="s">
        <v>13345</v>
      </c>
      <c r="MIL2" t="s">
        <v>13346</v>
      </c>
      <c r="MIM2" t="s">
        <v>13347</v>
      </c>
      <c r="MIN2" t="s">
        <v>13348</v>
      </c>
      <c r="MIO2" t="s">
        <v>13349</v>
      </c>
      <c r="MIP2" t="s">
        <v>13350</v>
      </c>
      <c r="MIQ2" t="s">
        <v>13351</v>
      </c>
      <c r="MIR2" t="s">
        <v>13352</v>
      </c>
      <c r="MIS2" t="s">
        <v>13353</v>
      </c>
      <c r="MIT2" t="s">
        <v>13354</v>
      </c>
      <c r="MIU2" t="s">
        <v>13355</v>
      </c>
      <c r="MIV2" t="s">
        <v>13356</v>
      </c>
      <c r="MIW2" t="s">
        <v>13357</v>
      </c>
      <c r="MIX2" t="s">
        <v>13358</v>
      </c>
      <c r="MIY2" t="s">
        <v>13359</v>
      </c>
      <c r="MIZ2" t="s">
        <v>13360</v>
      </c>
      <c r="MJA2" t="s">
        <v>13361</v>
      </c>
      <c r="MJB2" t="s">
        <v>13362</v>
      </c>
      <c r="MJC2" t="s">
        <v>13363</v>
      </c>
      <c r="MJD2" t="s">
        <v>13364</v>
      </c>
      <c r="MJE2" t="s">
        <v>13365</v>
      </c>
      <c r="MJF2" t="s">
        <v>13366</v>
      </c>
      <c r="MJG2" t="s">
        <v>13367</v>
      </c>
      <c r="MJH2" t="s">
        <v>13368</v>
      </c>
      <c r="MJI2" t="s">
        <v>13369</v>
      </c>
      <c r="MJJ2" t="s">
        <v>13370</v>
      </c>
      <c r="MJK2" t="s">
        <v>13371</v>
      </c>
      <c r="MJL2" t="s">
        <v>13372</v>
      </c>
      <c r="MJM2" t="s">
        <v>13373</v>
      </c>
      <c r="MJN2" t="s">
        <v>13374</v>
      </c>
      <c r="MJO2" t="s">
        <v>13375</v>
      </c>
      <c r="MJP2" t="s">
        <v>13376</v>
      </c>
      <c r="MJQ2" t="s">
        <v>13377</v>
      </c>
      <c r="MJR2" t="s">
        <v>13378</v>
      </c>
      <c r="MJS2" t="s">
        <v>13379</v>
      </c>
      <c r="MJT2" t="s">
        <v>13380</v>
      </c>
      <c r="MJU2" t="s">
        <v>13381</v>
      </c>
      <c r="MJV2" t="s">
        <v>13382</v>
      </c>
      <c r="MJW2" t="s">
        <v>13383</v>
      </c>
      <c r="MJX2" t="s">
        <v>13384</v>
      </c>
      <c r="MJY2" t="s">
        <v>13385</v>
      </c>
      <c r="MJZ2" t="s">
        <v>13386</v>
      </c>
      <c r="MKA2" t="s">
        <v>13387</v>
      </c>
      <c r="MKB2" t="s">
        <v>13388</v>
      </c>
      <c r="MKC2" t="s">
        <v>13389</v>
      </c>
      <c r="MKD2" t="s">
        <v>13390</v>
      </c>
      <c r="MKE2" t="s">
        <v>13391</v>
      </c>
      <c r="MKF2" t="s">
        <v>13392</v>
      </c>
      <c r="MKG2" t="s">
        <v>13393</v>
      </c>
      <c r="MKH2" t="s">
        <v>13394</v>
      </c>
      <c r="MKI2" t="s">
        <v>13395</v>
      </c>
      <c r="MKJ2" t="s">
        <v>13396</v>
      </c>
      <c r="MKK2" t="s">
        <v>13397</v>
      </c>
      <c r="MKL2" t="s">
        <v>13398</v>
      </c>
      <c r="MKM2" t="s">
        <v>13399</v>
      </c>
      <c r="MKN2" t="s">
        <v>13400</v>
      </c>
      <c r="MKO2" t="s">
        <v>13401</v>
      </c>
      <c r="MKP2" t="s">
        <v>13402</v>
      </c>
      <c r="MKQ2" t="s">
        <v>13403</v>
      </c>
      <c r="MKR2" t="s">
        <v>13404</v>
      </c>
      <c r="MKS2" t="s">
        <v>13405</v>
      </c>
      <c r="MKT2" t="s">
        <v>13406</v>
      </c>
      <c r="MKU2" t="s">
        <v>13407</v>
      </c>
      <c r="MKV2" t="s">
        <v>13408</v>
      </c>
      <c r="MKW2" t="s">
        <v>13409</v>
      </c>
      <c r="MKX2" t="s">
        <v>13410</v>
      </c>
      <c r="MKY2" t="s">
        <v>13411</v>
      </c>
      <c r="MKZ2" t="s">
        <v>13412</v>
      </c>
      <c r="MLA2" t="s">
        <v>13413</v>
      </c>
      <c r="MLB2" t="s">
        <v>13414</v>
      </c>
      <c r="MLC2" t="s">
        <v>13415</v>
      </c>
      <c r="MLD2" t="s">
        <v>13416</v>
      </c>
      <c r="MLE2" t="s">
        <v>13417</v>
      </c>
      <c r="MLF2" t="s">
        <v>13418</v>
      </c>
      <c r="MLG2" t="s">
        <v>13419</v>
      </c>
      <c r="MLH2" t="s">
        <v>13420</v>
      </c>
      <c r="MLI2" t="s">
        <v>13421</v>
      </c>
      <c r="MLJ2" t="s">
        <v>13422</v>
      </c>
      <c r="MLK2" t="s">
        <v>13423</v>
      </c>
      <c r="MLL2" t="s">
        <v>13424</v>
      </c>
      <c r="MLM2" t="s">
        <v>13425</v>
      </c>
      <c r="MLN2" t="s">
        <v>13426</v>
      </c>
      <c r="MLO2" t="s">
        <v>13427</v>
      </c>
      <c r="MLP2" t="s">
        <v>13428</v>
      </c>
      <c r="MLQ2" t="s">
        <v>13429</v>
      </c>
      <c r="MLR2" t="s">
        <v>13430</v>
      </c>
      <c r="MLS2" t="s">
        <v>13431</v>
      </c>
      <c r="MLT2" t="s">
        <v>13432</v>
      </c>
      <c r="MLU2" t="s">
        <v>13433</v>
      </c>
      <c r="MLV2" t="s">
        <v>13434</v>
      </c>
      <c r="MLW2" t="s">
        <v>13435</v>
      </c>
      <c r="MLX2" t="s">
        <v>13436</v>
      </c>
      <c r="MLY2" t="s">
        <v>13437</v>
      </c>
      <c r="MLZ2" t="s">
        <v>13438</v>
      </c>
      <c r="MMA2" t="s">
        <v>13439</v>
      </c>
      <c r="MMB2" t="s">
        <v>13440</v>
      </c>
      <c r="MMC2" t="s">
        <v>13441</v>
      </c>
      <c r="MMD2" t="s">
        <v>13442</v>
      </c>
      <c r="MME2" t="s">
        <v>13443</v>
      </c>
      <c r="MMF2" t="s">
        <v>13444</v>
      </c>
      <c r="MMG2" t="s">
        <v>13445</v>
      </c>
      <c r="MMH2" t="s">
        <v>13446</v>
      </c>
      <c r="MMI2" t="s">
        <v>13447</v>
      </c>
      <c r="MMJ2" t="s">
        <v>13448</v>
      </c>
      <c r="MMK2" t="s">
        <v>13449</v>
      </c>
      <c r="MML2" t="s">
        <v>13450</v>
      </c>
      <c r="MMM2" t="s">
        <v>13451</v>
      </c>
      <c r="MMN2" t="s">
        <v>13452</v>
      </c>
      <c r="MMO2" t="s">
        <v>13453</v>
      </c>
      <c r="MMP2" t="s">
        <v>13454</v>
      </c>
      <c r="MMQ2" t="s">
        <v>13455</v>
      </c>
      <c r="MMR2" t="s">
        <v>13456</v>
      </c>
      <c r="MMS2" t="s">
        <v>13457</v>
      </c>
      <c r="MMT2" t="s">
        <v>13458</v>
      </c>
      <c r="MMU2" t="s">
        <v>13459</v>
      </c>
      <c r="MMV2" t="s">
        <v>13460</v>
      </c>
      <c r="MMW2" t="s">
        <v>13461</v>
      </c>
      <c r="MMX2" t="s">
        <v>13462</v>
      </c>
      <c r="MMY2" t="s">
        <v>13463</v>
      </c>
      <c r="MMZ2" t="s">
        <v>13464</v>
      </c>
      <c r="MNA2" t="s">
        <v>13465</v>
      </c>
      <c r="MNB2" t="s">
        <v>13466</v>
      </c>
      <c r="MNC2" t="s">
        <v>13467</v>
      </c>
      <c r="MND2" t="s">
        <v>13468</v>
      </c>
      <c r="MNE2" t="s">
        <v>13469</v>
      </c>
      <c r="MNF2" t="s">
        <v>13470</v>
      </c>
      <c r="MNG2" t="s">
        <v>13471</v>
      </c>
      <c r="MNH2" t="s">
        <v>13472</v>
      </c>
      <c r="MNI2" t="s">
        <v>13473</v>
      </c>
      <c r="MNJ2" t="s">
        <v>13474</v>
      </c>
      <c r="MNK2" t="s">
        <v>13475</v>
      </c>
      <c r="MNL2" t="s">
        <v>13476</v>
      </c>
      <c r="MNM2" t="s">
        <v>13477</v>
      </c>
      <c r="MNN2" t="s">
        <v>13478</v>
      </c>
      <c r="MNO2" t="s">
        <v>13479</v>
      </c>
      <c r="MNP2" t="s">
        <v>13480</v>
      </c>
      <c r="MNQ2" t="s">
        <v>13481</v>
      </c>
      <c r="MNR2" t="s">
        <v>13482</v>
      </c>
      <c r="MNS2" t="s">
        <v>13483</v>
      </c>
      <c r="MNT2" t="s">
        <v>13484</v>
      </c>
      <c r="MNU2" t="s">
        <v>13485</v>
      </c>
      <c r="MNV2" t="s">
        <v>13486</v>
      </c>
      <c r="MNW2" t="s">
        <v>13487</v>
      </c>
      <c r="MNX2" t="s">
        <v>13488</v>
      </c>
      <c r="MNY2" t="s">
        <v>13489</v>
      </c>
      <c r="MNZ2" t="s">
        <v>13490</v>
      </c>
      <c r="MOA2" t="s">
        <v>13491</v>
      </c>
      <c r="MOB2" t="s">
        <v>13492</v>
      </c>
      <c r="MOC2" t="s">
        <v>13493</v>
      </c>
      <c r="MOD2" t="s">
        <v>13494</v>
      </c>
      <c r="MOE2" t="s">
        <v>13495</v>
      </c>
      <c r="MOF2" t="s">
        <v>13496</v>
      </c>
      <c r="MOG2" t="s">
        <v>13497</v>
      </c>
      <c r="MOH2" t="s">
        <v>13498</v>
      </c>
      <c r="MOI2" t="s">
        <v>13499</v>
      </c>
      <c r="MOJ2" t="s">
        <v>13500</v>
      </c>
      <c r="MOK2" t="s">
        <v>13501</v>
      </c>
      <c r="MOL2" t="s">
        <v>13502</v>
      </c>
      <c r="MOM2" t="s">
        <v>13503</v>
      </c>
      <c r="MON2" t="s">
        <v>13504</v>
      </c>
      <c r="MOO2" t="s">
        <v>13505</v>
      </c>
      <c r="MOP2" t="s">
        <v>13506</v>
      </c>
      <c r="MOQ2" t="s">
        <v>13507</v>
      </c>
      <c r="MOR2" t="s">
        <v>13508</v>
      </c>
      <c r="MOS2" t="s">
        <v>13509</v>
      </c>
      <c r="MOT2" t="s">
        <v>13510</v>
      </c>
      <c r="MOU2" t="s">
        <v>13511</v>
      </c>
      <c r="MOV2" t="s">
        <v>13512</v>
      </c>
      <c r="MOW2" t="s">
        <v>13513</v>
      </c>
      <c r="MOX2" t="s">
        <v>13514</v>
      </c>
      <c r="MOY2" t="s">
        <v>13515</v>
      </c>
      <c r="MOZ2" t="s">
        <v>13516</v>
      </c>
      <c r="MPA2" t="s">
        <v>13517</v>
      </c>
      <c r="MPB2" t="s">
        <v>13518</v>
      </c>
      <c r="MPC2" t="s">
        <v>13519</v>
      </c>
      <c r="MPD2" t="s">
        <v>13520</v>
      </c>
      <c r="MPE2" t="s">
        <v>13521</v>
      </c>
      <c r="MPF2" t="s">
        <v>13522</v>
      </c>
      <c r="MPG2" t="s">
        <v>13523</v>
      </c>
      <c r="MPH2" t="s">
        <v>13524</v>
      </c>
      <c r="MPI2" t="s">
        <v>13525</v>
      </c>
      <c r="MPJ2" t="s">
        <v>13526</v>
      </c>
      <c r="MPK2" t="s">
        <v>13527</v>
      </c>
      <c r="MPL2" t="s">
        <v>13528</v>
      </c>
      <c r="MPM2" t="s">
        <v>13529</v>
      </c>
      <c r="MPN2" t="s">
        <v>13530</v>
      </c>
      <c r="MPO2" t="s">
        <v>13531</v>
      </c>
      <c r="MPP2" t="s">
        <v>13532</v>
      </c>
      <c r="MPQ2" t="s">
        <v>13533</v>
      </c>
      <c r="MPR2" t="s">
        <v>13534</v>
      </c>
      <c r="MPS2" t="s">
        <v>13535</v>
      </c>
      <c r="MPT2" t="s">
        <v>13536</v>
      </c>
      <c r="MPU2" t="s">
        <v>13537</v>
      </c>
      <c r="MPV2" t="s">
        <v>13538</v>
      </c>
      <c r="MPW2" t="s">
        <v>13539</v>
      </c>
      <c r="MPX2" t="s">
        <v>13540</v>
      </c>
      <c r="MPY2" t="s">
        <v>13541</v>
      </c>
      <c r="MPZ2" t="s">
        <v>13542</v>
      </c>
      <c r="MQA2" t="s">
        <v>13543</v>
      </c>
      <c r="MQB2" t="s">
        <v>13544</v>
      </c>
      <c r="MQC2" t="s">
        <v>13545</v>
      </c>
      <c r="MQD2" t="s">
        <v>13546</v>
      </c>
      <c r="MQE2" t="s">
        <v>13547</v>
      </c>
      <c r="MQF2" t="s">
        <v>13548</v>
      </c>
      <c r="MQG2" t="s">
        <v>13549</v>
      </c>
      <c r="MQH2" t="s">
        <v>13550</v>
      </c>
      <c r="MQI2" t="s">
        <v>13551</v>
      </c>
      <c r="MQJ2" t="s">
        <v>13552</v>
      </c>
      <c r="MQK2" t="s">
        <v>13553</v>
      </c>
      <c r="MQL2" t="s">
        <v>13554</v>
      </c>
      <c r="MQM2" t="s">
        <v>13555</v>
      </c>
      <c r="MQN2" t="s">
        <v>13556</v>
      </c>
      <c r="MQO2" t="s">
        <v>13557</v>
      </c>
      <c r="MQP2" t="s">
        <v>13558</v>
      </c>
      <c r="MQQ2" t="s">
        <v>13559</v>
      </c>
      <c r="MQR2" t="s">
        <v>13560</v>
      </c>
      <c r="MQS2" t="s">
        <v>13561</v>
      </c>
      <c r="MQT2" t="s">
        <v>13562</v>
      </c>
      <c r="MQU2" t="s">
        <v>13563</v>
      </c>
      <c r="MQV2" t="s">
        <v>13564</v>
      </c>
      <c r="MQW2" t="s">
        <v>13565</v>
      </c>
      <c r="MQX2" t="s">
        <v>13566</v>
      </c>
      <c r="MQY2" t="s">
        <v>13567</v>
      </c>
      <c r="MQZ2" t="s">
        <v>13568</v>
      </c>
      <c r="MRA2" t="s">
        <v>13569</v>
      </c>
      <c r="MRB2" t="s">
        <v>13570</v>
      </c>
      <c r="MRC2" t="s">
        <v>13571</v>
      </c>
      <c r="MRD2" t="s">
        <v>13572</v>
      </c>
      <c r="MRE2" t="s">
        <v>13573</v>
      </c>
      <c r="MRF2" t="s">
        <v>13574</v>
      </c>
      <c r="MRG2" t="s">
        <v>13575</v>
      </c>
      <c r="MRH2" t="s">
        <v>13576</v>
      </c>
      <c r="MRI2" t="s">
        <v>13577</v>
      </c>
      <c r="MRJ2" t="s">
        <v>13578</v>
      </c>
      <c r="MRK2" t="s">
        <v>13579</v>
      </c>
      <c r="MRL2" t="s">
        <v>13580</v>
      </c>
      <c r="MRM2" t="s">
        <v>13581</v>
      </c>
      <c r="MRN2" t="s">
        <v>13582</v>
      </c>
      <c r="MRO2" t="s">
        <v>13583</v>
      </c>
      <c r="MRP2" t="s">
        <v>13584</v>
      </c>
      <c r="MRQ2" t="s">
        <v>13585</v>
      </c>
      <c r="MRR2" t="s">
        <v>13586</v>
      </c>
      <c r="MRS2" t="s">
        <v>13587</v>
      </c>
      <c r="MRT2" t="s">
        <v>13588</v>
      </c>
      <c r="MRU2" t="s">
        <v>13589</v>
      </c>
      <c r="MRV2" t="s">
        <v>13590</v>
      </c>
      <c r="MRW2" t="s">
        <v>13591</v>
      </c>
      <c r="MRX2" t="s">
        <v>13592</v>
      </c>
      <c r="MRY2" t="s">
        <v>13593</v>
      </c>
      <c r="MRZ2" t="s">
        <v>13594</v>
      </c>
      <c r="MSA2" t="s">
        <v>13595</v>
      </c>
      <c r="MSB2" t="s">
        <v>13596</v>
      </c>
      <c r="MSC2" t="s">
        <v>13597</v>
      </c>
      <c r="MSD2" t="s">
        <v>13598</v>
      </c>
      <c r="MSE2" t="s">
        <v>13599</v>
      </c>
      <c r="MSF2" t="s">
        <v>13600</v>
      </c>
      <c r="MSG2" t="s">
        <v>13601</v>
      </c>
      <c r="MSH2" t="s">
        <v>13602</v>
      </c>
      <c r="MSI2" t="s">
        <v>13603</v>
      </c>
      <c r="MSJ2" t="s">
        <v>13604</v>
      </c>
      <c r="MSK2" t="s">
        <v>13605</v>
      </c>
      <c r="MSL2" t="s">
        <v>13606</v>
      </c>
      <c r="MSM2" t="s">
        <v>13607</v>
      </c>
      <c r="MSN2" t="s">
        <v>13608</v>
      </c>
      <c r="MSO2" t="s">
        <v>13609</v>
      </c>
      <c r="MSP2" t="s">
        <v>13610</v>
      </c>
      <c r="MSQ2" t="s">
        <v>13611</v>
      </c>
      <c r="MSR2" t="s">
        <v>13612</v>
      </c>
      <c r="MSS2" t="s">
        <v>13613</v>
      </c>
      <c r="MST2" t="s">
        <v>13614</v>
      </c>
      <c r="MSU2" t="s">
        <v>13615</v>
      </c>
      <c r="MSV2" t="s">
        <v>13616</v>
      </c>
      <c r="MSW2" t="s">
        <v>13617</v>
      </c>
      <c r="MSX2" t="s">
        <v>13618</v>
      </c>
      <c r="MSY2" t="s">
        <v>13619</v>
      </c>
      <c r="MSZ2" t="s">
        <v>13620</v>
      </c>
      <c r="MTA2" t="s">
        <v>13621</v>
      </c>
      <c r="MTB2" t="s">
        <v>13622</v>
      </c>
      <c r="MTC2" t="s">
        <v>13623</v>
      </c>
      <c r="MTD2" t="s">
        <v>13624</v>
      </c>
      <c r="MTE2" t="s">
        <v>13625</v>
      </c>
      <c r="MTF2" t="s">
        <v>13626</v>
      </c>
      <c r="MTG2" t="s">
        <v>13627</v>
      </c>
      <c r="MTH2" t="s">
        <v>13628</v>
      </c>
      <c r="MTI2" t="s">
        <v>13629</v>
      </c>
      <c r="MTJ2" t="s">
        <v>13630</v>
      </c>
      <c r="MTK2" t="s">
        <v>13631</v>
      </c>
      <c r="MTL2" t="s">
        <v>13632</v>
      </c>
      <c r="MTM2" t="s">
        <v>13633</v>
      </c>
      <c r="MTN2" t="s">
        <v>13634</v>
      </c>
      <c r="MTO2" t="s">
        <v>13635</v>
      </c>
      <c r="MTP2" t="s">
        <v>13636</v>
      </c>
      <c r="MTQ2" t="s">
        <v>13637</v>
      </c>
      <c r="MTR2" t="s">
        <v>13638</v>
      </c>
      <c r="MTS2" t="s">
        <v>13639</v>
      </c>
      <c r="MTT2" t="s">
        <v>13640</v>
      </c>
      <c r="MTU2" t="s">
        <v>13641</v>
      </c>
      <c r="MTV2" t="s">
        <v>13642</v>
      </c>
      <c r="MTW2" t="s">
        <v>13643</v>
      </c>
      <c r="MTX2" t="s">
        <v>13644</v>
      </c>
      <c r="MTY2" t="s">
        <v>13645</v>
      </c>
      <c r="MTZ2" t="s">
        <v>13646</v>
      </c>
      <c r="MUA2" t="s">
        <v>13647</v>
      </c>
      <c r="MUB2" t="s">
        <v>13648</v>
      </c>
      <c r="MUC2" t="s">
        <v>13649</v>
      </c>
      <c r="MUD2" t="s">
        <v>13650</v>
      </c>
      <c r="MUE2" t="s">
        <v>13651</v>
      </c>
      <c r="MUF2" t="s">
        <v>13652</v>
      </c>
      <c r="MUG2" t="s">
        <v>13653</v>
      </c>
      <c r="MUH2" t="s">
        <v>13654</v>
      </c>
      <c r="MUI2" t="s">
        <v>13655</v>
      </c>
      <c r="MUJ2" t="s">
        <v>13656</v>
      </c>
      <c r="MUK2" t="s">
        <v>13657</v>
      </c>
      <c r="MUL2" t="s">
        <v>13658</v>
      </c>
      <c r="MUM2" t="s">
        <v>13659</v>
      </c>
      <c r="MUN2" t="s">
        <v>13660</v>
      </c>
      <c r="MUO2" t="s">
        <v>13661</v>
      </c>
      <c r="MUP2" t="s">
        <v>13662</v>
      </c>
      <c r="MUQ2" t="s">
        <v>13663</v>
      </c>
      <c r="MUR2" t="s">
        <v>13664</v>
      </c>
      <c r="MUS2" t="s">
        <v>13665</v>
      </c>
      <c r="MUT2" t="s">
        <v>13666</v>
      </c>
      <c r="MUU2" t="s">
        <v>13667</v>
      </c>
      <c r="MUV2" t="s">
        <v>13668</v>
      </c>
      <c r="MUW2" t="s">
        <v>13669</v>
      </c>
      <c r="MUX2" t="s">
        <v>13670</v>
      </c>
      <c r="MUY2" t="s">
        <v>13671</v>
      </c>
      <c r="MUZ2" t="s">
        <v>13672</v>
      </c>
      <c r="MVA2" t="s">
        <v>13673</v>
      </c>
      <c r="MVB2" t="s">
        <v>13674</v>
      </c>
      <c r="MVC2" t="s">
        <v>13675</v>
      </c>
      <c r="MVD2" t="s">
        <v>13676</v>
      </c>
      <c r="MVE2" t="s">
        <v>13677</v>
      </c>
      <c r="MVF2" t="s">
        <v>13678</v>
      </c>
      <c r="MVG2" t="s">
        <v>13679</v>
      </c>
      <c r="MVH2" t="s">
        <v>13680</v>
      </c>
      <c r="MVI2" t="s">
        <v>13681</v>
      </c>
      <c r="MVJ2" t="s">
        <v>13682</v>
      </c>
      <c r="MVK2" t="s">
        <v>13683</v>
      </c>
      <c r="MVL2" t="s">
        <v>13684</v>
      </c>
      <c r="MVM2" t="s">
        <v>13685</v>
      </c>
      <c r="MVN2" t="s">
        <v>13686</v>
      </c>
      <c r="MVO2" t="s">
        <v>13687</v>
      </c>
      <c r="MVP2" t="s">
        <v>13688</v>
      </c>
      <c r="MVQ2" t="s">
        <v>13689</v>
      </c>
      <c r="MVR2" t="s">
        <v>13690</v>
      </c>
      <c r="MVS2" t="s">
        <v>13691</v>
      </c>
      <c r="MVT2" t="s">
        <v>13692</v>
      </c>
      <c r="MVU2" t="s">
        <v>13693</v>
      </c>
      <c r="MVV2" t="s">
        <v>13694</v>
      </c>
      <c r="MVW2" t="s">
        <v>13695</v>
      </c>
      <c r="MVX2" t="s">
        <v>13696</v>
      </c>
      <c r="MVY2" t="s">
        <v>13697</v>
      </c>
      <c r="MVZ2" t="s">
        <v>13698</v>
      </c>
      <c r="MWA2" t="s">
        <v>13699</v>
      </c>
      <c r="MWB2" t="s">
        <v>13700</v>
      </c>
      <c r="MWC2" t="s">
        <v>13701</v>
      </c>
      <c r="MWD2" t="s">
        <v>13702</v>
      </c>
      <c r="MWE2" t="s">
        <v>13703</v>
      </c>
      <c r="MWF2" t="s">
        <v>13704</v>
      </c>
      <c r="MWG2" t="s">
        <v>13705</v>
      </c>
      <c r="MWH2" t="s">
        <v>13706</v>
      </c>
      <c r="MWI2" t="s">
        <v>13707</v>
      </c>
      <c r="MWJ2" t="s">
        <v>13708</v>
      </c>
      <c r="MWK2" t="s">
        <v>13709</v>
      </c>
      <c r="MWL2" t="s">
        <v>13710</v>
      </c>
      <c r="MWM2" t="s">
        <v>13711</v>
      </c>
      <c r="MWN2" t="s">
        <v>13712</v>
      </c>
      <c r="MWO2" t="s">
        <v>13713</v>
      </c>
      <c r="MWP2" t="s">
        <v>13714</v>
      </c>
      <c r="MWQ2" t="s">
        <v>13715</v>
      </c>
      <c r="MWR2" t="s">
        <v>13716</v>
      </c>
      <c r="MWS2" t="s">
        <v>13717</v>
      </c>
      <c r="MWT2" t="s">
        <v>13718</v>
      </c>
      <c r="MWU2" t="s">
        <v>13719</v>
      </c>
      <c r="MWV2" t="s">
        <v>13720</v>
      </c>
      <c r="MWW2" t="s">
        <v>13721</v>
      </c>
      <c r="MWX2" t="s">
        <v>13722</v>
      </c>
      <c r="MWY2" t="s">
        <v>13723</v>
      </c>
      <c r="MWZ2" t="s">
        <v>13724</v>
      </c>
      <c r="MXA2" t="s">
        <v>13725</v>
      </c>
      <c r="MXB2" t="s">
        <v>13726</v>
      </c>
      <c r="MXC2" t="s">
        <v>13727</v>
      </c>
      <c r="MXD2" t="s">
        <v>13728</v>
      </c>
      <c r="MXE2" t="s">
        <v>13729</v>
      </c>
      <c r="MXF2" t="s">
        <v>13730</v>
      </c>
      <c r="MXG2" t="s">
        <v>13731</v>
      </c>
      <c r="MXH2" t="s">
        <v>13732</v>
      </c>
      <c r="MXI2" t="s">
        <v>13733</v>
      </c>
      <c r="MXJ2" t="s">
        <v>13734</v>
      </c>
      <c r="MXK2" t="s">
        <v>13735</v>
      </c>
      <c r="MXL2" t="s">
        <v>13736</v>
      </c>
      <c r="MXM2" t="s">
        <v>13737</v>
      </c>
      <c r="MXN2" t="s">
        <v>13738</v>
      </c>
      <c r="MXO2" t="s">
        <v>13739</v>
      </c>
      <c r="MXP2" t="s">
        <v>13740</v>
      </c>
      <c r="MXQ2" t="s">
        <v>13741</v>
      </c>
      <c r="MXR2" t="s">
        <v>13742</v>
      </c>
      <c r="MXS2" t="s">
        <v>13743</v>
      </c>
      <c r="MXT2" t="s">
        <v>13744</v>
      </c>
      <c r="MXU2" t="s">
        <v>13745</v>
      </c>
      <c r="MXV2" t="s">
        <v>13746</v>
      </c>
      <c r="MXW2" t="s">
        <v>13747</v>
      </c>
      <c r="MXX2" t="s">
        <v>13748</v>
      </c>
      <c r="MXY2" t="s">
        <v>13749</v>
      </c>
      <c r="MXZ2" t="s">
        <v>13750</v>
      </c>
      <c r="MYA2" t="s">
        <v>13751</v>
      </c>
      <c r="MYB2" t="s">
        <v>13752</v>
      </c>
      <c r="MYC2" t="s">
        <v>13753</v>
      </c>
      <c r="MYD2" t="s">
        <v>13754</v>
      </c>
      <c r="MYE2" t="s">
        <v>13755</v>
      </c>
      <c r="MYF2" t="s">
        <v>13756</v>
      </c>
      <c r="MYG2" t="s">
        <v>13757</v>
      </c>
      <c r="MYH2" t="s">
        <v>13758</v>
      </c>
      <c r="MYI2" t="s">
        <v>13759</v>
      </c>
      <c r="MYJ2" t="s">
        <v>13760</v>
      </c>
      <c r="MYK2" t="s">
        <v>13761</v>
      </c>
      <c r="MYL2" t="s">
        <v>13762</v>
      </c>
      <c r="MYM2" t="s">
        <v>13763</v>
      </c>
      <c r="MYN2" t="s">
        <v>13764</v>
      </c>
      <c r="MYO2" t="s">
        <v>13765</v>
      </c>
      <c r="MYP2" t="s">
        <v>13766</v>
      </c>
      <c r="MYQ2" t="s">
        <v>13767</v>
      </c>
      <c r="MYR2" t="s">
        <v>13768</v>
      </c>
      <c r="MYS2" t="s">
        <v>13769</v>
      </c>
      <c r="MYT2" t="s">
        <v>13770</v>
      </c>
      <c r="MYU2" t="s">
        <v>13771</v>
      </c>
      <c r="MYV2" t="s">
        <v>13772</v>
      </c>
      <c r="MYW2" t="s">
        <v>13773</v>
      </c>
      <c r="MYX2" t="s">
        <v>13774</v>
      </c>
      <c r="MYY2" t="s">
        <v>13775</v>
      </c>
      <c r="MYZ2" t="s">
        <v>13776</v>
      </c>
      <c r="MZA2" t="s">
        <v>13777</v>
      </c>
      <c r="MZB2" t="s">
        <v>13778</v>
      </c>
      <c r="MZC2" t="s">
        <v>13779</v>
      </c>
      <c r="MZD2" t="s">
        <v>13780</v>
      </c>
      <c r="MZE2" t="s">
        <v>13781</v>
      </c>
      <c r="MZF2" t="s">
        <v>13782</v>
      </c>
      <c r="MZG2" t="s">
        <v>13783</v>
      </c>
      <c r="MZH2" t="s">
        <v>13784</v>
      </c>
      <c r="MZI2" t="s">
        <v>13785</v>
      </c>
      <c r="MZJ2" t="s">
        <v>13786</v>
      </c>
      <c r="MZK2" t="s">
        <v>13787</v>
      </c>
      <c r="MZL2" t="s">
        <v>13788</v>
      </c>
      <c r="MZM2" t="s">
        <v>13789</v>
      </c>
      <c r="MZN2" t="s">
        <v>13790</v>
      </c>
      <c r="MZO2" t="s">
        <v>13791</v>
      </c>
      <c r="MZP2" t="s">
        <v>13792</v>
      </c>
      <c r="MZQ2" t="s">
        <v>13793</v>
      </c>
      <c r="MZR2" t="s">
        <v>13794</v>
      </c>
      <c r="MZS2" t="s">
        <v>13795</v>
      </c>
      <c r="MZT2" t="s">
        <v>13796</v>
      </c>
      <c r="MZU2" t="s">
        <v>13797</v>
      </c>
      <c r="MZV2" t="s">
        <v>13798</v>
      </c>
      <c r="MZW2" t="s">
        <v>13799</v>
      </c>
      <c r="MZX2" t="s">
        <v>13800</v>
      </c>
      <c r="MZY2" t="s">
        <v>13801</v>
      </c>
      <c r="MZZ2" t="s">
        <v>13802</v>
      </c>
      <c r="NAA2" t="s">
        <v>13803</v>
      </c>
      <c r="NAB2" t="s">
        <v>13804</v>
      </c>
      <c r="NAC2" t="s">
        <v>13805</v>
      </c>
      <c r="NAD2" t="s">
        <v>13806</v>
      </c>
      <c r="NAE2" t="s">
        <v>13807</v>
      </c>
      <c r="NAF2" t="s">
        <v>13808</v>
      </c>
      <c r="NAG2" t="s">
        <v>13809</v>
      </c>
      <c r="NAH2" t="s">
        <v>13810</v>
      </c>
      <c r="NAI2" t="s">
        <v>13811</v>
      </c>
      <c r="NAJ2" t="s">
        <v>13812</v>
      </c>
      <c r="NAK2" t="s">
        <v>13813</v>
      </c>
      <c r="NAL2" t="s">
        <v>13814</v>
      </c>
      <c r="NAM2" t="s">
        <v>13815</v>
      </c>
      <c r="NAN2" t="s">
        <v>13816</v>
      </c>
      <c r="NAO2" t="s">
        <v>13817</v>
      </c>
      <c r="NAP2" t="s">
        <v>13818</v>
      </c>
      <c r="NAQ2" t="s">
        <v>13819</v>
      </c>
      <c r="NAR2" t="s">
        <v>13820</v>
      </c>
      <c r="NAS2" t="s">
        <v>13821</v>
      </c>
      <c r="NAT2" t="s">
        <v>13822</v>
      </c>
      <c r="NAU2" t="s">
        <v>13823</v>
      </c>
      <c r="NAV2" t="s">
        <v>13824</v>
      </c>
      <c r="NAW2" t="s">
        <v>13825</v>
      </c>
      <c r="NAX2" t="s">
        <v>13826</v>
      </c>
      <c r="NAY2" t="s">
        <v>13827</v>
      </c>
      <c r="NAZ2" t="s">
        <v>13828</v>
      </c>
      <c r="NBA2" t="s">
        <v>13829</v>
      </c>
      <c r="NBB2" t="s">
        <v>13830</v>
      </c>
      <c r="NBC2" t="s">
        <v>13831</v>
      </c>
      <c r="NBD2" t="s">
        <v>13832</v>
      </c>
      <c r="NBE2" t="s">
        <v>13833</v>
      </c>
      <c r="NBF2" t="s">
        <v>13834</v>
      </c>
      <c r="NBG2" t="s">
        <v>13835</v>
      </c>
      <c r="NBH2" t="s">
        <v>13836</v>
      </c>
      <c r="NBI2" t="s">
        <v>13837</v>
      </c>
      <c r="NBJ2" t="s">
        <v>13838</v>
      </c>
      <c r="NBK2" t="s">
        <v>13839</v>
      </c>
      <c r="NBL2" t="s">
        <v>13840</v>
      </c>
      <c r="NBM2" t="s">
        <v>13841</v>
      </c>
      <c r="NBN2" t="s">
        <v>13842</v>
      </c>
      <c r="NBO2" t="s">
        <v>13843</v>
      </c>
      <c r="NBP2" t="s">
        <v>13844</v>
      </c>
      <c r="NBQ2" t="s">
        <v>13845</v>
      </c>
      <c r="NBR2" t="s">
        <v>13846</v>
      </c>
      <c r="NBS2" t="s">
        <v>13847</v>
      </c>
      <c r="NBT2" t="s">
        <v>13848</v>
      </c>
      <c r="NBU2" t="s">
        <v>13849</v>
      </c>
      <c r="NBV2" t="s">
        <v>13850</v>
      </c>
      <c r="NBW2" t="s">
        <v>13851</v>
      </c>
      <c r="NBX2" t="s">
        <v>13852</v>
      </c>
      <c r="NBY2" t="s">
        <v>13853</v>
      </c>
      <c r="NBZ2" t="s">
        <v>13854</v>
      </c>
      <c r="NCA2" t="s">
        <v>13855</v>
      </c>
      <c r="NCB2" t="s">
        <v>13856</v>
      </c>
      <c r="NCC2" t="s">
        <v>13857</v>
      </c>
      <c r="NCD2" t="s">
        <v>13858</v>
      </c>
      <c r="NCE2" t="s">
        <v>13859</v>
      </c>
      <c r="NCF2" t="s">
        <v>13860</v>
      </c>
      <c r="NCG2" t="s">
        <v>13861</v>
      </c>
      <c r="NCH2" t="s">
        <v>13862</v>
      </c>
      <c r="NCI2" t="s">
        <v>13863</v>
      </c>
      <c r="NCJ2" t="s">
        <v>13864</v>
      </c>
      <c r="NCK2" t="s">
        <v>13865</v>
      </c>
      <c r="NCL2" t="s">
        <v>13866</v>
      </c>
      <c r="NCM2" t="s">
        <v>13867</v>
      </c>
      <c r="NCN2" t="s">
        <v>13868</v>
      </c>
      <c r="NCO2" t="s">
        <v>13869</v>
      </c>
      <c r="NCP2" t="s">
        <v>13870</v>
      </c>
      <c r="NCQ2" t="s">
        <v>13871</v>
      </c>
      <c r="NCR2" t="s">
        <v>13872</v>
      </c>
      <c r="NCS2" t="s">
        <v>13873</v>
      </c>
      <c r="NCT2" t="s">
        <v>13874</v>
      </c>
      <c r="NCU2" t="s">
        <v>13875</v>
      </c>
      <c r="NCV2" t="s">
        <v>13876</v>
      </c>
      <c r="NCW2" t="s">
        <v>13877</v>
      </c>
      <c r="NCX2" t="s">
        <v>13878</v>
      </c>
      <c r="NCY2" t="s">
        <v>13879</v>
      </c>
      <c r="NCZ2" t="s">
        <v>13880</v>
      </c>
      <c r="NDA2" t="s">
        <v>13881</v>
      </c>
      <c r="NDB2" t="s">
        <v>13882</v>
      </c>
      <c r="NDC2" t="s">
        <v>13883</v>
      </c>
      <c r="NDD2" t="s">
        <v>13884</v>
      </c>
      <c r="NDE2" t="s">
        <v>13885</v>
      </c>
      <c r="NDF2" t="s">
        <v>13886</v>
      </c>
      <c r="NDG2" t="s">
        <v>13887</v>
      </c>
      <c r="NDH2" t="s">
        <v>13888</v>
      </c>
      <c r="NDI2" t="s">
        <v>13889</v>
      </c>
      <c r="NDJ2" t="s">
        <v>13890</v>
      </c>
      <c r="NDK2" t="s">
        <v>13891</v>
      </c>
      <c r="NDL2" t="s">
        <v>13892</v>
      </c>
      <c r="NDM2" t="s">
        <v>13893</v>
      </c>
      <c r="NDN2" t="s">
        <v>13894</v>
      </c>
      <c r="NDO2" t="s">
        <v>13895</v>
      </c>
      <c r="NDP2" t="s">
        <v>13896</v>
      </c>
      <c r="NDQ2" t="s">
        <v>13897</v>
      </c>
      <c r="NDR2" t="s">
        <v>13898</v>
      </c>
      <c r="NDS2" t="s">
        <v>13899</v>
      </c>
      <c r="NDT2" t="s">
        <v>13900</v>
      </c>
      <c r="NDU2" t="s">
        <v>13901</v>
      </c>
      <c r="NDV2" t="s">
        <v>13902</v>
      </c>
      <c r="NDW2" t="s">
        <v>13903</v>
      </c>
      <c r="NDX2" t="s">
        <v>13904</v>
      </c>
      <c r="NDY2" t="s">
        <v>13905</v>
      </c>
      <c r="NDZ2" t="s">
        <v>13906</v>
      </c>
      <c r="NEA2" t="s">
        <v>13907</v>
      </c>
      <c r="NEB2" t="s">
        <v>13908</v>
      </c>
      <c r="NEC2" t="s">
        <v>13909</v>
      </c>
      <c r="NED2" t="s">
        <v>13910</v>
      </c>
      <c r="NEE2" t="s">
        <v>13911</v>
      </c>
      <c r="NEF2" t="s">
        <v>13912</v>
      </c>
      <c r="NEG2" t="s">
        <v>13913</v>
      </c>
      <c r="NEH2" t="s">
        <v>13914</v>
      </c>
      <c r="NEI2" t="s">
        <v>13915</v>
      </c>
      <c r="NEJ2" t="s">
        <v>13916</v>
      </c>
      <c r="NEK2" t="s">
        <v>13917</v>
      </c>
      <c r="NEL2" t="s">
        <v>13918</v>
      </c>
      <c r="NEM2" t="s">
        <v>13919</v>
      </c>
      <c r="NEN2" t="s">
        <v>13920</v>
      </c>
      <c r="NEO2" t="s">
        <v>13921</v>
      </c>
      <c r="NEP2" t="s">
        <v>13922</v>
      </c>
      <c r="NEQ2" t="s">
        <v>13923</v>
      </c>
      <c r="NER2" t="s">
        <v>13924</v>
      </c>
      <c r="NES2" t="s">
        <v>13925</v>
      </c>
      <c r="NET2" t="s">
        <v>13926</v>
      </c>
      <c r="NEU2" t="s">
        <v>13927</v>
      </c>
      <c r="NEV2" t="s">
        <v>13928</v>
      </c>
      <c r="NEW2" t="s">
        <v>13929</v>
      </c>
      <c r="NEX2" t="s">
        <v>13930</v>
      </c>
      <c r="NEY2" t="s">
        <v>13931</v>
      </c>
      <c r="NEZ2" t="s">
        <v>13932</v>
      </c>
      <c r="NFA2" t="s">
        <v>13933</v>
      </c>
      <c r="NFB2" t="s">
        <v>13934</v>
      </c>
      <c r="NFC2" t="s">
        <v>13935</v>
      </c>
      <c r="NFD2" t="s">
        <v>13936</v>
      </c>
      <c r="NFE2" t="s">
        <v>13937</v>
      </c>
      <c r="NFF2" t="s">
        <v>13938</v>
      </c>
      <c r="NFG2" t="s">
        <v>13939</v>
      </c>
      <c r="NFH2" t="s">
        <v>13940</v>
      </c>
      <c r="NFI2" t="s">
        <v>13941</v>
      </c>
      <c r="NFJ2" t="s">
        <v>13942</v>
      </c>
      <c r="NFK2" t="s">
        <v>13943</v>
      </c>
      <c r="NFL2" t="s">
        <v>13944</v>
      </c>
      <c r="NFM2" t="s">
        <v>13945</v>
      </c>
      <c r="NFN2" t="s">
        <v>13946</v>
      </c>
      <c r="NFO2" t="s">
        <v>13947</v>
      </c>
      <c r="NFP2" t="s">
        <v>13948</v>
      </c>
      <c r="NFQ2" t="s">
        <v>13949</v>
      </c>
      <c r="NFR2" t="s">
        <v>13950</v>
      </c>
      <c r="NFS2" t="s">
        <v>13951</v>
      </c>
      <c r="NFT2" t="s">
        <v>13952</v>
      </c>
      <c r="NFU2" t="s">
        <v>13953</v>
      </c>
      <c r="NFV2" t="s">
        <v>13954</v>
      </c>
      <c r="NFW2" t="s">
        <v>13955</v>
      </c>
      <c r="NFX2" t="s">
        <v>13956</v>
      </c>
      <c r="NFY2" t="s">
        <v>13957</v>
      </c>
      <c r="NFZ2" t="s">
        <v>13958</v>
      </c>
      <c r="NGA2" t="s">
        <v>13959</v>
      </c>
      <c r="NGB2" t="s">
        <v>13960</v>
      </c>
      <c r="NGC2" t="s">
        <v>13961</v>
      </c>
      <c r="NGD2" t="s">
        <v>13962</v>
      </c>
      <c r="NGE2" t="s">
        <v>13963</v>
      </c>
      <c r="NGF2" t="s">
        <v>13964</v>
      </c>
      <c r="NGG2" t="s">
        <v>13965</v>
      </c>
      <c r="NGH2" t="s">
        <v>13966</v>
      </c>
      <c r="NGI2" t="s">
        <v>13967</v>
      </c>
      <c r="NGJ2" t="s">
        <v>13968</v>
      </c>
      <c r="NGK2" t="s">
        <v>13969</v>
      </c>
      <c r="NGL2" t="s">
        <v>13970</v>
      </c>
      <c r="NGM2" t="s">
        <v>13971</v>
      </c>
      <c r="NGN2" t="s">
        <v>13972</v>
      </c>
      <c r="NGO2" t="s">
        <v>13973</v>
      </c>
      <c r="NGP2" t="s">
        <v>13974</v>
      </c>
      <c r="NGQ2" t="s">
        <v>13975</v>
      </c>
      <c r="NGR2" t="s">
        <v>13976</v>
      </c>
      <c r="NGS2" t="s">
        <v>13977</v>
      </c>
      <c r="NGT2" t="s">
        <v>13978</v>
      </c>
      <c r="NGU2" t="s">
        <v>13979</v>
      </c>
      <c r="NGV2" t="s">
        <v>13980</v>
      </c>
      <c r="NGW2" t="s">
        <v>13981</v>
      </c>
      <c r="NGX2" t="s">
        <v>13982</v>
      </c>
      <c r="NGY2" t="s">
        <v>13983</v>
      </c>
      <c r="NGZ2" t="s">
        <v>13984</v>
      </c>
      <c r="NHA2" t="s">
        <v>13985</v>
      </c>
      <c r="NHB2" t="s">
        <v>13986</v>
      </c>
      <c r="NHC2" t="s">
        <v>13987</v>
      </c>
      <c r="NHD2" t="s">
        <v>13988</v>
      </c>
      <c r="NHE2" t="s">
        <v>13989</v>
      </c>
      <c r="NHF2" t="s">
        <v>13990</v>
      </c>
      <c r="NHG2" t="s">
        <v>13991</v>
      </c>
      <c r="NHH2" t="s">
        <v>13992</v>
      </c>
      <c r="NHI2" t="s">
        <v>13993</v>
      </c>
      <c r="NHJ2" t="s">
        <v>13994</v>
      </c>
      <c r="NHK2" t="s">
        <v>13995</v>
      </c>
      <c r="NHL2" t="s">
        <v>13996</v>
      </c>
      <c r="NHM2" t="s">
        <v>13997</v>
      </c>
      <c r="NHN2" t="s">
        <v>13998</v>
      </c>
      <c r="NHO2" t="s">
        <v>13999</v>
      </c>
      <c r="NHP2" t="s">
        <v>14000</v>
      </c>
      <c r="NHQ2" t="s">
        <v>14001</v>
      </c>
      <c r="NHR2" t="s">
        <v>14002</v>
      </c>
      <c r="NHS2" t="s">
        <v>14003</v>
      </c>
      <c r="NHT2" t="s">
        <v>14004</v>
      </c>
      <c r="NHU2" t="s">
        <v>14005</v>
      </c>
      <c r="NHV2" t="s">
        <v>14006</v>
      </c>
      <c r="NHW2" t="s">
        <v>14007</v>
      </c>
      <c r="NHX2" t="s">
        <v>14008</v>
      </c>
      <c r="NHY2" t="s">
        <v>14009</v>
      </c>
      <c r="NHZ2" t="s">
        <v>14010</v>
      </c>
      <c r="NIA2" t="s">
        <v>14011</v>
      </c>
      <c r="NIB2" t="s">
        <v>14012</v>
      </c>
      <c r="NIC2" t="s">
        <v>14013</v>
      </c>
      <c r="NID2" t="s">
        <v>14014</v>
      </c>
      <c r="NIE2" t="s">
        <v>14015</v>
      </c>
      <c r="NIF2" t="s">
        <v>14016</v>
      </c>
      <c r="NIG2" t="s">
        <v>14017</v>
      </c>
      <c r="NIH2" t="s">
        <v>14018</v>
      </c>
      <c r="NII2" t="s">
        <v>14019</v>
      </c>
      <c r="NIJ2" t="s">
        <v>14020</v>
      </c>
      <c r="NIK2" t="s">
        <v>14021</v>
      </c>
      <c r="NIL2" t="s">
        <v>14022</v>
      </c>
      <c r="NIM2" t="s">
        <v>14023</v>
      </c>
      <c r="NIN2" t="s">
        <v>14024</v>
      </c>
      <c r="NIO2" t="s">
        <v>14025</v>
      </c>
      <c r="NIP2" t="s">
        <v>14026</v>
      </c>
      <c r="NIQ2" t="s">
        <v>14027</v>
      </c>
      <c r="NIR2" t="s">
        <v>14028</v>
      </c>
      <c r="NIS2" t="s">
        <v>14029</v>
      </c>
      <c r="NIT2" t="s">
        <v>14030</v>
      </c>
      <c r="NIU2" t="s">
        <v>14031</v>
      </c>
      <c r="NIV2" t="s">
        <v>14032</v>
      </c>
      <c r="NIW2" t="s">
        <v>14033</v>
      </c>
      <c r="NIX2" t="s">
        <v>14034</v>
      </c>
      <c r="NIY2" t="s">
        <v>14035</v>
      </c>
      <c r="NIZ2" t="s">
        <v>14036</v>
      </c>
      <c r="NJA2" t="s">
        <v>14037</v>
      </c>
      <c r="NJB2" t="s">
        <v>14038</v>
      </c>
      <c r="NJC2" t="s">
        <v>14039</v>
      </c>
      <c r="NJD2" t="s">
        <v>14040</v>
      </c>
      <c r="NJE2" t="s">
        <v>14041</v>
      </c>
      <c r="NJF2" t="s">
        <v>14042</v>
      </c>
      <c r="NJG2" t="s">
        <v>14043</v>
      </c>
      <c r="NJH2" t="s">
        <v>14044</v>
      </c>
      <c r="NJI2" t="s">
        <v>14045</v>
      </c>
      <c r="NJJ2" t="s">
        <v>14046</v>
      </c>
      <c r="NJK2" t="s">
        <v>14047</v>
      </c>
      <c r="NJL2" t="s">
        <v>14048</v>
      </c>
      <c r="NJM2" t="s">
        <v>14049</v>
      </c>
      <c r="NJN2" t="s">
        <v>14050</v>
      </c>
      <c r="NJO2" t="s">
        <v>14051</v>
      </c>
      <c r="NJP2" t="s">
        <v>14052</v>
      </c>
      <c r="NJQ2" t="s">
        <v>14053</v>
      </c>
      <c r="NJR2" t="s">
        <v>14054</v>
      </c>
      <c r="NJS2" t="s">
        <v>14055</v>
      </c>
      <c r="NJT2" t="s">
        <v>14056</v>
      </c>
      <c r="NJU2" t="s">
        <v>14057</v>
      </c>
      <c r="NJV2" t="s">
        <v>14058</v>
      </c>
      <c r="NJW2" t="s">
        <v>14059</v>
      </c>
      <c r="NJX2" t="s">
        <v>14060</v>
      </c>
      <c r="NJY2" t="s">
        <v>14061</v>
      </c>
      <c r="NJZ2" t="s">
        <v>14062</v>
      </c>
      <c r="NKA2" t="s">
        <v>14063</v>
      </c>
      <c r="NKB2" t="s">
        <v>14064</v>
      </c>
      <c r="NKC2" t="s">
        <v>14065</v>
      </c>
      <c r="NKD2" t="s">
        <v>14066</v>
      </c>
      <c r="NKE2" t="s">
        <v>14067</v>
      </c>
      <c r="NKF2" t="s">
        <v>14068</v>
      </c>
      <c r="NKG2" t="s">
        <v>14069</v>
      </c>
      <c r="NKH2" t="s">
        <v>14070</v>
      </c>
      <c r="NKI2" t="s">
        <v>14071</v>
      </c>
      <c r="NKJ2" t="s">
        <v>14072</v>
      </c>
      <c r="NKK2" t="s">
        <v>14073</v>
      </c>
      <c r="NKL2" t="s">
        <v>14074</v>
      </c>
      <c r="NKM2" t="s">
        <v>14075</v>
      </c>
      <c r="NKN2" t="s">
        <v>14076</v>
      </c>
      <c r="NKO2" t="s">
        <v>14077</v>
      </c>
      <c r="NKP2" t="s">
        <v>14078</v>
      </c>
      <c r="NKQ2" t="s">
        <v>14079</v>
      </c>
      <c r="NKR2" t="s">
        <v>14080</v>
      </c>
      <c r="NKS2" t="s">
        <v>14081</v>
      </c>
      <c r="NKT2" t="s">
        <v>14082</v>
      </c>
      <c r="NKU2" t="s">
        <v>14083</v>
      </c>
      <c r="NKV2" t="s">
        <v>14084</v>
      </c>
      <c r="NKW2" t="s">
        <v>14085</v>
      </c>
      <c r="NKX2" t="s">
        <v>14086</v>
      </c>
      <c r="NKY2" t="s">
        <v>14087</v>
      </c>
      <c r="NKZ2" t="s">
        <v>14088</v>
      </c>
      <c r="NLA2" t="s">
        <v>14089</v>
      </c>
      <c r="NLB2" t="s">
        <v>14090</v>
      </c>
      <c r="NLC2" t="s">
        <v>14091</v>
      </c>
      <c r="NLD2" t="s">
        <v>14092</v>
      </c>
      <c r="NLE2" t="s">
        <v>14093</v>
      </c>
      <c r="NLF2" t="s">
        <v>14094</v>
      </c>
      <c r="NLG2" t="s">
        <v>14095</v>
      </c>
      <c r="NLH2" t="s">
        <v>14096</v>
      </c>
      <c r="NLI2" t="s">
        <v>14097</v>
      </c>
      <c r="NLJ2" t="s">
        <v>14098</v>
      </c>
      <c r="NLK2" t="s">
        <v>14099</v>
      </c>
      <c r="NLL2" t="s">
        <v>14100</v>
      </c>
      <c r="NLM2" t="s">
        <v>14101</v>
      </c>
      <c r="NLN2" t="s">
        <v>14102</v>
      </c>
      <c r="NLO2" t="s">
        <v>14103</v>
      </c>
      <c r="NLP2" t="s">
        <v>14104</v>
      </c>
      <c r="NLQ2" t="s">
        <v>14105</v>
      </c>
      <c r="NLR2" t="s">
        <v>14106</v>
      </c>
      <c r="NLS2" t="s">
        <v>14107</v>
      </c>
      <c r="NLT2" t="s">
        <v>14108</v>
      </c>
      <c r="NLU2" t="s">
        <v>14109</v>
      </c>
      <c r="NLV2" t="s">
        <v>14110</v>
      </c>
      <c r="NLW2" t="s">
        <v>14111</v>
      </c>
      <c r="NLX2" t="s">
        <v>14112</v>
      </c>
      <c r="NLY2" t="s">
        <v>14113</v>
      </c>
      <c r="NLZ2" t="s">
        <v>14114</v>
      </c>
      <c r="NMA2" t="s">
        <v>14115</v>
      </c>
      <c r="NMB2" t="s">
        <v>14116</v>
      </c>
      <c r="NMC2" t="s">
        <v>14117</v>
      </c>
      <c r="NMD2" t="s">
        <v>14118</v>
      </c>
      <c r="NME2" t="s">
        <v>14119</v>
      </c>
      <c r="NMF2" t="s">
        <v>14120</v>
      </c>
      <c r="NMG2" t="s">
        <v>14121</v>
      </c>
      <c r="NMH2" t="s">
        <v>14122</v>
      </c>
      <c r="NMI2" t="s">
        <v>14123</v>
      </c>
      <c r="NMJ2" t="s">
        <v>14124</v>
      </c>
      <c r="NMK2" t="s">
        <v>14125</v>
      </c>
      <c r="NML2" t="s">
        <v>14126</v>
      </c>
      <c r="NMM2" t="s">
        <v>14127</v>
      </c>
      <c r="NMN2" t="s">
        <v>14128</v>
      </c>
      <c r="NMO2" t="s">
        <v>14129</v>
      </c>
      <c r="NMP2" t="s">
        <v>14130</v>
      </c>
      <c r="NMQ2" t="s">
        <v>14131</v>
      </c>
      <c r="NMR2" t="s">
        <v>14132</v>
      </c>
      <c r="NMS2" t="s">
        <v>14133</v>
      </c>
      <c r="NMT2" t="s">
        <v>14134</v>
      </c>
      <c r="NMU2" t="s">
        <v>14135</v>
      </c>
      <c r="NMV2" t="s">
        <v>14136</v>
      </c>
      <c r="NMW2" t="s">
        <v>14137</v>
      </c>
      <c r="NMX2" t="s">
        <v>14138</v>
      </c>
      <c r="NMY2" t="s">
        <v>14139</v>
      </c>
      <c r="NMZ2" t="s">
        <v>14140</v>
      </c>
      <c r="NNA2" t="s">
        <v>14141</v>
      </c>
      <c r="NNB2" t="s">
        <v>14142</v>
      </c>
      <c r="NNC2" t="s">
        <v>14143</v>
      </c>
      <c r="NND2" t="s">
        <v>14144</v>
      </c>
      <c r="NNE2" t="s">
        <v>14145</v>
      </c>
      <c r="NNF2" t="s">
        <v>14146</v>
      </c>
      <c r="NNG2" t="s">
        <v>14147</v>
      </c>
      <c r="NNH2" t="s">
        <v>14148</v>
      </c>
      <c r="NNI2" t="s">
        <v>14149</v>
      </c>
      <c r="NNJ2" t="s">
        <v>14150</v>
      </c>
      <c r="NNK2" t="s">
        <v>14151</v>
      </c>
      <c r="NNL2" t="s">
        <v>14152</v>
      </c>
      <c r="NNM2" t="s">
        <v>14153</v>
      </c>
      <c r="NNN2" t="s">
        <v>14154</v>
      </c>
      <c r="NNO2" t="s">
        <v>14155</v>
      </c>
      <c r="NNP2" t="s">
        <v>14156</v>
      </c>
      <c r="NNQ2" t="s">
        <v>14157</v>
      </c>
      <c r="NNR2" t="s">
        <v>14158</v>
      </c>
      <c r="NNS2" t="s">
        <v>14159</v>
      </c>
      <c r="NNT2" t="s">
        <v>14160</v>
      </c>
      <c r="NNU2" t="s">
        <v>14161</v>
      </c>
      <c r="NNV2" t="s">
        <v>14162</v>
      </c>
      <c r="NNW2" t="s">
        <v>14163</v>
      </c>
      <c r="NNX2" t="s">
        <v>14164</v>
      </c>
      <c r="NNY2" t="s">
        <v>14165</v>
      </c>
      <c r="NNZ2" t="s">
        <v>14166</v>
      </c>
      <c r="NOA2" t="s">
        <v>14167</v>
      </c>
      <c r="NOB2" t="s">
        <v>14168</v>
      </c>
      <c r="NOC2" t="s">
        <v>14169</v>
      </c>
      <c r="NOD2" t="s">
        <v>14170</v>
      </c>
      <c r="NOE2" t="s">
        <v>14171</v>
      </c>
      <c r="NOF2" t="s">
        <v>14172</v>
      </c>
      <c r="NOG2" t="s">
        <v>14173</v>
      </c>
      <c r="NOH2" t="s">
        <v>14174</v>
      </c>
      <c r="NOI2" t="s">
        <v>14175</v>
      </c>
      <c r="NOJ2" t="s">
        <v>14176</v>
      </c>
      <c r="NOK2" t="s">
        <v>14177</v>
      </c>
      <c r="NOL2" t="s">
        <v>14178</v>
      </c>
      <c r="NOM2" t="s">
        <v>14179</v>
      </c>
      <c r="NON2" t="s">
        <v>14180</v>
      </c>
      <c r="NOO2" t="s">
        <v>14181</v>
      </c>
      <c r="NOP2" t="s">
        <v>14182</v>
      </c>
      <c r="NOQ2" t="s">
        <v>14183</v>
      </c>
      <c r="NOR2" t="s">
        <v>14184</v>
      </c>
      <c r="NOS2" t="s">
        <v>14185</v>
      </c>
      <c r="NOT2" t="s">
        <v>14186</v>
      </c>
      <c r="NOU2" t="s">
        <v>14187</v>
      </c>
      <c r="NOV2" t="s">
        <v>14188</v>
      </c>
      <c r="NOW2" t="s">
        <v>14189</v>
      </c>
      <c r="NOX2" t="s">
        <v>14190</v>
      </c>
      <c r="NOY2" t="s">
        <v>14191</v>
      </c>
      <c r="NOZ2" t="s">
        <v>14192</v>
      </c>
      <c r="NPA2" t="s">
        <v>14193</v>
      </c>
      <c r="NPB2" t="s">
        <v>14194</v>
      </c>
      <c r="NPC2" t="s">
        <v>14195</v>
      </c>
      <c r="NPD2" t="s">
        <v>14196</v>
      </c>
      <c r="NPE2" t="s">
        <v>14197</v>
      </c>
      <c r="NPF2" t="s">
        <v>14198</v>
      </c>
      <c r="NPG2" t="s">
        <v>14199</v>
      </c>
      <c r="NPH2" t="s">
        <v>14200</v>
      </c>
      <c r="NPI2" t="s">
        <v>14201</v>
      </c>
      <c r="NPJ2" t="s">
        <v>14202</v>
      </c>
      <c r="NPK2" t="s">
        <v>14203</v>
      </c>
      <c r="NPL2" t="s">
        <v>14204</v>
      </c>
      <c r="NPM2" t="s">
        <v>14205</v>
      </c>
      <c r="NPN2" t="s">
        <v>14206</v>
      </c>
      <c r="NPO2" t="s">
        <v>14207</v>
      </c>
      <c r="NPP2" t="s">
        <v>14208</v>
      </c>
      <c r="NPQ2" t="s">
        <v>14209</v>
      </c>
      <c r="NPR2" t="s">
        <v>14210</v>
      </c>
      <c r="NPS2" t="s">
        <v>14211</v>
      </c>
      <c r="NPT2" t="s">
        <v>14212</v>
      </c>
      <c r="NPU2" t="s">
        <v>14213</v>
      </c>
      <c r="NPV2" t="s">
        <v>14214</v>
      </c>
      <c r="NPW2" t="s">
        <v>14215</v>
      </c>
      <c r="NPX2" t="s">
        <v>14216</v>
      </c>
      <c r="NPY2" t="s">
        <v>14217</v>
      </c>
      <c r="NPZ2" t="s">
        <v>14218</v>
      </c>
      <c r="NQA2" t="s">
        <v>14219</v>
      </c>
      <c r="NQB2" t="s">
        <v>14220</v>
      </c>
      <c r="NQC2" t="s">
        <v>14221</v>
      </c>
      <c r="NQD2" t="s">
        <v>14222</v>
      </c>
      <c r="NQE2" t="s">
        <v>14223</v>
      </c>
      <c r="NQF2" t="s">
        <v>14224</v>
      </c>
      <c r="NQG2" t="s">
        <v>14225</v>
      </c>
      <c r="NQH2" t="s">
        <v>14226</v>
      </c>
      <c r="NQI2" t="s">
        <v>14227</v>
      </c>
      <c r="NQJ2" t="s">
        <v>14228</v>
      </c>
      <c r="NQK2" t="s">
        <v>14229</v>
      </c>
      <c r="NQL2" t="s">
        <v>14230</v>
      </c>
      <c r="NQM2" t="s">
        <v>14231</v>
      </c>
      <c r="NQN2" t="s">
        <v>14232</v>
      </c>
      <c r="NQO2" t="s">
        <v>14233</v>
      </c>
      <c r="NQP2" t="s">
        <v>14234</v>
      </c>
      <c r="NQQ2" t="s">
        <v>14235</v>
      </c>
      <c r="NQR2" t="s">
        <v>14236</v>
      </c>
      <c r="NQS2" t="s">
        <v>14237</v>
      </c>
      <c r="NQT2" t="s">
        <v>14238</v>
      </c>
      <c r="NQU2" t="s">
        <v>14239</v>
      </c>
      <c r="NQV2" t="s">
        <v>14240</v>
      </c>
      <c r="NQW2" t="s">
        <v>14241</v>
      </c>
      <c r="NQX2" t="s">
        <v>14242</v>
      </c>
      <c r="NQY2" t="s">
        <v>14243</v>
      </c>
      <c r="NQZ2" t="s">
        <v>14244</v>
      </c>
      <c r="NRA2" t="s">
        <v>14245</v>
      </c>
      <c r="NRB2" t="s">
        <v>14246</v>
      </c>
      <c r="NRC2" t="s">
        <v>14247</v>
      </c>
      <c r="NRD2" t="s">
        <v>14248</v>
      </c>
      <c r="NRE2" t="s">
        <v>14249</v>
      </c>
      <c r="NRF2" t="s">
        <v>14250</v>
      </c>
      <c r="NRG2" t="s">
        <v>14251</v>
      </c>
      <c r="NRH2" t="s">
        <v>14252</v>
      </c>
      <c r="NRI2" t="s">
        <v>14253</v>
      </c>
      <c r="NRJ2" t="s">
        <v>14254</v>
      </c>
      <c r="NRK2" t="s">
        <v>14255</v>
      </c>
      <c r="NRL2" t="s">
        <v>14256</v>
      </c>
      <c r="NRM2" t="s">
        <v>14257</v>
      </c>
      <c r="NRN2" t="s">
        <v>14258</v>
      </c>
      <c r="NRO2" t="s">
        <v>14259</v>
      </c>
      <c r="NRP2" t="s">
        <v>14260</v>
      </c>
      <c r="NRQ2" t="s">
        <v>14261</v>
      </c>
      <c r="NRR2" t="s">
        <v>14262</v>
      </c>
      <c r="NRS2" t="s">
        <v>14263</v>
      </c>
      <c r="NRT2" t="s">
        <v>14264</v>
      </c>
      <c r="NRU2" t="s">
        <v>14265</v>
      </c>
      <c r="NRV2" t="s">
        <v>14266</v>
      </c>
      <c r="NRW2" t="s">
        <v>14267</v>
      </c>
      <c r="NRX2" t="s">
        <v>14268</v>
      </c>
      <c r="NRY2" t="s">
        <v>14269</v>
      </c>
      <c r="NRZ2" t="s">
        <v>14270</v>
      </c>
      <c r="NSA2" t="s">
        <v>14271</v>
      </c>
      <c r="NSB2" t="s">
        <v>14272</v>
      </c>
      <c r="NSC2" t="s">
        <v>14273</v>
      </c>
      <c r="NSD2" t="s">
        <v>14274</v>
      </c>
      <c r="NSE2" t="s">
        <v>14275</v>
      </c>
      <c r="NSF2" t="s">
        <v>14276</v>
      </c>
      <c r="NSG2" t="s">
        <v>14277</v>
      </c>
      <c r="NSH2" t="s">
        <v>14278</v>
      </c>
      <c r="NSI2" t="s">
        <v>14279</v>
      </c>
      <c r="NSJ2" t="s">
        <v>14280</v>
      </c>
      <c r="NSK2" t="s">
        <v>14281</v>
      </c>
      <c r="NSL2" t="s">
        <v>14282</v>
      </c>
      <c r="NSM2" t="s">
        <v>14283</v>
      </c>
      <c r="NSN2" t="s">
        <v>14284</v>
      </c>
      <c r="NSO2" t="s">
        <v>14285</v>
      </c>
      <c r="NSP2" t="s">
        <v>14286</v>
      </c>
      <c r="NSQ2" t="s">
        <v>14287</v>
      </c>
      <c r="NSR2" t="s">
        <v>14288</v>
      </c>
      <c r="NSS2" t="s">
        <v>14289</v>
      </c>
      <c r="NST2" t="s">
        <v>14290</v>
      </c>
      <c r="NSU2" t="s">
        <v>14291</v>
      </c>
      <c r="NSV2" t="s">
        <v>14292</v>
      </c>
      <c r="NSW2" t="s">
        <v>14293</v>
      </c>
      <c r="NSX2" t="s">
        <v>14294</v>
      </c>
      <c r="NSY2" t="s">
        <v>14295</v>
      </c>
      <c r="NSZ2" t="s">
        <v>14296</v>
      </c>
      <c r="NTA2" t="s">
        <v>14297</v>
      </c>
      <c r="NTB2" t="s">
        <v>14298</v>
      </c>
      <c r="NTC2" t="s">
        <v>14299</v>
      </c>
      <c r="NTD2" t="s">
        <v>14300</v>
      </c>
      <c r="NTE2" t="s">
        <v>14301</v>
      </c>
      <c r="NTF2" t="s">
        <v>14302</v>
      </c>
      <c r="NTG2" t="s">
        <v>14303</v>
      </c>
      <c r="NTH2" t="s">
        <v>14304</v>
      </c>
      <c r="NTI2" t="s">
        <v>14305</v>
      </c>
      <c r="NTJ2" t="s">
        <v>14306</v>
      </c>
      <c r="NTK2" t="s">
        <v>14307</v>
      </c>
      <c r="NTL2" t="s">
        <v>14308</v>
      </c>
      <c r="NTM2" t="s">
        <v>14309</v>
      </c>
      <c r="NTN2" t="s">
        <v>14310</v>
      </c>
      <c r="NTO2" t="s">
        <v>14311</v>
      </c>
      <c r="NTP2" t="s">
        <v>14312</v>
      </c>
      <c r="NTQ2" t="s">
        <v>14313</v>
      </c>
      <c r="NTR2" t="s">
        <v>14314</v>
      </c>
      <c r="NTS2" t="s">
        <v>14315</v>
      </c>
      <c r="NTT2" t="s">
        <v>14316</v>
      </c>
      <c r="NTU2" t="s">
        <v>14317</v>
      </c>
      <c r="NTV2" t="s">
        <v>14318</v>
      </c>
      <c r="NTW2" t="s">
        <v>14319</v>
      </c>
      <c r="NTX2" t="s">
        <v>14320</v>
      </c>
      <c r="NTY2" t="s">
        <v>14321</v>
      </c>
      <c r="NTZ2" t="s">
        <v>14322</v>
      </c>
      <c r="NUA2" t="s">
        <v>14323</v>
      </c>
      <c r="NUB2" t="s">
        <v>14324</v>
      </c>
      <c r="NUC2" t="s">
        <v>14325</v>
      </c>
      <c r="NUD2" t="s">
        <v>14326</v>
      </c>
      <c r="NUE2" t="s">
        <v>14327</v>
      </c>
      <c r="NUF2" t="s">
        <v>14328</v>
      </c>
      <c r="NUG2" t="s">
        <v>14329</v>
      </c>
      <c r="NUH2" t="s">
        <v>14330</v>
      </c>
      <c r="NUI2" t="s">
        <v>14331</v>
      </c>
      <c r="NUJ2" t="s">
        <v>14332</v>
      </c>
      <c r="NUK2" t="s">
        <v>14333</v>
      </c>
      <c r="NUL2" t="s">
        <v>14334</v>
      </c>
      <c r="NUM2" t="s">
        <v>14335</v>
      </c>
      <c r="NUN2" t="s">
        <v>14336</v>
      </c>
      <c r="NUO2" t="s">
        <v>14337</v>
      </c>
      <c r="NUP2" t="s">
        <v>14338</v>
      </c>
      <c r="NUQ2" t="s">
        <v>14339</v>
      </c>
      <c r="NUR2" t="s">
        <v>14340</v>
      </c>
      <c r="NUS2" t="s">
        <v>14341</v>
      </c>
      <c r="NUT2" t="s">
        <v>14342</v>
      </c>
      <c r="NUU2" t="s">
        <v>14343</v>
      </c>
      <c r="NUV2" t="s">
        <v>14344</v>
      </c>
      <c r="NUW2" t="s">
        <v>14345</v>
      </c>
      <c r="NUX2" t="s">
        <v>14346</v>
      </c>
      <c r="NUY2" t="s">
        <v>14347</v>
      </c>
      <c r="NUZ2" t="s">
        <v>14348</v>
      </c>
      <c r="NVA2" t="s">
        <v>14349</v>
      </c>
      <c r="NVB2" t="s">
        <v>14350</v>
      </c>
      <c r="NVC2" t="s">
        <v>14351</v>
      </c>
      <c r="NVD2" t="s">
        <v>14352</v>
      </c>
      <c r="NVE2" t="s">
        <v>14353</v>
      </c>
      <c r="NVF2" t="s">
        <v>14354</v>
      </c>
      <c r="NVG2" t="s">
        <v>14355</v>
      </c>
      <c r="NVH2" t="s">
        <v>14356</v>
      </c>
      <c r="NVI2" t="s">
        <v>14357</v>
      </c>
      <c r="NVJ2" t="s">
        <v>14358</v>
      </c>
      <c r="NVK2" t="s">
        <v>14359</v>
      </c>
      <c r="NVL2" t="s">
        <v>14360</v>
      </c>
      <c r="NVM2" t="s">
        <v>14361</v>
      </c>
      <c r="NVN2" t="s">
        <v>14362</v>
      </c>
      <c r="NVO2" t="s">
        <v>14363</v>
      </c>
      <c r="NVP2" t="s">
        <v>14364</v>
      </c>
      <c r="NVQ2" t="s">
        <v>14365</v>
      </c>
      <c r="NVR2" t="s">
        <v>14366</v>
      </c>
      <c r="NVS2" t="s">
        <v>14367</v>
      </c>
      <c r="NVT2" t="s">
        <v>14368</v>
      </c>
      <c r="NVU2" t="s">
        <v>14369</v>
      </c>
      <c r="NVV2" t="s">
        <v>14370</v>
      </c>
      <c r="NVW2" t="s">
        <v>14371</v>
      </c>
      <c r="NVX2" t="s">
        <v>14372</v>
      </c>
      <c r="NVY2" t="s">
        <v>14373</v>
      </c>
      <c r="NVZ2" t="s">
        <v>14374</v>
      </c>
      <c r="NWA2" t="s">
        <v>14375</v>
      </c>
      <c r="NWB2" t="s">
        <v>14376</v>
      </c>
      <c r="NWC2" t="s">
        <v>14377</v>
      </c>
      <c r="NWD2" t="s">
        <v>14378</v>
      </c>
      <c r="NWE2" t="s">
        <v>14379</v>
      </c>
      <c r="NWF2" t="s">
        <v>14380</v>
      </c>
      <c r="NWG2" t="s">
        <v>14381</v>
      </c>
      <c r="NWH2" t="s">
        <v>14382</v>
      </c>
      <c r="NWI2" t="s">
        <v>14383</v>
      </c>
      <c r="NWJ2" t="s">
        <v>14384</v>
      </c>
      <c r="NWK2" t="s">
        <v>14385</v>
      </c>
      <c r="NWL2" t="s">
        <v>14386</v>
      </c>
      <c r="NWM2" t="s">
        <v>14387</v>
      </c>
      <c r="NWN2" t="s">
        <v>14388</v>
      </c>
      <c r="NWO2" t="s">
        <v>14389</v>
      </c>
      <c r="NWP2" t="s">
        <v>14390</v>
      </c>
      <c r="NWQ2" t="s">
        <v>14391</v>
      </c>
      <c r="NWR2" t="s">
        <v>14392</v>
      </c>
      <c r="NWS2" t="s">
        <v>14393</v>
      </c>
      <c r="NWT2" t="s">
        <v>14394</v>
      </c>
      <c r="NWU2" t="s">
        <v>14395</v>
      </c>
      <c r="NWV2" t="s">
        <v>14396</v>
      </c>
      <c r="NWW2" t="s">
        <v>14397</v>
      </c>
      <c r="NWX2" t="s">
        <v>14398</v>
      </c>
      <c r="NWY2" t="s">
        <v>14399</v>
      </c>
      <c r="NWZ2" t="s">
        <v>14400</v>
      </c>
      <c r="NXA2" t="s">
        <v>14401</v>
      </c>
      <c r="NXB2" t="s">
        <v>14402</v>
      </c>
      <c r="NXC2" t="s">
        <v>14403</v>
      </c>
      <c r="NXD2" t="s">
        <v>14404</v>
      </c>
      <c r="NXE2" t="s">
        <v>14405</v>
      </c>
      <c r="NXF2" t="s">
        <v>14406</v>
      </c>
      <c r="NXG2" t="s">
        <v>14407</v>
      </c>
      <c r="NXH2" t="s">
        <v>14408</v>
      </c>
      <c r="NXI2" t="s">
        <v>14409</v>
      </c>
      <c r="NXJ2" t="s">
        <v>14410</v>
      </c>
      <c r="NXK2" t="s">
        <v>14411</v>
      </c>
      <c r="NXL2" t="s">
        <v>14412</v>
      </c>
      <c r="NXM2" t="s">
        <v>14413</v>
      </c>
      <c r="NXN2" t="s">
        <v>14414</v>
      </c>
      <c r="NXO2" t="s">
        <v>14415</v>
      </c>
      <c r="NXP2" t="s">
        <v>14416</v>
      </c>
      <c r="NXQ2" t="s">
        <v>14417</v>
      </c>
      <c r="NXR2" t="s">
        <v>14418</v>
      </c>
      <c r="NXS2" t="s">
        <v>14419</v>
      </c>
      <c r="NXT2" t="s">
        <v>14420</v>
      </c>
      <c r="NXU2" t="s">
        <v>14421</v>
      </c>
      <c r="NXV2" t="s">
        <v>14422</v>
      </c>
      <c r="NXW2" t="s">
        <v>14423</v>
      </c>
      <c r="NXX2" t="s">
        <v>14424</v>
      </c>
      <c r="NXY2" t="s">
        <v>14425</v>
      </c>
      <c r="NXZ2" t="s">
        <v>14426</v>
      </c>
      <c r="NYA2" t="s">
        <v>14427</v>
      </c>
      <c r="NYB2" t="s">
        <v>14428</v>
      </c>
      <c r="NYC2" t="s">
        <v>14429</v>
      </c>
      <c r="NYD2" t="s">
        <v>14430</v>
      </c>
      <c r="NYE2" t="s">
        <v>14431</v>
      </c>
      <c r="NYF2" t="s">
        <v>14432</v>
      </c>
      <c r="NYG2" t="s">
        <v>14433</v>
      </c>
      <c r="NYH2" t="s">
        <v>14434</v>
      </c>
      <c r="NYI2" t="s">
        <v>14435</v>
      </c>
      <c r="NYJ2" t="s">
        <v>14436</v>
      </c>
      <c r="NYK2" t="s">
        <v>14437</v>
      </c>
      <c r="NYL2" t="s">
        <v>14438</v>
      </c>
      <c r="NYM2" t="s">
        <v>14439</v>
      </c>
      <c r="NYN2" t="s">
        <v>14440</v>
      </c>
      <c r="NYO2" t="s">
        <v>14441</v>
      </c>
      <c r="NYP2" t="s">
        <v>14442</v>
      </c>
      <c r="NYQ2" t="s">
        <v>14443</v>
      </c>
      <c r="NYR2" t="s">
        <v>14444</v>
      </c>
      <c r="NYS2" t="s">
        <v>14445</v>
      </c>
      <c r="NYT2" t="s">
        <v>14446</v>
      </c>
      <c r="NYU2" t="s">
        <v>14447</v>
      </c>
      <c r="NYV2" t="s">
        <v>14448</v>
      </c>
      <c r="NYW2" t="s">
        <v>14449</v>
      </c>
      <c r="NYX2" t="s">
        <v>14450</v>
      </c>
      <c r="NYY2" t="s">
        <v>14451</v>
      </c>
      <c r="NYZ2" t="s">
        <v>14452</v>
      </c>
      <c r="NZA2" t="s">
        <v>14453</v>
      </c>
      <c r="NZB2" t="s">
        <v>14454</v>
      </c>
      <c r="NZC2" t="s">
        <v>14455</v>
      </c>
      <c r="NZD2" t="s">
        <v>14456</v>
      </c>
      <c r="NZE2" t="s">
        <v>14457</v>
      </c>
      <c r="NZF2" t="s">
        <v>14458</v>
      </c>
      <c r="NZG2" t="s">
        <v>14459</v>
      </c>
      <c r="NZH2" t="s">
        <v>14460</v>
      </c>
      <c r="NZI2" t="s">
        <v>14461</v>
      </c>
      <c r="NZJ2" t="s">
        <v>14462</v>
      </c>
      <c r="NZK2" t="s">
        <v>14463</v>
      </c>
      <c r="NZL2" t="s">
        <v>14464</v>
      </c>
      <c r="NZM2" t="s">
        <v>14465</v>
      </c>
      <c r="NZN2" t="s">
        <v>14466</v>
      </c>
      <c r="NZO2" t="s">
        <v>14467</v>
      </c>
      <c r="NZP2" t="s">
        <v>14468</v>
      </c>
      <c r="NZQ2" t="s">
        <v>14469</v>
      </c>
      <c r="NZR2" t="s">
        <v>14470</v>
      </c>
      <c r="NZS2" t="s">
        <v>14471</v>
      </c>
      <c r="NZT2" t="s">
        <v>14472</v>
      </c>
      <c r="NZU2" t="s">
        <v>14473</v>
      </c>
      <c r="NZV2" t="s">
        <v>14474</v>
      </c>
      <c r="NZW2" t="s">
        <v>14475</v>
      </c>
      <c r="NZX2" t="s">
        <v>14476</v>
      </c>
      <c r="NZY2" t="s">
        <v>14477</v>
      </c>
      <c r="NZZ2" t="s">
        <v>14478</v>
      </c>
      <c r="OAA2" t="s">
        <v>14479</v>
      </c>
      <c r="OAB2" t="s">
        <v>14480</v>
      </c>
      <c r="OAC2" t="s">
        <v>14481</v>
      </c>
      <c r="OAD2" t="s">
        <v>14482</v>
      </c>
      <c r="OAE2" t="s">
        <v>14483</v>
      </c>
      <c r="OAF2" t="s">
        <v>14484</v>
      </c>
      <c r="OAG2" t="s">
        <v>14485</v>
      </c>
      <c r="OAH2" t="s">
        <v>14486</v>
      </c>
      <c r="OAI2" t="s">
        <v>14487</v>
      </c>
      <c r="OAJ2" t="s">
        <v>14488</v>
      </c>
      <c r="OAK2" t="s">
        <v>14489</v>
      </c>
      <c r="OAL2" t="s">
        <v>14490</v>
      </c>
      <c r="OAM2" t="s">
        <v>14491</v>
      </c>
      <c r="OAN2" t="s">
        <v>14492</v>
      </c>
      <c r="OAO2" t="s">
        <v>14493</v>
      </c>
      <c r="OAP2" t="s">
        <v>14494</v>
      </c>
      <c r="OAQ2" t="s">
        <v>14495</v>
      </c>
      <c r="OAR2" t="s">
        <v>14496</v>
      </c>
      <c r="OAS2" t="s">
        <v>14497</v>
      </c>
      <c r="OAT2" t="s">
        <v>14498</v>
      </c>
      <c r="OAU2" t="s">
        <v>14499</v>
      </c>
      <c r="OAV2" t="s">
        <v>14500</v>
      </c>
      <c r="OAW2" t="s">
        <v>14501</v>
      </c>
      <c r="OAX2" t="s">
        <v>14502</v>
      </c>
      <c r="OAY2" t="s">
        <v>14503</v>
      </c>
      <c r="OAZ2" t="s">
        <v>14504</v>
      </c>
      <c r="OBA2" t="s">
        <v>14505</v>
      </c>
      <c r="OBB2" t="s">
        <v>14506</v>
      </c>
      <c r="OBC2" t="s">
        <v>14507</v>
      </c>
      <c r="OBD2" t="s">
        <v>14508</v>
      </c>
      <c r="OBE2" t="s">
        <v>14509</v>
      </c>
      <c r="OBF2" t="s">
        <v>14510</v>
      </c>
      <c r="OBG2" t="s">
        <v>14511</v>
      </c>
      <c r="OBH2" t="s">
        <v>14512</v>
      </c>
      <c r="OBI2" t="s">
        <v>14513</v>
      </c>
      <c r="OBJ2" t="s">
        <v>14514</v>
      </c>
      <c r="OBK2" t="s">
        <v>14515</v>
      </c>
      <c r="OBL2" t="s">
        <v>14516</v>
      </c>
      <c r="OBM2" t="s">
        <v>14517</v>
      </c>
      <c r="OBN2" t="s">
        <v>14518</v>
      </c>
      <c r="OBO2" t="s">
        <v>14519</v>
      </c>
      <c r="OBP2" t="s">
        <v>14520</v>
      </c>
      <c r="OBQ2" t="s">
        <v>14521</v>
      </c>
      <c r="OBR2" t="s">
        <v>14522</v>
      </c>
      <c r="OBS2" t="s">
        <v>14523</v>
      </c>
      <c r="OBT2" t="s">
        <v>14524</v>
      </c>
      <c r="OBU2" t="s">
        <v>14525</v>
      </c>
      <c r="OBV2" t="s">
        <v>14526</v>
      </c>
      <c r="OBW2" t="s">
        <v>14527</v>
      </c>
      <c r="OBX2" t="s">
        <v>14528</v>
      </c>
      <c r="OBY2" t="s">
        <v>14529</v>
      </c>
      <c r="OBZ2" t="s">
        <v>14530</v>
      </c>
      <c r="OCA2" t="s">
        <v>14531</v>
      </c>
      <c r="OCB2" t="s">
        <v>14532</v>
      </c>
      <c r="OCC2" t="s">
        <v>14533</v>
      </c>
      <c r="OCD2" t="s">
        <v>14534</v>
      </c>
      <c r="OCE2" t="s">
        <v>14535</v>
      </c>
      <c r="OCF2" t="s">
        <v>14536</v>
      </c>
      <c r="OCG2" t="s">
        <v>14537</v>
      </c>
      <c r="OCH2" t="s">
        <v>14538</v>
      </c>
      <c r="OCI2" t="s">
        <v>14539</v>
      </c>
      <c r="OCJ2" t="s">
        <v>14540</v>
      </c>
      <c r="OCK2" t="s">
        <v>14541</v>
      </c>
      <c r="OCL2" t="s">
        <v>14542</v>
      </c>
      <c r="OCM2" t="s">
        <v>14543</v>
      </c>
      <c r="OCN2" t="s">
        <v>14544</v>
      </c>
      <c r="OCO2" t="s">
        <v>14545</v>
      </c>
      <c r="OCP2" t="s">
        <v>14546</v>
      </c>
      <c r="OCQ2" t="s">
        <v>14547</v>
      </c>
      <c r="OCR2" t="s">
        <v>14548</v>
      </c>
      <c r="OCS2" t="s">
        <v>14549</v>
      </c>
      <c r="OCT2" t="s">
        <v>14550</v>
      </c>
      <c r="OCU2" t="s">
        <v>14551</v>
      </c>
      <c r="OCV2" t="s">
        <v>14552</v>
      </c>
      <c r="OCW2" t="s">
        <v>14553</v>
      </c>
      <c r="OCX2" t="s">
        <v>14554</v>
      </c>
      <c r="OCY2" t="s">
        <v>14555</v>
      </c>
      <c r="OCZ2" t="s">
        <v>14556</v>
      </c>
      <c r="ODA2" t="s">
        <v>14557</v>
      </c>
      <c r="ODB2" t="s">
        <v>14558</v>
      </c>
      <c r="ODC2" t="s">
        <v>14559</v>
      </c>
      <c r="ODD2" t="s">
        <v>14560</v>
      </c>
      <c r="ODE2" t="s">
        <v>14561</v>
      </c>
      <c r="ODF2" t="s">
        <v>14562</v>
      </c>
      <c r="ODG2" t="s">
        <v>14563</v>
      </c>
      <c r="ODH2" t="s">
        <v>14564</v>
      </c>
      <c r="ODI2" t="s">
        <v>14565</v>
      </c>
      <c r="ODJ2" t="s">
        <v>14566</v>
      </c>
      <c r="ODK2" t="s">
        <v>14567</v>
      </c>
      <c r="ODL2" t="s">
        <v>14568</v>
      </c>
      <c r="ODM2" t="s">
        <v>14569</v>
      </c>
      <c r="ODN2" t="s">
        <v>14570</v>
      </c>
      <c r="ODO2" t="s">
        <v>14571</v>
      </c>
      <c r="ODP2" t="s">
        <v>14572</v>
      </c>
      <c r="ODQ2" t="s">
        <v>14573</v>
      </c>
      <c r="ODR2" t="s">
        <v>14574</v>
      </c>
      <c r="ODS2" t="s">
        <v>14575</v>
      </c>
      <c r="ODT2" t="s">
        <v>14576</v>
      </c>
      <c r="ODU2" t="s">
        <v>14577</v>
      </c>
      <c r="ODV2" t="s">
        <v>14578</v>
      </c>
      <c r="ODW2" t="s">
        <v>14579</v>
      </c>
      <c r="ODX2" t="s">
        <v>14580</v>
      </c>
      <c r="ODY2" t="s">
        <v>14581</v>
      </c>
      <c r="ODZ2" t="s">
        <v>14582</v>
      </c>
      <c r="OEA2" t="s">
        <v>14583</v>
      </c>
      <c r="OEB2" t="s">
        <v>14584</v>
      </c>
      <c r="OEC2" t="s">
        <v>14585</v>
      </c>
      <c r="OED2" t="s">
        <v>14586</v>
      </c>
      <c r="OEE2" t="s">
        <v>14587</v>
      </c>
      <c r="OEF2" t="s">
        <v>14588</v>
      </c>
      <c r="OEG2" t="s">
        <v>14589</v>
      </c>
      <c r="OEH2" t="s">
        <v>14590</v>
      </c>
      <c r="OEI2" t="s">
        <v>14591</v>
      </c>
      <c r="OEJ2" t="s">
        <v>14592</v>
      </c>
      <c r="OEK2" t="s">
        <v>14593</v>
      </c>
      <c r="OEL2" t="s">
        <v>14594</v>
      </c>
      <c r="OEM2" t="s">
        <v>14595</v>
      </c>
      <c r="OEN2" t="s">
        <v>14596</v>
      </c>
      <c r="OEO2" t="s">
        <v>14597</v>
      </c>
      <c r="OEP2" t="s">
        <v>14598</v>
      </c>
      <c r="OEQ2" t="s">
        <v>14599</v>
      </c>
      <c r="OER2" t="s">
        <v>14600</v>
      </c>
      <c r="OES2" t="s">
        <v>14601</v>
      </c>
      <c r="OET2" t="s">
        <v>14602</v>
      </c>
      <c r="OEU2" t="s">
        <v>14603</v>
      </c>
      <c r="OEV2" t="s">
        <v>14604</v>
      </c>
      <c r="OEW2" t="s">
        <v>14605</v>
      </c>
      <c r="OEX2" t="s">
        <v>14606</v>
      </c>
      <c r="OEY2" t="s">
        <v>14607</v>
      </c>
      <c r="OEZ2" t="s">
        <v>14608</v>
      </c>
      <c r="OFA2" t="s">
        <v>14609</v>
      </c>
      <c r="OFB2" t="s">
        <v>14610</v>
      </c>
      <c r="OFC2" t="s">
        <v>14611</v>
      </c>
      <c r="OFD2" t="s">
        <v>14612</v>
      </c>
      <c r="OFE2" t="s">
        <v>14613</v>
      </c>
      <c r="OFF2" t="s">
        <v>14614</v>
      </c>
      <c r="OFG2" t="s">
        <v>14615</v>
      </c>
      <c r="OFH2" t="s">
        <v>14616</v>
      </c>
      <c r="OFI2" t="s">
        <v>14617</v>
      </c>
      <c r="OFJ2" t="s">
        <v>14618</v>
      </c>
      <c r="OFK2" t="s">
        <v>14619</v>
      </c>
      <c r="OFL2" t="s">
        <v>14620</v>
      </c>
      <c r="OFM2" t="s">
        <v>14621</v>
      </c>
      <c r="OFN2" t="s">
        <v>14622</v>
      </c>
      <c r="OFO2" t="s">
        <v>14623</v>
      </c>
      <c r="OFP2" t="s">
        <v>14624</v>
      </c>
      <c r="OFQ2" t="s">
        <v>14625</v>
      </c>
      <c r="OFR2" t="s">
        <v>14626</v>
      </c>
      <c r="OFS2" t="s">
        <v>14627</v>
      </c>
      <c r="OFT2" t="s">
        <v>14628</v>
      </c>
      <c r="OFU2" t="s">
        <v>14629</v>
      </c>
      <c r="OFV2" t="s">
        <v>14630</v>
      </c>
      <c r="OFW2" t="s">
        <v>14631</v>
      </c>
      <c r="OFX2" t="s">
        <v>14632</v>
      </c>
      <c r="OFY2" t="s">
        <v>14633</v>
      </c>
      <c r="OFZ2" t="s">
        <v>14634</v>
      </c>
      <c r="OGA2" t="s">
        <v>14635</v>
      </c>
      <c r="OGB2" t="s">
        <v>14636</v>
      </c>
      <c r="OGC2" t="s">
        <v>14637</v>
      </c>
      <c r="OGD2" t="s">
        <v>14638</v>
      </c>
      <c r="OGE2" t="s">
        <v>14639</v>
      </c>
      <c r="OGF2" t="s">
        <v>14640</v>
      </c>
      <c r="OGG2" t="s">
        <v>14641</v>
      </c>
      <c r="OGH2" t="s">
        <v>14642</v>
      </c>
      <c r="OGI2" t="s">
        <v>14643</v>
      </c>
      <c r="OGJ2" t="s">
        <v>14644</v>
      </c>
      <c r="OGK2" t="s">
        <v>14645</v>
      </c>
      <c r="OGL2" t="s">
        <v>14646</v>
      </c>
      <c r="OGM2" t="s">
        <v>14647</v>
      </c>
      <c r="OGN2" t="s">
        <v>14648</v>
      </c>
      <c r="OGO2" t="s">
        <v>14649</v>
      </c>
      <c r="OGP2" t="s">
        <v>14650</v>
      </c>
      <c r="OGQ2" t="s">
        <v>14651</v>
      </c>
      <c r="OGR2" t="s">
        <v>14652</v>
      </c>
      <c r="OGS2" t="s">
        <v>14653</v>
      </c>
      <c r="OGT2" t="s">
        <v>14654</v>
      </c>
      <c r="OGU2" t="s">
        <v>14655</v>
      </c>
      <c r="OGV2" t="s">
        <v>14656</v>
      </c>
      <c r="OGW2" t="s">
        <v>14657</v>
      </c>
      <c r="OGX2" t="s">
        <v>14658</v>
      </c>
      <c r="OGY2" t="s">
        <v>14659</v>
      </c>
      <c r="OGZ2" t="s">
        <v>14660</v>
      </c>
      <c r="OHA2" t="s">
        <v>14661</v>
      </c>
      <c r="OHB2" t="s">
        <v>14662</v>
      </c>
      <c r="OHC2" t="s">
        <v>14663</v>
      </c>
      <c r="OHD2" t="s">
        <v>14664</v>
      </c>
      <c r="OHE2" t="s">
        <v>14665</v>
      </c>
      <c r="OHF2" t="s">
        <v>14666</v>
      </c>
      <c r="OHG2" t="s">
        <v>14667</v>
      </c>
      <c r="OHH2" t="s">
        <v>14668</v>
      </c>
      <c r="OHI2" t="s">
        <v>14669</v>
      </c>
      <c r="OHJ2" t="s">
        <v>14670</v>
      </c>
      <c r="OHK2" t="s">
        <v>14671</v>
      </c>
      <c r="OHL2" t="s">
        <v>14672</v>
      </c>
      <c r="OHM2" t="s">
        <v>14673</v>
      </c>
      <c r="OHN2" t="s">
        <v>14674</v>
      </c>
      <c r="OHO2" t="s">
        <v>14675</v>
      </c>
      <c r="OHP2" t="s">
        <v>14676</v>
      </c>
      <c r="OHQ2" t="s">
        <v>14677</v>
      </c>
      <c r="OHR2" t="s">
        <v>14678</v>
      </c>
      <c r="OHS2" t="s">
        <v>14679</v>
      </c>
      <c r="OHT2" t="s">
        <v>14680</v>
      </c>
      <c r="OHU2" t="s">
        <v>14681</v>
      </c>
      <c r="OHV2" t="s">
        <v>14682</v>
      </c>
      <c r="OHW2" t="s">
        <v>14683</v>
      </c>
      <c r="OHX2" t="s">
        <v>14684</v>
      </c>
      <c r="OHY2" t="s">
        <v>14685</v>
      </c>
      <c r="OHZ2" t="s">
        <v>14686</v>
      </c>
      <c r="OIA2" t="s">
        <v>14687</v>
      </c>
      <c r="OIB2" t="s">
        <v>14688</v>
      </c>
      <c r="OIC2" t="s">
        <v>14689</v>
      </c>
      <c r="OID2" t="s">
        <v>14690</v>
      </c>
      <c r="OIE2" t="s">
        <v>14691</v>
      </c>
      <c r="OIF2" t="s">
        <v>14692</v>
      </c>
      <c r="OIG2" t="s">
        <v>14693</v>
      </c>
      <c r="OIH2" t="s">
        <v>14694</v>
      </c>
      <c r="OII2" t="s">
        <v>14695</v>
      </c>
      <c r="OIJ2" t="s">
        <v>14696</v>
      </c>
      <c r="OIK2" t="s">
        <v>14697</v>
      </c>
      <c r="OIL2" t="s">
        <v>14698</v>
      </c>
      <c r="OIM2" t="s">
        <v>14699</v>
      </c>
      <c r="OIN2" t="s">
        <v>14700</v>
      </c>
      <c r="OIO2" t="s">
        <v>14701</v>
      </c>
      <c r="OIP2" t="s">
        <v>14702</v>
      </c>
      <c r="OIQ2" t="s">
        <v>14703</v>
      </c>
      <c r="OIR2" t="s">
        <v>14704</v>
      </c>
      <c r="OIS2" t="s">
        <v>14705</v>
      </c>
      <c r="OIT2" t="s">
        <v>14706</v>
      </c>
      <c r="OIU2" t="s">
        <v>14707</v>
      </c>
      <c r="OIV2" t="s">
        <v>14708</v>
      </c>
      <c r="OIW2" t="s">
        <v>14709</v>
      </c>
      <c r="OIX2" t="s">
        <v>14710</v>
      </c>
      <c r="OIY2" t="s">
        <v>14711</v>
      </c>
      <c r="OIZ2" t="s">
        <v>14712</v>
      </c>
      <c r="OJA2" t="s">
        <v>14713</v>
      </c>
      <c r="OJB2" t="s">
        <v>14714</v>
      </c>
      <c r="OJC2" t="s">
        <v>14715</v>
      </c>
      <c r="OJD2" t="s">
        <v>14716</v>
      </c>
      <c r="OJE2" t="s">
        <v>14717</v>
      </c>
      <c r="OJF2" t="s">
        <v>14718</v>
      </c>
      <c r="OJG2" t="s">
        <v>14719</v>
      </c>
      <c r="OJH2" t="s">
        <v>14720</v>
      </c>
      <c r="OJI2" t="s">
        <v>14721</v>
      </c>
      <c r="OJJ2" t="s">
        <v>14722</v>
      </c>
      <c r="OJK2" t="s">
        <v>14723</v>
      </c>
      <c r="OJL2" t="s">
        <v>14724</v>
      </c>
      <c r="OJM2" t="s">
        <v>14725</v>
      </c>
      <c r="OJN2" t="s">
        <v>14726</v>
      </c>
      <c r="OJO2" t="s">
        <v>14727</v>
      </c>
      <c r="OJP2" t="s">
        <v>14728</v>
      </c>
      <c r="OJQ2" t="s">
        <v>14729</v>
      </c>
      <c r="OJR2" t="s">
        <v>14730</v>
      </c>
      <c r="OJS2" t="s">
        <v>14731</v>
      </c>
      <c r="OJT2" t="s">
        <v>14732</v>
      </c>
      <c r="OJU2" t="s">
        <v>14733</v>
      </c>
      <c r="OJV2" t="s">
        <v>14734</v>
      </c>
      <c r="OJW2" t="s">
        <v>14735</v>
      </c>
      <c r="OJX2" t="s">
        <v>14736</v>
      </c>
      <c r="OJY2" t="s">
        <v>14737</v>
      </c>
      <c r="OJZ2" t="s">
        <v>14738</v>
      </c>
      <c r="OKA2" t="s">
        <v>14739</v>
      </c>
      <c r="OKB2" t="s">
        <v>14740</v>
      </c>
      <c r="OKC2" t="s">
        <v>14741</v>
      </c>
      <c r="OKD2" t="s">
        <v>14742</v>
      </c>
      <c r="OKE2" t="s">
        <v>14743</v>
      </c>
      <c r="OKF2" t="s">
        <v>14744</v>
      </c>
      <c r="OKG2" t="s">
        <v>14745</v>
      </c>
      <c r="OKH2" t="s">
        <v>14746</v>
      </c>
      <c r="OKI2" t="s">
        <v>14747</v>
      </c>
      <c r="OKJ2" t="s">
        <v>14748</v>
      </c>
      <c r="OKK2" t="s">
        <v>14749</v>
      </c>
      <c r="OKL2" t="s">
        <v>14750</v>
      </c>
      <c r="OKM2" t="s">
        <v>14751</v>
      </c>
      <c r="OKN2" t="s">
        <v>14752</v>
      </c>
      <c r="OKO2" t="s">
        <v>14753</v>
      </c>
      <c r="OKP2" t="s">
        <v>14754</v>
      </c>
      <c r="OKQ2" t="s">
        <v>14755</v>
      </c>
      <c r="OKR2" t="s">
        <v>14756</v>
      </c>
      <c r="OKS2" t="s">
        <v>14757</v>
      </c>
      <c r="OKT2" t="s">
        <v>14758</v>
      </c>
      <c r="OKU2" t="s">
        <v>14759</v>
      </c>
      <c r="OKV2" t="s">
        <v>14760</v>
      </c>
      <c r="OKW2" t="s">
        <v>14761</v>
      </c>
      <c r="OKX2" t="s">
        <v>14762</v>
      </c>
      <c r="OKY2" t="s">
        <v>14763</v>
      </c>
      <c r="OKZ2" t="s">
        <v>14764</v>
      </c>
      <c r="OLA2" t="s">
        <v>14765</v>
      </c>
      <c r="OLB2" t="s">
        <v>14766</v>
      </c>
      <c r="OLC2" t="s">
        <v>14767</v>
      </c>
      <c r="OLD2" t="s">
        <v>14768</v>
      </c>
      <c r="OLE2" t="s">
        <v>14769</v>
      </c>
      <c r="OLF2" t="s">
        <v>14770</v>
      </c>
      <c r="OLG2" t="s">
        <v>14771</v>
      </c>
      <c r="OLH2" t="s">
        <v>14772</v>
      </c>
      <c r="OLI2" t="s">
        <v>14773</v>
      </c>
      <c r="OLJ2" t="s">
        <v>14774</v>
      </c>
      <c r="OLK2" t="s">
        <v>14775</v>
      </c>
      <c r="OLL2" t="s">
        <v>14776</v>
      </c>
      <c r="OLM2" t="s">
        <v>14777</v>
      </c>
      <c r="OLN2" t="s">
        <v>14778</v>
      </c>
      <c r="OLO2" t="s">
        <v>14779</v>
      </c>
      <c r="OLP2" t="s">
        <v>14780</v>
      </c>
      <c r="OLQ2" t="s">
        <v>14781</v>
      </c>
      <c r="OLR2" t="s">
        <v>14782</v>
      </c>
      <c r="OLS2" t="s">
        <v>14783</v>
      </c>
      <c r="OLT2" t="s">
        <v>14784</v>
      </c>
      <c r="OLU2" t="s">
        <v>14785</v>
      </c>
      <c r="OLV2" t="s">
        <v>14786</v>
      </c>
      <c r="OLW2" t="s">
        <v>14787</v>
      </c>
      <c r="OLX2" t="s">
        <v>14788</v>
      </c>
      <c r="OLY2" t="s">
        <v>14789</v>
      </c>
      <c r="OLZ2" t="s">
        <v>14790</v>
      </c>
      <c r="OMA2" t="s">
        <v>14791</v>
      </c>
      <c r="OMB2" t="s">
        <v>14792</v>
      </c>
      <c r="OMC2" t="s">
        <v>14793</v>
      </c>
      <c r="OMD2" t="s">
        <v>14794</v>
      </c>
      <c r="OME2" t="s">
        <v>14795</v>
      </c>
      <c r="OMF2" t="s">
        <v>14796</v>
      </c>
      <c r="OMG2" t="s">
        <v>14797</v>
      </c>
      <c r="OMH2" t="s">
        <v>14798</v>
      </c>
      <c r="OMI2" t="s">
        <v>14799</v>
      </c>
      <c r="OMJ2" t="s">
        <v>14800</v>
      </c>
      <c r="OMK2" t="s">
        <v>14801</v>
      </c>
      <c r="OML2" t="s">
        <v>14802</v>
      </c>
      <c r="OMM2" t="s">
        <v>14803</v>
      </c>
      <c r="OMN2" t="s">
        <v>14804</v>
      </c>
      <c r="OMO2" t="s">
        <v>14805</v>
      </c>
      <c r="OMP2" t="s">
        <v>14806</v>
      </c>
      <c r="OMQ2" t="s">
        <v>14807</v>
      </c>
      <c r="OMR2" t="s">
        <v>14808</v>
      </c>
      <c r="OMS2" t="s">
        <v>14809</v>
      </c>
      <c r="OMT2" t="s">
        <v>14810</v>
      </c>
      <c r="OMU2" t="s">
        <v>14811</v>
      </c>
      <c r="OMV2" t="s">
        <v>14812</v>
      </c>
      <c r="OMW2" t="s">
        <v>14813</v>
      </c>
      <c r="OMX2" t="s">
        <v>14814</v>
      </c>
      <c r="OMY2" t="s">
        <v>14815</v>
      </c>
      <c r="OMZ2" t="s">
        <v>14816</v>
      </c>
      <c r="ONA2" t="s">
        <v>14817</v>
      </c>
      <c r="ONB2" t="s">
        <v>14818</v>
      </c>
      <c r="ONC2" t="s">
        <v>14819</v>
      </c>
      <c r="OND2" t="s">
        <v>14820</v>
      </c>
      <c r="ONE2" t="s">
        <v>14821</v>
      </c>
      <c r="ONF2" t="s">
        <v>14822</v>
      </c>
      <c r="ONG2" t="s">
        <v>14823</v>
      </c>
      <c r="ONH2" t="s">
        <v>14824</v>
      </c>
      <c r="ONI2" t="s">
        <v>14825</v>
      </c>
      <c r="ONJ2" t="s">
        <v>14826</v>
      </c>
      <c r="ONK2" t="s">
        <v>14827</v>
      </c>
      <c r="ONL2" t="s">
        <v>14828</v>
      </c>
      <c r="ONM2" t="s">
        <v>14829</v>
      </c>
      <c r="ONN2" t="s">
        <v>14830</v>
      </c>
      <c r="ONO2" t="s">
        <v>14831</v>
      </c>
      <c r="ONP2" t="s">
        <v>14832</v>
      </c>
      <c r="ONQ2" t="s">
        <v>14833</v>
      </c>
      <c r="ONR2" t="s">
        <v>14834</v>
      </c>
      <c r="ONS2" t="s">
        <v>14835</v>
      </c>
      <c r="ONT2" t="s">
        <v>14836</v>
      </c>
      <c r="ONU2" t="s">
        <v>14837</v>
      </c>
      <c r="ONV2" t="s">
        <v>14838</v>
      </c>
      <c r="ONW2" t="s">
        <v>14839</v>
      </c>
      <c r="ONX2" t="s">
        <v>14840</v>
      </c>
      <c r="ONY2" t="s">
        <v>14841</v>
      </c>
      <c r="ONZ2" t="s">
        <v>14842</v>
      </c>
      <c r="OOA2" t="s">
        <v>14843</v>
      </c>
      <c r="OOB2" t="s">
        <v>14844</v>
      </c>
      <c r="OOC2" t="s">
        <v>14845</v>
      </c>
      <c r="OOD2" t="s">
        <v>14846</v>
      </c>
      <c r="OOE2" t="s">
        <v>14847</v>
      </c>
      <c r="OOF2" t="s">
        <v>14848</v>
      </c>
      <c r="OOG2" t="s">
        <v>14849</v>
      </c>
      <c r="OOH2" t="s">
        <v>14850</v>
      </c>
      <c r="OOI2" t="s">
        <v>14851</v>
      </c>
      <c r="OOJ2" t="s">
        <v>14852</v>
      </c>
      <c r="OOK2" t="s">
        <v>14853</v>
      </c>
      <c r="OOL2" t="s">
        <v>14854</v>
      </c>
      <c r="OOM2" t="s">
        <v>14855</v>
      </c>
      <c r="OON2" t="s">
        <v>14856</v>
      </c>
      <c r="OOO2" t="s">
        <v>14857</v>
      </c>
      <c r="OOP2" t="s">
        <v>14858</v>
      </c>
      <c r="OOQ2" t="s">
        <v>14859</v>
      </c>
      <c r="OOR2" t="s">
        <v>14860</v>
      </c>
      <c r="OOS2" t="s">
        <v>14861</v>
      </c>
      <c r="OOT2" t="s">
        <v>14862</v>
      </c>
      <c r="OOU2" t="s">
        <v>14863</v>
      </c>
      <c r="OOV2" t="s">
        <v>14864</v>
      </c>
      <c r="OOW2" t="s">
        <v>14865</v>
      </c>
      <c r="OOX2" t="s">
        <v>14866</v>
      </c>
      <c r="OOY2" t="s">
        <v>14867</v>
      </c>
      <c r="OOZ2" t="s">
        <v>14868</v>
      </c>
      <c r="OPA2" t="s">
        <v>14869</v>
      </c>
      <c r="OPB2" t="s">
        <v>14870</v>
      </c>
      <c r="OPC2" t="s">
        <v>14871</v>
      </c>
      <c r="OPD2" t="s">
        <v>14872</v>
      </c>
      <c r="OPE2" t="s">
        <v>14873</v>
      </c>
      <c r="OPF2" t="s">
        <v>14874</v>
      </c>
      <c r="OPG2" t="s">
        <v>14875</v>
      </c>
      <c r="OPH2" t="s">
        <v>14876</v>
      </c>
      <c r="OPI2" t="s">
        <v>14877</v>
      </c>
      <c r="OPJ2" t="s">
        <v>14878</v>
      </c>
      <c r="OPK2" t="s">
        <v>14879</v>
      </c>
      <c r="OPL2" t="s">
        <v>14880</v>
      </c>
      <c r="OPM2" t="s">
        <v>14881</v>
      </c>
      <c r="OPN2" t="s">
        <v>14882</v>
      </c>
      <c r="OPO2" t="s">
        <v>14883</v>
      </c>
      <c r="OPP2" t="s">
        <v>14884</v>
      </c>
      <c r="OPQ2" t="s">
        <v>14885</v>
      </c>
      <c r="OPR2" t="s">
        <v>14886</v>
      </c>
      <c r="OPS2" t="s">
        <v>14887</v>
      </c>
      <c r="OPT2" t="s">
        <v>14888</v>
      </c>
      <c r="OPU2" t="s">
        <v>14889</v>
      </c>
      <c r="OPV2" t="s">
        <v>14890</v>
      </c>
      <c r="OPW2" t="s">
        <v>14891</v>
      </c>
      <c r="OPX2" t="s">
        <v>14892</v>
      </c>
      <c r="OPY2" t="s">
        <v>14893</v>
      </c>
      <c r="OPZ2" t="s">
        <v>14894</v>
      </c>
      <c r="OQA2" t="s">
        <v>14895</v>
      </c>
      <c r="OQB2" t="s">
        <v>14896</v>
      </c>
      <c r="OQC2" t="s">
        <v>14897</v>
      </c>
      <c r="OQD2" t="s">
        <v>14898</v>
      </c>
      <c r="OQE2" t="s">
        <v>14899</v>
      </c>
      <c r="OQF2" t="s">
        <v>14900</v>
      </c>
      <c r="OQG2" t="s">
        <v>14901</v>
      </c>
      <c r="OQH2" t="s">
        <v>14902</v>
      </c>
      <c r="OQI2" t="s">
        <v>14903</v>
      </c>
      <c r="OQJ2" t="s">
        <v>14904</v>
      </c>
      <c r="OQK2" t="s">
        <v>14905</v>
      </c>
      <c r="OQL2" t="s">
        <v>14906</v>
      </c>
      <c r="OQM2" t="s">
        <v>14907</v>
      </c>
      <c r="OQN2" t="s">
        <v>14908</v>
      </c>
      <c r="OQO2" t="s">
        <v>14909</v>
      </c>
      <c r="OQP2" t="s">
        <v>14910</v>
      </c>
      <c r="OQQ2" t="s">
        <v>14911</v>
      </c>
      <c r="OQR2" t="s">
        <v>14912</v>
      </c>
      <c r="OQS2" t="s">
        <v>14913</v>
      </c>
      <c r="OQT2" t="s">
        <v>14914</v>
      </c>
      <c r="OQU2" t="s">
        <v>14915</v>
      </c>
      <c r="OQV2" t="s">
        <v>14916</v>
      </c>
      <c r="OQW2" t="s">
        <v>14917</v>
      </c>
      <c r="OQX2" t="s">
        <v>14918</v>
      </c>
      <c r="OQY2" t="s">
        <v>14919</v>
      </c>
      <c r="OQZ2" t="s">
        <v>14920</v>
      </c>
      <c r="ORA2" t="s">
        <v>14921</v>
      </c>
      <c r="ORB2" t="s">
        <v>14922</v>
      </c>
      <c r="ORC2" t="s">
        <v>14923</v>
      </c>
      <c r="ORD2" t="s">
        <v>14924</v>
      </c>
      <c r="ORE2" t="s">
        <v>14925</v>
      </c>
      <c r="ORF2" t="s">
        <v>14926</v>
      </c>
      <c r="ORG2" t="s">
        <v>14927</v>
      </c>
      <c r="ORH2" t="s">
        <v>14928</v>
      </c>
      <c r="ORI2" t="s">
        <v>14929</v>
      </c>
      <c r="ORJ2" t="s">
        <v>14930</v>
      </c>
      <c r="ORK2" t="s">
        <v>14931</v>
      </c>
      <c r="ORL2" t="s">
        <v>14932</v>
      </c>
      <c r="ORM2" t="s">
        <v>14933</v>
      </c>
      <c r="ORN2" t="s">
        <v>14934</v>
      </c>
      <c r="ORO2" t="s">
        <v>14935</v>
      </c>
      <c r="ORP2" t="s">
        <v>14936</v>
      </c>
      <c r="ORQ2" t="s">
        <v>14937</v>
      </c>
      <c r="ORR2" t="s">
        <v>14938</v>
      </c>
      <c r="ORS2" t="s">
        <v>14939</v>
      </c>
      <c r="ORT2" t="s">
        <v>14940</v>
      </c>
      <c r="ORU2" t="s">
        <v>14941</v>
      </c>
      <c r="ORV2" t="s">
        <v>14942</v>
      </c>
      <c r="ORW2" t="s">
        <v>14943</v>
      </c>
      <c r="ORX2" t="s">
        <v>14944</v>
      </c>
      <c r="ORY2" t="s">
        <v>14945</v>
      </c>
      <c r="ORZ2" t="s">
        <v>14946</v>
      </c>
      <c r="OSA2" t="s">
        <v>14947</v>
      </c>
      <c r="OSB2" t="s">
        <v>14948</v>
      </c>
      <c r="OSC2" t="s">
        <v>14949</v>
      </c>
      <c r="OSD2" t="s">
        <v>14950</v>
      </c>
      <c r="OSE2" t="s">
        <v>14951</v>
      </c>
      <c r="OSF2" t="s">
        <v>14952</v>
      </c>
      <c r="OSG2" t="s">
        <v>14953</v>
      </c>
      <c r="OSH2" t="s">
        <v>14954</v>
      </c>
      <c r="OSI2" t="s">
        <v>14955</v>
      </c>
      <c r="OSJ2" t="s">
        <v>14956</v>
      </c>
      <c r="OSK2" t="s">
        <v>14957</v>
      </c>
      <c r="OSL2" t="s">
        <v>14958</v>
      </c>
      <c r="OSM2" t="s">
        <v>14959</v>
      </c>
      <c r="OSN2" t="s">
        <v>14960</v>
      </c>
      <c r="OSO2" t="s">
        <v>14961</v>
      </c>
      <c r="OSP2" t="s">
        <v>14962</v>
      </c>
      <c r="OSQ2" t="s">
        <v>14963</v>
      </c>
      <c r="OSR2" t="s">
        <v>14964</v>
      </c>
      <c r="OSS2" t="s">
        <v>14965</v>
      </c>
      <c r="OST2" t="s">
        <v>14966</v>
      </c>
      <c r="OSU2" t="s">
        <v>14967</v>
      </c>
      <c r="OSV2" t="s">
        <v>14968</v>
      </c>
      <c r="OSW2" t="s">
        <v>14969</v>
      </c>
      <c r="OSX2" t="s">
        <v>14970</v>
      </c>
      <c r="OSY2" t="s">
        <v>14971</v>
      </c>
      <c r="OSZ2" t="s">
        <v>14972</v>
      </c>
      <c r="OTA2" t="s">
        <v>14973</v>
      </c>
      <c r="OTB2" t="s">
        <v>14974</v>
      </c>
      <c r="OTC2" t="s">
        <v>14975</v>
      </c>
      <c r="OTD2" t="s">
        <v>14976</v>
      </c>
      <c r="OTE2" t="s">
        <v>14977</v>
      </c>
      <c r="OTF2" t="s">
        <v>14978</v>
      </c>
      <c r="OTG2" t="s">
        <v>14979</v>
      </c>
      <c r="OTH2" t="s">
        <v>14980</v>
      </c>
      <c r="OTI2" t="s">
        <v>14981</v>
      </c>
      <c r="OTJ2" t="s">
        <v>14982</v>
      </c>
      <c r="OTK2" t="s">
        <v>14983</v>
      </c>
      <c r="OTL2" t="s">
        <v>14984</v>
      </c>
      <c r="OTM2" t="s">
        <v>14985</v>
      </c>
      <c r="OTN2" t="s">
        <v>14986</v>
      </c>
      <c r="OTO2" t="s">
        <v>14987</v>
      </c>
      <c r="OTP2" t="s">
        <v>14988</v>
      </c>
      <c r="OTQ2" t="s">
        <v>14989</v>
      </c>
      <c r="OTR2" t="s">
        <v>14990</v>
      </c>
      <c r="OTS2" t="s">
        <v>14991</v>
      </c>
      <c r="OTT2" t="s">
        <v>14992</v>
      </c>
      <c r="OTU2" t="s">
        <v>14993</v>
      </c>
      <c r="OTV2" t="s">
        <v>14994</v>
      </c>
      <c r="OTW2" t="s">
        <v>14995</v>
      </c>
      <c r="OTX2" t="s">
        <v>14996</v>
      </c>
      <c r="OTY2" t="s">
        <v>14997</v>
      </c>
      <c r="OTZ2" t="s">
        <v>14998</v>
      </c>
      <c r="OUA2" t="s">
        <v>14999</v>
      </c>
      <c r="OUB2" t="s">
        <v>15000</v>
      </c>
      <c r="OUC2" t="s">
        <v>15001</v>
      </c>
      <c r="OUD2" t="s">
        <v>15002</v>
      </c>
      <c r="OUE2" t="s">
        <v>15003</v>
      </c>
      <c r="OUF2" t="s">
        <v>15004</v>
      </c>
      <c r="OUG2" t="s">
        <v>15005</v>
      </c>
      <c r="OUH2" t="s">
        <v>15006</v>
      </c>
      <c r="OUI2" t="s">
        <v>15007</v>
      </c>
      <c r="OUJ2" t="s">
        <v>15008</v>
      </c>
      <c r="OUK2" t="s">
        <v>15009</v>
      </c>
      <c r="OUL2" t="s">
        <v>15010</v>
      </c>
      <c r="OUM2" t="s">
        <v>15011</v>
      </c>
      <c r="OUN2" t="s">
        <v>15012</v>
      </c>
      <c r="OUO2" t="s">
        <v>15013</v>
      </c>
      <c r="OUP2" t="s">
        <v>15014</v>
      </c>
      <c r="OUQ2" t="s">
        <v>15015</v>
      </c>
      <c r="OUR2" t="s">
        <v>15016</v>
      </c>
      <c r="OUS2" t="s">
        <v>15017</v>
      </c>
      <c r="OUT2" t="s">
        <v>15018</v>
      </c>
      <c r="OUU2" t="s">
        <v>15019</v>
      </c>
      <c r="OUV2" t="s">
        <v>15020</v>
      </c>
      <c r="OUW2" t="s">
        <v>15021</v>
      </c>
      <c r="OUX2" t="s">
        <v>15022</v>
      </c>
      <c r="OUY2" t="s">
        <v>15023</v>
      </c>
      <c r="OUZ2" t="s">
        <v>15024</v>
      </c>
      <c r="OVA2" t="s">
        <v>15025</v>
      </c>
      <c r="OVB2" t="s">
        <v>15026</v>
      </c>
      <c r="OVC2" t="s">
        <v>15027</v>
      </c>
      <c r="OVD2" t="s">
        <v>15028</v>
      </c>
      <c r="OVE2" t="s">
        <v>15029</v>
      </c>
      <c r="OVF2" t="s">
        <v>15030</v>
      </c>
      <c r="OVG2" t="s">
        <v>15031</v>
      </c>
      <c r="OVH2" t="s">
        <v>15032</v>
      </c>
      <c r="OVI2" t="s">
        <v>15033</v>
      </c>
      <c r="OVJ2" t="s">
        <v>15034</v>
      </c>
      <c r="OVK2" t="s">
        <v>15035</v>
      </c>
      <c r="OVL2" t="s">
        <v>15036</v>
      </c>
      <c r="OVM2" t="s">
        <v>15037</v>
      </c>
      <c r="OVN2" t="s">
        <v>15038</v>
      </c>
      <c r="OVO2" t="s">
        <v>15039</v>
      </c>
      <c r="OVP2" t="s">
        <v>15040</v>
      </c>
      <c r="OVQ2" t="s">
        <v>15041</v>
      </c>
      <c r="OVR2" t="s">
        <v>15042</v>
      </c>
      <c r="OVS2" t="s">
        <v>15043</v>
      </c>
      <c r="OVT2" t="s">
        <v>15044</v>
      </c>
      <c r="OVU2" t="s">
        <v>15045</v>
      </c>
      <c r="OVV2" t="s">
        <v>15046</v>
      </c>
      <c r="OVW2" t="s">
        <v>15047</v>
      </c>
      <c r="OVX2" t="s">
        <v>15048</v>
      </c>
      <c r="OVY2" t="s">
        <v>15049</v>
      </c>
      <c r="OVZ2" t="s">
        <v>15050</v>
      </c>
      <c r="OWA2" t="s">
        <v>15051</v>
      </c>
      <c r="OWB2" t="s">
        <v>15052</v>
      </c>
      <c r="OWC2" t="s">
        <v>15053</v>
      </c>
      <c r="OWD2" t="s">
        <v>15054</v>
      </c>
      <c r="OWE2" t="s">
        <v>15055</v>
      </c>
      <c r="OWF2" t="s">
        <v>15056</v>
      </c>
      <c r="OWG2" t="s">
        <v>15057</v>
      </c>
      <c r="OWH2" t="s">
        <v>15058</v>
      </c>
      <c r="OWI2" t="s">
        <v>15059</v>
      </c>
      <c r="OWJ2" t="s">
        <v>15060</v>
      </c>
      <c r="OWK2" t="s">
        <v>15061</v>
      </c>
      <c r="OWL2" t="s">
        <v>15062</v>
      </c>
      <c r="OWM2" t="s">
        <v>15063</v>
      </c>
      <c r="OWN2" t="s">
        <v>15064</v>
      </c>
      <c r="OWO2" t="s">
        <v>15065</v>
      </c>
      <c r="OWP2" t="s">
        <v>15066</v>
      </c>
      <c r="OWQ2" t="s">
        <v>15067</v>
      </c>
      <c r="OWR2" t="s">
        <v>15068</v>
      </c>
      <c r="OWS2" t="s">
        <v>15069</v>
      </c>
      <c r="OWT2" t="s">
        <v>15070</v>
      </c>
      <c r="OWU2" t="s">
        <v>15071</v>
      </c>
      <c r="OWV2" t="s">
        <v>15072</v>
      </c>
      <c r="OWW2" t="s">
        <v>15073</v>
      </c>
      <c r="OWX2" t="s">
        <v>15074</v>
      </c>
      <c r="OWY2" t="s">
        <v>15075</v>
      </c>
      <c r="OWZ2" t="s">
        <v>15076</v>
      </c>
      <c r="OXA2" t="s">
        <v>15077</v>
      </c>
      <c r="OXB2" t="s">
        <v>15078</v>
      </c>
      <c r="OXC2" t="s">
        <v>15079</v>
      </c>
      <c r="OXD2" t="s">
        <v>15080</v>
      </c>
      <c r="OXE2" t="s">
        <v>15081</v>
      </c>
      <c r="OXF2" t="s">
        <v>15082</v>
      </c>
      <c r="OXG2" t="s">
        <v>15083</v>
      </c>
      <c r="OXH2" t="s">
        <v>15084</v>
      </c>
      <c r="OXI2" t="s">
        <v>15085</v>
      </c>
      <c r="OXJ2" t="s">
        <v>15086</v>
      </c>
      <c r="OXK2" t="s">
        <v>15087</v>
      </c>
      <c r="OXL2" t="s">
        <v>15088</v>
      </c>
      <c r="OXM2" t="s">
        <v>15089</v>
      </c>
      <c r="OXN2" t="s">
        <v>15090</v>
      </c>
      <c r="OXO2" t="s">
        <v>15091</v>
      </c>
      <c r="OXP2" t="s">
        <v>15092</v>
      </c>
      <c r="OXQ2" t="s">
        <v>15093</v>
      </c>
      <c r="OXR2" t="s">
        <v>15094</v>
      </c>
      <c r="OXS2" t="s">
        <v>15095</v>
      </c>
      <c r="OXT2" t="s">
        <v>15096</v>
      </c>
      <c r="OXU2" t="s">
        <v>15097</v>
      </c>
      <c r="OXV2" t="s">
        <v>15098</v>
      </c>
      <c r="OXW2" t="s">
        <v>15099</v>
      </c>
      <c r="OXX2" t="s">
        <v>15100</v>
      </c>
      <c r="OXY2" t="s">
        <v>15101</v>
      </c>
      <c r="OXZ2" t="s">
        <v>15102</v>
      </c>
      <c r="OYA2" t="s">
        <v>15103</v>
      </c>
      <c r="OYB2" t="s">
        <v>15104</v>
      </c>
      <c r="OYC2" t="s">
        <v>15105</v>
      </c>
      <c r="OYD2" t="s">
        <v>15106</v>
      </c>
      <c r="OYE2" t="s">
        <v>15107</v>
      </c>
      <c r="OYF2" t="s">
        <v>15108</v>
      </c>
      <c r="OYG2" t="s">
        <v>15109</v>
      </c>
      <c r="OYH2" t="s">
        <v>15110</v>
      </c>
      <c r="OYI2" t="s">
        <v>15111</v>
      </c>
      <c r="OYJ2" t="s">
        <v>15112</v>
      </c>
      <c r="OYK2" t="s">
        <v>15113</v>
      </c>
      <c r="OYL2" t="s">
        <v>15114</v>
      </c>
      <c r="OYM2" t="s">
        <v>15115</v>
      </c>
      <c r="OYN2" t="s">
        <v>15116</v>
      </c>
      <c r="OYO2" t="s">
        <v>15117</v>
      </c>
      <c r="OYP2" t="s">
        <v>15118</v>
      </c>
      <c r="OYQ2" t="s">
        <v>15119</v>
      </c>
      <c r="OYR2" t="s">
        <v>15120</v>
      </c>
      <c r="OYS2" t="s">
        <v>15121</v>
      </c>
      <c r="OYT2" t="s">
        <v>15122</v>
      </c>
      <c r="OYU2" t="s">
        <v>15123</v>
      </c>
      <c r="OYV2" t="s">
        <v>15124</v>
      </c>
      <c r="OYW2" t="s">
        <v>15125</v>
      </c>
      <c r="OYX2" t="s">
        <v>15126</v>
      </c>
      <c r="OYY2" t="s">
        <v>15127</v>
      </c>
      <c r="OYZ2" t="s">
        <v>15128</v>
      </c>
      <c r="OZA2" t="s">
        <v>15129</v>
      </c>
      <c r="OZB2" t="s">
        <v>15130</v>
      </c>
      <c r="OZC2" t="s">
        <v>15131</v>
      </c>
      <c r="OZD2" t="s">
        <v>15132</v>
      </c>
      <c r="OZE2" t="s">
        <v>15133</v>
      </c>
      <c r="OZF2" t="s">
        <v>15134</v>
      </c>
      <c r="OZG2" t="s">
        <v>15135</v>
      </c>
      <c r="OZH2" t="s">
        <v>15136</v>
      </c>
      <c r="OZI2" t="s">
        <v>15137</v>
      </c>
      <c r="OZJ2" t="s">
        <v>15138</v>
      </c>
      <c r="OZK2" t="s">
        <v>15139</v>
      </c>
      <c r="OZL2" t="s">
        <v>15140</v>
      </c>
      <c r="OZM2" t="s">
        <v>15141</v>
      </c>
      <c r="OZN2" t="s">
        <v>15142</v>
      </c>
      <c r="OZO2" t="s">
        <v>15143</v>
      </c>
      <c r="OZP2" t="s">
        <v>15144</v>
      </c>
      <c r="OZQ2" t="s">
        <v>15145</v>
      </c>
      <c r="OZR2" t="s">
        <v>15146</v>
      </c>
      <c r="OZS2" t="s">
        <v>15147</v>
      </c>
      <c r="OZT2" t="s">
        <v>15148</v>
      </c>
      <c r="OZU2" t="s">
        <v>15149</v>
      </c>
      <c r="OZV2" t="s">
        <v>15150</v>
      </c>
      <c r="OZW2" t="s">
        <v>15151</v>
      </c>
      <c r="OZX2" t="s">
        <v>15152</v>
      </c>
      <c r="OZY2" t="s">
        <v>15153</v>
      </c>
      <c r="OZZ2" t="s">
        <v>15154</v>
      </c>
      <c r="PAA2" t="s">
        <v>15155</v>
      </c>
      <c r="PAB2" t="s">
        <v>15156</v>
      </c>
      <c r="PAC2" t="s">
        <v>15157</v>
      </c>
      <c r="PAD2" t="s">
        <v>15158</v>
      </c>
      <c r="PAE2" t="s">
        <v>15159</v>
      </c>
      <c r="PAF2" t="s">
        <v>15160</v>
      </c>
      <c r="PAG2" t="s">
        <v>15161</v>
      </c>
      <c r="PAH2" t="s">
        <v>15162</v>
      </c>
      <c r="PAI2" t="s">
        <v>15163</v>
      </c>
      <c r="PAJ2" t="s">
        <v>15164</v>
      </c>
      <c r="PAK2" t="s">
        <v>15165</v>
      </c>
      <c r="PAL2" t="s">
        <v>15166</v>
      </c>
      <c r="PAM2" t="s">
        <v>15167</v>
      </c>
      <c r="PAN2" t="s">
        <v>15168</v>
      </c>
      <c r="PAO2" t="s">
        <v>15169</v>
      </c>
      <c r="PAP2" t="s">
        <v>15170</v>
      </c>
      <c r="PAQ2" t="s">
        <v>15171</v>
      </c>
      <c r="PAR2" t="s">
        <v>15172</v>
      </c>
      <c r="PAS2" t="s">
        <v>15173</v>
      </c>
      <c r="PAT2" t="s">
        <v>15174</v>
      </c>
      <c r="PAU2" t="s">
        <v>15175</v>
      </c>
      <c r="PAV2" t="s">
        <v>15176</v>
      </c>
      <c r="PAW2" t="s">
        <v>15177</v>
      </c>
      <c r="PAX2" t="s">
        <v>15178</v>
      </c>
      <c r="PAY2" t="s">
        <v>15179</v>
      </c>
      <c r="PAZ2" t="s">
        <v>15180</v>
      </c>
      <c r="PBA2" t="s">
        <v>15181</v>
      </c>
      <c r="PBB2" t="s">
        <v>15182</v>
      </c>
      <c r="PBC2" t="s">
        <v>15183</v>
      </c>
      <c r="PBD2" t="s">
        <v>15184</v>
      </c>
      <c r="PBE2" t="s">
        <v>15185</v>
      </c>
      <c r="PBF2" t="s">
        <v>15186</v>
      </c>
      <c r="PBG2" t="s">
        <v>15187</v>
      </c>
      <c r="PBH2" t="s">
        <v>15188</v>
      </c>
      <c r="PBI2" t="s">
        <v>15189</v>
      </c>
      <c r="PBJ2" t="s">
        <v>15190</v>
      </c>
      <c r="PBK2" t="s">
        <v>15191</v>
      </c>
      <c r="PBL2" t="s">
        <v>15192</v>
      </c>
      <c r="PBM2" t="s">
        <v>15193</v>
      </c>
      <c r="PBN2" t="s">
        <v>15194</v>
      </c>
      <c r="PBO2" t="s">
        <v>15195</v>
      </c>
      <c r="PBP2" t="s">
        <v>15196</v>
      </c>
      <c r="PBQ2" t="s">
        <v>15197</v>
      </c>
      <c r="PBR2" t="s">
        <v>15198</v>
      </c>
      <c r="PBS2" t="s">
        <v>15199</v>
      </c>
      <c r="PBT2" t="s">
        <v>15200</v>
      </c>
      <c r="PBU2" t="s">
        <v>15201</v>
      </c>
      <c r="PBV2" t="s">
        <v>15202</v>
      </c>
      <c r="PBW2" t="s">
        <v>15203</v>
      </c>
      <c r="PBX2" t="s">
        <v>15204</v>
      </c>
      <c r="PBY2" t="s">
        <v>15205</v>
      </c>
      <c r="PBZ2" t="s">
        <v>15206</v>
      </c>
      <c r="PCA2" t="s">
        <v>15207</v>
      </c>
      <c r="PCB2" t="s">
        <v>15208</v>
      </c>
      <c r="PCC2" t="s">
        <v>15209</v>
      </c>
      <c r="PCD2" t="s">
        <v>15210</v>
      </c>
      <c r="PCE2" t="s">
        <v>15211</v>
      </c>
      <c r="PCF2" t="s">
        <v>15212</v>
      </c>
      <c r="PCG2" t="s">
        <v>15213</v>
      </c>
      <c r="PCH2" t="s">
        <v>15214</v>
      </c>
      <c r="PCI2" t="s">
        <v>15215</v>
      </c>
      <c r="PCJ2" t="s">
        <v>15216</v>
      </c>
      <c r="PCK2" t="s">
        <v>15217</v>
      </c>
      <c r="PCL2" t="s">
        <v>15218</v>
      </c>
      <c r="PCM2" t="s">
        <v>15219</v>
      </c>
      <c r="PCN2" t="s">
        <v>15220</v>
      </c>
      <c r="PCO2" t="s">
        <v>15221</v>
      </c>
      <c r="PCP2" t="s">
        <v>15222</v>
      </c>
      <c r="PCQ2" t="s">
        <v>15223</v>
      </c>
      <c r="PCR2" t="s">
        <v>15224</v>
      </c>
      <c r="PCS2" t="s">
        <v>15225</v>
      </c>
      <c r="PCT2" t="s">
        <v>15226</v>
      </c>
      <c r="PCU2" t="s">
        <v>15227</v>
      </c>
      <c r="PCV2" t="s">
        <v>15228</v>
      </c>
      <c r="PCW2" t="s">
        <v>15229</v>
      </c>
      <c r="PCX2" t="s">
        <v>15230</v>
      </c>
      <c r="PCY2" t="s">
        <v>15231</v>
      </c>
      <c r="PCZ2" t="s">
        <v>15232</v>
      </c>
      <c r="PDA2" t="s">
        <v>15233</v>
      </c>
      <c r="PDB2" t="s">
        <v>15234</v>
      </c>
      <c r="PDC2" t="s">
        <v>15235</v>
      </c>
      <c r="PDD2" t="s">
        <v>15236</v>
      </c>
      <c r="PDE2" t="s">
        <v>15237</v>
      </c>
      <c r="PDF2" t="s">
        <v>15238</v>
      </c>
      <c r="PDG2" t="s">
        <v>15239</v>
      </c>
      <c r="PDH2" t="s">
        <v>15240</v>
      </c>
      <c r="PDI2" t="s">
        <v>15241</v>
      </c>
      <c r="PDJ2" t="s">
        <v>15242</v>
      </c>
      <c r="PDK2" t="s">
        <v>15243</v>
      </c>
      <c r="PDL2" t="s">
        <v>15244</v>
      </c>
      <c r="PDM2" t="s">
        <v>15245</v>
      </c>
      <c r="PDN2" t="s">
        <v>15246</v>
      </c>
      <c r="PDO2" t="s">
        <v>15247</v>
      </c>
      <c r="PDP2" t="s">
        <v>15248</v>
      </c>
      <c r="PDQ2" t="s">
        <v>15249</v>
      </c>
      <c r="PDR2" t="s">
        <v>15250</v>
      </c>
      <c r="PDS2" t="s">
        <v>15251</v>
      </c>
      <c r="PDT2" t="s">
        <v>15252</v>
      </c>
      <c r="PDU2" t="s">
        <v>15253</v>
      </c>
      <c r="PDV2" t="s">
        <v>15254</v>
      </c>
      <c r="PDW2" t="s">
        <v>15255</v>
      </c>
      <c r="PDX2" t="s">
        <v>15256</v>
      </c>
      <c r="PDY2" t="s">
        <v>15257</v>
      </c>
      <c r="PDZ2" t="s">
        <v>15258</v>
      </c>
      <c r="PEA2" t="s">
        <v>15259</v>
      </c>
      <c r="PEB2" t="s">
        <v>15260</v>
      </c>
      <c r="PEC2" t="s">
        <v>15261</v>
      </c>
      <c r="PED2" t="s">
        <v>15262</v>
      </c>
      <c r="PEE2" t="s">
        <v>15263</v>
      </c>
      <c r="PEF2" t="s">
        <v>15264</v>
      </c>
      <c r="PEG2" t="s">
        <v>15265</v>
      </c>
      <c r="PEH2" t="s">
        <v>15266</v>
      </c>
      <c r="PEI2" t="s">
        <v>15267</v>
      </c>
      <c r="PEJ2" t="s">
        <v>15268</v>
      </c>
      <c r="PEK2" t="s">
        <v>15269</v>
      </c>
      <c r="PEL2" t="s">
        <v>15270</v>
      </c>
      <c r="PEM2" t="s">
        <v>15271</v>
      </c>
      <c r="PEN2" t="s">
        <v>15272</v>
      </c>
      <c r="PEO2" t="s">
        <v>15273</v>
      </c>
      <c r="PEP2" t="s">
        <v>15274</v>
      </c>
      <c r="PEQ2" t="s">
        <v>15275</v>
      </c>
      <c r="PER2" t="s">
        <v>15276</v>
      </c>
      <c r="PES2" t="s">
        <v>15277</v>
      </c>
      <c r="PET2" t="s">
        <v>15278</v>
      </c>
      <c r="PEU2" t="s">
        <v>15279</v>
      </c>
      <c r="PEV2" t="s">
        <v>15280</v>
      </c>
      <c r="PEW2" t="s">
        <v>15281</v>
      </c>
      <c r="PEX2" t="s">
        <v>15282</v>
      </c>
      <c r="PEY2" t="s">
        <v>15283</v>
      </c>
      <c r="PEZ2" t="s">
        <v>15284</v>
      </c>
      <c r="PFA2" t="s">
        <v>15285</v>
      </c>
      <c r="PFB2" t="s">
        <v>15286</v>
      </c>
      <c r="PFC2" t="s">
        <v>15287</v>
      </c>
      <c r="PFD2" t="s">
        <v>15288</v>
      </c>
      <c r="PFE2" t="s">
        <v>15289</v>
      </c>
      <c r="PFF2" t="s">
        <v>15290</v>
      </c>
      <c r="PFG2" t="s">
        <v>15291</v>
      </c>
      <c r="PFH2" t="s">
        <v>15292</v>
      </c>
      <c r="PFI2" t="s">
        <v>15293</v>
      </c>
      <c r="PFJ2" t="s">
        <v>15294</v>
      </c>
      <c r="PFK2" t="s">
        <v>15295</v>
      </c>
      <c r="PFL2" t="s">
        <v>15296</v>
      </c>
      <c r="PFM2" t="s">
        <v>15297</v>
      </c>
      <c r="PFN2" t="s">
        <v>15298</v>
      </c>
      <c r="PFO2" t="s">
        <v>15299</v>
      </c>
      <c r="PFP2" t="s">
        <v>15300</v>
      </c>
      <c r="PFQ2" t="s">
        <v>15301</v>
      </c>
      <c r="PFR2" t="s">
        <v>15302</v>
      </c>
      <c r="PFS2" t="s">
        <v>15303</v>
      </c>
      <c r="PFT2" t="s">
        <v>15304</v>
      </c>
      <c r="PFU2" t="s">
        <v>15305</v>
      </c>
      <c r="PFV2" t="s">
        <v>15306</v>
      </c>
      <c r="PFW2" t="s">
        <v>15307</v>
      </c>
      <c r="PFX2" t="s">
        <v>15308</v>
      </c>
      <c r="PFY2" t="s">
        <v>15309</v>
      </c>
      <c r="PFZ2" t="s">
        <v>15310</v>
      </c>
      <c r="PGA2" t="s">
        <v>15311</v>
      </c>
      <c r="PGB2" t="s">
        <v>15312</v>
      </c>
      <c r="PGC2" t="s">
        <v>15313</v>
      </c>
      <c r="PGD2" t="s">
        <v>15314</v>
      </c>
      <c r="PGE2" t="s">
        <v>15315</v>
      </c>
      <c r="PGF2" t="s">
        <v>15316</v>
      </c>
      <c r="PGG2" t="s">
        <v>15317</v>
      </c>
      <c r="PGH2" t="s">
        <v>15318</v>
      </c>
      <c r="PGI2" t="s">
        <v>15319</v>
      </c>
      <c r="PGJ2" t="s">
        <v>15320</v>
      </c>
      <c r="PGK2" t="s">
        <v>15321</v>
      </c>
      <c r="PGL2" t="s">
        <v>15322</v>
      </c>
      <c r="PGM2" t="s">
        <v>15323</v>
      </c>
      <c r="PGN2" t="s">
        <v>15324</v>
      </c>
      <c r="PGO2" t="s">
        <v>15325</v>
      </c>
      <c r="PGP2" t="s">
        <v>15326</v>
      </c>
      <c r="PGQ2" t="s">
        <v>15327</v>
      </c>
      <c r="PGR2" t="s">
        <v>15328</v>
      </c>
      <c r="PGS2" t="s">
        <v>15329</v>
      </c>
      <c r="PGT2" t="s">
        <v>15330</v>
      </c>
      <c r="PGU2" t="s">
        <v>15331</v>
      </c>
      <c r="PGV2" t="s">
        <v>15332</v>
      </c>
      <c r="PGW2" t="s">
        <v>15333</v>
      </c>
      <c r="PGX2" t="s">
        <v>15334</v>
      </c>
      <c r="PGY2" t="s">
        <v>15335</v>
      </c>
      <c r="PGZ2" t="s">
        <v>15336</v>
      </c>
      <c r="PHA2" t="s">
        <v>15337</v>
      </c>
      <c r="PHB2" t="s">
        <v>15338</v>
      </c>
      <c r="PHC2" t="s">
        <v>15339</v>
      </c>
      <c r="PHD2" t="s">
        <v>15340</v>
      </c>
      <c r="PHE2" t="s">
        <v>15341</v>
      </c>
      <c r="PHF2" t="s">
        <v>15342</v>
      </c>
      <c r="PHG2" t="s">
        <v>15343</v>
      </c>
      <c r="PHH2" t="s">
        <v>15344</v>
      </c>
      <c r="PHI2" t="s">
        <v>15345</v>
      </c>
      <c r="PHJ2" t="s">
        <v>15346</v>
      </c>
      <c r="PHK2" t="s">
        <v>15347</v>
      </c>
      <c r="PHL2" t="s">
        <v>15348</v>
      </c>
      <c r="PHM2" t="s">
        <v>15349</v>
      </c>
      <c r="PHN2" t="s">
        <v>15350</v>
      </c>
      <c r="PHO2" t="s">
        <v>15351</v>
      </c>
      <c r="PHP2" t="s">
        <v>15352</v>
      </c>
      <c r="PHQ2" t="s">
        <v>15353</v>
      </c>
      <c r="PHR2" t="s">
        <v>15354</v>
      </c>
      <c r="PHS2" t="s">
        <v>15355</v>
      </c>
      <c r="PHT2" t="s">
        <v>15356</v>
      </c>
      <c r="PHU2" t="s">
        <v>15357</v>
      </c>
      <c r="PHV2" t="s">
        <v>15358</v>
      </c>
      <c r="PHW2" t="s">
        <v>15359</v>
      </c>
      <c r="PHX2" t="s">
        <v>15360</v>
      </c>
      <c r="PHY2" t="s">
        <v>15361</v>
      </c>
      <c r="PHZ2" t="s">
        <v>15362</v>
      </c>
      <c r="PIA2" t="s">
        <v>15363</v>
      </c>
      <c r="PIB2" t="s">
        <v>15364</v>
      </c>
      <c r="PIC2" t="s">
        <v>15365</v>
      </c>
      <c r="PID2" t="s">
        <v>15366</v>
      </c>
      <c r="PIE2" t="s">
        <v>15367</v>
      </c>
      <c r="PIF2" t="s">
        <v>15368</v>
      </c>
      <c r="PIG2" t="s">
        <v>15369</v>
      </c>
      <c r="PIH2" t="s">
        <v>15370</v>
      </c>
      <c r="PII2" t="s">
        <v>15371</v>
      </c>
      <c r="PIJ2" t="s">
        <v>15372</v>
      </c>
      <c r="PIK2" t="s">
        <v>15373</v>
      </c>
      <c r="PIL2" t="s">
        <v>15374</v>
      </c>
      <c r="PIM2" t="s">
        <v>15375</v>
      </c>
      <c r="PIN2" t="s">
        <v>15376</v>
      </c>
      <c r="PIO2" t="s">
        <v>15377</v>
      </c>
      <c r="PIP2" t="s">
        <v>15378</v>
      </c>
      <c r="PIQ2" t="s">
        <v>15379</v>
      </c>
      <c r="PIR2" t="s">
        <v>15380</v>
      </c>
      <c r="PIS2" t="s">
        <v>15381</v>
      </c>
      <c r="PIT2" t="s">
        <v>15382</v>
      </c>
      <c r="PIU2" t="s">
        <v>15383</v>
      </c>
      <c r="PIV2" t="s">
        <v>15384</v>
      </c>
      <c r="PIW2" t="s">
        <v>15385</v>
      </c>
      <c r="PIX2" t="s">
        <v>15386</v>
      </c>
      <c r="PIY2" t="s">
        <v>15387</v>
      </c>
      <c r="PIZ2" t="s">
        <v>15388</v>
      </c>
      <c r="PJA2" t="s">
        <v>15389</v>
      </c>
      <c r="PJB2" t="s">
        <v>15390</v>
      </c>
      <c r="PJC2" t="s">
        <v>15391</v>
      </c>
      <c r="PJD2" t="s">
        <v>15392</v>
      </c>
      <c r="PJE2" t="s">
        <v>15393</v>
      </c>
      <c r="PJF2" t="s">
        <v>15394</v>
      </c>
      <c r="PJG2" t="s">
        <v>15395</v>
      </c>
      <c r="PJH2" t="s">
        <v>15396</v>
      </c>
      <c r="PJI2" t="s">
        <v>15397</v>
      </c>
      <c r="PJJ2" t="s">
        <v>15398</v>
      </c>
      <c r="PJK2" t="s">
        <v>15399</v>
      </c>
      <c r="PJL2" t="s">
        <v>15400</v>
      </c>
      <c r="PJM2" t="s">
        <v>15401</v>
      </c>
      <c r="PJN2" t="s">
        <v>15402</v>
      </c>
      <c r="PJO2" t="s">
        <v>15403</v>
      </c>
      <c r="PJP2" t="s">
        <v>15404</v>
      </c>
      <c r="PJQ2" t="s">
        <v>15405</v>
      </c>
      <c r="PJR2" t="s">
        <v>15406</v>
      </c>
      <c r="PJS2" t="s">
        <v>15407</v>
      </c>
      <c r="PJT2" t="s">
        <v>15408</v>
      </c>
      <c r="PJU2" t="s">
        <v>15409</v>
      </c>
      <c r="PJV2" t="s">
        <v>15410</v>
      </c>
      <c r="PJW2" t="s">
        <v>15411</v>
      </c>
      <c r="PJX2" t="s">
        <v>15412</v>
      </c>
      <c r="PJY2" t="s">
        <v>15413</v>
      </c>
      <c r="PJZ2" t="s">
        <v>15414</v>
      </c>
      <c r="PKA2" t="s">
        <v>15415</v>
      </c>
      <c r="PKB2" t="s">
        <v>15416</v>
      </c>
      <c r="PKC2" t="s">
        <v>15417</v>
      </c>
      <c r="PKD2" t="s">
        <v>15418</v>
      </c>
      <c r="PKE2" t="s">
        <v>15419</v>
      </c>
      <c r="PKF2" t="s">
        <v>15420</v>
      </c>
      <c r="PKG2" t="s">
        <v>15421</v>
      </c>
      <c r="PKH2" t="s">
        <v>15422</v>
      </c>
      <c r="PKI2" t="s">
        <v>15423</v>
      </c>
      <c r="PKJ2" t="s">
        <v>15424</v>
      </c>
      <c r="PKK2" t="s">
        <v>15425</v>
      </c>
      <c r="PKL2" t="s">
        <v>15426</v>
      </c>
      <c r="PKM2" t="s">
        <v>15427</v>
      </c>
      <c r="PKN2" t="s">
        <v>15428</v>
      </c>
      <c r="PKO2" t="s">
        <v>15429</v>
      </c>
      <c r="PKP2" t="s">
        <v>15430</v>
      </c>
      <c r="PKQ2" t="s">
        <v>15431</v>
      </c>
      <c r="PKR2" t="s">
        <v>15432</v>
      </c>
      <c r="PKS2" t="s">
        <v>15433</v>
      </c>
      <c r="PKT2" t="s">
        <v>15434</v>
      </c>
      <c r="PKU2" t="s">
        <v>15435</v>
      </c>
      <c r="PKV2" t="s">
        <v>15436</v>
      </c>
      <c r="PKW2" t="s">
        <v>15437</v>
      </c>
      <c r="PKX2" t="s">
        <v>15438</v>
      </c>
      <c r="PKY2" t="s">
        <v>15439</v>
      </c>
      <c r="PKZ2" t="s">
        <v>15440</v>
      </c>
      <c r="PLA2" t="s">
        <v>15441</v>
      </c>
      <c r="PLB2" t="s">
        <v>15442</v>
      </c>
      <c r="PLC2" t="s">
        <v>15443</v>
      </c>
      <c r="PLD2" t="s">
        <v>15444</v>
      </c>
      <c r="PLE2" t="s">
        <v>15445</v>
      </c>
      <c r="PLF2" t="s">
        <v>15446</v>
      </c>
      <c r="PLG2" t="s">
        <v>15447</v>
      </c>
      <c r="PLH2" t="s">
        <v>15448</v>
      </c>
      <c r="PLI2" t="s">
        <v>15449</v>
      </c>
      <c r="PLJ2" t="s">
        <v>15450</v>
      </c>
      <c r="PLK2" t="s">
        <v>15451</v>
      </c>
      <c r="PLL2" t="s">
        <v>15452</v>
      </c>
      <c r="PLM2" t="s">
        <v>15453</v>
      </c>
      <c r="PLN2" t="s">
        <v>15454</v>
      </c>
      <c r="PLO2" t="s">
        <v>15455</v>
      </c>
      <c r="PLP2" t="s">
        <v>15456</v>
      </c>
      <c r="PLQ2" t="s">
        <v>15457</v>
      </c>
      <c r="PLR2" t="s">
        <v>15458</v>
      </c>
      <c r="PLS2" t="s">
        <v>15459</v>
      </c>
      <c r="PLT2" t="s">
        <v>15460</v>
      </c>
      <c r="PLU2" t="s">
        <v>15461</v>
      </c>
      <c r="PLV2" t="s">
        <v>15462</v>
      </c>
      <c r="PLW2" t="s">
        <v>15463</v>
      </c>
      <c r="PLX2" t="s">
        <v>15464</v>
      </c>
      <c r="PLY2" t="s">
        <v>15465</v>
      </c>
      <c r="PLZ2" t="s">
        <v>15466</v>
      </c>
      <c r="PMA2" t="s">
        <v>15467</v>
      </c>
      <c r="PMB2" t="s">
        <v>15468</v>
      </c>
      <c r="PMC2" t="s">
        <v>15469</v>
      </c>
      <c r="PMD2" t="s">
        <v>15470</v>
      </c>
      <c r="PME2" t="s">
        <v>15471</v>
      </c>
      <c r="PMF2" t="s">
        <v>15472</v>
      </c>
      <c r="PMG2" t="s">
        <v>15473</v>
      </c>
      <c r="PMH2" t="s">
        <v>15474</v>
      </c>
      <c r="PMI2" t="s">
        <v>15475</v>
      </c>
      <c r="PMJ2" t="s">
        <v>15476</v>
      </c>
      <c r="PMK2" t="s">
        <v>15477</v>
      </c>
      <c r="PML2" t="s">
        <v>15478</v>
      </c>
      <c r="PMM2" t="s">
        <v>15479</v>
      </c>
      <c r="PMN2" t="s">
        <v>15480</v>
      </c>
      <c r="PMO2" t="s">
        <v>15481</v>
      </c>
      <c r="PMP2" t="s">
        <v>15482</v>
      </c>
      <c r="PMQ2" t="s">
        <v>15483</v>
      </c>
      <c r="PMR2" t="s">
        <v>15484</v>
      </c>
      <c r="PMS2" t="s">
        <v>15485</v>
      </c>
      <c r="PMT2" t="s">
        <v>15486</v>
      </c>
      <c r="PMU2" t="s">
        <v>15487</v>
      </c>
      <c r="PMV2" t="s">
        <v>15488</v>
      </c>
      <c r="PMW2" t="s">
        <v>15489</v>
      </c>
      <c r="PMX2" t="s">
        <v>15490</v>
      </c>
      <c r="PMY2" t="s">
        <v>15491</v>
      </c>
      <c r="PMZ2" t="s">
        <v>15492</v>
      </c>
      <c r="PNA2" t="s">
        <v>15493</v>
      </c>
      <c r="PNB2" t="s">
        <v>15494</v>
      </c>
      <c r="PNC2" t="s">
        <v>15495</v>
      </c>
      <c r="PND2" t="s">
        <v>15496</v>
      </c>
      <c r="PNE2" t="s">
        <v>15497</v>
      </c>
      <c r="PNF2" t="s">
        <v>15498</v>
      </c>
      <c r="PNG2" t="s">
        <v>15499</v>
      </c>
      <c r="PNH2" t="s">
        <v>15500</v>
      </c>
      <c r="PNI2" t="s">
        <v>15501</v>
      </c>
      <c r="PNJ2" t="s">
        <v>15502</v>
      </c>
      <c r="PNK2" t="s">
        <v>15503</v>
      </c>
      <c r="PNL2" t="s">
        <v>15504</v>
      </c>
      <c r="PNM2" t="s">
        <v>15505</v>
      </c>
      <c r="PNN2" t="s">
        <v>15506</v>
      </c>
      <c r="PNO2" t="s">
        <v>15507</v>
      </c>
      <c r="PNP2" t="s">
        <v>15508</v>
      </c>
      <c r="PNQ2" t="s">
        <v>15509</v>
      </c>
      <c r="PNR2" t="s">
        <v>15510</v>
      </c>
      <c r="PNS2" t="s">
        <v>15511</v>
      </c>
      <c r="PNT2" t="s">
        <v>15512</v>
      </c>
      <c r="PNU2" t="s">
        <v>15513</v>
      </c>
      <c r="PNV2" t="s">
        <v>15514</v>
      </c>
      <c r="PNW2" t="s">
        <v>15515</v>
      </c>
      <c r="PNX2" t="s">
        <v>15516</v>
      </c>
      <c r="PNY2" t="s">
        <v>15517</v>
      </c>
      <c r="PNZ2" t="s">
        <v>15518</v>
      </c>
      <c r="POA2" t="s">
        <v>15519</v>
      </c>
      <c r="POB2" t="s">
        <v>15520</v>
      </c>
      <c r="POC2" t="s">
        <v>15521</v>
      </c>
      <c r="POD2" t="s">
        <v>15522</v>
      </c>
      <c r="POE2" t="s">
        <v>15523</v>
      </c>
      <c r="POF2" t="s">
        <v>15524</v>
      </c>
      <c r="POG2" t="s">
        <v>15525</v>
      </c>
      <c r="POH2" t="s">
        <v>15526</v>
      </c>
      <c r="POI2" t="s">
        <v>15527</v>
      </c>
      <c r="POJ2" t="s">
        <v>15528</v>
      </c>
      <c r="POK2" t="s">
        <v>15529</v>
      </c>
      <c r="POL2" t="s">
        <v>15530</v>
      </c>
      <c r="POM2" t="s">
        <v>15531</v>
      </c>
      <c r="PON2" t="s">
        <v>15532</v>
      </c>
      <c r="POO2" t="s">
        <v>15533</v>
      </c>
      <c r="POP2" t="s">
        <v>15534</v>
      </c>
      <c r="POQ2" t="s">
        <v>15535</v>
      </c>
      <c r="POR2" t="s">
        <v>15536</v>
      </c>
      <c r="POS2" t="s">
        <v>15537</v>
      </c>
      <c r="POT2" t="s">
        <v>15538</v>
      </c>
      <c r="POU2" t="s">
        <v>15539</v>
      </c>
      <c r="POV2" t="s">
        <v>15540</v>
      </c>
      <c r="POW2" t="s">
        <v>15541</v>
      </c>
      <c r="POX2" t="s">
        <v>15542</v>
      </c>
      <c r="POY2" t="s">
        <v>15543</v>
      </c>
      <c r="POZ2" t="s">
        <v>15544</v>
      </c>
      <c r="PPA2" t="s">
        <v>15545</v>
      </c>
      <c r="PPB2" t="s">
        <v>15546</v>
      </c>
      <c r="PPC2" t="s">
        <v>15547</v>
      </c>
      <c r="PPD2" t="s">
        <v>15548</v>
      </c>
      <c r="PPE2" t="s">
        <v>15549</v>
      </c>
      <c r="PPF2" t="s">
        <v>15550</v>
      </c>
      <c r="PPG2" t="s">
        <v>15551</v>
      </c>
      <c r="PPH2" t="s">
        <v>15552</v>
      </c>
      <c r="PPI2" t="s">
        <v>15553</v>
      </c>
      <c r="PPJ2" t="s">
        <v>15554</v>
      </c>
      <c r="PPK2" t="s">
        <v>15555</v>
      </c>
      <c r="PPL2" t="s">
        <v>15556</v>
      </c>
      <c r="PPM2" t="s">
        <v>15557</v>
      </c>
      <c r="PPN2" t="s">
        <v>15558</v>
      </c>
      <c r="PPO2" t="s">
        <v>15559</v>
      </c>
      <c r="PPP2" t="s">
        <v>15560</v>
      </c>
      <c r="PPQ2" t="s">
        <v>15561</v>
      </c>
      <c r="PPR2" t="s">
        <v>15562</v>
      </c>
      <c r="PPS2" t="s">
        <v>15563</v>
      </c>
      <c r="PPT2" t="s">
        <v>15564</v>
      </c>
      <c r="PPU2" t="s">
        <v>15565</v>
      </c>
      <c r="PPV2" t="s">
        <v>15566</v>
      </c>
      <c r="PPW2" t="s">
        <v>15567</v>
      </c>
      <c r="PPX2" t="s">
        <v>15568</v>
      </c>
      <c r="PPY2" t="s">
        <v>15569</v>
      </c>
      <c r="PPZ2" t="s">
        <v>15570</v>
      </c>
      <c r="PQA2" t="s">
        <v>15571</v>
      </c>
      <c r="PQB2" t="s">
        <v>15572</v>
      </c>
      <c r="PQC2" t="s">
        <v>15573</v>
      </c>
      <c r="PQD2" t="s">
        <v>15574</v>
      </c>
      <c r="PQE2" t="s">
        <v>15575</v>
      </c>
      <c r="PQF2" t="s">
        <v>15576</v>
      </c>
      <c r="PQG2" t="s">
        <v>15577</v>
      </c>
      <c r="PQH2" t="s">
        <v>15578</v>
      </c>
      <c r="PQI2" t="s">
        <v>15579</v>
      </c>
      <c r="PQJ2" t="s">
        <v>15580</v>
      </c>
      <c r="PQK2" t="s">
        <v>15581</v>
      </c>
      <c r="PQL2" t="s">
        <v>15582</v>
      </c>
      <c r="PQM2" t="s">
        <v>15583</v>
      </c>
      <c r="PQN2" t="s">
        <v>15584</v>
      </c>
      <c r="PQO2" t="s">
        <v>15585</v>
      </c>
      <c r="PQP2" t="s">
        <v>15586</v>
      </c>
      <c r="PQQ2" t="s">
        <v>15587</v>
      </c>
      <c r="PQR2" t="s">
        <v>15588</v>
      </c>
      <c r="PQS2" t="s">
        <v>15589</v>
      </c>
      <c r="PQT2" t="s">
        <v>15590</v>
      </c>
      <c r="PQU2" t="s">
        <v>15591</v>
      </c>
      <c r="PQV2" t="s">
        <v>15592</v>
      </c>
      <c r="PQW2" t="s">
        <v>15593</v>
      </c>
      <c r="PQX2" t="s">
        <v>15594</v>
      </c>
      <c r="PQY2" t="s">
        <v>15595</v>
      </c>
      <c r="PQZ2" t="s">
        <v>15596</v>
      </c>
      <c r="PRA2" t="s">
        <v>15597</v>
      </c>
      <c r="PRB2" t="s">
        <v>15598</v>
      </c>
      <c r="PRC2" t="s">
        <v>15599</v>
      </c>
      <c r="PRD2" t="s">
        <v>15600</v>
      </c>
      <c r="PRE2" t="s">
        <v>15601</v>
      </c>
      <c r="PRF2" t="s">
        <v>15602</v>
      </c>
      <c r="PRG2" t="s">
        <v>15603</v>
      </c>
      <c r="PRH2" t="s">
        <v>15604</v>
      </c>
      <c r="PRI2" t="s">
        <v>15605</v>
      </c>
      <c r="PRJ2" t="s">
        <v>15606</v>
      </c>
      <c r="PRK2" t="s">
        <v>15607</v>
      </c>
      <c r="PRL2" t="s">
        <v>15608</v>
      </c>
      <c r="PRM2" t="s">
        <v>15609</v>
      </c>
      <c r="PRN2" t="s">
        <v>15610</v>
      </c>
      <c r="PRO2" t="s">
        <v>15611</v>
      </c>
      <c r="PRP2" t="s">
        <v>15612</v>
      </c>
      <c r="PRQ2" t="s">
        <v>15613</v>
      </c>
      <c r="PRR2" t="s">
        <v>15614</v>
      </c>
      <c r="PRS2" t="s">
        <v>15615</v>
      </c>
      <c r="PRT2" t="s">
        <v>15616</v>
      </c>
      <c r="PRU2" t="s">
        <v>15617</v>
      </c>
      <c r="PRV2" t="s">
        <v>15618</v>
      </c>
      <c r="PRW2" t="s">
        <v>15619</v>
      </c>
      <c r="PRX2" t="s">
        <v>15620</v>
      </c>
      <c r="PRY2" t="s">
        <v>15621</v>
      </c>
      <c r="PRZ2" t="s">
        <v>15622</v>
      </c>
      <c r="PSA2" t="s">
        <v>15623</v>
      </c>
      <c r="PSB2" t="s">
        <v>15624</v>
      </c>
      <c r="PSC2" t="s">
        <v>15625</v>
      </c>
      <c r="PSD2" t="s">
        <v>15626</v>
      </c>
      <c r="PSE2" t="s">
        <v>15627</v>
      </c>
      <c r="PSF2" t="s">
        <v>15628</v>
      </c>
      <c r="PSG2" t="s">
        <v>15629</v>
      </c>
      <c r="PSH2" t="s">
        <v>15630</v>
      </c>
      <c r="PSI2" t="s">
        <v>15631</v>
      </c>
      <c r="PSJ2" t="s">
        <v>15632</v>
      </c>
      <c r="PSK2" t="s">
        <v>15633</v>
      </c>
      <c r="PSL2" t="s">
        <v>15634</v>
      </c>
      <c r="PSM2" t="s">
        <v>15635</v>
      </c>
      <c r="PSN2" t="s">
        <v>15636</v>
      </c>
      <c r="PSO2" t="s">
        <v>15637</v>
      </c>
      <c r="PSP2" t="s">
        <v>15638</v>
      </c>
      <c r="PSQ2" t="s">
        <v>15639</v>
      </c>
      <c r="PSR2" t="s">
        <v>15640</v>
      </c>
      <c r="PSS2" t="s">
        <v>15641</v>
      </c>
      <c r="PST2" t="s">
        <v>15642</v>
      </c>
      <c r="PSU2" t="s">
        <v>15643</v>
      </c>
      <c r="PSV2" t="s">
        <v>15644</v>
      </c>
      <c r="PSW2" t="s">
        <v>15645</v>
      </c>
      <c r="PSX2" t="s">
        <v>15646</v>
      </c>
      <c r="PSY2" t="s">
        <v>15647</v>
      </c>
      <c r="PSZ2" t="s">
        <v>15648</v>
      </c>
      <c r="PTA2" t="s">
        <v>15649</v>
      </c>
      <c r="PTB2" t="s">
        <v>15650</v>
      </c>
      <c r="PTC2" t="s">
        <v>15651</v>
      </c>
      <c r="PTD2" t="s">
        <v>15652</v>
      </c>
      <c r="PTE2" t="s">
        <v>15653</v>
      </c>
      <c r="PTF2" t="s">
        <v>15654</v>
      </c>
      <c r="PTG2" t="s">
        <v>15655</v>
      </c>
      <c r="PTH2" t="s">
        <v>15656</v>
      </c>
      <c r="PTI2" t="s">
        <v>15657</v>
      </c>
      <c r="PTJ2" t="s">
        <v>15658</v>
      </c>
      <c r="PTK2" t="s">
        <v>15659</v>
      </c>
      <c r="PTL2" t="s">
        <v>15660</v>
      </c>
      <c r="PTM2" t="s">
        <v>15661</v>
      </c>
      <c r="PTN2" t="s">
        <v>15662</v>
      </c>
      <c r="PTO2" t="s">
        <v>15663</v>
      </c>
      <c r="PTP2" t="s">
        <v>15664</v>
      </c>
      <c r="PTQ2" t="s">
        <v>15665</v>
      </c>
      <c r="PTR2" t="s">
        <v>15666</v>
      </c>
      <c r="PTS2" t="s">
        <v>15667</v>
      </c>
      <c r="PTT2" t="s">
        <v>15668</v>
      </c>
      <c r="PTU2" t="s">
        <v>15669</v>
      </c>
      <c r="PTV2" t="s">
        <v>15670</v>
      </c>
      <c r="PTW2" t="s">
        <v>15671</v>
      </c>
      <c r="PTX2" t="s">
        <v>15672</v>
      </c>
      <c r="PTY2" t="s">
        <v>15673</v>
      </c>
      <c r="PTZ2" t="s">
        <v>15674</v>
      </c>
      <c r="PUA2" t="s">
        <v>15675</v>
      </c>
      <c r="PUB2" t="s">
        <v>15676</v>
      </c>
      <c r="PUC2" t="s">
        <v>15677</v>
      </c>
      <c r="PUD2" t="s">
        <v>15678</v>
      </c>
      <c r="PUE2" t="s">
        <v>15679</v>
      </c>
      <c r="PUF2" t="s">
        <v>15680</v>
      </c>
      <c r="PUG2" t="s">
        <v>15681</v>
      </c>
      <c r="PUH2" t="s">
        <v>15682</v>
      </c>
      <c r="PUI2" t="s">
        <v>15683</v>
      </c>
      <c r="PUJ2" t="s">
        <v>15684</v>
      </c>
      <c r="PUK2" t="s">
        <v>15685</v>
      </c>
      <c r="PUL2" t="s">
        <v>15686</v>
      </c>
      <c r="PUM2" t="s">
        <v>15687</v>
      </c>
      <c r="PUN2" t="s">
        <v>15688</v>
      </c>
      <c r="PUO2" t="s">
        <v>15689</v>
      </c>
      <c r="PUP2" t="s">
        <v>15690</v>
      </c>
      <c r="PUQ2" t="s">
        <v>15691</v>
      </c>
      <c r="PUR2" t="s">
        <v>15692</v>
      </c>
      <c r="PUS2" t="s">
        <v>15693</v>
      </c>
      <c r="PUT2" t="s">
        <v>15694</v>
      </c>
      <c r="PUU2" t="s">
        <v>15695</v>
      </c>
      <c r="PUV2" t="s">
        <v>15696</v>
      </c>
      <c r="PUW2" t="s">
        <v>15697</v>
      </c>
      <c r="PUX2" t="s">
        <v>15698</v>
      </c>
      <c r="PUY2" t="s">
        <v>15699</v>
      </c>
      <c r="PUZ2" t="s">
        <v>15700</v>
      </c>
      <c r="PVA2" t="s">
        <v>15701</v>
      </c>
      <c r="PVB2" t="s">
        <v>15702</v>
      </c>
      <c r="PVC2" t="s">
        <v>15703</v>
      </c>
      <c r="PVD2" t="s">
        <v>15704</v>
      </c>
      <c r="PVE2" t="s">
        <v>15705</v>
      </c>
      <c r="PVF2" t="s">
        <v>15706</v>
      </c>
      <c r="PVG2" t="s">
        <v>15707</v>
      </c>
      <c r="PVH2" t="s">
        <v>15708</v>
      </c>
      <c r="PVI2" t="s">
        <v>15709</v>
      </c>
      <c r="PVJ2" t="s">
        <v>15710</v>
      </c>
      <c r="PVK2" t="s">
        <v>15711</v>
      </c>
      <c r="PVL2" t="s">
        <v>15712</v>
      </c>
      <c r="PVM2" t="s">
        <v>15713</v>
      </c>
      <c r="PVN2" t="s">
        <v>15714</v>
      </c>
      <c r="PVO2" t="s">
        <v>15715</v>
      </c>
      <c r="PVP2" t="s">
        <v>15716</v>
      </c>
      <c r="PVQ2" t="s">
        <v>15717</v>
      </c>
      <c r="PVR2" t="s">
        <v>15718</v>
      </c>
      <c r="PVS2" t="s">
        <v>15719</v>
      </c>
      <c r="PVT2" t="s">
        <v>15720</v>
      </c>
      <c r="PVU2" t="s">
        <v>15721</v>
      </c>
      <c r="PVV2" t="s">
        <v>15722</v>
      </c>
      <c r="PVW2" t="s">
        <v>15723</v>
      </c>
      <c r="PVX2" t="s">
        <v>15724</v>
      </c>
      <c r="PVY2" t="s">
        <v>15725</v>
      </c>
      <c r="PVZ2" t="s">
        <v>15726</v>
      </c>
      <c r="PWA2" t="s">
        <v>15727</v>
      </c>
      <c r="PWB2" t="s">
        <v>15728</v>
      </c>
      <c r="PWC2" t="s">
        <v>15729</v>
      </c>
      <c r="PWD2" t="s">
        <v>15730</v>
      </c>
      <c r="PWE2" t="s">
        <v>15731</v>
      </c>
      <c r="PWF2" t="s">
        <v>15732</v>
      </c>
      <c r="PWG2" t="s">
        <v>15733</v>
      </c>
      <c r="PWH2" t="s">
        <v>15734</v>
      </c>
      <c r="PWI2" t="s">
        <v>15735</v>
      </c>
      <c r="PWJ2" t="s">
        <v>15736</v>
      </c>
      <c r="PWK2" t="s">
        <v>15737</v>
      </c>
      <c r="PWL2" t="s">
        <v>15738</v>
      </c>
      <c r="PWM2" t="s">
        <v>15739</v>
      </c>
      <c r="PWN2" t="s">
        <v>15740</v>
      </c>
      <c r="PWO2" t="s">
        <v>15741</v>
      </c>
      <c r="PWP2" t="s">
        <v>15742</v>
      </c>
      <c r="PWQ2" t="s">
        <v>15743</v>
      </c>
      <c r="PWR2" t="s">
        <v>15744</v>
      </c>
      <c r="PWS2" t="s">
        <v>15745</v>
      </c>
      <c r="PWT2" t="s">
        <v>15746</v>
      </c>
      <c r="PWU2" t="s">
        <v>15747</v>
      </c>
      <c r="PWV2" t="s">
        <v>15748</v>
      </c>
      <c r="PWW2" t="s">
        <v>15749</v>
      </c>
      <c r="PWX2" t="s">
        <v>15750</v>
      </c>
      <c r="PWY2" t="s">
        <v>15751</v>
      </c>
      <c r="PWZ2" t="s">
        <v>15752</v>
      </c>
      <c r="PXA2" t="s">
        <v>15753</v>
      </c>
      <c r="PXB2" t="s">
        <v>15754</v>
      </c>
      <c r="PXC2" t="s">
        <v>15755</v>
      </c>
      <c r="PXD2" t="s">
        <v>15756</v>
      </c>
      <c r="PXE2" t="s">
        <v>15757</v>
      </c>
      <c r="PXF2" t="s">
        <v>15758</v>
      </c>
      <c r="PXG2" t="s">
        <v>15759</v>
      </c>
      <c r="PXH2" t="s">
        <v>15760</v>
      </c>
      <c r="PXI2" t="s">
        <v>15761</v>
      </c>
      <c r="PXJ2" t="s">
        <v>15762</v>
      </c>
      <c r="PXK2" t="s">
        <v>15763</v>
      </c>
      <c r="PXL2" t="s">
        <v>15764</v>
      </c>
      <c r="PXM2" t="s">
        <v>15765</v>
      </c>
      <c r="PXN2" t="s">
        <v>15766</v>
      </c>
      <c r="PXO2" t="s">
        <v>15767</v>
      </c>
      <c r="PXP2" t="s">
        <v>15768</v>
      </c>
      <c r="PXQ2" t="s">
        <v>15769</v>
      </c>
      <c r="PXR2" t="s">
        <v>15770</v>
      </c>
      <c r="PXS2" t="s">
        <v>15771</v>
      </c>
      <c r="PXT2" t="s">
        <v>15772</v>
      </c>
      <c r="PXU2" t="s">
        <v>15773</v>
      </c>
      <c r="PXV2" t="s">
        <v>15774</v>
      </c>
      <c r="PXW2" t="s">
        <v>15775</v>
      </c>
      <c r="PXX2" t="s">
        <v>15776</v>
      </c>
      <c r="PXY2" t="s">
        <v>15777</v>
      </c>
      <c r="PXZ2" t="s">
        <v>15778</v>
      </c>
      <c r="PYA2" t="s">
        <v>15779</v>
      </c>
      <c r="PYB2" t="s">
        <v>15780</v>
      </c>
      <c r="PYC2" t="s">
        <v>15781</v>
      </c>
      <c r="PYD2" t="s">
        <v>15782</v>
      </c>
      <c r="PYE2" t="s">
        <v>15783</v>
      </c>
      <c r="PYF2" t="s">
        <v>15784</v>
      </c>
      <c r="PYG2" t="s">
        <v>15785</v>
      </c>
      <c r="PYH2" t="s">
        <v>15786</v>
      </c>
      <c r="PYI2" t="s">
        <v>15787</v>
      </c>
      <c r="PYJ2" t="s">
        <v>15788</v>
      </c>
      <c r="PYK2" t="s">
        <v>15789</v>
      </c>
      <c r="PYL2" t="s">
        <v>15790</v>
      </c>
      <c r="PYM2" t="s">
        <v>15791</v>
      </c>
      <c r="PYN2" t="s">
        <v>15792</v>
      </c>
      <c r="PYO2" t="s">
        <v>15793</v>
      </c>
      <c r="PYP2" t="s">
        <v>15794</v>
      </c>
      <c r="PYQ2" t="s">
        <v>15795</v>
      </c>
      <c r="PYR2" t="s">
        <v>15796</v>
      </c>
      <c r="PYS2" t="s">
        <v>15797</v>
      </c>
      <c r="PYT2" t="s">
        <v>15798</v>
      </c>
      <c r="PYU2" t="s">
        <v>15799</v>
      </c>
      <c r="PYV2" t="s">
        <v>15800</v>
      </c>
      <c r="PYW2" t="s">
        <v>15801</v>
      </c>
      <c r="PYX2" t="s">
        <v>15802</v>
      </c>
      <c r="PYY2" t="s">
        <v>15803</v>
      </c>
      <c r="PYZ2" t="s">
        <v>15804</v>
      </c>
      <c r="PZA2" t="s">
        <v>15805</v>
      </c>
      <c r="PZB2" t="s">
        <v>15806</v>
      </c>
      <c r="PZC2" t="s">
        <v>15807</v>
      </c>
      <c r="PZD2" t="s">
        <v>15808</v>
      </c>
      <c r="PZE2" t="s">
        <v>15809</v>
      </c>
      <c r="PZF2" t="s">
        <v>15810</v>
      </c>
      <c r="PZG2" t="s">
        <v>15811</v>
      </c>
      <c r="PZH2" t="s">
        <v>15812</v>
      </c>
      <c r="PZI2" t="s">
        <v>15813</v>
      </c>
      <c r="PZJ2" t="s">
        <v>15814</v>
      </c>
      <c r="PZK2" t="s">
        <v>15815</v>
      </c>
      <c r="PZL2" t="s">
        <v>15816</v>
      </c>
      <c r="PZM2" t="s">
        <v>15817</v>
      </c>
      <c r="PZN2" t="s">
        <v>15818</v>
      </c>
      <c r="PZO2" t="s">
        <v>15819</v>
      </c>
      <c r="PZP2" t="s">
        <v>15820</v>
      </c>
      <c r="PZQ2" t="s">
        <v>15821</v>
      </c>
      <c r="PZR2" t="s">
        <v>15822</v>
      </c>
      <c r="PZS2" t="s">
        <v>15823</v>
      </c>
      <c r="PZT2" t="s">
        <v>15824</v>
      </c>
      <c r="PZU2" t="s">
        <v>15825</v>
      </c>
      <c r="PZV2" t="s">
        <v>15826</v>
      </c>
      <c r="PZW2" t="s">
        <v>15827</v>
      </c>
      <c r="PZX2" t="s">
        <v>15828</v>
      </c>
      <c r="PZY2" t="s">
        <v>15829</v>
      </c>
      <c r="PZZ2" t="s">
        <v>15830</v>
      </c>
      <c r="QAA2" t="s">
        <v>15831</v>
      </c>
      <c r="QAB2" t="s">
        <v>15832</v>
      </c>
      <c r="QAC2" t="s">
        <v>15833</v>
      </c>
      <c r="QAD2" t="s">
        <v>15834</v>
      </c>
      <c r="QAE2" t="s">
        <v>15835</v>
      </c>
      <c r="QAF2" t="s">
        <v>15836</v>
      </c>
      <c r="QAG2" t="s">
        <v>15837</v>
      </c>
      <c r="QAH2" t="s">
        <v>15838</v>
      </c>
      <c r="QAI2" t="s">
        <v>15839</v>
      </c>
      <c r="QAJ2" t="s">
        <v>15840</v>
      </c>
      <c r="QAK2" t="s">
        <v>15841</v>
      </c>
      <c r="QAL2" t="s">
        <v>15842</v>
      </c>
      <c r="QAM2" t="s">
        <v>15843</v>
      </c>
      <c r="QAN2" t="s">
        <v>15844</v>
      </c>
      <c r="QAO2" t="s">
        <v>15845</v>
      </c>
      <c r="QAP2" t="s">
        <v>15846</v>
      </c>
      <c r="QAQ2" t="s">
        <v>15847</v>
      </c>
      <c r="QAR2" t="s">
        <v>15848</v>
      </c>
      <c r="QAS2" t="s">
        <v>15849</v>
      </c>
      <c r="QAT2" t="s">
        <v>15850</v>
      </c>
      <c r="QAU2" t="s">
        <v>15851</v>
      </c>
      <c r="QAV2" t="s">
        <v>15852</v>
      </c>
      <c r="QAW2" t="s">
        <v>15853</v>
      </c>
      <c r="QAX2" t="s">
        <v>15854</v>
      </c>
      <c r="QAY2" t="s">
        <v>15855</v>
      </c>
      <c r="QAZ2" t="s">
        <v>15856</v>
      </c>
      <c r="QBA2" t="s">
        <v>15857</v>
      </c>
      <c r="QBB2" t="s">
        <v>15858</v>
      </c>
      <c r="QBC2" t="s">
        <v>15859</v>
      </c>
      <c r="QBD2" t="s">
        <v>15860</v>
      </c>
      <c r="QBE2" t="s">
        <v>15861</v>
      </c>
      <c r="QBF2" t="s">
        <v>15862</v>
      </c>
      <c r="QBG2" t="s">
        <v>15863</v>
      </c>
      <c r="QBH2" t="s">
        <v>15864</v>
      </c>
      <c r="QBI2" t="s">
        <v>15865</v>
      </c>
      <c r="QBJ2" t="s">
        <v>15866</v>
      </c>
      <c r="QBK2" t="s">
        <v>15867</v>
      </c>
      <c r="QBL2" t="s">
        <v>15868</v>
      </c>
      <c r="QBM2" t="s">
        <v>15869</v>
      </c>
      <c r="QBN2" t="s">
        <v>15870</v>
      </c>
      <c r="QBO2" t="s">
        <v>15871</v>
      </c>
      <c r="QBP2" t="s">
        <v>15872</v>
      </c>
      <c r="QBQ2" t="s">
        <v>15873</v>
      </c>
      <c r="QBR2" t="s">
        <v>15874</v>
      </c>
      <c r="QBS2" t="s">
        <v>15875</v>
      </c>
      <c r="QBT2" t="s">
        <v>15876</v>
      </c>
      <c r="QBU2" t="s">
        <v>15877</v>
      </c>
      <c r="QBV2" t="s">
        <v>15878</v>
      </c>
      <c r="QBW2" t="s">
        <v>15879</v>
      </c>
      <c r="QBX2" t="s">
        <v>15880</v>
      </c>
      <c r="QBY2" t="s">
        <v>15881</v>
      </c>
      <c r="QBZ2" t="s">
        <v>15882</v>
      </c>
      <c r="QCA2" t="s">
        <v>15883</v>
      </c>
      <c r="QCB2" t="s">
        <v>15884</v>
      </c>
      <c r="QCC2" t="s">
        <v>15885</v>
      </c>
      <c r="QCD2" t="s">
        <v>15886</v>
      </c>
      <c r="QCE2" t="s">
        <v>15887</v>
      </c>
      <c r="QCF2" t="s">
        <v>15888</v>
      </c>
      <c r="QCG2" t="s">
        <v>15889</v>
      </c>
      <c r="QCH2" t="s">
        <v>15890</v>
      </c>
      <c r="QCI2" t="s">
        <v>15891</v>
      </c>
      <c r="QCJ2" t="s">
        <v>15892</v>
      </c>
      <c r="QCK2" t="s">
        <v>15893</v>
      </c>
      <c r="QCL2" t="s">
        <v>15894</v>
      </c>
      <c r="QCM2" t="s">
        <v>15895</v>
      </c>
      <c r="QCN2" t="s">
        <v>15896</v>
      </c>
      <c r="QCO2" t="s">
        <v>15897</v>
      </c>
      <c r="QCP2" t="s">
        <v>15898</v>
      </c>
      <c r="QCQ2" t="s">
        <v>15899</v>
      </c>
      <c r="QCR2" t="s">
        <v>15900</v>
      </c>
      <c r="QCS2" t="s">
        <v>15901</v>
      </c>
      <c r="QCT2" t="s">
        <v>15902</v>
      </c>
      <c r="QCU2" t="s">
        <v>15903</v>
      </c>
      <c r="QCV2" t="s">
        <v>15904</v>
      </c>
      <c r="QCW2" t="s">
        <v>15905</v>
      </c>
      <c r="QCX2" t="s">
        <v>15906</v>
      </c>
      <c r="QCY2" t="s">
        <v>15907</v>
      </c>
      <c r="QCZ2" t="s">
        <v>15908</v>
      </c>
      <c r="QDA2" t="s">
        <v>15909</v>
      </c>
      <c r="QDB2" t="s">
        <v>15910</v>
      </c>
      <c r="QDC2" t="s">
        <v>15911</v>
      </c>
      <c r="QDD2" t="s">
        <v>15912</v>
      </c>
      <c r="QDE2" t="s">
        <v>15913</v>
      </c>
      <c r="QDF2" t="s">
        <v>15914</v>
      </c>
      <c r="QDG2" t="s">
        <v>15915</v>
      </c>
      <c r="QDH2" t="s">
        <v>15916</v>
      </c>
      <c r="QDI2" t="s">
        <v>15917</v>
      </c>
      <c r="QDJ2" t="s">
        <v>15918</v>
      </c>
      <c r="QDK2" t="s">
        <v>15919</v>
      </c>
      <c r="QDL2" t="s">
        <v>15920</v>
      </c>
      <c r="QDM2" t="s">
        <v>15921</v>
      </c>
      <c r="QDN2" t="s">
        <v>15922</v>
      </c>
      <c r="QDO2" t="s">
        <v>15923</v>
      </c>
      <c r="QDP2" t="s">
        <v>15924</v>
      </c>
      <c r="QDQ2" t="s">
        <v>15925</v>
      </c>
      <c r="QDR2" t="s">
        <v>15926</v>
      </c>
      <c r="QDS2" t="s">
        <v>15927</v>
      </c>
      <c r="QDT2" t="s">
        <v>15928</v>
      </c>
      <c r="QDU2" t="s">
        <v>15929</v>
      </c>
      <c r="QDV2" t="s">
        <v>15930</v>
      </c>
      <c r="QDW2" t="s">
        <v>15931</v>
      </c>
      <c r="QDX2" t="s">
        <v>15932</v>
      </c>
      <c r="QDY2" t="s">
        <v>15933</v>
      </c>
      <c r="QDZ2" t="s">
        <v>15934</v>
      </c>
      <c r="QEA2" t="s">
        <v>15935</v>
      </c>
      <c r="QEB2" t="s">
        <v>15936</v>
      </c>
      <c r="QEC2" t="s">
        <v>15937</v>
      </c>
      <c r="QED2" t="s">
        <v>15938</v>
      </c>
      <c r="QEE2" t="s">
        <v>15939</v>
      </c>
      <c r="QEF2" t="s">
        <v>15940</v>
      </c>
      <c r="QEG2" t="s">
        <v>15941</v>
      </c>
      <c r="QEH2" t="s">
        <v>15942</v>
      </c>
      <c r="QEI2" t="s">
        <v>15943</v>
      </c>
      <c r="QEJ2" t="s">
        <v>15944</v>
      </c>
      <c r="QEK2" t="s">
        <v>15945</v>
      </c>
      <c r="QEL2" t="s">
        <v>15946</v>
      </c>
      <c r="QEM2" t="s">
        <v>15947</v>
      </c>
      <c r="QEN2" t="s">
        <v>15948</v>
      </c>
      <c r="QEO2" t="s">
        <v>15949</v>
      </c>
      <c r="QEP2" t="s">
        <v>15950</v>
      </c>
      <c r="QEQ2" t="s">
        <v>15951</v>
      </c>
      <c r="QER2" t="s">
        <v>15952</v>
      </c>
      <c r="QES2" t="s">
        <v>15953</v>
      </c>
      <c r="QET2" t="s">
        <v>15954</v>
      </c>
      <c r="QEU2" t="s">
        <v>15955</v>
      </c>
      <c r="QEV2" t="s">
        <v>15956</v>
      </c>
      <c r="QEW2" t="s">
        <v>15957</v>
      </c>
      <c r="QEX2" t="s">
        <v>15958</v>
      </c>
      <c r="QEY2" t="s">
        <v>15959</v>
      </c>
      <c r="QEZ2" t="s">
        <v>15960</v>
      </c>
      <c r="QFA2" t="s">
        <v>15961</v>
      </c>
      <c r="QFB2" t="s">
        <v>15962</v>
      </c>
      <c r="QFC2" t="s">
        <v>15963</v>
      </c>
      <c r="QFD2" t="s">
        <v>15964</v>
      </c>
      <c r="QFE2" t="s">
        <v>15965</v>
      </c>
      <c r="QFF2" t="s">
        <v>15966</v>
      </c>
      <c r="QFG2" t="s">
        <v>15967</v>
      </c>
      <c r="QFH2" t="s">
        <v>15968</v>
      </c>
      <c r="QFI2" t="s">
        <v>15969</v>
      </c>
      <c r="QFJ2" t="s">
        <v>15970</v>
      </c>
      <c r="QFK2" t="s">
        <v>15971</v>
      </c>
      <c r="QFL2" t="s">
        <v>15972</v>
      </c>
      <c r="QFM2" t="s">
        <v>15973</v>
      </c>
      <c r="QFN2" t="s">
        <v>15974</v>
      </c>
      <c r="QFO2" t="s">
        <v>15975</v>
      </c>
      <c r="QFP2" t="s">
        <v>15976</v>
      </c>
      <c r="QFQ2" t="s">
        <v>15977</v>
      </c>
      <c r="QFR2" t="s">
        <v>15978</v>
      </c>
      <c r="QFS2" t="s">
        <v>15979</v>
      </c>
      <c r="QFT2" t="s">
        <v>15980</v>
      </c>
      <c r="QFU2" t="s">
        <v>15981</v>
      </c>
      <c r="QFV2" t="s">
        <v>15982</v>
      </c>
      <c r="QFW2" t="s">
        <v>15983</v>
      </c>
      <c r="QFX2" t="s">
        <v>15984</v>
      </c>
      <c r="QFY2" t="s">
        <v>15985</v>
      </c>
      <c r="QFZ2" t="s">
        <v>15986</v>
      </c>
      <c r="QGA2" t="s">
        <v>15987</v>
      </c>
      <c r="QGB2" t="s">
        <v>15988</v>
      </c>
      <c r="QGC2" t="s">
        <v>15989</v>
      </c>
      <c r="QGD2" t="s">
        <v>15990</v>
      </c>
      <c r="QGE2" t="s">
        <v>15991</v>
      </c>
      <c r="QGF2" t="s">
        <v>15992</v>
      </c>
      <c r="QGG2" t="s">
        <v>15993</v>
      </c>
      <c r="QGH2" t="s">
        <v>15994</v>
      </c>
      <c r="QGI2" t="s">
        <v>15995</v>
      </c>
      <c r="QGJ2" t="s">
        <v>15996</v>
      </c>
      <c r="QGK2" t="s">
        <v>15997</v>
      </c>
      <c r="QGL2" t="s">
        <v>15998</v>
      </c>
      <c r="QGM2" t="s">
        <v>15999</v>
      </c>
      <c r="QGN2" t="s">
        <v>16000</v>
      </c>
      <c r="QGO2" t="s">
        <v>16001</v>
      </c>
      <c r="QGP2" t="s">
        <v>16002</v>
      </c>
      <c r="QGQ2" t="s">
        <v>16003</v>
      </c>
      <c r="QGR2" t="s">
        <v>16004</v>
      </c>
      <c r="QGS2" t="s">
        <v>16005</v>
      </c>
      <c r="QGT2" t="s">
        <v>16006</v>
      </c>
      <c r="QGU2" t="s">
        <v>16007</v>
      </c>
      <c r="QGV2" t="s">
        <v>16008</v>
      </c>
      <c r="QGW2" t="s">
        <v>16009</v>
      </c>
      <c r="QGX2" t="s">
        <v>16010</v>
      </c>
      <c r="QGY2" t="s">
        <v>16011</v>
      </c>
      <c r="QGZ2" t="s">
        <v>16012</v>
      </c>
      <c r="QHA2" t="s">
        <v>16013</v>
      </c>
      <c r="QHB2" t="s">
        <v>16014</v>
      </c>
      <c r="QHC2" t="s">
        <v>16015</v>
      </c>
      <c r="QHD2" t="s">
        <v>16016</v>
      </c>
      <c r="QHE2" t="s">
        <v>16017</v>
      </c>
      <c r="QHF2" t="s">
        <v>16018</v>
      </c>
      <c r="QHG2" t="s">
        <v>16019</v>
      </c>
      <c r="QHH2" t="s">
        <v>16020</v>
      </c>
      <c r="QHI2" t="s">
        <v>16021</v>
      </c>
      <c r="QHJ2" t="s">
        <v>16022</v>
      </c>
      <c r="QHK2" t="s">
        <v>16023</v>
      </c>
      <c r="QHL2" t="s">
        <v>16024</v>
      </c>
      <c r="QHM2" t="s">
        <v>16025</v>
      </c>
      <c r="QHN2" t="s">
        <v>16026</v>
      </c>
      <c r="QHO2" t="s">
        <v>16027</v>
      </c>
      <c r="QHP2" t="s">
        <v>16028</v>
      </c>
      <c r="QHQ2" t="s">
        <v>16029</v>
      </c>
      <c r="QHR2" t="s">
        <v>16030</v>
      </c>
      <c r="QHS2" t="s">
        <v>16031</v>
      </c>
      <c r="QHT2" t="s">
        <v>16032</v>
      </c>
      <c r="QHU2" t="s">
        <v>16033</v>
      </c>
      <c r="QHV2" t="s">
        <v>16034</v>
      </c>
      <c r="QHW2" t="s">
        <v>16035</v>
      </c>
      <c r="QHX2" t="s">
        <v>16036</v>
      </c>
      <c r="QHY2" t="s">
        <v>16037</v>
      </c>
      <c r="QHZ2" t="s">
        <v>16038</v>
      </c>
      <c r="QIA2" t="s">
        <v>16039</v>
      </c>
      <c r="QIB2" t="s">
        <v>16040</v>
      </c>
      <c r="QIC2" t="s">
        <v>16041</v>
      </c>
      <c r="QID2" t="s">
        <v>16042</v>
      </c>
      <c r="QIE2" t="s">
        <v>16043</v>
      </c>
      <c r="QIF2" t="s">
        <v>16044</v>
      </c>
      <c r="QIG2" t="s">
        <v>16045</v>
      </c>
      <c r="QIH2" t="s">
        <v>16046</v>
      </c>
      <c r="QII2" t="s">
        <v>16047</v>
      </c>
      <c r="QIJ2" t="s">
        <v>16048</v>
      </c>
      <c r="QIK2" t="s">
        <v>16049</v>
      </c>
      <c r="QIL2" t="s">
        <v>16050</v>
      </c>
      <c r="QIM2" t="s">
        <v>16051</v>
      </c>
      <c r="QIN2" t="s">
        <v>16052</v>
      </c>
      <c r="QIO2" t="s">
        <v>16053</v>
      </c>
      <c r="QIP2" t="s">
        <v>16054</v>
      </c>
      <c r="QIQ2" t="s">
        <v>16055</v>
      </c>
      <c r="QIR2" t="s">
        <v>16056</v>
      </c>
      <c r="QIS2" t="s">
        <v>16057</v>
      </c>
      <c r="QIT2" t="s">
        <v>16058</v>
      </c>
      <c r="QIU2" t="s">
        <v>16059</v>
      </c>
      <c r="QIV2" t="s">
        <v>16060</v>
      </c>
      <c r="QIW2" t="s">
        <v>16061</v>
      </c>
      <c r="QIX2" t="s">
        <v>16062</v>
      </c>
      <c r="QIY2" t="s">
        <v>16063</v>
      </c>
      <c r="QIZ2" t="s">
        <v>16064</v>
      </c>
      <c r="QJA2" t="s">
        <v>16065</v>
      </c>
      <c r="QJB2" t="s">
        <v>16066</v>
      </c>
      <c r="QJC2" t="s">
        <v>16067</v>
      </c>
      <c r="QJD2" t="s">
        <v>16068</v>
      </c>
      <c r="QJE2" t="s">
        <v>16069</v>
      </c>
      <c r="QJF2" t="s">
        <v>16070</v>
      </c>
      <c r="QJG2" t="s">
        <v>16071</v>
      </c>
      <c r="QJH2" t="s">
        <v>16072</v>
      </c>
      <c r="QJI2" t="s">
        <v>16073</v>
      </c>
      <c r="QJJ2" t="s">
        <v>16074</v>
      </c>
      <c r="QJK2" t="s">
        <v>16075</v>
      </c>
      <c r="QJL2" t="s">
        <v>16076</v>
      </c>
      <c r="QJM2" t="s">
        <v>16077</v>
      </c>
      <c r="QJN2" t="s">
        <v>16078</v>
      </c>
      <c r="QJO2" t="s">
        <v>16079</v>
      </c>
      <c r="QJP2" t="s">
        <v>16080</v>
      </c>
      <c r="QJQ2" t="s">
        <v>16081</v>
      </c>
      <c r="QJR2" t="s">
        <v>16082</v>
      </c>
      <c r="QJS2" t="s">
        <v>16083</v>
      </c>
      <c r="QJT2" t="s">
        <v>16084</v>
      </c>
      <c r="QJU2" t="s">
        <v>16085</v>
      </c>
      <c r="QJV2" t="s">
        <v>16086</v>
      </c>
      <c r="QJW2" t="s">
        <v>16087</v>
      </c>
      <c r="QJX2" t="s">
        <v>16088</v>
      </c>
      <c r="QJY2" t="s">
        <v>16089</v>
      </c>
      <c r="QJZ2" t="s">
        <v>16090</v>
      </c>
      <c r="QKA2" t="s">
        <v>16091</v>
      </c>
      <c r="QKB2" t="s">
        <v>16092</v>
      </c>
      <c r="QKC2" t="s">
        <v>16093</v>
      </c>
      <c r="QKD2" t="s">
        <v>16094</v>
      </c>
      <c r="QKE2" t="s">
        <v>16095</v>
      </c>
      <c r="QKF2" t="s">
        <v>16096</v>
      </c>
      <c r="QKG2" t="s">
        <v>16097</v>
      </c>
      <c r="QKH2" t="s">
        <v>16098</v>
      </c>
      <c r="QKI2" t="s">
        <v>16099</v>
      </c>
      <c r="QKJ2" t="s">
        <v>16100</v>
      </c>
      <c r="QKK2" t="s">
        <v>16101</v>
      </c>
      <c r="QKL2" t="s">
        <v>16102</v>
      </c>
      <c r="QKM2" t="s">
        <v>16103</v>
      </c>
      <c r="QKN2" t="s">
        <v>16104</v>
      </c>
      <c r="QKO2" t="s">
        <v>16105</v>
      </c>
      <c r="QKP2" t="s">
        <v>16106</v>
      </c>
      <c r="QKQ2" t="s">
        <v>16107</v>
      </c>
      <c r="QKR2" t="s">
        <v>16108</v>
      </c>
      <c r="QKS2" t="s">
        <v>16109</v>
      </c>
      <c r="QKT2" t="s">
        <v>16110</v>
      </c>
      <c r="QKU2" t="s">
        <v>16111</v>
      </c>
      <c r="QKV2" t="s">
        <v>16112</v>
      </c>
      <c r="QKW2" t="s">
        <v>16113</v>
      </c>
      <c r="QKX2" t="s">
        <v>16114</v>
      </c>
      <c r="QKY2" t="s">
        <v>16115</v>
      </c>
      <c r="QKZ2" t="s">
        <v>16116</v>
      </c>
      <c r="QLA2" t="s">
        <v>16117</v>
      </c>
      <c r="QLB2" t="s">
        <v>16118</v>
      </c>
      <c r="QLC2" t="s">
        <v>16119</v>
      </c>
      <c r="QLD2" t="s">
        <v>16120</v>
      </c>
      <c r="QLE2" t="s">
        <v>16121</v>
      </c>
      <c r="QLF2" t="s">
        <v>16122</v>
      </c>
      <c r="QLG2" t="s">
        <v>16123</v>
      </c>
      <c r="QLH2" t="s">
        <v>16124</v>
      </c>
      <c r="QLI2" t="s">
        <v>16125</v>
      </c>
      <c r="QLJ2" t="s">
        <v>16126</v>
      </c>
      <c r="QLK2" t="s">
        <v>16127</v>
      </c>
      <c r="QLL2" t="s">
        <v>16128</v>
      </c>
      <c r="QLM2" t="s">
        <v>16129</v>
      </c>
      <c r="QLN2" t="s">
        <v>16130</v>
      </c>
      <c r="QLO2" t="s">
        <v>16131</v>
      </c>
      <c r="QLP2" t="s">
        <v>16132</v>
      </c>
      <c r="QLQ2" t="s">
        <v>16133</v>
      </c>
      <c r="QLR2" t="s">
        <v>16134</v>
      </c>
      <c r="QLS2" t="s">
        <v>16135</v>
      </c>
      <c r="QLT2" t="s">
        <v>16136</v>
      </c>
      <c r="QLU2" t="s">
        <v>16137</v>
      </c>
      <c r="QLV2" t="s">
        <v>16138</v>
      </c>
      <c r="QLW2" t="s">
        <v>16139</v>
      </c>
      <c r="QLX2" t="s">
        <v>16140</v>
      </c>
      <c r="QLY2" t="s">
        <v>16141</v>
      </c>
      <c r="QLZ2" t="s">
        <v>16142</v>
      </c>
      <c r="QMA2" t="s">
        <v>16143</v>
      </c>
      <c r="QMB2" t="s">
        <v>16144</v>
      </c>
      <c r="QMC2" t="s">
        <v>16145</v>
      </c>
      <c r="QMD2" t="s">
        <v>16146</v>
      </c>
      <c r="QME2" t="s">
        <v>16147</v>
      </c>
      <c r="QMF2" t="s">
        <v>16148</v>
      </c>
      <c r="QMG2" t="s">
        <v>16149</v>
      </c>
      <c r="QMH2" t="s">
        <v>16150</v>
      </c>
      <c r="QMI2" t="s">
        <v>16151</v>
      </c>
      <c r="QMJ2" t="s">
        <v>16152</v>
      </c>
      <c r="QMK2" t="s">
        <v>16153</v>
      </c>
      <c r="QML2" t="s">
        <v>16154</v>
      </c>
      <c r="QMM2" t="s">
        <v>16155</v>
      </c>
      <c r="QMN2" t="s">
        <v>16156</v>
      </c>
      <c r="QMO2" t="s">
        <v>16157</v>
      </c>
      <c r="QMP2" t="s">
        <v>16158</v>
      </c>
      <c r="QMQ2" t="s">
        <v>16159</v>
      </c>
      <c r="QMR2" t="s">
        <v>16160</v>
      </c>
      <c r="QMS2" t="s">
        <v>16161</v>
      </c>
      <c r="QMT2" t="s">
        <v>16162</v>
      </c>
      <c r="QMU2" t="s">
        <v>16163</v>
      </c>
      <c r="QMV2" t="s">
        <v>16164</v>
      </c>
      <c r="QMW2" t="s">
        <v>16165</v>
      </c>
      <c r="QMX2" t="s">
        <v>16166</v>
      </c>
      <c r="QMY2" t="s">
        <v>16167</v>
      </c>
      <c r="QMZ2" t="s">
        <v>16168</v>
      </c>
      <c r="QNA2" t="s">
        <v>16169</v>
      </c>
      <c r="QNB2" t="s">
        <v>16170</v>
      </c>
      <c r="QNC2" t="s">
        <v>16171</v>
      </c>
      <c r="QND2" t="s">
        <v>16172</v>
      </c>
      <c r="QNE2" t="s">
        <v>16173</v>
      </c>
      <c r="QNF2" t="s">
        <v>16174</v>
      </c>
      <c r="QNG2" t="s">
        <v>16175</v>
      </c>
      <c r="QNH2" t="s">
        <v>16176</v>
      </c>
      <c r="QNI2" t="s">
        <v>16177</v>
      </c>
      <c r="QNJ2" t="s">
        <v>16178</v>
      </c>
      <c r="QNK2" t="s">
        <v>16179</v>
      </c>
      <c r="QNL2" t="s">
        <v>16180</v>
      </c>
      <c r="QNM2" t="s">
        <v>16181</v>
      </c>
      <c r="QNN2" t="s">
        <v>16182</v>
      </c>
      <c r="QNO2" t="s">
        <v>16183</v>
      </c>
      <c r="QNP2" t="s">
        <v>16184</v>
      </c>
      <c r="QNQ2" t="s">
        <v>16185</v>
      </c>
      <c r="QNR2" t="s">
        <v>16186</v>
      </c>
      <c r="QNS2" t="s">
        <v>16187</v>
      </c>
      <c r="QNT2" t="s">
        <v>16188</v>
      </c>
      <c r="QNU2" t="s">
        <v>16189</v>
      </c>
      <c r="QNV2" t="s">
        <v>16190</v>
      </c>
      <c r="QNW2" t="s">
        <v>16191</v>
      </c>
      <c r="QNX2" t="s">
        <v>16192</v>
      </c>
      <c r="QNY2" t="s">
        <v>16193</v>
      </c>
      <c r="QNZ2" t="s">
        <v>16194</v>
      </c>
      <c r="QOA2" t="s">
        <v>16195</v>
      </c>
      <c r="QOB2" t="s">
        <v>16196</v>
      </c>
      <c r="QOC2" t="s">
        <v>16197</v>
      </c>
      <c r="QOD2" t="s">
        <v>16198</v>
      </c>
      <c r="QOE2" t="s">
        <v>16199</v>
      </c>
      <c r="QOF2" t="s">
        <v>16200</v>
      </c>
      <c r="QOG2" t="s">
        <v>16201</v>
      </c>
      <c r="QOH2" t="s">
        <v>16202</v>
      </c>
      <c r="QOI2" t="s">
        <v>16203</v>
      </c>
      <c r="QOJ2" t="s">
        <v>16204</v>
      </c>
      <c r="QOK2" t="s">
        <v>16205</v>
      </c>
      <c r="QOL2" t="s">
        <v>16206</v>
      </c>
      <c r="QOM2" t="s">
        <v>16207</v>
      </c>
      <c r="QON2" t="s">
        <v>16208</v>
      </c>
      <c r="QOO2" t="s">
        <v>16209</v>
      </c>
      <c r="QOP2" t="s">
        <v>16210</v>
      </c>
      <c r="QOQ2" t="s">
        <v>16211</v>
      </c>
      <c r="QOR2" t="s">
        <v>16212</v>
      </c>
      <c r="QOS2" t="s">
        <v>16213</v>
      </c>
      <c r="QOT2" t="s">
        <v>16214</v>
      </c>
      <c r="QOU2" t="s">
        <v>16215</v>
      </c>
      <c r="QOV2" t="s">
        <v>16216</v>
      </c>
      <c r="QOW2" t="s">
        <v>16217</v>
      </c>
      <c r="QOX2" t="s">
        <v>16218</v>
      </c>
      <c r="QOY2" t="s">
        <v>16219</v>
      </c>
      <c r="QOZ2" t="s">
        <v>16220</v>
      </c>
      <c r="QPA2" t="s">
        <v>16221</v>
      </c>
      <c r="QPB2" t="s">
        <v>16222</v>
      </c>
      <c r="QPC2" t="s">
        <v>16223</v>
      </c>
      <c r="QPD2" t="s">
        <v>16224</v>
      </c>
      <c r="QPE2" t="s">
        <v>16225</v>
      </c>
      <c r="QPF2" t="s">
        <v>16226</v>
      </c>
      <c r="QPG2" t="s">
        <v>16227</v>
      </c>
      <c r="QPH2" t="s">
        <v>16228</v>
      </c>
      <c r="QPI2" t="s">
        <v>16229</v>
      </c>
      <c r="QPJ2" t="s">
        <v>16230</v>
      </c>
      <c r="QPK2" t="s">
        <v>16231</v>
      </c>
      <c r="QPL2" t="s">
        <v>16232</v>
      </c>
      <c r="QPM2" t="s">
        <v>16233</v>
      </c>
      <c r="QPN2" t="s">
        <v>16234</v>
      </c>
      <c r="QPO2" t="s">
        <v>16235</v>
      </c>
      <c r="QPP2" t="s">
        <v>16236</v>
      </c>
      <c r="QPQ2" t="s">
        <v>16237</v>
      </c>
      <c r="QPR2" t="s">
        <v>16238</v>
      </c>
      <c r="QPS2" t="s">
        <v>16239</v>
      </c>
      <c r="QPT2" t="s">
        <v>16240</v>
      </c>
      <c r="QPU2" t="s">
        <v>16241</v>
      </c>
      <c r="QPV2" t="s">
        <v>16242</v>
      </c>
      <c r="QPW2" t="s">
        <v>16243</v>
      </c>
      <c r="QPX2" t="s">
        <v>16244</v>
      </c>
      <c r="QPY2" t="s">
        <v>16245</v>
      </c>
      <c r="QPZ2" t="s">
        <v>16246</v>
      </c>
      <c r="QQA2" t="s">
        <v>16247</v>
      </c>
      <c r="QQB2" t="s">
        <v>16248</v>
      </c>
      <c r="QQC2" t="s">
        <v>16249</v>
      </c>
      <c r="QQD2" t="s">
        <v>16250</v>
      </c>
      <c r="QQE2" t="s">
        <v>16251</v>
      </c>
      <c r="QQF2" t="s">
        <v>16252</v>
      </c>
      <c r="QQG2" t="s">
        <v>16253</v>
      </c>
      <c r="QQH2" t="s">
        <v>16254</v>
      </c>
      <c r="QQI2" t="s">
        <v>16255</v>
      </c>
      <c r="QQJ2" t="s">
        <v>16256</v>
      </c>
      <c r="QQK2" t="s">
        <v>16257</v>
      </c>
      <c r="QQL2" t="s">
        <v>16258</v>
      </c>
      <c r="QQM2" t="s">
        <v>16259</v>
      </c>
      <c r="QQN2" t="s">
        <v>16260</v>
      </c>
      <c r="QQO2" t="s">
        <v>16261</v>
      </c>
      <c r="QQP2" t="s">
        <v>16262</v>
      </c>
      <c r="QQQ2" t="s">
        <v>16263</v>
      </c>
      <c r="QQR2" t="s">
        <v>16264</v>
      </c>
      <c r="QQS2" t="s">
        <v>16265</v>
      </c>
      <c r="QQT2" t="s">
        <v>16266</v>
      </c>
      <c r="QQU2" t="s">
        <v>16267</v>
      </c>
      <c r="QQV2" t="s">
        <v>16268</v>
      </c>
      <c r="QQW2" t="s">
        <v>16269</v>
      </c>
      <c r="QQX2" t="s">
        <v>16270</v>
      </c>
      <c r="QQY2" t="s">
        <v>16271</v>
      </c>
      <c r="QQZ2" t="s">
        <v>16272</v>
      </c>
      <c r="QRA2" t="s">
        <v>16273</v>
      </c>
      <c r="QRB2" t="s">
        <v>16274</v>
      </c>
      <c r="QRC2" t="s">
        <v>16275</v>
      </c>
      <c r="QRD2" t="s">
        <v>16276</v>
      </c>
      <c r="QRE2" t="s">
        <v>16277</v>
      </c>
      <c r="QRF2" t="s">
        <v>16278</v>
      </c>
      <c r="QRG2" t="s">
        <v>16279</v>
      </c>
      <c r="QRH2" t="s">
        <v>16280</v>
      </c>
      <c r="QRI2" t="s">
        <v>16281</v>
      </c>
      <c r="QRJ2" t="s">
        <v>16282</v>
      </c>
      <c r="QRK2" t="s">
        <v>16283</v>
      </c>
      <c r="QRL2" t="s">
        <v>16284</v>
      </c>
      <c r="QRM2" t="s">
        <v>16285</v>
      </c>
      <c r="QRN2" t="s">
        <v>16286</v>
      </c>
      <c r="QRO2" t="s">
        <v>16287</v>
      </c>
      <c r="QRP2" t="s">
        <v>16288</v>
      </c>
      <c r="QRQ2" t="s">
        <v>16289</v>
      </c>
      <c r="QRR2" t="s">
        <v>16290</v>
      </c>
      <c r="QRS2" t="s">
        <v>16291</v>
      </c>
      <c r="QRT2" t="s">
        <v>16292</v>
      </c>
      <c r="QRU2" t="s">
        <v>16293</v>
      </c>
      <c r="QRV2" t="s">
        <v>16294</v>
      </c>
      <c r="QRW2" t="s">
        <v>16295</v>
      </c>
      <c r="QRX2" t="s">
        <v>16296</v>
      </c>
      <c r="QRY2" t="s">
        <v>16297</v>
      </c>
      <c r="QRZ2" t="s">
        <v>16298</v>
      </c>
      <c r="QSA2" t="s">
        <v>16299</v>
      </c>
      <c r="QSB2" t="s">
        <v>16300</v>
      </c>
      <c r="QSC2" t="s">
        <v>16301</v>
      </c>
      <c r="QSD2" t="s">
        <v>16302</v>
      </c>
      <c r="QSE2" t="s">
        <v>16303</v>
      </c>
      <c r="QSF2" t="s">
        <v>16304</v>
      </c>
      <c r="QSG2" t="s">
        <v>16305</v>
      </c>
      <c r="QSH2" t="s">
        <v>16306</v>
      </c>
      <c r="QSI2" t="s">
        <v>16307</v>
      </c>
      <c r="QSJ2" t="s">
        <v>16308</v>
      </c>
      <c r="QSK2" t="s">
        <v>16309</v>
      </c>
      <c r="QSL2" t="s">
        <v>16310</v>
      </c>
      <c r="QSM2" t="s">
        <v>16311</v>
      </c>
      <c r="QSN2" t="s">
        <v>16312</v>
      </c>
      <c r="QSO2" t="s">
        <v>16313</v>
      </c>
      <c r="QSP2" t="s">
        <v>16314</v>
      </c>
      <c r="QSQ2" t="s">
        <v>16315</v>
      </c>
      <c r="QSR2" t="s">
        <v>16316</v>
      </c>
      <c r="QSS2" t="s">
        <v>16317</v>
      </c>
      <c r="QST2" t="s">
        <v>16318</v>
      </c>
      <c r="QSU2" t="s">
        <v>16319</v>
      </c>
      <c r="QSV2" t="s">
        <v>16320</v>
      </c>
      <c r="QSW2" t="s">
        <v>16321</v>
      </c>
      <c r="QSX2" t="s">
        <v>16322</v>
      </c>
      <c r="QSY2" t="s">
        <v>16323</v>
      </c>
      <c r="QSZ2" t="s">
        <v>16324</v>
      </c>
      <c r="QTA2" t="s">
        <v>16325</v>
      </c>
      <c r="QTB2" t="s">
        <v>16326</v>
      </c>
      <c r="QTC2" t="s">
        <v>16327</v>
      </c>
      <c r="QTD2" t="s">
        <v>16328</v>
      </c>
      <c r="QTE2" t="s">
        <v>16329</v>
      </c>
      <c r="QTF2" t="s">
        <v>16330</v>
      </c>
      <c r="QTG2" t="s">
        <v>16331</v>
      </c>
      <c r="QTH2" t="s">
        <v>16332</v>
      </c>
      <c r="QTI2" t="s">
        <v>16333</v>
      </c>
      <c r="QTJ2" t="s">
        <v>16334</v>
      </c>
      <c r="QTK2" t="s">
        <v>16335</v>
      </c>
      <c r="QTL2" t="s">
        <v>16336</v>
      </c>
      <c r="QTM2" t="s">
        <v>16337</v>
      </c>
      <c r="QTN2" t="s">
        <v>16338</v>
      </c>
      <c r="QTO2" t="s">
        <v>16339</v>
      </c>
      <c r="QTP2" t="s">
        <v>16340</v>
      </c>
      <c r="QTQ2" t="s">
        <v>16341</v>
      </c>
      <c r="QTR2" t="s">
        <v>16342</v>
      </c>
      <c r="QTS2" t="s">
        <v>16343</v>
      </c>
      <c r="QTT2" t="s">
        <v>16344</v>
      </c>
      <c r="QTU2" t="s">
        <v>16345</v>
      </c>
      <c r="QTV2" t="s">
        <v>16346</v>
      </c>
      <c r="QTW2" t="s">
        <v>16347</v>
      </c>
      <c r="QTX2" t="s">
        <v>16348</v>
      </c>
      <c r="QTY2" t="s">
        <v>16349</v>
      </c>
      <c r="QTZ2" t="s">
        <v>16350</v>
      </c>
      <c r="QUA2" t="s">
        <v>16351</v>
      </c>
      <c r="QUB2" t="s">
        <v>16352</v>
      </c>
      <c r="QUC2" t="s">
        <v>16353</v>
      </c>
      <c r="QUD2" t="s">
        <v>16354</v>
      </c>
      <c r="QUE2" t="s">
        <v>16355</v>
      </c>
      <c r="QUF2" t="s">
        <v>16356</v>
      </c>
      <c r="QUG2" t="s">
        <v>16357</v>
      </c>
      <c r="QUH2" t="s">
        <v>16358</v>
      </c>
      <c r="QUI2" t="s">
        <v>16359</v>
      </c>
      <c r="QUJ2" t="s">
        <v>16360</v>
      </c>
      <c r="QUK2" t="s">
        <v>16361</v>
      </c>
      <c r="QUL2" t="s">
        <v>16362</v>
      </c>
      <c r="QUM2" t="s">
        <v>16363</v>
      </c>
      <c r="QUN2" t="s">
        <v>16364</v>
      </c>
      <c r="QUO2" t="s">
        <v>16365</v>
      </c>
      <c r="QUP2" t="s">
        <v>16366</v>
      </c>
      <c r="QUQ2" t="s">
        <v>16367</v>
      </c>
      <c r="QUR2" t="s">
        <v>16368</v>
      </c>
      <c r="QUS2" t="s">
        <v>16369</v>
      </c>
      <c r="QUT2" t="s">
        <v>16370</v>
      </c>
      <c r="QUU2" t="s">
        <v>16371</v>
      </c>
      <c r="QUV2" t="s">
        <v>16372</v>
      </c>
      <c r="QUW2" t="s">
        <v>16373</v>
      </c>
      <c r="QUX2" t="s">
        <v>16374</v>
      </c>
      <c r="QUY2" t="s">
        <v>16375</v>
      </c>
      <c r="QUZ2" t="s">
        <v>16376</v>
      </c>
      <c r="QVA2" t="s">
        <v>16377</v>
      </c>
      <c r="QVB2" t="s">
        <v>16378</v>
      </c>
      <c r="QVC2" t="s">
        <v>16379</v>
      </c>
      <c r="QVD2" t="s">
        <v>16380</v>
      </c>
      <c r="QVE2" t="s">
        <v>16381</v>
      </c>
      <c r="QVF2" t="s">
        <v>16382</v>
      </c>
      <c r="QVG2" t="s">
        <v>16383</v>
      </c>
      <c r="QVH2" t="s">
        <v>16384</v>
      </c>
      <c r="QVI2" t="s">
        <v>16385</v>
      </c>
      <c r="QVJ2" t="s">
        <v>16386</v>
      </c>
      <c r="QVK2" t="s">
        <v>16387</v>
      </c>
      <c r="QVL2" t="s">
        <v>16388</v>
      </c>
      <c r="QVM2" t="s">
        <v>16389</v>
      </c>
      <c r="QVN2" t="s">
        <v>16390</v>
      </c>
      <c r="QVO2" t="s">
        <v>16391</v>
      </c>
      <c r="QVP2" t="s">
        <v>16392</v>
      </c>
      <c r="QVQ2" t="s">
        <v>16393</v>
      </c>
      <c r="QVR2" t="s">
        <v>16394</v>
      </c>
      <c r="QVS2" t="s">
        <v>16395</v>
      </c>
      <c r="QVT2" t="s">
        <v>16396</v>
      </c>
      <c r="QVU2" t="s">
        <v>16397</v>
      </c>
      <c r="QVV2" t="s">
        <v>16398</v>
      </c>
      <c r="QVW2" t="s">
        <v>16399</v>
      </c>
      <c r="QVX2" t="s">
        <v>16400</v>
      </c>
      <c r="QVY2" t="s">
        <v>16401</v>
      </c>
      <c r="QVZ2" t="s">
        <v>16402</v>
      </c>
      <c r="QWA2" t="s">
        <v>16403</v>
      </c>
      <c r="QWB2" t="s">
        <v>16404</v>
      </c>
      <c r="QWC2" t="s">
        <v>16405</v>
      </c>
      <c r="QWD2" t="s">
        <v>16406</v>
      </c>
      <c r="QWE2" t="s">
        <v>16407</v>
      </c>
      <c r="QWF2" t="s">
        <v>16408</v>
      </c>
      <c r="QWG2" t="s">
        <v>16409</v>
      </c>
      <c r="QWH2" t="s">
        <v>16410</v>
      </c>
      <c r="QWI2" t="s">
        <v>16411</v>
      </c>
      <c r="QWJ2" t="s">
        <v>16412</v>
      </c>
      <c r="QWK2" t="s">
        <v>16413</v>
      </c>
      <c r="QWL2" t="s">
        <v>16414</v>
      </c>
      <c r="QWM2" t="s">
        <v>16415</v>
      </c>
      <c r="QWN2" t="s">
        <v>16416</v>
      </c>
      <c r="QWO2" t="s">
        <v>16417</v>
      </c>
      <c r="QWP2" t="s">
        <v>16418</v>
      </c>
      <c r="QWQ2" t="s">
        <v>16419</v>
      </c>
      <c r="QWR2" t="s">
        <v>16420</v>
      </c>
      <c r="QWS2" t="s">
        <v>16421</v>
      </c>
      <c r="QWT2" t="s">
        <v>16422</v>
      </c>
      <c r="QWU2" t="s">
        <v>16423</v>
      </c>
      <c r="QWV2" t="s">
        <v>16424</v>
      </c>
      <c r="QWW2" t="s">
        <v>16425</v>
      </c>
      <c r="QWX2" t="s">
        <v>16426</v>
      </c>
      <c r="QWY2" t="s">
        <v>16427</v>
      </c>
      <c r="QWZ2" t="s">
        <v>16428</v>
      </c>
      <c r="QXA2" t="s">
        <v>16429</v>
      </c>
      <c r="QXB2" t="s">
        <v>16430</v>
      </c>
      <c r="QXC2" t="s">
        <v>16431</v>
      </c>
      <c r="QXD2" t="s">
        <v>16432</v>
      </c>
      <c r="QXE2" t="s">
        <v>16433</v>
      </c>
      <c r="QXF2" t="s">
        <v>16434</v>
      </c>
      <c r="QXG2" t="s">
        <v>16435</v>
      </c>
      <c r="QXH2" t="s">
        <v>16436</v>
      </c>
      <c r="QXI2" t="s">
        <v>16437</v>
      </c>
      <c r="QXJ2" t="s">
        <v>16438</v>
      </c>
      <c r="QXK2" t="s">
        <v>16439</v>
      </c>
      <c r="QXL2" t="s">
        <v>16440</v>
      </c>
      <c r="QXM2" t="s">
        <v>16441</v>
      </c>
      <c r="QXN2" t="s">
        <v>16442</v>
      </c>
      <c r="QXO2" t="s">
        <v>16443</v>
      </c>
      <c r="QXP2" t="s">
        <v>16444</v>
      </c>
      <c r="QXQ2" t="s">
        <v>16445</v>
      </c>
      <c r="QXR2" t="s">
        <v>16446</v>
      </c>
      <c r="QXS2" t="s">
        <v>16447</v>
      </c>
      <c r="QXT2" t="s">
        <v>16448</v>
      </c>
      <c r="QXU2" t="s">
        <v>16449</v>
      </c>
      <c r="QXV2" t="s">
        <v>16450</v>
      </c>
      <c r="QXW2" t="s">
        <v>16451</v>
      </c>
      <c r="QXX2" t="s">
        <v>16452</v>
      </c>
      <c r="QXY2" t="s">
        <v>16453</v>
      </c>
      <c r="QXZ2" t="s">
        <v>16454</v>
      </c>
      <c r="QYA2" t="s">
        <v>16455</v>
      </c>
      <c r="QYB2" t="s">
        <v>16456</v>
      </c>
      <c r="QYC2" t="s">
        <v>16457</v>
      </c>
      <c r="QYD2" t="s">
        <v>16458</v>
      </c>
      <c r="QYE2" t="s">
        <v>16459</v>
      </c>
      <c r="QYF2" t="s">
        <v>16460</v>
      </c>
      <c r="QYG2" t="s">
        <v>16461</v>
      </c>
      <c r="QYH2" t="s">
        <v>16462</v>
      </c>
      <c r="QYI2" t="s">
        <v>16463</v>
      </c>
      <c r="QYJ2" t="s">
        <v>16464</v>
      </c>
      <c r="QYK2" t="s">
        <v>16465</v>
      </c>
      <c r="QYL2" t="s">
        <v>16466</v>
      </c>
      <c r="QYM2" t="s">
        <v>16467</v>
      </c>
      <c r="QYN2" t="s">
        <v>16468</v>
      </c>
      <c r="QYO2" t="s">
        <v>16469</v>
      </c>
      <c r="QYP2" t="s">
        <v>16470</v>
      </c>
      <c r="QYQ2" t="s">
        <v>16471</v>
      </c>
      <c r="QYR2" t="s">
        <v>16472</v>
      </c>
      <c r="QYS2" t="s">
        <v>16473</v>
      </c>
      <c r="QYT2" t="s">
        <v>16474</v>
      </c>
      <c r="QYU2" t="s">
        <v>16475</v>
      </c>
      <c r="QYV2" t="s">
        <v>16476</v>
      </c>
      <c r="QYW2" t="s">
        <v>16477</v>
      </c>
      <c r="QYX2" t="s">
        <v>16478</v>
      </c>
      <c r="QYY2" t="s">
        <v>16479</v>
      </c>
      <c r="QYZ2" t="s">
        <v>16480</v>
      </c>
      <c r="QZA2" t="s">
        <v>16481</v>
      </c>
      <c r="QZB2" t="s">
        <v>16482</v>
      </c>
      <c r="QZC2" t="s">
        <v>16483</v>
      </c>
      <c r="QZD2" t="s">
        <v>16484</v>
      </c>
      <c r="QZE2" t="s">
        <v>16485</v>
      </c>
      <c r="QZF2" t="s">
        <v>16486</v>
      </c>
      <c r="QZG2" t="s">
        <v>16487</v>
      </c>
      <c r="QZH2" t="s">
        <v>16488</v>
      </c>
      <c r="QZI2" t="s">
        <v>16489</v>
      </c>
      <c r="QZJ2" t="s">
        <v>16490</v>
      </c>
      <c r="QZK2" t="s">
        <v>16491</v>
      </c>
      <c r="QZL2" t="s">
        <v>16492</v>
      </c>
      <c r="QZM2" t="s">
        <v>16493</v>
      </c>
      <c r="QZN2" t="s">
        <v>16494</v>
      </c>
      <c r="QZO2" t="s">
        <v>16495</v>
      </c>
      <c r="QZP2" t="s">
        <v>16496</v>
      </c>
      <c r="QZQ2" t="s">
        <v>16497</v>
      </c>
      <c r="QZR2" t="s">
        <v>16498</v>
      </c>
      <c r="QZS2" t="s">
        <v>16499</v>
      </c>
      <c r="QZT2" t="s">
        <v>16500</v>
      </c>
      <c r="QZU2" t="s">
        <v>16501</v>
      </c>
      <c r="QZV2" t="s">
        <v>16502</v>
      </c>
      <c r="QZW2" t="s">
        <v>16503</v>
      </c>
      <c r="QZX2" t="s">
        <v>16504</v>
      </c>
      <c r="QZY2" t="s">
        <v>16505</v>
      </c>
      <c r="QZZ2" t="s">
        <v>16506</v>
      </c>
      <c r="RAA2" t="s">
        <v>16507</v>
      </c>
      <c r="RAB2" t="s">
        <v>16508</v>
      </c>
      <c r="RAC2" t="s">
        <v>16509</v>
      </c>
      <c r="RAD2" t="s">
        <v>16510</v>
      </c>
      <c r="RAE2" t="s">
        <v>16511</v>
      </c>
      <c r="RAF2" t="s">
        <v>16512</v>
      </c>
      <c r="RAG2" t="s">
        <v>16513</v>
      </c>
      <c r="RAH2" t="s">
        <v>16514</v>
      </c>
      <c r="RAI2" t="s">
        <v>16515</v>
      </c>
      <c r="RAJ2" t="s">
        <v>16516</v>
      </c>
      <c r="RAK2" t="s">
        <v>16517</v>
      </c>
      <c r="RAL2" t="s">
        <v>16518</v>
      </c>
      <c r="RAM2" t="s">
        <v>16519</v>
      </c>
      <c r="RAN2" t="s">
        <v>16520</v>
      </c>
      <c r="RAO2" t="s">
        <v>16521</v>
      </c>
      <c r="RAP2" t="s">
        <v>16522</v>
      </c>
      <c r="RAQ2" t="s">
        <v>16523</v>
      </c>
      <c r="RAR2" t="s">
        <v>16524</v>
      </c>
      <c r="RAS2" t="s">
        <v>16525</v>
      </c>
      <c r="RAT2" t="s">
        <v>16526</v>
      </c>
      <c r="RAU2" t="s">
        <v>16527</v>
      </c>
      <c r="RAV2" t="s">
        <v>16528</v>
      </c>
      <c r="RAW2" t="s">
        <v>16529</v>
      </c>
      <c r="RAX2" t="s">
        <v>16530</v>
      </c>
      <c r="RAY2" t="s">
        <v>16531</v>
      </c>
      <c r="RAZ2" t="s">
        <v>16532</v>
      </c>
      <c r="RBA2" t="s">
        <v>16533</v>
      </c>
      <c r="RBB2" t="s">
        <v>16534</v>
      </c>
      <c r="RBC2" t="s">
        <v>16535</v>
      </c>
      <c r="RBD2" t="s">
        <v>16536</v>
      </c>
      <c r="RBE2" t="s">
        <v>16537</v>
      </c>
      <c r="RBF2" t="s">
        <v>16538</v>
      </c>
      <c r="RBG2" t="s">
        <v>16539</v>
      </c>
      <c r="RBH2" t="s">
        <v>16540</v>
      </c>
      <c r="RBI2" t="s">
        <v>16541</v>
      </c>
      <c r="RBJ2" t="s">
        <v>16542</v>
      </c>
      <c r="RBK2" t="s">
        <v>16543</v>
      </c>
      <c r="RBL2" t="s">
        <v>16544</v>
      </c>
      <c r="RBM2" t="s">
        <v>16545</v>
      </c>
      <c r="RBN2" t="s">
        <v>16546</v>
      </c>
      <c r="RBO2" t="s">
        <v>16547</v>
      </c>
      <c r="RBP2" t="s">
        <v>16548</v>
      </c>
      <c r="RBQ2" t="s">
        <v>16549</v>
      </c>
      <c r="RBR2" t="s">
        <v>16550</v>
      </c>
      <c r="RBS2" t="s">
        <v>16551</v>
      </c>
      <c r="RBT2" t="s">
        <v>16552</v>
      </c>
      <c r="RBU2" t="s">
        <v>16553</v>
      </c>
      <c r="RBV2" t="s">
        <v>16554</v>
      </c>
      <c r="RBW2" t="s">
        <v>16555</v>
      </c>
      <c r="RBX2" t="s">
        <v>16556</v>
      </c>
      <c r="RBY2" t="s">
        <v>16557</v>
      </c>
      <c r="RBZ2" t="s">
        <v>16558</v>
      </c>
      <c r="RCA2" t="s">
        <v>16559</v>
      </c>
      <c r="RCB2" t="s">
        <v>16560</v>
      </c>
      <c r="RCC2" t="s">
        <v>16561</v>
      </c>
      <c r="RCD2" t="s">
        <v>16562</v>
      </c>
      <c r="RCE2" t="s">
        <v>16563</v>
      </c>
      <c r="RCF2" t="s">
        <v>16564</v>
      </c>
      <c r="RCG2" t="s">
        <v>16565</v>
      </c>
      <c r="RCH2" t="s">
        <v>16566</v>
      </c>
      <c r="RCI2" t="s">
        <v>16567</v>
      </c>
      <c r="RCJ2" t="s">
        <v>16568</v>
      </c>
      <c r="RCK2" t="s">
        <v>16569</v>
      </c>
      <c r="RCL2" t="s">
        <v>16570</v>
      </c>
      <c r="RCM2" t="s">
        <v>16571</v>
      </c>
      <c r="RCN2" t="s">
        <v>16572</v>
      </c>
      <c r="RCO2" t="s">
        <v>16573</v>
      </c>
      <c r="RCP2" t="s">
        <v>16574</v>
      </c>
      <c r="RCQ2" t="s">
        <v>16575</v>
      </c>
      <c r="RCR2" t="s">
        <v>16576</v>
      </c>
      <c r="RCS2" t="s">
        <v>16577</v>
      </c>
      <c r="RCT2" t="s">
        <v>16578</v>
      </c>
      <c r="RCU2" t="s">
        <v>16579</v>
      </c>
      <c r="RCV2" t="s">
        <v>16580</v>
      </c>
      <c r="RCW2" t="s">
        <v>16581</v>
      </c>
      <c r="RCX2" t="s">
        <v>16582</v>
      </c>
      <c r="RCY2" t="s">
        <v>16583</v>
      </c>
      <c r="RCZ2" t="s">
        <v>16584</v>
      </c>
      <c r="RDA2" t="s">
        <v>16585</v>
      </c>
      <c r="RDB2" t="s">
        <v>16586</v>
      </c>
      <c r="RDC2" t="s">
        <v>16587</v>
      </c>
      <c r="RDD2" t="s">
        <v>16588</v>
      </c>
      <c r="RDE2" t="s">
        <v>16589</v>
      </c>
      <c r="RDF2" t="s">
        <v>16590</v>
      </c>
      <c r="RDG2" t="s">
        <v>16591</v>
      </c>
      <c r="RDH2" t="s">
        <v>16592</v>
      </c>
      <c r="RDI2" t="s">
        <v>16593</v>
      </c>
      <c r="RDJ2" t="s">
        <v>16594</v>
      </c>
      <c r="RDK2" t="s">
        <v>16595</v>
      </c>
      <c r="RDL2" t="s">
        <v>16596</v>
      </c>
      <c r="RDM2" t="s">
        <v>16597</v>
      </c>
      <c r="RDN2" t="s">
        <v>16598</v>
      </c>
      <c r="RDO2" t="s">
        <v>16599</v>
      </c>
      <c r="RDP2" t="s">
        <v>16600</v>
      </c>
      <c r="RDQ2" t="s">
        <v>16601</v>
      </c>
      <c r="RDR2" t="s">
        <v>16602</v>
      </c>
      <c r="RDS2" t="s">
        <v>16603</v>
      </c>
      <c r="RDT2" t="s">
        <v>16604</v>
      </c>
      <c r="RDU2" t="s">
        <v>16605</v>
      </c>
      <c r="RDV2" t="s">
        <v>16606</v>
      </c>
      <c r="RDW2" t="s">
        <v>16607</v>
      </c>
      <c r="RDX2" t="s">
        <v>16608</v>
      </c>
      <c r="RDY2" t="s">
        <v>16609</v>
      </c>
      <c r="RDZ2" t="s">
        <v>16610</v>
      </c>
      <c r="REA2" t="s">
        <v>16611</v>
      </c>
      <c r="REB2" t="s">
        <v>16612</v>
      </c>
      <c r="REC2" t="s">
        <v>16613</v>
      </c>
      <c r="RED2" t="s">
        <v>16614</v>
      </c>
      <c r="REE2" t="s">
        <v>16615</v>
      </c>
      <c r="REF2" t="s">
        <v>16616</v>
      </c>
      <c r="REG2" t="s">
        <v>16617</v>
      </c>
      <c r="REH2" t="s">
        <v>16618</v>
      </c>
      <c r="REI2" t="s">
        <v>16619</v>
      </c>
      <c r="REJ2" t="s">
        <v>16620</v>
      </c>
      <c r="REK2" t="s">
        <v>16621</v>
      </c>
      <c r="REL2" t="s">
        <v>16622</v>
      </c>
      <c r="REM2" t="s">
        <v>16623</v>
      </c>
      <c r="REN2" t="s">
        <v>16624</v>
      </c>
      <c r="REO2" t="s">
        <v>16625</v>
      </c>
      <c r="REP2" t="s">
        <v>16626</v>
      </c>
      <c r="REQ2" t="s">
        <v>16627</v>
      </c>
      <c r="RER2" t="s">
        <v>16628</v>
      </c>
      <c r="RES2" t="s">
        <v>16629</v>
      </c>
      <c r="RET2" t="s">
        <v>16630</v>
      </c>
      <c r="REU2" t="s">
        <v>16631</v>
      </c>
      <c r="REV2" t="s">
        <v>16632</v>
      </c>
      <c r="REW2" t="s">
        <v>16633</v>
      </c>
      <c r="REX2" t="s">
        <v>16634</v>
      </c>
      <c r="REY2" t="s">
        <v>16635</v>
      </c>
      <c r="REZ2" t="s">
        <v>16636</v>
      </c>
      <c r="RFA2" t="s">
        <v>16637</v>
      </c>
      <c r="RFB2" t="s">
        <v>16638</v>
      </c>
      <c r="RFC2" t="s">
        <v>16639</v>
      </c>
      <c r="RFD2" t="s">
        <v>16640</v>
      </c>
      <c r="RFE2" t="s">
        <v>16641</v>
      </c>
      <c r="RFF2" t="s">
        <v>16642</v>
      </c>
      <c r="RFG2" t="s">
        <v>16643</v>
      </c>
      <c r="RFH2" t="s">
        <v>16644</v>
      </c>
      <c r="RFI2" t="s">
        <v>16645</v>
      </c>
      <c r="RFJ2" t="s">
        <v>16646</v>
      </c>
      <c r="RFK2" t="s">
        <v>16647</v>
      </c>
      <c r="RFL2" t="s">
        <v>16648</v>
      </c>
      <c r="RFM2" t="s">
        <v>16649</v>
      </c>
      <c r="RFN2" t="s">
        <v>16650</v>
      </c>
      <c r="RFO2" t="s">
        <v>16651</v>
      </c>
      <c r="RFP2" t="s">
        <v>16652</v>
      </c>
      <c r="RFQ2" t="s">
        <v>16653</v>
      </c>
      <c r="RFR2" t="s">
        <v>16654</v>
      </c>
      <c r="RFS2" t="s">
        <v>16655</v>
      </c>
      <c r="RFT2" t="s">
        <v>16656</v>
      </c>
      <c r="RFU2" t="s">
        <v>16657</v>
      </c>
      <c r="RFV2" t="s">
        <v>16658</v>
      </c>
      <c r="RFW2" t="s">
        <v>16659</v>
      </c>
      <c r="RFX2" t="s">
        <v>16660</v>
      </c>
      <c r="RFY2" t="s">
        <v>16661</v>
      </c>
      <c r="RFZ2" t="s">
        <v>16662</v>
      </c>
      <c r="RGA2" t="s">
        <v>16663</v>
      </c>
      <c r="RGB2" t="s">
        <v>16664</v>
      </c>
      <c r="RGC2" t="s">
        <v>16665</v>
      </c>
      <c r="RGD2" t="s">
        <v>16666</v>
      </c>
      <c r="RGE2" t="s">
        <v>16667</v>
      </c>
      <c r="RGF2" t="s">
        <v>16668</v>
      </c>
      <c r="RGG2" t="s">
        <v>16669</v>
      </c>
      <c r="RGH2" t="s">
        <v>16670</v>
      </c>
      <c r="RGI2" t="s">
        <v>16671</v>
      </c>
      <c r="RGJ2" t="s">
        <v>16672</v>
      </c>
      <c r="RGK2" t="s">
        <v>16673</v>
      </c>
      <c r="RGL2" t="s">
        <v>16674</v>
      </c>
      <c r="RGM2" t="s">
        <v>16675</v>
      </c>
      <c r="RGN2" t="s">
        <v>16676</v>
      </c>
      <c r="RGO2" t="s">
        <v>16677</v>
      </c>
      <c r="RGP2" t="s">
        <v>16678</v>
      </c>
      <c r="RGQ2" t="s">
        <v>16679</v>
      </c>
      <c r="RGR2" t="s">
        <v>16680</v>
      </c>
      <c r="RGS2" t="s">
        <v>16681</v>
      </c>
      <c r="RGT2" t="s">
        <v>16682</v>
      </c>
      <c r="RGU2" t="s">
        <v>16683</v>
      </c>
      <c r="RGV2" t="s">
        <v>16684</v>
      </c>
      <c r="RGW2" t="s">
        <v>16685</v>
      </c>
      <c r="RGX2" t="s">
        <v>16686</v>
      </c>
      <c r="RGY2" t="s">
        <v>16687</v>
      </c>
      <c r="RGZ2" t="s">
        <v>16688</v>
      </c>
      <c r="RHA2" t="s">
        <v>16689</v>
      </c>
      <c r="RHB2" t="s">
        <v>16690</v>
      </c>
      <c r="RHC2" t="s">
        <v>16691</v>
      </c>
      <c r="RHD2" t="s">
        <v>16692</v>
      </c>
      <c r="RHE2" t="s">
        <v>16693</v>
      </c>
      <c r="RHF2" t="s">
        <v>16694</v>
      </c>
      <c r="RHG2" t="s">
        <v>16695</v>
      </c>
      <c r="RHH2" t="s">
        <v>16696</v>
      </c>
      <c r="RHI2" t="s">
        <v>16697</v>
      </c>
      <c r="RHJ2" t="s">
        <v>16698</v>
      </c>
      <c r="RHK2" t="s">
        <v>16699</v>
      </c>
      <c r="RHL2" t="s">
        <v>16700</v>
      </c>
      <c r="RHM2" t="s">
        <v>16701</v>
      </c>
      <c r="RHN2" t="s">
        <v>16702</v>
      </c>
      <c r="RHO2" t="s">
        <v>16703</v>
      </c>
      <c r="RHP2" t="s">
        <v>16704</v>
      </c>
      <c r="RHQ2" t="s">
        <v>16705</v>
      </c>
      <c r="RHR2" t="s">
        <v>16706</v>
      </c>
      <c r="RHS2" t="s">
        <v>16707</v>
      </c>
      <c r="RHT2" t="s">
        <v>16708</v>
      </c>
      <c r="RHU2" t="s">
        <v>16709</v>
      </c>
      <c r="RHV2" t="s">
        <v>16710</v>
      </c>
      <c r="RHW2" t="s">
        <v>16711</v>
      </c>
      <c r="RHX2" t="s">
        <v>16712</v>
      </c>
      <c r="RHY2" t="s">
        <v>16713</v>
      </c>
      <c r="RHZ2" t="s">
        <v>16714</v>
      </c>
      <c r="RIA2" t="s">
        <v>16715</v>
      </c>
      <c r="RIB2" t="s">
        <v>16716</v>
      </c>
      <c r="RIC2" t="s">
        <v>16717</v>
      </c>
      <c r="RID2" t="s">
        <v>16718</v>
      </c>
      <c r="RIE2" t="s">
        <v>16719</v>
      </c>
      <c r="RIF2" t="s">
        <v>16720</v>
      </c>
      <c r="RIG2" t="s">
        <v>16721</v>
      </c>
      <c r="RIH2" t="s">
        <v>16722</v>
      </c>
      <c r="RII2" t="s">
        <v>16723</v>
      </c>
      <c r="RIJ2" t="s">
        <v>16724</v>
      </c>
      <c r="RIK2" t="s">
        <v>16725</v>
      </c>
      <c r="RIL2" t="s">
        <v>16726</v>
      </c>
      <c r="RIM2" t="s">
        <v>16727</v>
      </c>
      <c r="RIN2" t="s">
        <v>16728</v>
      </c>
      <c r="RIO2" t="s">
        <v>16729</v>
      </c>
      <c r="RIP2" t="s">
        <v>16730</v>
      </c>
      <c r="RIQ2" t="s">
        <v>16731</v>
      </c>
      <c r="RIR2" t="s">
        <v>16732</v>
      </c>
      <c r="RIS2" t="s">
        <v>16733</v>
      </c>
      <c r="RIT2" t="s">
        <v>16734</v>
      </c>
      <c r="RIU2" t="s">
        <v>16735</v>
      </c>
      <c r="RIV2" t="s">
        <v>16736</v>
      </c>
      <c r="RIW2" t="s">
        <v>16737</v>
      </c>
      <c r="RIX2" t="s">
        <v>16738</v>
      </c>
      <c r="RIY2" t="s">
        <v>16739</v>
      </c>
      <c r="RIZ2" t="s">
        <v>16740</v>
      </c>
      <c r="RJA2" t="s">
        <v>16741</v>
      </c>
      <c r="RJB2" t="s">
        <v>16742</v>
      </c>
      <c r="RJC2" t="s">
        <v>16743</v>
      </c>
      <c r="RJD2" t="s">
        <v>16744</v>
      </c>
      <c r="RJE2" t="s">
        <v>16745</v>
      </c>
      <c r="RJF2" t="s">
        <v>16746</v>
      </c>
      <c r="RJG2" t="s">
        <v>16747</v>
      </c>
      <c r="RJH2" t="s">
        <v>16748</v>
      </c>
      <c r="RJI2" t="s">
        <v>16749</v>
      </c>
      <c r="RJJ2" t="s">
        <v>16750</v>
      </c>
      <c r="RJK2" t="s">
        <v>16751</v>
      </c>
      <c r="RJL2" t="s">
        <v>16752</v>
      </c>
      <c r="RJM2" t="s">
        <v>16753</v>
      </c>
      <c r="RJN2" t="s">
        <v>16754</v>
      </c>
      <c r="RJO2" t="s">
        <v>16755</v>
      </c>
      <c r="RJP2" t="s">
        <v>16756</v>
      </c>
      <c r="RJQ2" t="s">
        <v>16757</v>
      </c>
      <c r="RJR2" t="s">
        <v>16758</v>
      </c>
      <c r="RJS2" t="s">
        <v>16759</v>
      </c>
      <c r="RJT2" t="s">
        <v>16760</v>
      </c>
      <c r="RJU2" t="s">
        <v>16761</v>
      </c>
      <c r="RJV2" t="s">
        <v>16762</v>
      </c>
      <c r="RJW2" t="s">
        <v>16763</v>
      </c>
      <c r="RJX2" t="s">
        <v>16764</v>
      </c>
      <c r="RJY2" t="s">
        <v>16765</v>
      </c>
      <c r="RJZ2" t="s">
        <v>16766</v>
      </c>
      <c r="RKA2" t="s">
        <v>16767</v>
      </c>
      <c r="RKB2" t="s">
        <v>16768</v>
      </c>
      <c r="RKC2" t="s">
        <v>16769</v>
      </c>
      <c r="RKD2" t="s">
        <v>16770</v>
      </c>
      <c r="RKE2" t="s">
        <v>16771</v>
      </c>
      <c r="RKF2" t="s">
        <v>16772</v>
      </c>
      <c r="RKG2" t="s">
        <v>16773</v>
      </c>
      <c r="RKH2" t="s">
        <v>16774</v>
      </c>
      <c r="RKI2" t="s">
        <v>16775</v>
      </c>
      <c r="RKJ2" t="s">
        <v>16776</v>
      </c>
      <c r="RKK2" t="s">
        <v>16777</v>
      </c>
      <c r="RKL2" t="s">
        <v>16778</v>
      </c>
      <c r="RKM2" t="s">
        <v>16779</v>
      </c>
      <c r="RKN2" t="s">
        <v>16780</v>
      </c>
      <c r="RKO2" t="s">
        <v>16781</v>
      </c>
      <c r="RKP2" t="s">
        <v>16782</v>
      </c>
      <c r="RKQ2" t="s">
        <v>16783</v>
      </c>
      <c r="RKR2" t="s">
        <v>16784</v>
      </c>
      <c r="RKS2" t="s">
        <v>16785</v>
      </c>
      <c r="RKT2" t="s">
        <v>16786</v>
      </c>
      <c r="RKU2" t="s">
        <v>16787</v>
      </c>
      <c r="RKV2" t="s">
        <v>16788</v>
      </c>
      <c r="RKW2" t="s">
        <v>16789</v>
      </c>
      <c r="RKX2" t="s">
        <v>16790</v>
      </c>
      <c r="RKY2" t="s">
        <v>16791</v>
      </c>
      <c r="RKZ2" t="s">
        <v>16792</v>
      </c>
      <c r="RLA2" t="s">
        <v>16793</v>
      </c>
      <c r="RLB2" t="s">
        <v>16794</v>
      </c>
      <c r="RLC2" t="s">
        <v>16795</v>
      </c>
      <c r="RLD2" t="s">
        <v>16796</v>
      </c>
      <c r="RLE2" t="s">
        <v>16797</v>
      </c>
      <c r="RLF2" t="s">
        <v>16798</v>
      </c>
      <c r="RLG2" t="s">
        <v>16799</v>
      </c>
      <c r="RLH2" t="s">
        <v>16800</v>
      </c>
      <c r="RLI2" t="s">
        <v>16801</v>
      </c>
      <c r="RLJ2" t="s">
        <v>16802</v>
      </c>
      <c r="RLK2" t="s">
        <v>16803</v>
      </c>
      <c r="RLL2" t="s">
        <v>16804</v>
      </c>
      <c r="RLM2" t="s">
        <v>16805</v>
      </c>
      <c r="RLN2" t="s">
        <v>16806</v>
      </c>
      <c r="RLO2" t="s">
        <v>16807</v>
      </c>
      <c r="RLP2" t="s">
        <v>16808</v>
      </c>
      <c r="RLQ2" t="s">
        <v>16809</v>
      </c>
      <c r="RLR2" t="s">
        <v>16810</v>
      </c>
      <c r="RLS2" t="s">
        <v>16811</v>
      </c>
      <c r="RLT2" t="s">
        <v>16812</v>
      </c>
      <c r="RLU2" t="s">
        <v>16813</v>
      </c>
      <c r="RLV2" t="s">
        <v>16814</v>
      </c>
      <c r="RLW2" t="s">
        <v>16815</v>
      </c>
      <c r="RLX2" t="s">
        <v>16816</v>
      </c>
      <c r="RLY2" t="s">
        <v>16817</v>
      </c>
      <c r="RLZ2" t="s">
        <v>16818</v>
      </c>
      <c r="RMA2" t="s">
        <v>16819</v>
      </c>
      <c r="RMB2" t="s">
        <v>16820</v>
      </c>
      <c r="RMC2" t="s">
        <v>16821</v>
      </c>
      <c r="RMD2" t="s">
        <v>16822</v>
      </c>
      <c r="RME2" t="s">
        <v>16823</v>
      </c>
      <c r="RMF2" t="s">
        <v>16824</v>
      </c>
      <c r="RMG2" t="s">
        <v>16825</v>
      </c>
      <c r="RMH2" t="s">
        <v>16826</v>
      </c>
      <c r="RMI2" t="s">
        <v>16827</v>
      </c>
      <c r="RMJ2" t="s">
        <v>16828</v>
      </c>
      <c r="RMK2" t="s">
        <v>16829</v>
      </c>
      <c r="RML2" t="s">
        <v>16830</v>
      </c>
      <c r="RMM2" t="s">
        <v>16831</v>
      </c>
      <c r="RMN2" t="s">
        <v>16832</v>
      </c>
      <c r="RMO2" t="s">
        <v>16833</v>
      </c>
      <c r="RMP2" t="s">
        <v>16834</v>
      </c>
      <c r="RMQ2" t="s">
        <v>16835</v>
      </c>
      <c r="RMR2" t="s">
        <v>16836</v>
      </c>
      <c r="RMS2" t="s">
        <v>16837</v>
      </c>
      <c r="RMT2" t="s">
        <v>16838</v>
      </c>
      <c r="RMU2" t="s">
        <v>16839</v>
      </c>
      <c r="RMV2" t="s">
        <v>16840</v>
      </c>
      <c r="RMW2" t="s">
        <v>16841</v>
      </c>
      <c r="RMX2" t="s">
        <v>16842</v>
      </c>
      <c r="RMY2" t="s">
        <v>16843</v>
      </c>
      <c r="RMZ2" t="s">
        <v>16844</v>
      </c>
      <c r="RNA2" t="s">
        <v>16845</v>
      </c>
      <c r="RNB2" t="s">
        <v>16846</v>
      </c>
      <c r="RNC2" t="s">
        <v>16847</v>
      </c>
      <c r="RND2" t="s">
        <v>16848</v>
      </c>
      <c r="RNE2" t="s">
        <v>16849</v>
      </c>
      <c r="RNF2" t="s">
        <v>16850</v>
      </c>
      <c r="RNG2" t="s">
        <v>16851</v>
      </c>
      <c r="RNH2" t="s">
        <v>16852</v>
      </c>
      <c r="RNI2" t="s">
        <v>16853</v>
      </c>
      <c r="RNJ2" t="s">
        <v>16854</v>
      </c>
      <c r="RNK2" t="s">
        <v>16855</v>
      </c>
      <c r="RNL2" t="s">
        <v>16856</v>
      </c>
      <c r="RNM2" t="s">
        <v>16857</v>
      </c>
      <c r="RNN2" t="s">
        <v>16858</v>
      </c>
      <c r="RNO2" t="s">
        <v>16859</v>
      </c>
      <c r="RNP2" t="s">
        <v>16860</v>
      </c>
      <c r="RNQ2" t="s">
        <v>16861</v>
      </c>
      <c r="RNR2" t="s">
        <v>16862</v>
      </c>
      <c r="RNS2" t="s">
        <v>16863</v>
      </c>
      <c r="RNT2" t="s">
        <v>16864</v>
      </c>
      <c r="RNU2" t="s">
        <v>16865</v>
      </c>
      <c r="RNV2" t="s">
        <v>16866</v>
      </c>
      <c r="RNW2" t="s">
        <v>16867</v>
      </c>
      <c r="RNX2" t="s">
        <v>16868</v>
      </c>
      <c r="RNY2" t="s">
        <v>16869</v>
      </c>
      <c r="RNZ2" t="s">
        <v>16870</v>
      </c>
      <c r="ROA2" t="s">
        <v>16871</v>
      </c>
      <c r="ROB2" t="s">
        <v>16872</v>
      </c>
      <c r="ROC2" t="s">
        <v>16873</v>
      </c>
      <c r="ROD2" t="s">
        <v>16874</v>
      </c>
      <c r="ROE2" t="s">
        <v>16875</v>
      </c>
      <c r="ROF2" t="s">
        <v>16876</v>
      </c>
      <c r="ROG2" t="s">
        <v>16877</v>
      </c>
      <c r="ROH2" t="s">
        <v>16878</v>
      </c>
      <c r="ROI2" t="s">
        <v>16879</v>
      </c>
      <c r="ROJ2" t="s">
        <v>16880</v>
      </c>
      <c r="ROK2" t="s">
        <v>16881</v>
      </c>
      <c r="ROL2" t="s">
        <v>16882</v>
      </c>
      <c r="ROM2" t="s">
        <v>16883</v>
      </c>
      <c r="RON2" t="s">
        <v>16884</v>
      </c>
      <c r="ROO2" t="s">
        <v>16885</v>
      </c>
      <c r="ROP2" t="s">
        <v>16886</v>
      </c>
      <c r="ROQ2" t="s">
        <v>16887</v>
      </c>
      <c r="ROR2" t="s">
        <v>16888</v>
      </c>
      <c r="ROS2" t="s">
        <v>16889</v>
      </c>
      <c r="ROT2" t="s">
        <v>16890</v>
      </c>
      <c r="ROU2" t="s">
        <v>16891</v>
      </c>
      <c r="ROV2" t="s">
        <v>16892</v>
      </c>
      <c r="ROW2" t="s">
        <v>16893</v>
      </c>
      <c r="ROX2" t="s">
        <v>16894</v>
      </c>
      <c r="ROY2" t="s">
        <v>16895</v>
      </c>
      <c r="ROZ2" t="s">
        <v>16896</v>
      </c>
      <c r="RPA2" t="s">
        <v>16897</v>
      </c>
      <c r="RPB2" t="s">
        <v>16898</v>
      </c>
      <c r="RPC2" t="s">
        <v>16899</v>
      </c>
      <c r="RPD2" t="s">
        <v>16900</v>
      </c>
      <c r="RPE2" t="s">
        <v>16901</v>
      </c>
      <c r="RPF2" t="s">
        <v>16902</v>
      </c>
      <c r="RPG2" t="s">
        <v>16903</v>
      </c>
      <c r="RPH2" t="s">
        <v>16904</v>
      </c>
      <c r="RPI2" t="s">
        <v>16905</v>
      </c>
      <c r="RPJ2" t="s">
        <v>16906</v>
      </c>
      <c r="RPK2" t="s">
        <v>16907</v>
      </c>
      <c r="RPL2" t="s">
        <v>16908</v>
      </c>
      <c r="RPM2" t="s">
        <v>16909</v>
      </c>
      <c r="RPN2" t="s">
        <v>16910</v>
      </c>
      <c r="RPO2" t="s">
        <v>16911</v>
      </c>
      <c r="RPP2" t="s">
        <v>16912</v>
      </c>
      <c r="RPQ2" t="s">
        <v>16913</v>
      </c>
      <c r="RPR2" t="s">
        <v>16914</v>
      </c>
      <c r="RPS2" t="s">
        <v>16915</v>
      </c>
      <c r="RPT2" t="s">
        <v>16916</v>
      </c>
      <c r="RPU2" t="s">
        <v>16917</v>
      </c>
      <c r="RPV2" t="s">
        <v>16918</v>
      </c>
      <c r="RPW2" t="s">
        <v>16919</v>
      </c>
      <c r="RPX2" t="s">
        <v>16920</v>
      </c>
      <c r="RPY2" t="s">
        <v>16921</v>
      </c>
      <c r="RPZ2" t="s">
        <v>16922</v>
      </c>
      <c r="RQA2" t="s">
        <v>16923</v>
      </c>
      <c r="RQB2" t="s">
        <v>16924</v>
      </c>
      <c r="RQC2" t="s">
        <v>16925</v>
      </c>
      <c r="RQD2" t="s">
        <v>16926</v>
      </c>
      <c r="RQE2" t="s">
        <v>16927</v>
      </c>
      <c r="RQF2" t="s">
        <v>16928</v>
      </c>
      <c r="RQG2" t="s">
        <v>16929</v>
      </c>
      <c r="RQH2" t="s">
        <v>16930</v>
      </c>
      <c r="RQI2" t="s">
        <v>16931</v>
      </c>
      <c r="RQJ2" t="s">
        <v>16932</v>
      </c>
      <c r="RQK2" t="s">
        <v>16933</v>
      </c>
      <c r="RQL2" t="s">
        <v>16934</v>
      </c>
      <c r="RQM2" t="s">
        <v>16935</v>
      </c>
      <c r="RQN2" t="s">
        <v>16936</v>
      </c>
      <c r="RQO2" t="s">
        <v>16937</v>
      </c>
      <c r="RQP2" t="s">
        <v>16938</v>
      </c>
      <c r="RQQ2" t="s">
        <v>16939</v>
      </c>
      <c r="RQR2" t="s">
        <v>16940</v>
      </c>
      <c r="RQS2" t="s">
        <v>16941</v>
      </c>
      <c r="RQT2" t="s">
        <v>16942</v>
      </c>
      <c r="RQU2" t="s">
        <v>16943</v>
      </c>
      <c r="RQV2" t="s">
        <v>16944</v>
      </c>
      <c r="RQW2" t="s">
        <v>16945</v>
      </c>
      <c r="RQX2" t="s">
        <v>16946</v>
      </c>
      <c r="RQY2" t="s">
        <v>16947</v>
      </c>
      <c r="RQZ2" t="s">
        <v>16948</v>
      </c>
      <c r="RRA2" t="s">
        <v>16949</v>
      </c>
      <c r="RRB2" t="s">
        <v>16950</v>
      </c>
      <c r="RRC2" t="s">
        <v>16951</v>
      </c>
      <c r="RRD2" t="s">
        <v>16952</v>
      </c>
      <c r="RRE2" t="s">
        <v>16953</v>
      </c>
      <c r="RRF2" t="s">
        <v>16954</v>
      </c>
      <c r="RRG2" t="s">
        <v>16955</v>
      </c>
      <c r="RRH2" t="s">
        <v>16956</v>
      </c>
      <c r="RRI2" t="s">
        <v>16957</v>
      </c>
      <c r="RRJ2" t="s">
        <v>16958</v>
      </c>
      <c r="RRK2" t="s">
        <v>16959</v>
      </c>
      <c r="RRL2" t="s">
        <v>16960</v>
      </c>
      <c r="RRM2" t="s">
        <v>16961</v>
      </c>
      <c r="RRN2" t="s">
        <v>16962</v>
      </c>
      <c r="RRO2" t="s">
        <v>16963</v>
      </c>
      <c r="RRP2" t="s">
        <v>16964</v>
      </c>
      <c r="RRQ2" t="s">
        <v>16965</v>
      </c>
      <c r="RRR2" t="s">
        <v>16966</v>
      </c>
      <c r="RRS2" t="s">
        <v>16967</v>
      </c>
      <c r="RRT2" t="s">
        <v>16968</v>
      </c>
      <c r="RRU2" t="s">
        <v>16969</v>
      </c>
      <c r="RRV2" t="s">
        <v>16970</v>
      </c>
      <c r="RRW2" t="s">
        <v>16971</v>
      </c>
      <c r="RRX2" t="s">
        <v>16972</v>
      </c>
      <c r="RRY2" t="s">
        <v>16973</v>
      </c>
      <c r="RRZ2" t="s">
        <v>16974</v>
      </c>
      <c r="RSA2" t="s">
        <v>16975</v>
      </c>
      <c r="RSB2" t="s">
        <v>16976</v>
      </c>
      <c r="RSC2" t="s">
        <v>16977</v>
      </c>
      <c r="RSD2" t="s">
        <v>16978</v>
      </c>
      <c r="RSE2" t="s">
        <v>16979</v>
      </c>
      <c r="RSF2" t="s">
        <v>16980</v>
      </c>
      <c r="RSG2" t="s">
        <v>16981</v>
      </c>
      <c r="RSH2" t="s">
        <v>16982</v>
      </c>
      <c r="RSI2" t="s">
        <v>16983</v>
      </c>
      <c r="RSJ2" t="s">
        <v>16984</v>
      </c>
      <c r="RSK2" t="s">
        <v>16985</v>
      </c>
      <c r="RSL2" t="s">
        <v>16986</v>
      </c>
      <c r="RSM2" t="s">
        <v>16987</v>
      </c>
      <c r="RSN2" t="s">
        <v>16988</v>
      </c>
      <c r="RSO2" t="s">
        <v>16989</v>
      </c>
      <c r="RSP2" t="s">
        <v>16990</v>
      </c>
      <c r="RSQ2" t="s">
        <v>16991</v>
      </c>
      <c r="RSR2" t="s">
        <v>16992</v>
      </c>
      <c r="RSS2" t="s">
        <v>16993</v>
      </c>
      <c r="RST2" t="s">
        <v>16994</v>
      </c>
      <c r="RSU2" t="s">
        <v>16995</v>
      </c>
      <c r="RSV2" t="s">
        <v>16996</v>
      </c>
      <c r="RSW2" t="s">
        <v>16997</v>
      </c>
      <c r="RSX2" t="s">
        <v>16998</v>
      </c>
      <c r="RSY2" t="s">
        <v>16999</v>
      </c>
      <c r="RSZ2" t="s">
        <v>17000</v>
      </c>
      <c r="RTA2" t="s">
        <v>17001</v>
      </c>
      <c r="RTB2" t="s">
        <v>17002</v>
      </c>
      <c r="RTC2" t="s">
        <v>17003</v>
      </c>
      <c r="RTD2" t="s">
        <v>17004</v>
      </c>
      <c r="RTE2" t="s">
        <v>17005</v>
      </c>
      <c r="RTF2" t="s">
        <v>17006</v>
      </c>
      <c r="RTG2" t="s">
        <v>17007</v>
      </c>
      <c r="RTH2" t="s">
        <v>17008</v>
      </c>
      <c r="RTI2" t="s">
        <v>17009</v>
      </c>
      <c r="RTJ2" t="s">
        <v>17010</v>
      </c>
      <c r="RTK2" t="s">
        <v>17011</v>
      </c>
      <c r="RTL2" t="s">
        <v>17012</v>
      </c>
      <c r="RTM2" t="s">
        <v>17013</v>
      </c>
      <c r="RTN2" t="s">
        <v>17014</v>
      </c>
      <c r="RTO2" t="s">
        <v>17015</v>
      </c>
      <c r="RTP2" t="s">
        <v>17016</v>
      </c>
      <c r="RTQ2" t="s">
        <v>17017</v>
      </c>
      <c r="RTR2" t="s">
        <v>17018</v>
      </c>
      <c r="RTS2" t="s">
        <v>17019</v>
      </c>
      <c r="RTT2" t="s">
        <v>17020</v>
      </c>
      <c r="RTU2" t="s">
        <v>17021</v>
      </c>
      <c r="RTV2" t="s">
        <v>17022</v>
      </c>
      <c r="RTW2" t="s">
        <v>17023</v>
      </c>
      <c r="RTX2" t="s">
        <v>17024</v>
      </c>
      <c r="RTY2" t="s">
        <v>17025</v>
      </c>
      <c r="RTZ2" t="s">
        <v>17026</v>
      </c>
      <c r="RUA2" t="s">
        <v>17027</v>
      </c>
      <c r="RUB2" t="s">
        <v>17028</v>
      </c>
      <c r="RUC2" t="s">
        <v>17029</v>
      </c>
      <c r="RUD2" t="s">
        <v>17030</v>
      </c>
      <c r="RUE2" t="s">
        <v>17031</v>
      </c>
      <c r="RUF2" t="s">
        <v>17032</v>
      </c>
      <c r="RUG2" t="s">
        <v>17033</v>
      </c>
      <c r="RUH2" t="s">
        <v>17034</v>
      </c>
      <c r="RUI2" t="s">
        <v>17035</v>
      </c>
      <c r="RUJ2" t="s">
        <v>17036</v>
      </c>
      <c r="RUK2" t="s">
        <v>17037</v>
      </c>
      <c r="RUL2" t="s">
        <v>17038</v>
      </c>
      <c r="RUM2" t="s">
        <v>17039</v>
      </c>
      <c r="RUN2" t="s">
        <v>17040</v>
      </c>
      <c r="RUO2" t="s">
        <v>17041</v>
      </c>
      <c r="RUP2" t="s">
        <v>17042</v>
      </c>
      <c r="RUQ2" t="s">
        <v>17043</v>
      </c>
      <c r="RUR2" t="s">
        <v>17044</v>
      </c>
      <c r="RUS2" t="s">
        <v>17045</v>
      </c>
      <c r="RUT2" t="s">
        <v>17046</v>
      </c>
      <c r="RUU2" t="s">
        <v>17047</v>
      </c>
      <c r="RUV2" t="s">
        <v>17048</v>
      </c>
      <c r="RUW2" t="s">
        <v>17049</v>
      </c>
      <c r="RUX2" t="s">
        <v>17050</v>
      </c>
      <c r="RUY2" t="s">
        <v>17051</v>
      </c>
      <c r="RUZ2" t="s">
        <v>17052</v>
      </c>
      <c r="RVA2" t="s">
        <v>17053</v>
      </c>
      <c r="RVB2" t="s">
        <v>17054</v>
      </c>
      <c r="RVC2" t="s">
        <v>17055</v>
      </c>
      <c r="RVD2" t="s">
        <v>17056</v>
      </c>
      <c r="RVE2" t="s">
        <v>17057</v>
      </c>
      <c r="RVF2" t="s">
        <v>17058</v>
      </c>
      <c r="RVG2" t="s">
        <v>17059</v>
      </c>
      <c r="RVH2" t="s">
        <v>17060</v>
      </c>
      <c r="RVI2" t="s">
        <v>17061</v>
      </c>
      <c r="RVJ2" t="s">
        <v>17062</v>
      </c>
      <c r="RVK2" t="s">
        <v>17063</v>
      </c>
      <c r="RVL2" t="s">
        <v>17064</v>
      </c>
      <c r="RVM2" t="s">
        <v>17065</v>
      </c>
      <c r="RVN2" t="s">
        <v>17066</v>
      </c>
      <c r="RVO2" t="s">
        <v>17067</v>
      </c>
      <c r="RVP2" t="s">
        <v>17068</v>
      </c>
      <c r="RVQ2" t="s">
        <v>17069</v>
      </c>
      <c r="RVR2" t="s">
        <v>17070</v>
      </c>
      <c r="RVS2" t="s">
        <v>17071</v>
      </c>
      <c r="RVT2" t="s">
        <v>17072</v>
      </c>
      <c r="RVU2" t="s">
        <v>17073</v>
      </c>
      <c r="RVV2" t="s">
        <v>17074</v>
      </c>
      <c r="RVW2" t="s">
        <v>17075</v>
      </c>
      <c r="RVX2" t="s">
        <v>17076</v>
      </c>
      <c r="RVY2" t="s">
        <v>17077</v>
      </c>
      <c r="RVZ2" t="s">
        <v>17078</v>
      </c>
      <c r="RWA2" t="s">
        <v>17079</v>
      </c>
      <c r="RWB2" t="s">
        <v>17080</v>
      </c>
      <c r="RWC2" t="s">
        <v>17081</v>
      </c>
      <c r="RWD2" t="s">
        <v>17082</v>
      </c>
      <c r="RWE2" t="s">
        <v>17083</v>
      </c>
      <c r="RWF2" t="s">
        <v>17084</v>
      </c>
      <c r="RWG2" t="s">
        <v>17085</v>
      </c>
      <c r="RWH2" t="s">
        <v>17086</v>
      </c>
      <c r="RWI2" t="s">
        <v>17087</v>
      </c>
      <c r="RWJ2" t="s">
        <v>17088</v>
      </c>
      <c r="RWK2" t="s">
        <v>17089</v>
      </c>
      <c r="RWL2" t="s">
        <v>17090</v>
      </c>
      <c r="RWM2" t="s">
        <v>17091</v>
      </c>
      <c r="RWN2" t="s">
        <v>17092</v>
      </c>
      <c r="RWO2" t="s">
        <v>17093</v>
      </c>
      <c r="RWP2" t="s">
        <v>17094</v>
      </c>
      <c r="RWQ2" t="s">
        <v>17095</v>
      </c>
      <c r="RWR2" t="s">
        <v>17096</v>
      </c>
      <c r="RWS2" t="s">
        <v>17097</v>
      </c>
      <c r="RWT2" t="s">
        <v>17098</v>
      </c>
      <c r="RWU2" t="s">
        <v>17099</v>
      </c>
      <c r="RWV2" t="s">
        <v>17100</v>
      </c>
      <c r="RWW2" t="s">
        <v>17101</v>
      </c>
      <c r="RWX2" t="s">
        <v>17102</v>
      </c>
      <c r="RWY2" t="s">
        <v>17103</v>
      </c>
      <c r="RWZ2" t="s">
        <v>17104</v>
      </c>
      <c r="RXA2" t="s">
        <v>17105</v>
      </c>
      <c r="RXB2" t="s">
        <v>17106</v>
      </c>
      <c r="RXC2" t="s">
        <v>17107</v>
      </c>
      <c r="RXD2" t="s">
        <v>17108</v>
      </c>
      <c r="RXE2" t="s">
        <v>17109</v>
      </c>
      <c r="RXF2" t="s">
        <v>17110</v>
      </c>
      <c r="RXG2" t="s">
        <v>17111</v>
      </c>
      <c r="RXH2" t="s">
        <v>17112</v>
      </c>
      <c r="RXI2" t="s">
        <v>17113</v>
      </c>
      <c r="RXJ2" t="s">
        <v>17114</v>
      </c>
      <c r="RXK2" t="s">
        <v>17115</v>
      </c>
      <c r="RXL2" t="s">
        <v>17116</v>
      </c>
      <c r="RXM2" t="s">
        <v>17117</v>
      </c>
      <c r="RXN2" t="s">
        <v>17118</v>
      </c>
      <c r="RXO2" t="s">
        <v>17119</v>
      </c>
      <c r="RXP2" t="s">
        <v>17120</v>
      </c>
      <c r="RXQ2" t="s">
        <v>17121</v>
      </c>
      <c r="RXR2" t="s">
        <v>17122</v>
      </c>
      <c r="RXS2" t="s">
        <v>17123</v>
      </c>
      <c r="RXT2" t="s">
        <v>17124</v>
      </c>
      <c r="RXU2" t="s">
        <v>17125</v>
      </c>
      <c r="RXV2" t="s">
        <v>17126</v>
      </c>
      <c r="RXW2" t="s">
        <v>17127</v>
      </c>
      <c r="RXX2" t="s">
        <v>17128</v>
      </c>
      <c r="RXY2" t="s">
        <v>17129</v>
      </c>
      <c r="RXZ2" t="s">
        <v>17130</v>
      </c>
      <c r="RYA2" t="s">
        <v>17131</v>
      </c>
      <c r="RYB2" t="s">
        <v>17132</v>
      </c>
      <c r="RYC2" t="s">
        <v>17133</v>
      </c>
      <c r="RYD2" t="s">
        <v>17134</v>
      </c>
      <c r="RYE2" t="s">
        <v>17135</v>
      </c>
      <c r="RYF2" t="s">
        <v>17136</v>
      </c>
      <c r="RYG2" t="s">
        <v>17137</v>
      </c>
      <c r="RYH2" t="s">
        <v>17138</v>
      </c>
      <c r="RYI2" t="s">
        <v>17139</v>
      </c>
      <c r="RYJ2" t="s">
        <v>17140</v>
      </c>
      <c r="RYK2" t="s">
        <v>17141</v>
      </c>
      <c r="RYL2" t="s">
        <v>17142</v>
      </c>
      <c r="RYM2" t="s">
        <v>17143</v>
      </c>
      <c r="RYN2" t="s">
        <v>17144</v>
      </c>
      <c r="RYO2" t="s">
        <v>17145</v>
      </c>
      <c r="RYP2" t="s">
        <v>17146</v>
      </c>
      <c r="RYQ2" t="s">
        <v>17147</v>
      </c>
      <c r="RYR2" t="s">
        <v>17148</v>
      </c>
      <c r="RYS2" t="s">
        <v>17149</v>
      </c>
      <c r="RYT2" t="s">
        <v>17150</v>
      </c>
      <c r="RYU2" t="s">
        <v>17151</v>
      </c>
      <c r="RYV2" t="s">
        <v>17152</v>
      </c>
      <c r="RYW2" t="s">
        <v>17153</v>
      </c>
      <c r="RYX2" t="s">
        <v>17154</v>
      </c>
      <c r="RYY2" t="s">
        <v>17155</v>
      </c>
      <c r="RYZ2" t="s">
        <v>17156</v>
      </c>
      <c r="RZA2" t="s">
        <v>17157</v>
      </c>
      <c r="RZB2" t="s">
        <v>17158</v>
      </c>
      <c r="RZC2" t="s">
        <v>17159</v>
      </c>
      <c r="RZD2" t="s">
        <v>17160</v>
      </c>
      <c r="RZE2" t="s">
        <v>17161</v>
      </c>
      <c r="RZF2" t="s">
        <v>17162</v>
      </c>
      <c r="RZG2" t="s">
        <v>17163</v>
      </c>
      <c r="RZH2" t="s">
        <v>17164</v>
      </c>
      <c r="RZI2" t="s">
        <v>17165</v>
      </c>
      <c r="RZJ2" t="s">
        <v>17166</v>
      </c>
      <c r="RZK2" t="s">
        <v>17167</v>
      </c>
      <c r="RZL2" t="s">
        <v>17168</v>
      </c>
      <c r="RZM2" t="s">
        <v>17169</v>
      </c>
      <c r="RZN2" t="s">
        <v>17170</v>
      </c>
      <c r="RZO2" t="s">
        <v>17171</v>
      </c>
      <c r="RZP2" t="s">
        <v>17172</v>
      </c>
      <c r="RZQ2" t="s">
        <v>17173</v>
      </c>
      <c r="RZR2" t="s">
        <v>17174</v>
      </c>
      <c r="RZS2" t="s">
        <v>17175</v>
      </c>
      <c r="RZT2" t="s">
        <v>17176</v>
      </c>
      <c r="RZU2" t="s">
        <v>17177</v>
      </c>
      <c r="RZV2" t="s">
        <v>17178</v>
      </c>
      <c r="RZW2" t="s">
        <v>17179</v>
      </c>
      <c r="RZX2" t="s">
        <v>17180</v>
      </c>
      <c r="RZY2" t="s">
        <v>17181</v>
      </c>
      <c r="RZZ2" t="s">
        <v>17182</v>
      </c>
      <c r="SAA2" t="s">
        <v>17183</v>
      </c>
      <c r="SAB2" t="s">
        <v>17184</v>
      </c>
      <c r="SAC2" t="s">
        <v>17185</v>
      </c>
      <c r="SAD2" t="s">
        <v>17186</v>
      </c>
      <c r="SAE2" t="s">
        <v>17187</v>
      </c>
      <c r="SAF2" t="s">
        <v>17188</v>
      </c>
      <c r="SAG2" t="s">
        <v>17189</v>
      </c>
      <c r="SAH2" t="s">
        <v>17190</v>
      </c>
      <c r="SAI2" t="s">
        <v>17191</v>
      </c>
      <c r="SAJ2" t="s">
        <v>17192</v>
      </c>
      <c r="SAK2" t="s">
        <v>17193</v>
      </c>
      <c r="SAL2" t="s">
        <v>17194</v>
      </c>
      <c r="SAM2" t="s">
        <v>17195</v>
      </c>
      <c r="SAN2" t="s">
        <v>17196</v>
      </c>
      <c r="SAO2" t="s">
        <v>17197</v>
      </c>
      <c r="SAP2" t="s">
        <v>17198</v>
      </c>
      <c r="SAQ2" t="s">
        <v>17199</v>
      </c>
      <c r="SAR2" t="s">
        <v>17200</v>
      </c>
      <c r="SAS2" t="s">
        <v>17201</v>
      </c>
      <c r="SAT2" t="s">
        <v>17202</v>
      </c>
      <c r="SAU2" t="s">
        <v>17203</v>
      </c>
      <c r="SAV2" t="s">
        <v>17204</v>
      </c>
      <c r="SAW2" t="s">
        <v>17205</v>
      </c>
      <c r="SAX2" t="s">
        <v>17206</v>
      </c>
      <c r="SAY2" t="s">
        <v>17207</v>
      </c>
      <c r="SAZ2" t="s">
        <v>17208</v>
      </c>
      <c r="SBA2" t="s">
        <v>17209</v>
      </c>
      <c r="SBB2" t="s">
        <v>17210</v>
      </c>
      <c r="SBC2" t="s">
        <v>17211</v>
      </c>
      <c r="SBD2" t="s">
        <v>17212</v>
      </c>
      <c r="SBE2" t="s">
        <v>17213</v>
      </c>
      <c r="SBF2" t="s">
        <v>17214</v>
      </c>
      <c r="SBG2" t="s">
        <v>17215</v>
      </c>
      <c r="SBH2" t="s">
        <v>17216</v>
      </c>
      <c r="SBI2" t="s">
        <v>17217</v>
      </c>
      <c r="SBJ2" t="s">
        <v>17218</v>
      </c>
      <c r="SBK2" t="s">
        <v>17219</v>
      </c>
      <c r="SBL2" t="s">
        <v>17220</v>
      </c>
      <c r="SBM2" t="s">
        <v>17221</v>
      </c>
      <c r="SBN2" t="s">
        <v>17222</v>
      </c>
      <c r="SBO2" t="s">
        <v>17223</v>
      </c>
      <c r="SBP2" t="s">
        <v>17224</v>
      </c>
      <c r="SBQ2" t="s">
        <v>17225</v>
      </c>
      <c r="SBR2" t="s">
        <v>17226</v>
      </c>
      <c r="SBS2" t="s">
        <v>17227</v>
      </c>
      <c r="SBT2" t="s">
        <v>17228</v>
      </c>
      <c r="SBU2" t="s">
        <v>17229</v>
      </c>
      <c r="SBV2" t="s">
        <v>17230</v>
      </c>
      <c r="SBW2" t="s">
        <v>17231</v>
      </c>
      <c r="SBX2" t="s">
        <v>17232</v>
      </c>
      <c r="SBY2" t="s">
        <v>17233</v>
      </c>
      <c r="SBZ2" t="s">
        <v>17234</v>
      </c>
      <c r="SCA2" t="s">
        <v>17235</v>
      </c>
      <c r="SCB2" t="s">
        <v>17236</v>
      </c>
      <c r="SCC2" t="s">
        <v>17237</v>
      </c>
      <c r="SCD2" t="s">
        <v>17238</v>
      </c>
      <c r="SCE2" t="s">
        <v>17239</v>
      </c>
      <c r="SCF2" t="s">
        <v>17240</v>
      </c>
      <c r="SCG2" t="s">
        <v>17241</v>
      </c>
      <c r="SCH2" t="s">
        <v>17242</v>
      </c>
      <c r="SCI2" t="s">
        <v>17243</v>
      </c>
      <c r="SCJ2" t="s">
        <v>17244</v>
      </c>
      <c r="SCK2" t="s">
        <v>17245</v>
      </c>
      <c r="SCL2" t="s">
        <v>17246</v>
      </c>
      <c r="SCM2" t="s">
        <v>17247</v>
      </c>
      <c r="SCN2" t="s">
        <v>17248</v>
      </c>
      <c r="SCO2" t="s">
        <v>17249</v>
      </c>
      <c r="SCP2" t="s">
        <v>17250</v>
      </c>
      <c r="SCQ2" t="s">
        <v>17251</v>
      </c>
      <c r="SCR2" t="s">
        <v>17252</v>
      </c>
      <c r="SCS2" t="s">
        <v>17253</v>
      </c>
      <c r="SCT2" t="s">
        <v>17254</v>
      </c>
      <c r="SCU2" t="s">
        <v>17255</v>
      </c>
      <c r="SCV2" t="s">
        <v>17256</v>
      </c>
      <c r="SCW2" t="s">
        <v>17257</v>
      </c>
      <c r="SCX2" t="s">
        <v>17258</v>
      </c>
      <c r="SCY2" t="s">
        <v>17259</v>
      </c>
      <c r="SCZ2" t="s">
        <v>17260</v>
      </c>
      <c r="SDA2" t="s">
        <v>17261</v>
      </c>
      <c r="SDB2" t="s">
        <v>17262</v>
      </c>
      <c r="SDC2" t="s">
        <v>17263</v>
      </c>
      <c r="SDD2" t="s">
        <v>17264</v>
      </c>
      <c r="SDE2" t="s">
        <v>17265</v>
      </c>
      <c r="SDF2" t="s">
        <v>17266</v>
      </c>
      <c r="SDG2" t="s">
        <v>17267</v>
      </c>
      <c r="SDH2" t="s">
        <v>17268</v>
      </c>
      <c r="SDI2" t="s">
        <v>17269</v>
      </c>
      <c r="SDJ2" t="s">
        <v>17270</v>
      </c>
      <c r="SDK2" t="s">
        <v>17271</v>
      </c>
      <c r="SDL2" t="s">
        <v>17272</v>
      </c>
      <c r="SDM2" t="s">
        <v>17273</v>
      </c>
      <c r="SDN2" t="s">
        <v>17274</v>
      </c>
      <c r="SDO2" t="s">
        <v>17275</v>
      </c>
      <c r="SDP2" t="s">
        <v>17276</v>
      </c>
      <c r="SDQ2" t="s">
        <v>17277</v>
      </c>
      <c r="SDR2" t="s">
        <v>17278</v>
      </c>
      <c r="SDS2" t="s">
        <v>17279</v>
      </c>
      <c r="SDT2" t="s">
        <v>17280</v>
      </c>
      <c r="SDU2" t="s">
        <v>17281</v>
      </c>
      <c r="SDV2" t="s">
        <v>17282</v>
      </c>
      <c r="SDW2" t="s">
        <v>17283</v>
      </c>
      <c r="SDX2" t="s">
        <v>17284</v>
      </c>
      <c r="SDY2" t="s">
        <v>17285</v>
      </c>
      <c r="SDZ2" t="s">
        <v>17286</v>
      </c>
      <c r="SEA2" t="s">
        <v>17287</v>
      </c>
      <c r="SEB2" t="s">
        <v>17288</v>
      </c>
      <c r="SEC2" t="s">
        <v>17289</v>
      </c>
      <c r="SED2" t="s">
        <v>17290</v>
      </c>
      <c r="SEE2" t="s">
        <v>17291</v>
      </c>
      <c r="SEF2" t="s">
        <v>17292</v>
      </c>
      <c r="SEG2" t="s">
        <v>17293</v>
      </c>
      <c r="SEH2" t="s">
        <v>17294</v>
      </c>
      <c r="SEI2" t="s">
        <v>17295</v>
      </c>
      <c r="SEJ2" t="s">
        <v>17296</v>
      </c>
      <c r="SEK2" t="s">
        <v>17297</v>
      </c>
      <c r="SEL2" t="s">
        <v>17298</v>
      </c>
      <c r="SEM2" t="s">
        <v>17299</v>
      </c>
      <c r="SEN2" t="s">
        <v>17300</v>
      </c>
      <c r="SEO2" t="s">
        <v>17301</v>
      </c>
      <c r="SEP2" t="s">
        <v>17302</v>
      </c>
      <c r="SEQ2" t="s">
        <v>17303</v>
      </c>
      <c r="SER2" t="s">
        <v>17304</v>
      </c>
      <c r="SES2" t="s">
        <v>17305</v>
      </c>
      <c r="SET2" t="s">
        <v>17306</v>
      </c>
      <c r="SEU2" t="s">
        <v>17307</v>
      </c>
      <c r="SEV2" t="s">
        <v>17308</v>
      </c>
      <c r="SEW2" t="s">
        <v>17309</v>
      </c>
      <c r="SEX2" t="s">
        <v>17310</v>
      </c>
      <c r="SEY2" t="s">
        <v>17311</v>
      </c>
      <c r="SEZ2" t="s">
        <v>17312</v>
      </c>
      <c r="SFA2" t="s">
        <v>17313</v>
      </c>
      <c r="SFB2" t="s">
        <v>17314</v>
      </c>
      <c r="SFC2" t="s">
        <v>17315</v>
      </c>
      <c r="SFD2" t="s">
        <v>17316</v>
      </c>
      <c r="SFE2" t="s">
        <v>17317</v>
      </c>
      <c r="SFF2" t="s">
        <v>17318</v>
      </c>
      <c r="SFG2" t="s">
        <v>17319</v>
      </c>
      <c r="SFH2" t="s">
        <v>17320</v>
      </c>
      <c r="SFI2" t="s">
        <v>17321</v>
      </c>
      <c r="SFJ2" t="s">
        <v>17322</v>
      </c>
      <c r="SFK2" t="s">
        <v>17323</v>
      </c>
      <c r="SFL2" t="s">
        <v>17324</v>
      </c>
      <c r="SFM2" t="s">
        <v>17325</v>
      </c>
      <c r="SFN2" t="s">
        <v>17326</v>
      </c>
      <c r="SFO2" t="s">
        <v>17327</v>
      </c>
      <c r="SFP2" t="s">
        <v>17328</v>
      </c>
      <c r="SFQ2" t="s">
        <v>17329</v>
      </c>
      <c r="SFR2" t="s">
        <v>17330</v>
      </c>
      <c r="SFS2" t="s">
        <v>17331</v>
      </c>
      <c r="SFT2" t="s">
        <v>17332</v>
      </c>
      <c r="SFU2" t="s">
        <v>17333</v>
      </c>
      <c r="SFV2" t="s">
        <v>17334</v>
      </c>
      <c r="SFW2" t="s">
        <v>17335</v>
      </c>
      <c r="SFX2" t="s">
        <v>17336</v>
      </c>
      <c r="SFY2" t="s">
        <v>17337</v>
      </c>
      <c r="SFZ2" t="s">
        <v>17338</v>
      </c>
      <c r="SGA2" t="s">
        <v>17339</v>
      </c>
      <c r="SGB2" t="s">
        <v>17340</v>
      </c>
      <c r="SGC2" t="s">
        <v>17341</v>
      </c>
      <c r="SGD2" t="s">
        <v>17342</v>
      </c>
      <c r="SGE2" t="s">
        <v>17343</v>
      </c>
      <c r="SGF2" t="s">
        <v>17344</v>
      </c>
      <c r="SGG2" t="s">
        <v>17345</v>
      </c>
      <c r="SGH2" t="s">
        <v>17346</v>
      </c>
      <c r="SGI2" t="s">
        <v>17347</v>
      </c>
      <c r="SGJ2" t="s">
        <v>17348</v>
      </c>
      <c r="SGK2" t="s">
        <v>17349</v>
      </c>
      <c r="SGL2" t="s">
        <v>17350</v>
      </c>
      <c r="SGM2" t="s">
        <v>17351</v>
      </c>
      <c r="SGN2" t="s">
        <v>17352</v>
      </c>
      <c r="SGO2" t="s">
        <v>17353</v>
      </c>
      <c r="SGP2" t="s">
        <v>17354</v>
      </c>
      <c r="SGQ2" t="s">
        <v>17355</v>
      </c>
      <c r="SGR2" t="s">
        <v>17356</v>
      </c>
      <c r="SGS2" t="s">
        <v>17357</v>
      </c>
      <c r="SGT2" t="s">
        <v>17358</v>
      </c>
      <c r="SGU2" t="s">
        <v>17359</v>
      </c>
      <c r="SGV2" t="s">
        <v>17360</v>
      </c>
      <c r="SGW2" t="s">
        <v>17361</v>
      </c>
      <c r="SGX2" t="s">
        <v>17362</v>
      </c>
      <c r="SGY2" t="s">
        <v>17363</v>
      </c>
      <c r="SGZ2" t="s">
        <v>17364</v>
      </c>
      <c r="SHA2" t="s">
        <v>17365</v>
      </c>
      <c r="SHB2" t="s">
        <v>17366</v>
      </c>
      <c r="SHC2" t="s">
        <v>17367</v>
      </c>
      <c r="SHD2" t="s">
        <v>17368</v>
      </c>
      <c r="SHE2" t="s">
        <v>17369</v>
      </c>
      <c r="SHF2" t="s">
        <v>17370</v>
      </c>
      <c r="SHG2" t="s">
        <v>17371</v>
      </c>
      <c r="SHH2" t="s">
        <v>17372</v>
      </c>
      <c r="SHI2" t="s">
        <v>17373</v>
      </c>
      <c r="SHJ2" t="s">
        <v>17374</v>
      </c>
      <c r="SHK2" t="s">
        <v>17375</v>
      </c>
      <c r="SHL2" t="s">
        <v>17376</v>
      </c>
      <c r="SHM2" t="s">
        <v>17377</v>
      </c>
      <c r="SHN2" t="s">
        <v>17378</v>
      </c>
      <c r="SHO2" t="s">
        <v>17379</v>
      </c>
      <c r="SHP2" t="s">
        <v>17380</v>
      </c>
      <c r="SHQ2" t="s">
        <v>17381</v>
      </c>
      <c r="SHR2" t="s">
        <v>17382</v>
      </c>
      <c r="SHS2" t="s">
        <v>17383</v>
      </c>
      <c r="SHT2" t="s">
        <v>17384</v>
      </c>
      <c r="SHU2" t="s">
        <v>17385</v>
      </c>
      <c r="SHV2" t="s">
        <v>17386</v>
      </c>
      <c r="SHW2" t="s">
        <v>17387</v>
      </c>
      <c r="SHX2" t="s">
        <v>17388</v>
      </c>
      <c r="SHY2" t="s">
        <v>17389</v>
      </c>
      <c r="SHZ2" t="s">
        <v>17390</v>
      </c>
      <c r="SIA2" t="s">
        <v>17391</v>
      </c>
      <c r="SIB2" t="s">
        <v>17392</v>
      </c>
      <c r="SIC2" t="s">
        <v>17393</v>
      </c>
      <c r="SID2" t="s">
        <v>17394</v>
      </c>
      <c r="SIE2" t="s">
        <v>17395</v>
      </c>
      <c r="SIF2" t="s">
        <v>17396</v>
      </c>
      <c r="SIG2" t="s">
        <v>17397</v>
      </c>
      <c r="SIH2" t="s">
        <v>17398</v>
      </c>
      <c r="SII2" t="s">
        <v>17399</v>
      </c>
      <c r="SIJ2" t="s">
        <v>17400</v>
      </c>
      <c r="SIK2" t="s">
        <v>17401</v>
      </c>
      <c r="SIL2" t="s">
        <v>17402</v>
      </c>
      <c r="SIM2" t="s">
        <v>17403</v>
      </c>
      <c r="SIN2" t="s">
        <v>17404</v>
      </c>
      <c r="SIO2" t="s">
        <v>17405</v>
      </c>
      <c r="SIP2" t="s">
        <v>17406</v>
      </c>
      <c r="SIQ2" t="s">
        <v>17407</v>
      </c>
      <c r="SIR2" t="s">
        <v>17408</v>
      </c>
      <c r="SIS2" t="s">
        <v>17409</v>
      </c>
      <c r="SIT2" t="s">
        <v>17410</v>
      </c>
      <c r="SIU2" t="s">
        <v>17411</v>
      </c>
      <c r="SIV2" t="s">
        <v>17412</v>
      </c>
      <c r="SIW2" t="s">
        <v>17413</v>
      </c>
      <c r="SIX2" t="s">
        <v>17414</v>
      </c>
      <c r="SIY2" t="s">
        <v>17415</v>
      </c>
      <c r="SIZ2" t="s">
        <v>17416</v>
      </c>
      <c r="SJA2" t="s">
        <v>17417</v>
      </c>
      <c r="SJB2" t="s">
        <v>17418</v>
      </c>
      <c r="SJC2" t="s">
        <v>17419</v>
      </c>
      <c r="SJD2" t="s">
        <v>17420</v>
      </c>
      <c r="SJE2" t="s">
        <v>17421</v>
      </c>
      <c r="SJF2" t="s">
        <v>17422</v>
      </c>
      <c r="SJG2" t="s">
        <v>17423</v>
      </c>
      <c r="SJH2" t="s">
        <v>17424</v>
      </c>
      <c r="SJI2" t="s">
        <v>17425</v>
      </c>
      <c r="SJJ2" t="s">
        <v>17426</v>
      </c>
      <c r="SJK2" t="s">
        <v>17427</v>
      </c>
      <c r="SJL2" t="s">
        <v>17428</v>
      </c>
      <c r="SJM2" t="s">
        <v>17429</v>
      </c>
      <c r="SJN2" t="s">
        <v>17430</v>
      </c>
      <c r="SJO2" t="s">
        <v>17431</v>
      </c>
      <c r="SJP2" t="s">
        <v>17432</v>
      </c>
      <c r="SJQ2" t="s">
        <v>17433</v>
      </c>
      <c r="SJR2" t="s">
        <v>17434</v>
      </c>
      <c r="SJS2" t="s">
        <v>17435</v>
      </c>
      <c r="SJT2" t="s">
        <v>17436</v>
      </c>
      <c r="SJU2" t="s">
        <v>17437</v>
      </c>
      <c r="SJV2" t="s">
        <v>17438</v>
      </c>
      <c r="SJW2" t="s">
        <v>17439</v>
      </c>
      <c r="SJX2" t="s">
        <v>17440</v>
      </c>
      <c r="SJY2" t="s">
        <v>17441</v>
      </c>
      <c r="SJZ2" t="s">
        <v>17442</v>
      </c>
      <c r="SKA2" t="s">
        <v>17443</v>
      </c>
      <c r="SKB2" t="s">
        <v>17444</v>
      </c>
      <c r="SKC2" t="s">
        <v>17445</v>
      </c>
      <c r="SKD2" t="s">
        <v>17446</v>
      </c>
      <c r="SKE2" t="s">
        <v>17447</v>
      </c>
      <c r="SKF2" t="s">
        <v>17448</v>
      </c>
      <c r="SKG2" t="s">
        <v>17449</v>
      </c>
      <c r="SKH2" t="s">
        <v>17450</v>
      </c>
      <c r="SKI2" t="s">
        <v>17451</v>
      </c>
      <c r="SKJ2" t="s">
        <v>17452</v>
      </c>
      <c r="SKK2" t="s">
        <v>17453</v>
      </c>
      <c r="SKL2" t="s">
        <v>17454</v>
      </c>
      <c r="SKM2" t="s">
        <v>17455</v>
      </c>
      <c r="SKN2" t="s">
        <v>17456</v>
      </c>
      <c r="SKO2" t="s">
        <v>17457</v>
      </c>
      <c r="SKP2" t="s">
        <v>17458</v>
      </c>
      <c r="SKQ2" t="s">
        <v>17459</v>
      </c>
      <c r="SKR2" t="s">
        <v>17460</v>
      </c>
      <c r="SKS2" t="s">
        <v>17461</v>
      </c>
      <c r="SKT2" t="s">
        <v>17462</v>
      </c>
      <c r="SKU2" t="s">
        <v>17463</v>
      </c>
      <c r="SKV2" t="s">
        <v>17464</v>
      </c>
      <c r="SKW2" t="s">
        <v>17465</v>
      </c>
      <c r="SKX2" t="s">
        <v>17466</v>
      </c>
      <c r="SKY2" t="s">
        <v>17467</v>
      </c>
      <c r="SKZ2" t="s">
        <v>17468</v>
      </c>
      <c r="SLA2" t="s">
        <v>17469</v>
      </c>
      <c r="SLB2" t="s">
        <v>17470</v>
      </c>
      <c r="SLC2" t="s">
        <v>17471</v>
      </c>
      <c r="SLD2" t="s">
        <v>17472</v>
      </c>
      <c r="SLE2" t="s">
        <v>17473</v>
      </c>
      <c r="SLF2" t="s">
        <v>17474</v>
      </c>
      <c r="SLG2" t="s">
        <v>17475</v>
      </c>
      <c r="SLH2" t="s">
        <v>17476</v>
      </c>
      <c r="SLI2" t="s">
        <v>17477</v>
      </c>
      <c r="SLJ2" t="s">
        <v>17478</v>
      </c>
      <c r="SLK2" t="s">
        <v>17479</v>
      </c>
      <c r="SLL2" t="s">
        <v>17480</v>
      </c>
      <c r="SLM2" t="s">
        <v>17481</v>
      </c>
      <c r="SLN2" t="s">
        <v>17482</v>
      </c>
      <c r="SLO2" t="s">
        <v>17483</v>
      </c>
      <c r="SLP2" t="s">
        <v>17484</v>
      </c>
      <c r="SLQ2" t="s">
        <v>17485</v>
      </c>
      <c r="SLR2" t="s">
        <v>17486</v>
      </c>
      <c r="SLS2" t="s">
        <v>17487</v>
      </c>
      <c r="SLT2" t="s">
        <v>17488</v>
      </c>
      <c r="SLU2" t="s">
        <v>17489</v>
      </c>
      <c r="SLV2" t="s">
        <v>17490</v>
      </c>
      <c r="SLW2" t="s">
        <v>17491</v>
      </c>
      <c r="SLX2" t="s">
        <v>17492</v>
      </c>
      <c r="SLY2" t="s">
        <v>17493</v>
      </c>
      <c r="SLZ2" t="s">
        <v>17494</v>
      </c>
      <c r="SMA2" t="s">
        <v>17495</v>
      </c>
      <c r="SMB2" t="s">
        <v>17496</v>
      </c>
      <c r="SMC2" t="s">
        <v>17497</v>
      </c>
      <c r="SMD2" t="s">
        <v>17498</v>
      </c>
      <c r="SME2" t="s">
        <v>17499</v>
      </c>
      <c r="SMF2" t="s">
        <v>17500</v>
      </c>
      <c r="SMG2" t="s">
        <v>17501</v>
      </c>
      <c r="SMH2" t="s">
        <v>17502</v>
      </c>
      <c r="SMI2" t="s">
        <v>17503</v>
      </c>
      <c r="SMJ2" t="s">
        <v>17504</v>
      </c>
      <c r="SMK2" t="s">
        <v>17505</v>
      </c>
      <c r="SML2" t="s">
        <v>17506</v>
      </c>
      <c r="SMM2" t="s">
        <v>17507</v>
      </c>
      <c r="SMN2" t="s">
        <v>17508</v>
      </c>
      <c r="SMO2" t="s">
        <v>17509</v>
      </c>
      <c r="SMP2" t="s">
        <v>17510</v>
      </c>
      <c r="SMQ2" t="s">
        <v>17511</v>
      </c>
      <c r="SMR2" t="s">
        <v>17512</v>
      </c>
      <c r="SMS2" t="s">
        <v>17513</v>
      </c>
      <c r="SMT2" t="s">
        <v>17514</v>
      </c>
      <c r="SMU2" t="s">
        <v>17515</v>
      </c>
      <c r="SMV2" t="s">
        <v>17516</v>
      </c>
      <c r="SMW2" t="s">
        <v>17517</v>
      </c>
      <c r="SMX2" t="s">
        <v>17518</v>
      </c>
      <c r="SMY2" t="s">
        <v>17519</v>
      </c>
      <c r="SMZ2" t="s">
        <v>17520</v>
      </c>
      <c r="SNA2" t="s">
        <v>17521</v>
      </c>
      <c r="SNB2" t="s">
        <v>17522</v>
      </c>
      <c r="SNC2" t="s">
        <v>17523</v>
      </c>
      <c r="SND2" t="s">
        <v>17524</v>
      </c>
      <c r="SNE2" t="s">
        <v>17525</v>
      </c>
      <c r="SNF2" t="s">
        <v>17526</v>
      </c>
      <c r="SNG2" t="s">
        <v>17527</v>
      </c>
      <c r="SNH2" t="s">
        <v>17528</v>
      </c>
      <c r="SNI2" t="s">
        <v>17529</v>
      </c>
      <c r="SNJ2" t="s">
        <v>17530</v>
      </c>
      <c r="SNK2" t="s">
        <v>17531</v>
      </c>
      <c r="SNL2" t="s">
        <v>17532</v>
      </c>
      <c r="SNM2" t="s">
        <v>17533</v>
      </c>
      <c r="SNN2" t="s">
        <v>17534</v>
      </c>
      <c r="SNO2" t="s">
        <v>17535</v>
      </c>
      <c r="SNP2" t="s">
        <v>17536</v>
      </c>
      <c r="SNQ2" t="s">
        <v>17537</v>
      </c>
      <c r="SNR2" t="s">
        <v>17538</v>
      </c>
      <c r="SNS2" t="s">
        <v>17539</v>
      </c>
      <c r="SNT2" t="s">
        <v>17540</v>
      </c>
      <c r="SNU2" t="s">
        <v>17541</v>
      </c>
      <c r="SNV2" t="s">
        <v>17542</v>
      </c>
      <c r="SNW2" t="s">
        <v>17543</v>
      </c>
      <c r="SNX2" t="s">
        <v>17544</v>
      </c>
      <c r="SNY2" t="s">
        <v>17545</v>
      </c>
      <c r="SNZ2" t="s">
        <v>17546</v>
      </c>
      <c r="SOA2" t="s">
        <v>17547</v>
      </c>
      <c r="SOB2" t="s">
        <v>17548</v>
      </c>
      <c r="SOC2" t="s">
        <v>17549</v>
      </c>
      <c r="SOD2" t="s">
        <v>17550</v>
      </c>
      <c r="SOE2" t="s">
        <v>17551</v>
      </c>
      <c r="SOF2" t="s">
        <v>17552</v>
      </c>
      <c r="SOG2" t="s">
        <v>17553</v>
      </c>
      <c r="SOH2" t="s">
        <v>17554</v>
      </c>
      <c r="SOI2" t="s">
        <v>17555</v>
      </c>
      <c r="SOJ2" t="s">
        <v>17556</v>
      </c>
      <c r="SOK2" t="s">
        <v>17557</v>
      </c>
      <c r="SOL2" t="s">
        <v>17558</v>
      </c>
      <c r="SOM2" t="s">
        <v>17559</v>
      </c>
      <c r="SON2" t="s">
        <v>17560</v>
      </c>
      <c r="SOO2" t="s">
        <v>17561</v>
      </c>
      <c r="SOP2" t="s">
        <v>17562</v>
      </c>
      <c r="SOQ2" t="s">
        <v>17563</v>
      </c>
      <c r="SOR2" t="s">
        <v>17564</v>
      </c>
      <c r="SOS2" t="s">
        <v>17565</v>
      </c>
      <c r="SOT2" t="s">
        <v>17566</v>
      </c>
      <c r="SOU2" t="s">
        <v>17567</v>
      </c>
      <c r="SOV2" t="s">
        <v>17568</v>
      </c>
      <c r="SOW2" t="s">
        <v>17569</v>
      </c>
      <c r="SOX2" t="s">
        <v>17570</v>
      </c>
      <c r="SOY2" t="s">
        <v>17571</v>
      </c>
      <c r="SOZ2" t="s">
        <v>17572</v>
      </c>
      <c r="SPA2" t="s">
        <v>17573</v>
      </c>
      <c r="SPB2" t="s">
        <v>17574</v>
      </c>
      <c r="SPC2" t="s">
        <v>17575</v>
      </c>
      <c r="SPD2" t="s">
        <v>17576</v>
      </c>
      <c r="SPE2" t="s">
        <v>17577</v>
      </c>
      <c r="SPF2" t="s">
        <v>17578</v>
      </c>
      <c r="SPG2" t="s">
        <v>17579</v>
      </c>
      <c r="SPH2" t="s">
        <v>17580</v>
      </c>
      <c r="SPI2" t="s">
        <v>17581</v>
      </c>
      <c r="SPJ2" t="s">
        <v>17582</v>
      </c>
      <c r="SPK2" t="s">
        <v>17583</v>
      </c>
      <c r="SPL2" t="s">
        <v>17584</v>
      </c>
      <c r="SPM2" t="s">
        <v>17585</v>
      </c>
      <c r="SPN2" t="s">
        <v>17586</v>
      </c>
      <c r="SPO2" t="s">
        <v>17587</v>
      </c>
      <c r="SPP2" t="s">
        <v>17588</v>
      </c>
      <c r="SPQ2" t="s">
        <v>17589</v>
      </c>
      <c r="SPR2" t="s">
        <v>17590</v>
      </c>
      <c r="SPS2" t="s">
        <v>17591</v>
      </c>
      <c r="SPT2" t="s">
        <v>17592</v>
      </c>
      <c r="SPU2" t="s">
        <v>17593</v>
      </c>
      <c r="SPV2" t="s">
        <v>17594</v>
      </c>
      <c r="SPW2" t="s">
        <v>17595</v>
      </c>
      <c r="SPX2" t="s">
        <v>17596</v>
      </c>
      <c r="SPY2" t="s">
        <v>17597</v>
      </c>
      <c r="SPZ2" t="s">
        <v>17598</v>
      </c>
      <c r="SQA2" t="s">
        <v>17599</v>
      </c>
      <c r="SQB2" t="s">
        <v>17600</v>
      </c>
      <c r="SQC2" t="s">
        <v>17601</v>
      </c>
      <c r="SQD2" t="s">
        <v>17602</v>
      </c>
      <c r="SQE2" t="s">
        <v>17603</v>
      </c>
      <c r="SQF2" t="s">
        <v>17604</v>
      </c>
      <c r="SQG2" t="s">
        <v>17605</v>
      </c>
      <c r="SQH2" t="s">
        <v>17606</v>
      </c>
      <c r="SQI2" t="s">
        <v>17607</v>
      </c>
      <c r="SQJ2" t="s">
        <v>17608</v>
      </c>
      <c r="SQK2" t="s">
        <v>17609</v>
      </c>
      <c r="SQL2" t="s">
        <v>17610</v>
      </c>
      <c r="SQM2" t="s">
        <v>17611</v>
      </c>
      <c r="SQN2" t="s">
        <v>17612</v>
      </c>
      <c r="SQO2" t="s">
        <v>17613</v>
      </c>
      <c r="SQP2" t="s">
        <v>17614</v>
      </c>
      <c r="SQQ2" t="s">
        <v>17615</v>
      </c>
      <c r="SQR2" t="s">
        <v>17616</v>
      </c>
      <c r="SQS2" t="s">
        <v>17617</v>
      </c>
      <c r="SQT2" t="s">
        <v>17618</v>
      </c>
      <c r="SQU2" t="s">
        <v>17619</v>
      </c>
      <c r="SQV2" t="s">
        <v>17620</v>
      </c>
      <c r="SQW2" t="s">
        <v>17621</v>
      </c>
      <c r="SQX2" t="s">
        <v>17622</v>
      </c>
      <c r="SQY2" t="s">
        <v>17623</v>
      </c>
      <c r="SQZ2" t="s">
        <v>17624</v>
      </c>
      <c r="SRA2" t="s">
        <v>17625</v>
      </c>
      <c r="SRB2" t="s">
        <v>17626</v>
      </c>
      <c r="SRC2" t="s">
        <v>17627</v>
      </c>
      <c r="SRD2" t="s">
        <v>17628</v>
      </c>
      <c r="SRE2" t="s">
        <v>17629</v>
      </c>
      <c r="SRF2" t="s">
        <v>17630</v>
      </c>
      <c r="SRG2" t="s">
        <v>17631</v>
      </c>
      <c r="SRH2" t="s">
        <v>17632</v>
      </c>
      <c r="SRI2" t="s">
        <v>17633</v>
      </c>
      <c r="SRJ2" t="s">
        <v>17634</v>
      </c>
      <c r="SRK2" t="s">
        <v>17635</v>
      </c>
      <c r="SRL2" t="s">
        <v>17636</v>
      </c>
      <c r="SRM2" t="s">
        <v>17637</v>
      </c>
      <c r="SRN2" t="s">
        <v>17638</v>
      </c>
      <c r="SRO2" t="s">
        <v>17639</v>
      </c>
      <c r="SRP2" t="s">
        <v>17640</v>
      </c>
      <c r="SRQ2" t="s">
        <v>17641</v>
      </c>
      <c r="SRR2" t="s">
        <v>17642</v>
      </c>
      <c r="SRS2" t="s">
        <v>17643</v>
      </c>
      <c r="SRT2" t="s">
        <v>17644</v>
      </c>
      <c r="SRU2" t="s">
        <v>17645</v>
      </c>
      <c r="SRV2" t="s">
        <v>17646</v>
      </c>
      <c r="SRW2" t="s">
        <v>17647</v>
      </c>
      <c r="SRX2" t="s">
        <v>17648</v>
      </c>
      <c r="SRY2" t="s">
        <v>17649</v>
      </c>
      <c r="SRZ2" t="s">
        <v>17650</v>
      </c>
      <c r="SSA2" t="s">
        <v>17651</v>
      </c>
      <c r="SSB2" t="s">
        <v>17652</v>
      </c>
      <c r="SSC2" t="s">
        <v>17653</v>
      </c>
      <c r="SSD2" t="s">
        <v>17654</v>
      </c>
      <c r="SSE2" t="s">
        <v>17655</v>
      </c>
      <c r="SSF2" t="s">
        <v>17656</v>
      </c>
      <c r="SSG2" t="s">
        <v>17657</v>
      </c>
      <c r="SSH2" t="s">
        <v>17658</v>
      </c>
      <c r="SSI2" t="s">
        <v>17659</v>
      </c>
      <c r="SSJ2" t="s">
        <v>17660</v>
      </c>
      <c r="SSK2" t="s">
        <v>17661</v>
      </c>
      <c r="SSL2" t="s">
        <v>17662</v>
      </c>
      <c r="SSM2" t="s">
        <v>17663</v>
      </c>
      <c r="SSN2" t="s">
        <v>17664</v>
      </c>
      <c r="SSO2" t="s">
        <v>17665</v>
      </c>
      <c r="SSP2" t="s">
        <v>17666</v>
      </c>
      <c r="SSQ2" t="s">
        <v>17667</v>
      </c>
      <c r="SSR2" t="s">
        <v>17668</v>
      </c>
      <c r="SSS2" t="s">
        <v>17669</v>
      </c>
      <c r="SST2" t="s">
        <v>17670</v>
      </c>
      <c r="SSU2" t="s">
        <v>17671</v>
      </c>
      <c r="SSV2" t="s">
        <v>17672</v>
      </c>
      <c r="SSW2" t="s">
        <v>17673</v>
      </c>
      <c r="SSX2" t="s">
        <v>17674</v>
      </c>
      <c r="SSY2" t="s">
        <v>17675</v>
      </c>
      <c r="SSZ2" t="s">
        <v>17676</v>
      </c>
      <c r="STA2" t="s">
        <v>17677</v>
      </c>
      <c r="STB2" t="s">
        <v>17678</v>
      </c>
      <c r="STC2" t="s">
        <v>17679</v>
      </c>
      <c r="STD2" t="s">
        <v>17680</v>
      </c>
      <c r="STE2" t="s">
        <v>17681</v>
      </c>
      <c r="STF2" t="s">
        <v>17682</v>
      </c>
      <c r="STG2" t="s">
        <v>17683</v>
      </c>
      <c r="STH2" t="s">
        <v>17684</v>
      </c>
      <c r="STI2" t="s">
        <v>17685</v>
      </c>
      <c r="STJ2" t="s">
        <v>17686</v>
      </c>
      <c r="STK2" t="s">
        <v>17687</v>
      </c>
      <c r="STL2" t="s">
        <v>17688</v>
      </c>
      <c r="STM2" t="s">
        <v>17689</v>
      </c>
      <c r="STN2" t="s">
        <v>17690</v>
      </c>
      <c r="STO2" t="s">
        <v>17691</v>
      </c>
      <c r="STP2" t="s">
        <v>17692</v>
      </c>
      <c r="STQ2" t="s">
        <v>17693</v>
      </c>
      <c r="STR2" t="s">
        <v>17694</v>
      </c>
      <c r="STS2" t="s">
        <v>17695</v>
      </c>
      <c r="STT2" t="s">
        <v>17696</v>
      </c>
      <c r="STU2" t="s">
        <v>17697</v>
      </c>
      <c r="STV2" t="s">
        <v>17698</v>
      </c>
      <c r="STW2" t="s">
        <v>17699</v>
      </c>
      <c r="STX2" t="s">
        <v>17700</v>
      </c>
      <c r="STY2" t="s">
        <v>17701</v>
      </c>
      <c r="STZ2" t="s">
        <v>17702</v>
      </c>
      <c r="SUA2" t="s">
        <v>17703</v>
      </c>
      <c r="SUB2" t="s">
        <v>17704</v>
      </c>
      <c r="SUC2" t="s">
        <v>17705</v>
      </c>
      <c r="SUD2" t="s">
        <v>17706</v>
      </c>
      <c r="SUE2" t="s">
        <v>17707</v>
      </c>
      <c r="SUF2" t="s">
        <v>17708</v>
      </c>
      <c r="SUG2" t="s">
        <v>17709</v>
      </c>
      <c r="SUH2" t="s">
        <v>17710</v>
      </c>
      <c r="SUI2" t="s">
        <v>17711</v>
      </c>
      <c r="SUJ2" t="s">
        <v>17712</v>
      </c>
      <c r="SUK2" t="s">
        <v>17713</v>
      </c>
      <c r="SUL2" t="s">
        <v>17714</v>
      </c>
      <c r="SUM2" t="s">
        <v>17715</v>
      </c>
      <c r="SUN2" t="s">
        <v>17716</v>
      </c>
      <c r="SUO2" t="s">
        <v>17717</v>
      </c>
      <c r="SUP2" t="s">
        <v>17718</v>
      </c>
      <c r="SUQ2" t="s">
        <v>17719</v>
      </c>
      <c r="SUR2" t="s">
        <v>17720</v>
      </c>
      <c r="SUS2" t="s">
        <v>17721</v>
      </c>
      <c r="SUT2" t="s">
        <v>17722</v>
      </c>
      <c r="SUU2" t="s">
        <v>17723</v>
      </c>
      <c r="SUV2" t="s">
        <v>17724</v>
      </c>
      <c r="SUW2" t="s">
        <v>17725</v>
      </c>
      <c r="SUX2" t="s">
        <v>17726</v>
      </c>
      <c r="SUY2" t="s">
        <v>17727</v>
      </c>
      <c r="SUZ2" t="s">
        <v>17728</v>
      </c>
      <c r="SVA2" t="s">
        <v>17729</v>
      </c>
      <c r="SVB2" t="s">
        <v>17730</v>
      </c>
      <c r="SVC2" t="s">
        <v>17731</v>
      </c>
      <c r="SVD2" t="s">
        <v>17732</v>
      </c>
      <c r="SVE2" t="s">
        <v>17733</v>
      </c>
      <c r="SVF2" t="s">
        <v>17734</v>
      </c>
      <c r="SVG2" t="s">
        <v>17735</v>
      </c>
      <c r="SVH2" t="s">
        <v>17736</v>
      </c>
      <c r="SVI2" t="s">
        <v>17737</v>
      </c>
      <c r="SVJ2" t="s">
        <v>17738</v>
      </c>
      <c r="SVK2" t="s">
        <v>17739</v>
      </c>
      <c r="SVL2" t="s">
        <v>17740</v>
      </c>
      <c r="SVM2" t="s">
        <v>17741</v>
      </c>
      <c r="SVN2" t="s">
        <v>17742</v>
      </c>
      <c r="SVO2" t="s">
        <v>17743</v>
      </c>
      <c r="SVP2" t="s">
        <v>17744</v>
      </c>
      <c r="SVQ2" t="s">
        <v>17745</v>
      </c>
      <c r="SVR2" t="s">
        <v>17746</v>
      </c>
      <c r="SVS2" t="s">
        <v>17747</v>
      </c>
      <c r="SVT2" t="s">
        <v>17748</v>
      </c>
      <c r="SVU2" t="s">
        <v>17749</v>
      </c>
      <c r="SVV2" t="s">
        <v>17750</v>
      </c>
      <c r="SVW2" t="s">
        <v>17751</v>
      </c>
      <c r="SVX2" t="s">
        <v>17752</v>
      </c>
      <c r="SVY2" t="s">
        <v>17753</v>
      </c>
      <c r="SVZ2" t="s">
        <v>17754</v>
      </c>
      <c r="SWA2" t="s">
        <v>17755</v>
      </c>
      <c r="SWB2" t="s">
        <v>17756</v>
      </c>
      <c r="SWC2" t="s">
        <v>17757</v>
      </c>
      <c r="SWD2" t="s">
        <v>17758</v>
      </c>
      <c r="SWE2" t="s">
        <v>17759</v>
      </c>
      <c r="SWF2" t="s">
        <v>17760</v>
      </c>
      <c r="SWG2" t="s">
        <v>17761</v>
      </c>
      <c r="SWH2" t="s">
        <v>17762</v>
      </c>
      <c r="SWI2" t="s">
        <v>17763</v>
      </c>
      <c r="SWJ2" t="s">
        <v>17764</v>
      </c>
      <c r="SWK2" t="s">
        <v>17765</v>
      </c>
      <c r="SWL2" t="s">
        <v>17766</v>
      </c>
      <c r="SWM2" t="s">
        <v>17767</v>
      </c>
      <c r="SWN2" t="s">
        <v>17768</v>
      </c>
      <c r="SWO2" t="s">
        <v>17769</v>
      </c>
      <c r="SWP2" t="s">
        <v>17770</v>
      </c>
      <c r="SWQ2" t="s">
        <v>17771</v>
      </c>
      <c r="SWR2" t="s">
        <v>17772</v>
      </c>
      <c r="SWS2" t="s">
        <v>17773</v>
      </c>
      <c r="SWT2" t="s">
        <v>17774</v>
      </c>
      <c r="SWU2" t="s">
        <v>17775</v>
      </c>
      <c r="SWV2" t="s">
        <v>17776</v>
      </c>
      <c r="SWW2" t="s">
        <v>17777</v>
      </c>
      <c r="SWX2" t="s">
        <v>17778</v>
      </c>
      <c r="SWY2" t="s">
        <v>17779</v>
      </c>
      <c r="SWZ2" t="s">
        <v>17780</v>
      </c>
      <c r="SXA2" t="s">
        <v>17781</v>
      </c>
      <c r="SXB2" t="s">
        <v>17782</v>
      </c>
      <c r="SXC2" t="s">
        <v>17783</v>
      </c>
      <c r="SXD2" t="s">
        <v>17784</v>
      </c>
      <c r="SXE2" t="s">
        <v>17785</v>
      </c>
      <c r="SXF2" t="s">
        <v>17786</v>
      </c>
      <c r="SXG2" t="s">
        <v>17787</v>
      </c>
      <c r="SXH2" t="s">
        <v>17788</v>
      </c>
      <c r="SXI2" t="s">
        <v>17789</v>
      </c>
      <c r="SXJ2" t="s">
        <v>17790</v>
      </c>
      <c r="SXK2" t="s">
        <v>17791</v>
      </c>
      <c r="SXL2" t="s">
        <v>17792</v>
      </c>
      <c r="SXM2" t="s">
        <v>17793</v>
      </c>
      <c r="SXN2" t="s">
        <v>17794</v>
      </c>
      <c r="SXO2" t="s">
        <v>17795</v>
      </c>
      <c r="SXP2" t="s">
        <v>17796</v>
      </c>
      <c r="SXQ2" t="s">
        <v>17797</v>
      </c>
      <c r="SXR2" t="s">
        <v>17798</v>
      </c>
      <c r="SXS2" t="s">
        <v>17799</v>
      </c>
      <c r="SXT2" t="s">
        <v>17800</v>
      </c>
      <c r="SXU2" t="s">
        <v>17801</v>
      </c>
      <c r="SXV2" t="s">
        <v>17802</v>
      </c>
      <c r="SXW2" t="s">
        <v>17803</v>
      </c>
      <c r="SXX2" t="s">
        <v>17804</v>
      </c>
      <c r="SXY2" t="s">
        <v>17805</v>
      </c>
      <c r="SXZ2" t="s">
        <v>17806</v>
      </c>
      <c r="SYA2" t="s">
        <v>17807</v>
      </c>
      <c r="SYB2" t="s">
        <v>17808</v>
      </c>
      <c r="SYC2" t="s">
        <v>17809</v>
      </c>
      <c r="SYD2" t="s">
        <v>17810</v>
      </c>
      <c r="SYE2" t="s">
        <v>17811</v>
      </c>
      <c r="SYF2" t="s">
        <v>17812</v>
      </c>
      <c r="SYG2" t="s">
        <v>17813</v>
      </c>
      <c r="SYH2" t="s">
        <v>17814</v>
      </c>
      <c r="SYI2" t="s">
        <v>17815</v>
      </c>
      <c r="SYJ2" t="s">
        <v>17816</v>
      </c>
      <c r="SYK2" t="s">
        <v>17817</v>
      </c>
      <c r="SYL2" t="s">
        <v>17818</v>
      </c>
      <c r="SYM2" t="s">
        <v>17819</v>
      </c>
      <c r="SYN2" t="s">
        <v>17820</v>
      </c>
      <c r="SYO2" t="s">
        <v>17821</v>
      </c>
      <c r="SYP2" t="s">
        <v>17822</v>
      </c>
      <c r="SYQ2" t="s">
        <v>17823</v>
      </c>
      <c r="SYR2" t="s">
        <v>17824</v>
      </c>
      <c r="SYS2" t="s">
        <v>17825</v>
      </c>
      <c r="SYT2" t="s">
        <v>17826</v>
      </c>
      <c r="SYU2" t="s">
        <v>17827</v>
      </c>
      <c r="SYV2" t="s">
        <v>17828</v>
      </c>
      <c r="SYW2" t="s">
        <v>17829</v>
      </c>
      <c r="SYX2" t="s">
        <v>17830</v>
      </c>
      <c r="SYY2" t="s">
        <v>17831</v>
      </c>
      <c r="SYZ2" t="s">
        <v>17832</v>
      </c>
      <c r="SZA2" t="s">
        <v>17833</v>
      </c>
      <c r="SZB2" t="s">
        <v>17834</v>
      </c>
      <c r="SZC2" t="s">
        <v>17835</v>
      </c>
      <c r="SZD2" t="s">
        <v>17836</v>
      </c>
      <c r="SZE2" t="s">
        <v>17837</v>
      </c>
      <c r="SZF2" t="s">
        <v>17838</v>
      </c>
      <c r="SZG2" t="s">
        <v>17839</v>
      </c>
      <c r="SZH2" t="s">
        <v>17840</v>
      </c>
      <c r="SZI2" t="s">
        <v>17841</v>
      </c>
      <c r="SZJ2" t="s">
        <v>17842</v>
      </c>
      <c r="SZK2" t="s">
        <v>17843</v>
      </c>
      <c r="SZL2" t="s">
        <v>17844</v>
      </c>
      <c r="SZM2" t="s">
        <v>17845</v>
      </c>
      <c r="SZN2" t="s">
        <v>17846</v>
      </c>
      <c r="SZO2" t="s">
        <v>17847</v>
      </c>
      <c r="SZP2" t="s">
        <v>17848</v>
      </c>
      <c r="SZQ2" t="s">
        <v>17849</v>
      </c>
      <c r="SZR2" t="s">
        <v>17850</v>
      </c>
      <c r="SZS2" t="s">
        <v>17851</v>
      </c>
      <c r="SZT2" t="s">
        <v>17852</v>
      </c>
      <c r="SZU2" t="s">
        <v>17853</v>
      </c>
      <c r="SZV2" t="s">
        <v>17854</v>
      </c>
      <c r="SZW2" t="s">
        <v>17855</v>
      </c>
      <c r="SZX2" t="s">
        <v>17856</v>
      </c>
      <c r="SZY2" t="s">
        <v>17857</v>
      </c>
      <c r="SZZ2" t="s">
        <v>17858</v>
      </c>
      <c r="TAA2" t="s">
        <v>17859</v>
      </c>
      <c r="TAB2" t="s">
        <v>17860</v>
      </c>
      <c r="TAC2" t="s">
        <v>17861</v>
      </c>
      <c r="TAD2" t="s">
        <v>17862</v>
      </c>
      <c r="TAE2" t="s">
        <v>17863</v>
      </c>
      <c r="TAF2" t="s">
        <v>17864</v>
      </c>
      <c r="TAG2" t="s">
        <v>17865</v>
      </c>
      <c r="TAH2" t="s">
        <v>17866</v>
      </c>
      <c r="TAI2" t="s">
        <v>17867</v>
      </c>
      <c r="TAJ2" t="s">
        <v>17868</v>
      </c>
      <c r="TAK2" t="s">
        <v>17869</v>
      </c>
      <c r="TAL2" t="s">
        <v>17870</v>
      </c>
      <c r="TAM2" t="s">
        <v>17871</v>
      </c>
      <c r="TAN2" t="s">
        <v>17872</v>
      </c>
      <c r="TAO2" t="s">
        <v>17873</v>
      </c>
      <c r="TAP2" t="s">
        <v>17874</v>
      </c>
      <c r="TAQ2" t="s">
        <v>17875</v>
      </c>
      <c r="TAR2" t="s">
        <v>17876</v>
      </c>
      <c r="TAS2" t="s">
        <v>17877</v>
      </c>
      <c r="TAT2" t="s">
        <v>17878</v>
      </c>
      <c r="TAU2" t="s">
        <v>17879</v>
      </c>
      <c r="TAV2" t="s">
        <v>17880</v>
      </c>
      <c r="TAW2" t="s">
        <v>17881</v>
      </c>
      <c r="TAX2" t="s">
        <v>17882</v>
      </c>
      <c r="TAY2" t="s">
        <v>17883</v>
      </c>
      <c r="TAZ2" t="s">
        <v>17884</v>
      </c>
      <c r="TBA2" t="s">
        <v>17885</v>
      </c>
      <c r="TBB2" t="s">
        <v>17886</v>
      </c>
      <c r="TBC2" t="s">
        <v>17887</v>
      </c>
      <c r="TBD2" t="s">
        <v>17888</v>
      </c>
      <c r="TBE2" t="s">
        <v>17889</v>
      </c>
      <c r="TBF2" t="s">
        <v>17890</v>
      </c>
      <c r="TBG2" t="s">
        <v>17891</v>
      </c>
      <c r="TBH2" t="s">
        <v>17892</v>
      </c>
      <c r="TBI2" t="s">
        <v>17893</v>
      </c>
      <c r="TBJ2" t="s">
        <v>17894</v>
      </c>
      <c r="TBK2" t="s">
        <v>17895</v>
      </c>
      <c r="TBL2" t="s">
        <v>17896</v>
      </c>
      <c r="TBM2" t="s">
        <v>17897</v>
      </c>
      <c r="TBN2" t="s">
        <v>17898</v>
      </c>
      <c r="TBO2" t="s">
        <v>17899</v>
      </c>
      <c r="TBP2" t="s">
        <v>17900</v>
      </c>
      <c r="TBQ2" t="s">
        <v>17901</v>
      </c>
      <c r="TBR2" t="s">
        <v>17902</v>
      </c>
      <c r="TBS2" t="s">
        <v>17903</v>
      </c>
      <c r="TBT2" t="s">
        <v>17904</v>
      </c>
      <c r="TBU2" t="s">
        <v>17905</v>
      </c>
      <c r="TBV2" t="s">
        <v>17906</v>
      </c>
      <c r="TBW2" t="s">
        <v>17907</v>
      </c>
      <c r="TBX2" t="s">
        <v>17908</v>
      </c>
      <c r="TBY2" t="s">
        <v>17909</v>
      </c>
      <c r="TBZ2" t="s">
        <v>17910</v>
      </c>
      <c r="TCA2" t="s">
        <v>17911</v>
      </c>
      <c r="TCB2" t="s">
        <v>17912</v>
      </c>
      <c r="TCC2" t="s">
        <v>17913</v>
      </c>
      <c r="TCD2" t="s">
        <v>17914</v>
      </c>
      <c r="TCE2" t="s">
        <v>17915</v>
      </c>
      <c r="TCF2" t="s">
        <v>17916</v>
      </c>
      <c r="TCG2" t="s">
        <v>17917</v>
      </c>
      <c r="TCH2" t="s">
        <v>17918</v>
      </c>
      <c r="TCI2" t="s">
        <v>17919</v>
      </c>
      <c r="TCJ2" t="s">
        <v>17920</v>
      </c>
      <c r="TCK2" t="s">
        <v>17921</v>
      </c>
      <c r="TCL2" t="s">
        <v>17922</v>
      </c>
      <c r="TCM2" t="s">
        <v>17923</v>
      </c>
      <c r="TCN2" t="s">
        <v>17924</v>
      </c>
      <c r="TCO2" t="s">
        <v>17925</v>
      </c>
      <c r="TCP2" t="s">
        <v>17926</v>
      </c>
      <c r="TCQ2" t="s">
        <v>17927</v>
      </c>
      <c r="TCR2" t="s">
        <v>17928</v>
      </c>
      <c r="TCS2" t="s">
        <v>17929</v>
      </c>
      <c r="TCT2" t="s">
        <v>17930</v>
      </c>
      <c r="TCU2" t="s">
        <v>17931</v>
      </c>
      <c r="TCV2" t="s">
        <v>17932</v>
      </c>
      <c r="TCW2" t="s">
        <v>17933</v>
      </c>
      <c r="TCX2" t="s">
        <v>17934</v>
      </c>
      <c r="TCY2" t="s">
        <v>17935</v>
      </c>
      <c r="TCZ2" t="s">
        <v>17936</v>
      </c>
      <c r="TDA2" t="s">
        <v>17937</v>
      </c>
      <c r="TDB2" t="s">
        <v>17938</v>
      </c>
      <c r="TDC2" t="s">
        <v>17939</v>
      </c>
      <c r="TDD2" t="s">
        <v>17940</v>
      </c>
      <c r="TDE2" t="s">
        <v>17941</v>
      </c>
      <c r="TDF2" t="s">
        <v>17942</v>
      </c>
      <c r="TDG2" t="s">
        <v>17943</v>
      </c>
      <c r="TDH2" t="s">
        <v>17944</v>
      </c>
      <c r="TDI2" t="s">
        <v>17945</v>
      </c>
      <c r="TDJ2" t="s">
        <v>17946</v>
      </c>
      <c r="TDK2" t="s">
        <v>17947</v>
      </c>
      <c r="TDL2" t="s">
        <v>17948</v>
      </c>
      <c r="TDM2" t="s">
        <v>17949</v>
      </c>
      <c r="TDN2" t="s">
        <v>17950</v>
      </c>
      <c r="TDO2" t="s">
        <v>17951</v>
      </c>
      <c r="TDP2" t="s">
        <v>17952</v>
      </c>
      <c r="TDQ2" t="s">
        <v>17953</v>
      </c>
      <c r="TDR2" t="s">
        <v>17954</v>
      </c>
      <c r="TDS2" t="s">
        <v>17955</v>
      </c>
      <c r="TDT2" t="s">
        <v>17956</v>
      </c>
      <c r="TDU2" t="s">
        <v>17957</v>
      </c>
      <c r="TDV2" t="s">
        <v>17958</v>
      </c>
      <c r="TDW2" t="s">
        <v>17959</v>
      </c>
      <c r="TDX2" t="s">
        <v>17960</v>
      </c>
      <c r="TDY2" t="s">
        <v>17961</v>
      </c>
      <c r="TDZ2" t="s">
        <v>17962</v>
      </c>
      <c r="TEA2" t="s">
        <v>17963</v>
      </c>
      <c r="TEB2" t="s">
        <v>17964</v>
      </c>
      <c r="TEC2" t="s">
        <v>17965</v>
      </c>
      <c r="TED2" t="s">
        <v>17966</v>
      </c>
      <c r="TEE2" t="s">
        <v>17967</v>
      </c>
      <c r="TEF2" t="s">
        <v>17968</v>
      </c>
      <c r="TEG2" t="s">
        <v>17969</v>
      </c>
      <c r="TEH2" t="s">
        <v>17970</v>
      </c>
      <c r="TEI2" t="s">
        <v>17971</v>
      </c>
      <c r="TEJ2" t="s">
        <v>17972</v>
      </c>
      <c r="TEK2" t="s">
        <v>17973</v>
      </c>
      <c r="TEL2" t="s">
        <v>17974</v>
      </c>
      <c r="TEM2" t="s">
        <v>17975</v>
      </c>
      <c r="TEN2" t="s">
        <v>17976</v>
      </c>
      <c r="TEO2" t="s">
        <v>17977</v>
      </c>
      <c r="TEP2" t="s">
        <v>17978</v>
      </c>
      <c r="TEQ2" t="s">
        <v>17979</v>
      </c>
      <c r="TER2" t="s">
        <v>17980</v>
      </c>
      <c r="TES2" t="s">
        <v>17981</v>
      </c>
      <c r="TET2" t="s">
        <v>17982</v>
      </c>
      <c r="TEU2" t="s">
        <v>17983</v>
      </c>
      <c r="TEV2" t="s">
        <v>17984</v>
      </c>
      <c r="TEW2" t="s">
        <v>17985</v>
      </c>
      <c r="TEX2" t="s">
        <v>17986</v>
      </c>
      <c r="TEY2" t="s">
        <v>17987</v>
      </c>
      <c r="TEZ2" t="s">
        <v>17988</v>
      </c>
      <c r="TFA2" t="s">
        <v>17989</v>
      </c>
      <c r="TFB2" t="s">
        <v>17990</v>
      </c>
      <c r="TFC2" t="s">
        <v>17991</v>
      </c>
      <c r="TFD2" t="s">
        <v>17992</v>
      </c>
      <c r="TFE2" t="s">
        <v>17993</v>
      </c>
      <c r="TFF2" t="s">
        <v>17994</v>
      </c>
      <c r="TFG2" t="s">
        <v>17995</v>
      </c>
      <c r="TFH2" t="s">
        <v>17996</v>
      </c>
      <c r="TFI2" t="s">
        <v>17997</v>
      </c>
      <c r="TFJ2" t="s">
        <v>17998</v>
      </c>
      <c r="TFK2" t="s">
        <v>17999</v>
      </c>
      <c r="TFL2" t="s">
        <v>18000</v>
      </c>
      <c r="TFM2" t="s">
        <v>18001</v>
      </c>
      <c r="TFN2" t="s">
        <v>18002</v>
      </c>
      <c r="TFO2" t="s">
        <v>18003</v>
      </c>
      <c r="TFP2" t="s">
        <v>18004</v>
      </c>
      <c r="TFQ2" t="s">
        <v>18005</v>
      </c>
      <c r="TFR2" t="s">
        <v>18006</v>
      </c>
      <c r="TFS2" t="s">
        <v>18007</v>
      </c>
      <c r="TFT2" t="s">
        <v>18008</v>
      </c>
      <c r="TFU2" t="s">
        <v>18009</v>
      </c>
      <c r="TFV2" t="s">
        <v>18010</v>
      </c>
      <c r="TFW2" t="s">
        <v>18011</v>
      </c>
      <c r="TFX2" t="s">
        <v>18012</v>
      </c>
      <c r="TFY2" t="s">
        <v>18013</v>
      </c>
      <c r="TFZ2" t="s">
        <v>18014</v>
      </c>
      <c r="TGA2" t="s">
        <v>18015</v>
      </c>
      <c r="TGB2" t="s">
        <v>18016</v>
      </c>
      <c r="TGC2" t="s">
        <v>18017</v>
      </c>
      <c r="TGD2" t="s">
        <v>18018</v>
      </c>
      <c r="TGE2" t="s">
        <v>18019</v>
      </c>
      <c r="TGF2" t="s">
        <v>18020</v>
      </c>
      <c r="TGG2" t="s">
        <v>18021</v>
      </c>
      <c r="TGH2" t="s">
        <v>18022</v>
      </c>
      <c r="TGI2" t="s">
        <v>18023</v>
      </c>
      <c r="TGJ2" t="s">
        <v>18024</v>
      </c>
      <c r="TGK2" t="s">
        <v>18025</v>
      </c>
      <c r="TGL2" t="s">
        <v>18026</v>
      </c>
      <c r="TGM2" t="s">
        <v>18027</v>
      </c>
      <c r="TGN2" t="s">
        <v>18028</v>
      </c>
      <c r="TGO2" t="s">
        <v>18029</v>
      </c>
      <c r="TGP2" t="s">
        <v>18030</v>
      </c>
      <c r="TGQ2" t="s">
        <v>18031</v>
      </c>
      <c r="TGR2" t="s">
        <v>18032</v>
      </c>
      <c r="TGS2" t="s">
        <v>18033</v>
      </c>
      <c r="TGT2" t="s">
        <v>18034</v>
      </c>
      <c r="TGU2" t="s">
        <v>18035</v>
      </c>
      <c r="TGV2" t="s">
        <v>18036</v>
      </c>
      <c r="TGW2" t="s">
        <v>18037</v>
      </c>
      <c r="TGX2" t="s">
        <v>18038</v>
      </c>
      <c r="TGY2" t="s">
        <v>18039</v>
      </c>
      <c r="TGZ2" t="s">
        <v>18040</v>
      </c>
      <c r="THA2" t="s">
        <v>18041</v>
      </c>
      <c r="THB2" t="s">
        <v>18042</v>
      </c>
      <c r="THC2" t="s">
        <v>18043</v>
      </c>
      <c r="THD2" t="s">
        <v>18044</v>
      </c>
      <c r="THE2" t="s">
        <v>18045</v>
      </c>
      <c r="THF2" t="s">
        <v>18046</v>
      </c>
      <c r="THG2" t="s">
        <v>18047</v>
      </c>
      <c r="THH2" t="s">
        <v>18048</v>
      </c>
      <c r="THI2" t="s">
        <v>18049</v>
      </c>
      <c r="THJ2" t="s">
        <v>18050</v>
      </c>
      <c r="THK2" t="s">
        <v>18051</v>
      </c>
      <c r="THL2" t="s">
        <v>18052</v>
      </c>
      <c r="THM2" t="s">
        <v>18053</v>
      </c>
      <c r="THN2" t="s">
        <v>18054</v>
      </c>
      <c r="THO2" t="s">
        <v>18055</v>
      </c>
      <c r="THP2" t="s">
        <v>18056</v>
      </c>
      <c r="THQ2" t="s">
        <v>18057</v>
      </c>
      <c r="THR2" t="s">
        <v>18058</v>
      </c>
      <c r="THS2" t="s">
        <v>18059</v>
      </c>
      <c r="THT2" t="s">
        <v>18060</v>
      </c>
      <c r="THU2" t="s">
        <v>18061</v>
      </c>
      <c r="THV2" t="s">
        <v>18062</v>
      </c>
      <c r="THW2" t="s">
        <v>18063</v>
      </c>
      <c r="THX2" t="s">
        <v>18064</v>
      </c>
      <c r="THY2" t="s">
        <v>18065</v>
      </c>
      <c r="THZ2" t="s">
        <v>18066</v>
      </c>
      <c r="TIA2" t="s">
        <v>18067</v>
      </c>
      <c r="TIB2" t="s">
        <v>18068</v>
      </c>
      <c r="TIC2" t="s">
        <v>18069</v>
      </c>
      <c r="TID2" t="s">
        <v>18070</v>
      </c>
      <c r="TIE2" t="s">
        <v>18071</v>
      </c>
      <c r="TIF2" t="s">
        <v>18072</v>
      </c>
      <c r="TIG2" t="s">
        <v>18073</v>
      </c>
      <c r="TIH2" t="s">
        <v>18074</v>
      </c>
      <c r="TII2" t="s">
        <v>18075</v>
      </c>
      <c r="TIJ2" t="s">
        <v>18076</v>
      </c>
      <c r="TIK2" t="s">
        <v>18077</v>
      </c>
      <c r="TIL2" t="s">
        <v>18078</v>
      </c>
      <c r="TIM2" t="s">
        <v>18079</v>
      </c>
      <c r="TIN2" t="s">
        <v>18080</v>
      </c>
      <c r="TIO2" t="s">
        <v>18081</v>
      </c>
      <c r="TIP2" t="s">
        <v>18082</v>
      </c>
      <c r="TIQ2" t="s">
        <v>18083</v>
      </c>
      <c r="TIR2" t="s">
        <v>18084</v>
      </c>
      <c r="TIS2" t="s">
        <v>18085</v>
      </c>
      <c r="TIT2" t="s">
        <v>18086</v>
      </c>
      <c r="TIU2" t="s">
        <v>18087</v>
      </c>
      <c r="TIV2" t="s">
        <v>18088</v>
      </c>
      <c r="TIW2" t="s">
        <v>18089</v>
      </c>
      <c r="TIX2" t="s">
        <v>18090</v>
      </c>
      <c r="TIY2" t="s">
        <v>18091</v>
      </c>
      <c r="TIZ2" t="s">
        <v>18092</v>
      </c>
      <c r="TJA2" t="s">
        <v>18093</v>
      </c>
      <c r="TJB2" t="s">
        <v>18094</v>
      </c>
      <c r="TJC2" t="s">
        <v>18095</v>
      </c>
      <c r="TJD2" t="s">
        <v>18096</v>
      </c>
      <c r="TJE2" t="s">
        <v>18097</v>
      </c>
      <c r="TJF2" t="s">
        <v>18098</v>
      </c>
      <c r="TJG2" t="s">
        <v>18099</v>
      </c>
      <c r="TJH2" t="s">
        <v>18100</v>
      </c>
      <c r="TJI2" t="s">
        <v>18101</v>
      </c>
      <c r="TJJ2" t="s">
        <v>18102</v>
      </c>
      <c r="TJK2" t="s">
        <v>18103</v>
      </c>
      <c r="TJL2" t="s">
        <v>18104</v>
      </c>
      <c r="TJM2" t="s">
        <v>18105</v>
      </c>
      <c r="TJN2" t="s">
        <v>18106</v>
      </c>
      <c r="TJO2" t="s">
        <v>18107</v>
      </c>
      <c r="TJP2" t="s">
        <v>18108</v>
      </c>
      <c r="TJQ2" t="s">
        <v>18109</v>
      </c>
      <c r="TJR2" t="s">
        <v>18110</v>
      </c>
      <c r="TJS2" t="s">
        <v>18111</v>
      </c>
      <c r="TJT2" t="s">
        <v>18112</v>
      </c>
      <c r="TJU2" t="s">
        <v>18113</v>
      </c>
      <c r="TJV2" t="s">
        <v>18114</v>
      </c>
      <c r="TJW2" t="s">
        <v>18115</v>
      </c>
      <c r="TJX2" t="s">
        <v>18116</v>
      </c>
      <c r="TJY2" t="s">
        <v>18117</v>
      </c>
      <c r="TJZ2" t="s">
        <v>18118</v>
      </c>
      <c r="TKA2" t="s">
        <v>18119</v>
      </c>
      <c r="TKB2" t="s">
        <v>18120</v>
      </c>
      <c r="TKC2" t="s">
        <v>18121</v>
      </c>
      <c r="TKD2" t="s">
        <v>18122</v>
      </c>
      <c r="TKE2" t="s">
        <v>18123</v>
      </c>
      <c r="TKF2" t="s">
        <v>18124</v>
      </c>
      <c r="TKG2" t="s">
        <v>18125</v>
      </c>
      <c r="TKH2" t="s">
        <v>18126</v>
      </c>
      <c r="TKI2" t="s">
        <v>18127</v>
      </c>
      <c r="TKJ2" t="s">
        <v>18128</v>
      </c>
      <c r="TKK2" t="s">
        <v>18129</v>
      </c>
      <c r="TKL2" t="s">
        <v>18130</v>
      </c>
      <c r="TKM2" t="s">
        <v>18131</v>
      </c>
      <c r="TKN2" t="s">
        <v>18132</v>
      </c>
      <c r="TKO2" t="s">
        <v>18133</v>
      </c>
      <c r="TKP2" t="s">
        <v>18134</v>
      </c>
      <c r="TKQ2" t="s">
        <v>18135</v>
      </c>
      <c r="TKR2" t="s">
        <v>18136</v>
      </c>
      <c r="TKS2" t="s">
        <v>18137</v>
      </c>
      <c r="TKT2" t="s">
        <v>18138</v>
      </c>
      <c r="TKU2" t="s">
        <v>18139</v>
      </c>
      <c r="TKV2" t="s">
        <v>18140</v>
      </c>
      <c r="TKW2" t="s">
        <v>18141</v>
      </c>
      <c r="TKX2" t="s">
        <v>18142</v>
      </c>
      <c r="TKY2" t="s">
        <v>18143</v>
      </c>
      <c r="TKZ2" t="s">
        <v>18144</v>
      </c>
      <c r="TLA2" t="s">
        <v>18145</v>
      </c>
      <c r="TLB2" t="s">
        <v>18146</v>
      </c>
      <c r="TLC2" t="s">
        <v>18147</v>
      </c>
      <c r="TLD2" t="s">
        <v>18148</v>
      </c>
      <c r="TLE2" t="s">
        <v>18149</v>
      </c>
      <c r="TLF2" t="s">
        <v>18150</v>
      </c>
      <c r="TLG2" t="s">
        <v>18151</v>
      </c>
      <c r="TLH2" t="s">
        <v>18152</v>
      </c>
      <c r="TLI2" t="s">
        <v>18153</v>
      </c>
      <c r="TLJ2" t="s">
        <v>18154</v>
      </c>
      <c r="TLK2" t="s">
        <v>18155</v>
      </c>
      <c r="TLL2" t="s">
        <v>18156</v>
      </c>
      <c r="TLM2" t="s">
        <v>18157</v>
      </c>
      <c r="TLN2" t="s">
        <v>18158</v>
      </c>
      <c r="TLO2" t="s">
        <v>18159</v>
      </c>
      <c r="TLP2" t="s">
        <v>18160</v>
      </c>
      <c r="TLQ2" t="s">
        <v>18161</v>
      </c>
      <c r="TLR2" t="s">
        <v>18162</v>
      </c>
      <c r="TLS2" t="s">
        <v>18163</v>
      </c>
      <c r="TLT2" t="s">
        <v>18164</v>
      </c>
      <c r="TLU2" t="s">
        <v>18165</v>
      </c>
      <c r="TLV2" t="s">
        <v>18166</v>
      </c>
      <c r="TLW2" t="s">
        <v>18167</v>
      </c>
      <c r="TLX2" t="s">
        <v>18168</v>
      </c>
      <c r="TLY2" t="s">
        <v>18169</v>
      </c>
      <c r="TLZ2" t="s">
        <v>18170</v>
      </c>
      <c r="TMA2" t="s">
        <v>18171</v>
      </c>
      <c r="TMB2" t="s">
        <v>18172</v>
      </c>
      <c r="TMC2" t="s">
        <v>18173</v>
      </c>
      <c r="TMD2" t="s">
        <v>18174</v>
      </c>
      <c r="TME2" t="s">
        <v>18175</v>
      </c>
      <c r="TMF2" t="s">
        <v>18176</v>
      </c>
      <c r="TMG2" t="s">
        <v>18177</v>
      </c>
      <c r="TMH2" t="s">
        <v>18178</v>
      </c>
      <c r="TMI2" t="s">
        <v>18179</v>
      </c>
      <c r="TMJ2" t="s">
        <v>18180</v>
      </c>
      <c r="TMK2" t="s">
        <v>18181</v>
      </c>
      <c r="TML2" t="s">
        <v>18182</v>
      </c>
      <c r="TMM2" t="s">
        <v>18183</v>
      </c>
      <c r="TMN2" t="s">
        <v>18184</v>
      </c>
      <c r="TMO2" t="s">
        <v>18185</v>
      </c>
      <c r="TMP2" t="s">
        <v>18186</v>
      </c>
      <c r="TMQ2" t="s">
        <v>18187</v>
      </c>
      <c r="TMR2" t="s">
        <v>18188</v>
      </c>
      <c r="TMS2" t="s">
        <v>18189</v>
      </c>
      <c r="TMT2" t="s">
        <v>18190</v>
      </c>
      <c r="TMU2" t="s">
        <v>18191</v>
      </c>
      <c r="TMV2" t="s">
        <v>18192</v>
      </c>
      <c r="TMW2" t="s">
        <v>18193</v>
      </c>
      <c r="TMX2" t="s">
        <v>18194</v>
      </c>
      <c r="TMY2" t="s">
        <v>18195</v>
      </c>
      <c r="TMZ2" t="s">
        <v>18196</v>
      </c>
      <c r="TNA2" t="s">
        <v>18197</v>
      </c>
      <c r="TNB2" t="s">
        <v>18198</v>
      </c>
      <c r="TNC2" t="s">
        <v>18199</v>
      </c>
      <c r="TND2" t="s">
        <v>18200</v>
      </c>
      <c r="TNE2" t="s">
        <v>18201</v>
      </c>
      <c r="TNF2" t="s">
        <v>18202</v>
      </c>
      <c r="TNG2" t="s">
        <v>18203</v>
      </c>
      <c r="TNH2" t="s">
        <v>18204</v>
      </c>
      <c r="TNI2" t="s">
        <v>18205</v>
      </c>
      <c r="TNJ2" t="s">
        <v>18206</v>
      </c>
      <c r="TNK2" t="s">
        <v>18207</v>
      </c>
      <c r="TNL2" t="s">
        <v>18208</v>
      </c>
      <c r="TNM2" t="s">
        <v>18209</v>
      </c>
      <c r="TNN2" t="s">
        <v>18210</v>
      </c>
      <c r="TNO2" t="s">
        <v>18211</v>
      </c>
      <c r="TNP2" t="s">
        <v>18212</v>
      </c>
      <c r="TNQ2" t="s">
        <v>18213</v>
      </c>
      <c r="TNR2" t="s">
        <v>18214</v>
      </c>
      <c r="TNS2" t="s">
        <v>18215</v>
      </c>
      <c r="TNT2" t="s">
        <v>18216</v>
      </c>
      <c r="TNU2" t="s">
        <v>18217</v>
      </c>
      <c r="TNV2" t="s">
        <v>18218</v>
      </c>
      <c r="TNW2" t="s">
        <v>18219</v>
      </c>
      <c r="TNX2" t="s">
        <v>18220</v>
      </c>
      <c r="TNY2" t="s">
        <v>18221</v>
      </c>
      <c r="TNZ2" t="s">
        <v>18222</v>
      </c>
      <c r="TOA2" t="s">
        <v>18223</v>
      </c>
      <c r="TOB2" t="s">
        <v>18224</v>
      </c>
      <c r="TOC2" t="s">
        <v>18225</v>
      </c>
      <c r="TOD2" t="s">
        <v>18226</v>
      </c>
      <c r="TOE2" t="s">
        <v>18227</v>
      </c>
      <c r="TOF2" t="s">
        <v>18228</v>
      </c>
      <c r="TOG2" t="s">
        <v>18229</v>
      </c>
      <c r="TOH2" t="s">
        <v>18230</v>
      </c>
      <c r="TOI2" t="s">
        <v>18231</v>
      </c>
      <c r="TOJ2" t="s">
        <v>18232</v>
      </c>
      <c r="TOK2" t="s">
        <v>18233</v>
      </c>
      <c r="TOL2" t="s">
        <v>18234</v>
      </c>
      <c r="TOM2" t="s">
        <v>18235</v>
      </c>
      <c r="TON2" t="s">
        <v>18236</v>
      </c>
      <c r="TOO2" t="s">
        <v>18237</v>
      </c>
      <c r="TOP2" t="s">
        <v>18238</v>
      </c>
      <c r="TOQ2" t="s">
        <v>18239</v>
      </c>
      <c r="TOR2" t="s">
        <v>18240</v>
      </c>
      <c r="TOS2" t="s">
        <v>18241</v>
      </c>
      <c r="TOT2" t="s">
        <v>18242</v>
      </c>
      <c r="TOU2" t="s">
        <v>18243</v>
      </c>
      <c r="TOV2" t="s">
        <v>18244</v>
      </c>
      <c r="TOW2" t="s">
        <v>18245</v>
      </c>
      <c r="TOX2" t="s">
        <v>18246</v>
      </c>
      <c r="TOY2" t="s">
        <v>18247</v>
      </c>
      <c r="TOZ2" t="s">
        <v>18248</v>
      </c>
      <c r="TPA2" t="s">
        <v>18249</v>
      </c>
      <c r="TPB2" t="s">
        <v>18250</v>
      </c>
      <c r="TPC2" t="s">
        <v>18251</v>
      </c>
      <c r="TPD2" t="s">
        <v>18252</v>
      </c>
      <c r="TPE2" t="s">
        <v>18253</v>
      </c>
      <c r="TPF2" t="s">
        <v>18254</v>
      </c>
      <c r="TPG2" t="s">
        <v>18255</v>
      </c>
      <c r="TPH2" t="s">
        <v>18256</v>
      </c>
      <c r="TPI2" t="s">
        <v>18257</v>
      </c>
      <c r="TPJ2" t="s">
        <v>18258</v>
      </c>
      <c r="TPK2" t="s">
        <v>18259</v>
      </c>
      <c r="TPL2" t="s">
        <v>18260</v>
      </c>
      <c r="TPM2" t="s">
        <v>18261</v>
      </c>
      <c r="TPN2" t="s">
        <v>18262</v>
      </c>
      <c r="TPO2" t="s">
        <v>18263</v>
      </c>
      <c r="TPP2" t="s">
        <v>18264</v>
      </c>
      <c r="TPQ2" t="s">
        <v>18265</v>
      </c>
      <c r="TPR2" t="s">
        <v>18266</v>
      </c>
      <c r="TPS2" t="s">
        <v>18267</v>
      </c>
      <c r="TPT2" t="s">
        <v>18268</v>
      </c>
      <c r="TPU2" t="s">
        <v>18269</v>
      </c>
      <c r="TPV2" t="s">
        <v>18270</v>
      </c>
      <c r="TPW2" t="s">
        <v>18271</v>
      </c>
      <c r="TPX2" t="s">
        <v>18272</v>
      </c>
      <c r="TPY2" t="s">
        <v>18273</v>
      </c>
      <c r="TPZ2" t="s">
        <v>18274</v>
      </c>
      <c r="TQA2" t="s">
        <v>18275</v>
      </c>
      <c r="TQB2" t="s">
        <v>18276</v>
      </c>
      <c r="TQC2" t="s">
        <v>18277</v>
      </c>
      <c r="TQD2" t="s">
        <v>18278</v>
      </c>
      <c r="TQE2" t="s">
        <v>18279</v>
      </c>
      <c r="TQF2" t="s">
        <v>18280</v>
      </c>
      <c r="TQG2" t="s">
        <v>18281</v>
      </c>
      <c r="TQH2" t="s">
        <v>18282</v>
      </c>
      <c r="TQI2" t="s">
        <v>18283</v>
      </c>
      <c r="TQJ2" t="s">
        <v>18284</v>
      </c>
      <c r="TQK2" t="s">
        <v>18285</v>
      </c>
      <c r="TQL2" t="s">
        <v>18286</v>
      </c>
      <c r="TQM2" t="s">
        <v>18287</v>
      </c>
      <c r="TQN2" t="s">
        <v>18288</v>
      </c>
      <c r="TQO2" t="s">
        <v>18289</v>
      </c>
      <c r="TQP2" t="s">
        <v>18290</v>
      </c>
      <c r="TQQ2" t="s">
        <v>18291</v>
      </c>
      <c r="TQR2" t="s">
        <v>18292</v>
      </c>
      <c r="TQS2" t="s">
        <v>18293</v>
      </c>
      <c r="TQT2" t="s">
        <v>18294</v>
      </c>
      <c r="TQU2" t="s">
        <v>18295</v>
      </c>
      <c r="TQV2" t="s">
        <v>18296</v>
      </c>
      <c r="TQW2" t="s">
        <v>18297</v>
      </c>
      <c r="TQX2" t="s">
        <v>18298</v>
      </c>
      <c r="TQY2" t="s">
        <v>18299</v>
      </c>
      <c r="TQZ2" t="s">
        <v>18300</v>
      </c>
      <c r="TRA2" t="s">
        <v>18301</v>
      </c>
      <c r="TRB2" t="s">
        <v>18302</v>
      </c>
      <c r="TRC2" t="s">
        <v>18303</v>
      </c>
      <c r="TRD2" t="s">
        <v>18304</v>
      </c>
      <c r="TRE2" t="s">
        <v>18305</v>
      </c>
      <c r="TRF2" t="s">
        <v>18306</v>
      </c>
      <c r="TRG2" t="s">
        <v>18307</v>
      </c>
      <c r="TRH2" t="s">
        <v>18308</v>
      </c>
      <c r="TRI2" t="s">
        <v>18309</v>
      </c>
      <c r="TRJ2" t="s">
        <v>18310</v>
      </c>
      <c r="TRK2" t="s">
        <v>18311</v>
      </c>
      <c r="TRL2" t="s">
        <v>18312</v>
      </c>
      <c r="TRM2" t="s">
        <v>18313</v>
      </c>
      <c r="TRN2" t="s">
        <v>18314</v>
      </c>
      <c r="TRO2" t="s">
        <v>18315</v>
      </c>
      <c r="TRP2" t="s">
        <v>18316</v>
      </c>
      <c r="TRQ2" t="s">
        <v>18317</v>
      </c>
      <c r="TRR2" t="s">
        <v>18318</v>
      </c>
      <c r="TRS2" t="s">
        <v>18319</v>
      </c>
      <c r="TRT2" t="s">
        <v>18320</v>
      </c>
      <c r="TRU2" t="s">
        <v>18321</v>
      </c>
      <c r="TRV2" t="s">
        <v>18322</v>
      </c>
      <c r="TRW2" t="s">
        <v>18323</v>
      </c>
      <c r="TRX2" t="s">
        <v>18324</v>
      </c>
      <c r="TRY2" t="s">
        <v>18325</v>
      </c>
      <c r="TRZ2" t="s">
        <v>18326</v>
      </c>
      <c r="TSA2" t="s">
        <v>18327</v>
      </c>
      <c r="TSB2" t="s">
        <v>18328</v>
      </c>
      <c r="TSC2" t="s">
        <v>18329</v>
      </c>
      <c r="TSD2" t="s">
        <v>18330</v>
      </c>
      <c r="TSE2" t="s">
        <v>18331</v>
      </c>
      <c r="TSF2" t="s">
        <v>18332</v>
      </c>
      <c r="TSG2" t="s">
        <v>18333</v>
      </c>
      <c r="TSH2" t="s">
        <v>18334</v>
      </c>
      <c r="TSI2" t="s">
        <v>18335</v>
      </c>
      <c r="TSJ2" t="s">
        <v>18336</v>
      </c>
      <c r="TSK2" t="s">
        <v>18337</v>
      </c>
      <c r="TSL2" t="s">
        <v>18338</v>
      </c>
      <c r="TSM2" t="s">
        <v>18339</v>
      </c>
      <c r="TSN2" t="s">
        <v>18340</v>
      </c>
      <c r="TSO2" t="s">
        <v>18341</v>
      </c>
      <c r="TSP2" t="s">
        <v>18342</v>
      </c>
      <c r="TSQ2" t="s">
        <v>18343</v>
      </c>
      <c r="TSR2" t="s">
        <v>18344</v>
      </c>
      <c r="TSS2" t="s">
        <v>18345</v>
      </c>
      <c r="TST2" t="s">
        <v>18346</v>
      </c>
      <c r="TSU2" t="s">
        <v>18347</v>
      </c>
      <c r="TSV2" t="s">
        <v>18348</v>
      </c>
      <c r="TSW2" t="s">
        <v>18349</v>
      </c>
      <c r="TSX2" t="s">
        <v>18350</v>
      </c>
      <c r="TSY2" t="s">
        <v>18351</v>
      </c>
      <c r="TSZ2" t="s">
        <v>18352</v>
      </c>
      <c r="TTA2" t="s">
        <v>18353</v>
      </c>
      <c r="TTB2" t="s">
        <v>18354</v>
      </c>
      <c r="TTC2" t="s">
        <v>18355</v>
      </c>
      <c r="TTD2" t="s">
        <v>18356</v>
      </c>
      <c r="TTE2" t="s">
        <v>18357</v>
      </c>
      <c r="TTF2" t="s">
        <v>18358</v>
      </c>
      <c r="TTG2" t="s">
        <v>18359</v>
      </c>
      <c r="TTH2" t="s">
        <v>18360</v>
      </c>
      <c r="TTI2" t="s">
        <v>18361</v>
      </c>
      <c r="TTJ2" t="s">
        <v>18362</v>
      </c>
      <c r="TTK2" t="s">
        <v>18363</v>
      </c>
      <c r="TTL2" t="s">
        <v>18364</v>
      </c>
      <c r="TTM2" t="s">
        <v>18365</v>
      </c>
      <c r="TTN2" t="s">
        <v>18366</v>
      </c>
      <c r="TTO2" t="s">
        <v>18367</v>
      </c>
      <c r="TTP2" t="s">
        <v>18368</v>
      </c>
      <c r="TTQ2" t="s">
        <v>18369</v>
      </c>
      <c r="TTR2" t="s">
        <v>18370</v>
      </c>
      <c r="TTS2" t="s">
        <v>18371</v>
      </c>
      <c r="TTT2" t="s">
        <v>18372</v>
      </c>
      <c r="TTU2" t="s">
        <v>18373</v>
      </c>
      <c r="TTV2" t="s">
        <v>18374</v>
      </c>
      <c r="TTW2" t="s">
        <v>18375</v>
      </c>
      <c r="TTX2" t="s">
        <v>18376</v>
      </c>
      <c r="TTY2" t="s">
        <v>18377</v>
      </c>
      <c r="TTZ2" t="s">
        <v>18378</v>
      </c>
      <c r="TUA2" t="s">
        <v>18379</v>
      </c>
      <c r="TUB2" t="s">
        <v>18380</v>
      </c>
      <c r="TUC2" t="s">
        <v>18381</v>
      </c>
      <c r="TUD2" t="s">
        <v>18382</v>
      </c>
      <c r="TUE2" t="s">
        <v>18383</v>
      </c>
      <c r="TUF2" t="s">
        <v>18384</v>
      </c>
      <c r="TUG2" t="s">
        <v>18385</v>
      </c>
      <c r="TUH2" t="s">
        <v>18386</v>
      </c>
      <c r="TUI2" t="s">
        <v>18387</v>
      </c>
      <c r="TUJ2" t="s">
        <v>18388</v>
      </c>
      <c r="TUK2" t="s">
        <v>18389</v>
      </c>
      <c r="TUL2" t="s">
        <v>18390</v>
      </c>
      <c r="TUM2" t="s">
        <v>18391</v>
      </c>
      <c r="TUN2" t="s">
        <v>18392</v>
      </c>
      <c r="TUO2" t="s">
        <v>18393</v>
      </c>
      <c r="TUP2" t="s">
        <v>18394</v>
      </c>
      <c r="TUQ2" t="s">
        <v>18395</v>
      </c>
      <c r="TUR2" t="s">
        <v>18396</v>
      </c>
      <c r="TUS2" t="s">
        <v>18397</v>
      </c>
      <c r="TUT2" t="s">
        <v>18398</v>
      </c>
      <c r="TUU2" t="s">
        <v>18399</v>
      </c>
      <c r="TUV2" t="s">
        <v>18400</v>
      </c>
      <c r="TUW2" t="s">
        <v>18401</v>
      </c>
      <c r="TUX2" t="s">
        <v>18402</v>
      </c>
      <c r="TUY2" t="s">
        <v>18403</v>
      </c>
      <c r="TUZ2" t="s">
        <v>18404</v>
      </c>
      <c r="TVA2" t="s">
        <v>18405</v>
      </c>
      <c r="TVB2" t="s">
        <v>18406</v>
      </c>
      <c r="TVC2" t="s">
        <v>18407</v>
      </c>
      <c r="TVD2" t="s">
        <v>18408</v>
      </c>
      <c r="TVE2" t="s">
        <v>18409</v>
      </c>
      <c r="TVF2" t="s">
        <v>18410</v>
      </c>
      <c r="TVG2" t="s">
        <v>18411</v>
      </c>
      <c r="TVH2" t="s">
        <v>18412</v>
      </c>
      <c r="TVI2" t="s">
        <v>18413</v>
      </c>
      <c r="TVJ2" t="s">
        <v>18414</v>
      </c>
      <c r="TVK2" t="s">
        <v>18415</v>
      </c>
      <c r="TVL2" t="s">
        <v>18416</v>
      </c>
      <c r="TVM2" t="s">
        <v>18417</v>
      </c>
      <c r="TVN2" t="s">
        <v>18418</v>
      </c>
      <c r="TVO2" t="s">
        <v>18419</v>
      </c>
      <c r="TVP2" t="s">
        <v>18420</v>
      </c>
      <c r="TVQ2" t="s">
        <v>18421</v>
      </c>
      <c r="TVR2" t="s">
        <v>18422</v>
      </c>
      <c r="TVS2" t="s">
        <v>18423</v>
      </c>
      <c r="TVT2" t="s">
        <v>18424</v>
      </c>
      <c r="TVU2" t="s">
        <v>18425</v>
      </c>
      <c r="TVV2" t="s">
        <v>18426</v>
      </c>
      <c r="TVW2" t="s">
        <v>18427</v>
      </c>
      <c r="TVX2" t="s">
        <v>18428</v>
      </c>
      <c r="TVY2" t="s">
        <v>18429</v>
      </c>
      <c r="TVZ2" t="s">
        <v>18430</v>
      </c>
      <c r="TWA2" t="s">
        <v>18431</v>
      </c>
      <c r="TWB2" t="s">
        <v>18432</v>
      </c>
      <c r="TWC2" t="s">
        <v>18433</v>
      </c>
      <c r="TWD2" t="s">
        <v>18434</v>
      </c>
      <c r="TWE2" t="s">
        <v>18435</v>
      </c>
      <c r="TWF2" t="s">
        <v>18436</v>
      </c>
      <c r="TWG2" t="s">
        <v>18437</v>
      </c>
      <c r="TWH2" t="s">
        <v>18438</v>
      </c>
      <c r="TWI2" t="s">
        <v>18439</v>
      </c>
      <c r="TWJ2" t="s">
        <v>18440</v>
      </c>
      <c r="TWK2" t="s">
        <v>18441</v>
      </c>
      <c r="TWL2" t="s">
        <v>18442</v>
      </c>
      <c r="TWM2" t="s">
        <v>18443</v>
      </c>
      <c r="TWN2" t="s">
        <v>18444</v>
      </c>
      <c r="TWO2" t="s">
        <v>18445</v>
      </c>
      <c r="TWP2" t="s">
        <v>18446</v>
      </c>
      <c r="TWQ2" t="s">
        <v>18447</v>
      </c>
      <c r="TWR2" t="s">
        <v>18448</v>
      </c>
      <c r="TWS2" t="s">
        <v>18449</v>
      </c>
      <c r="TWT2" t="s">
        <v>18450</v>
      </c>
      <c r="TWU2" t="s">
        <v>18451</v>
      </c>
      <c r="TWV2" t="s">
        <v>18452</v>
      </c>
      <c r="TWW2" t="s">
        <v>18453</v>
      </c>
      <c r="TWX2" t="s">
        <v>18454</v>
      </c>
      <c r="TWY2" t="s">
        <v>18455</v>
      </c>
      <c r="TWZ2" t="s">
        <v>18456</v>
      </c>
      <c r="TXA2" t="s">
        <v>18457</v>
      </c>
      <c r="TXB2" t="s">
        <v>18458</v>
      </c>
      <c r="TXC2" t="s">
        <v>18459</v>
      </c>
      <c r="TXD2" t="s">
        <v>18460</v>
      </c>
      <c r="TXE2" t="s">
        <v>18461</v>
      </c>
      <c r="TXF2" t="s">
        <v>18462</v>
      </c>
      <c r="TXG2" t="s">
        <v>18463</v>
      </c>
      <c r="TXH2" t="s">
        <v>18464</v>
      </c>
      <c r="TXI2" t="s">
        <v>18465</v>
      </c>
      <c r="TXJ2" t="s">
        <v>18466</v>
      </c>
      <c r="TXK2" t="s">
        <v>18467</v>
      </c>
      <c r="TXL2" t="s">
        <v>18468</v>
      </c>
      <c r="TXM2" t="s">
        <v>18469</v>
      </c>
      <c r="TXN2" t="s">
        <v>18470</v>
      </c>
      <c r="TXO2" t="s">
        <v>18471</v>
      </c>
      <c r="TXP2" t="s">
        <v>18472</v>
      </c>
      <c r="TXQ2" t="s">
        <v>18473</v>
      </c>
      <c r="TXR2" t="s">
        <v>18474</v>
      </c>
      <c r="TXS2" t="s">
        <v>18475</v>
      </c>
      <c r="TXT2" t="s">
        <v>18476</v>
      </c>
      <c r="TXU2" t="s">
        <v>18477</v>
      </c>
      <c r="TXV2" t="s">
        <v>18478</v>
      </c>
      <c r="TXW2" t="s">
        <v>18479</v>
      </c>
      <c r="TXX2" t="s">
        <v>18480</v>
      </c>
      <c r="TXY2" t="s">
        <v>18481</v>
      </c>
      <c r="TXZ2" t="s">
        <v>18482</v>
      </c>
      <c r="TYA2" t="s">
        <v>18483</v>
      </c>
      <c r="TYB2" t="s">
        <v>18484</v>
      </c>
      <c r="TYC2" t="s">
        <v>18485</v>
      </c>
      <c r="TYD2" t="s">
        <v>18486</v>
      </c>
      <c r="TYE2" t="s">
        <v>18487</v>
      </c>
      <c r="TYF2" t="s">
        <v>18488</v>
      </c>
      <c r="TYG2" t="s">
        <v>18489</v>
      </c>
      <c r="TYH2" t="s">
        <v>18490</v>
      </c>
      <c r="TYI2" t="s">
        <v>18491</v>
      </c>
      <c r="TYJ2" t="s">
        <v>18492</v>
      </c>
      <c r="TYK2" t="s">
        <v>18493</v>
      </c>
      <c r="TYL2" t="s">
        <v>18494</v>
      </c>
      <c r="TYM2" t="s">
        <v>18495</v>
      </c>
      <c r="TYN2" t="s">
        <v>18496</v>
      </c>
      <c r="TYO2" t="s">
        <v>18497</v>
      </c>
      <c r="TYP2" t="s">
        <v>18498</v>
      </c>
      <c r="TYQ2" t="s">
        <v>18499</v>
      </c>
      <c r="TYR2" t="s">
        <v>18500</v>
      </c>
      <c r="TYS2" t="s">
        <v>18501</v>
      </c>
      <c r="TYT2" t="s">
        <v>18502</v>
      </c>
      <c r="TYU2" t="s">
        <v>18503</v>
      </c>
      <c r="TYV2" t="s">
        <v>18504</v>
      </c>
      <c r="TYW2" t="s">
        <v>18505</v>
      </c>
      <c r="TYX2" t="s">
        <v>18506</v>
      </c>
      <c r="TYY2" t="s">
        <v>18507</v>
      </c>
      <c r="TYZ2" t="s">
        <v>18508</v>
      </c>
      <c r="TZA2" t="s">
        <v>18509</v>
      </c>
      <c r="TZB2" t="s">
        <v>18510</v>
      </c>
      <c r="TZC2" t="s">
        <v>18511</v>
      </c>
      <c r="TZD2" t="s">
        <v>18512</v>
      </c>
      <c r="TZE2" t="s">
        <v>18513</v>
      </c>
      <c r="TZF2" t="s">
        <v>18514</v>
      </c>
      <c r="TZG2" t="s">
        <v>18515</v>
      </c>
      <c r="TZH2" t="s">
        <v>18516</v>
      </c>
      <c r="TZI2" t="s">
        <v>18517</v>
      </c>
      <c r="TZJ2" t="s">
        <v>18518</v>
      </c>
      <c r="TZK2" t="s">
        <v>18519</v>
      </c>
      <c r="TZL2" t="s">
        <v>18520</v>
      </c>
      <c r="TZM2" t="s">
        <v>18521</v>
      </c>
      <c r="TZN2" t="s">
        <v>18522</v>
      </c>
      <c r="TZO2" t="s">
        <v>18523</v>
      </c>
      <c r="TZP2" t="s">
        <v>18524</v>
      </c>
      <c r="TZQ2" t="s">
        <v>18525</v>
      </c>
      <c r="TZR2" t="s">
        <v>18526</v>
      </c>
      <c r="TZS2" t="s">
        <v>18527</v>
      </c>
      <c r="TZT2" t="s">
        <v>18528</v>
      </c>
      <c r="TZU2" t="s">
        <v>18529</v>
      </c>
      <c r="TZV2" t="s">
        <v>18530</v>
      </c>
      <c r="TZW2" t="s">
        <v>18531</v>
      </c>
      <c r="TZX2" t="s">
        <v>18532</v>
      </c>
      <c r="TZY2" t="s">
        <v>18533</v>
      </c>
      <c r="TZZ2" t="s">
        <v>18534</v>
      </c>
      <c r="UAA2" t="s">
        <v>18535</v>
      </c>
      <c r="UAB2" t="s">
        <v>18536</v>
      </c>
      <c r="UAC2" t="s">
        <v>18537</v>
      </c>
      <c r="UAD2" t="s">
        <v>18538</v>
      </c>
      <c r="UAE2" t="s">
        <v>18539</v>
      </c>
      <c r="UAF2" t="s">
        <v>18540</v>
      </c>
      <c r="UAG2" t="s">
        <v>18541</v>
      </c>
      <c r="UAH2" t="s">
        <v>18542</v>
      </c>
      <c r="UAI2" t="s">
        <v>18543</v>
      </c>
      <c r="UAJ2" t="s">
        <v>18544</v>
      </c>
      <c r="UAK2" t="s">
        <v>18545</v>
      </c>
      <c r="UAL2" t="s">
        <v>18546</v>
      </c>
      <c r="UAM2" t="s">
        <v>18547</v>
      </c>
      <c r="UAN2" t="s">
        <v>18548</v>
      </c>
      <c r="UAO2" t="s">
        <v>18549</v>
      </c>
      <c r="UAP2" t="s">
        <v>18550</v>
      </c>
      <c r="UAQ2" t="s">
        <v>18551</v>
      </c>
      <c r="UAR2" t="s">
        <v>18552</v>
      </c>
      <c r="UAS2" t="s">
        <v>18553</v>
      </c>
      <c r="UAT2" t="s">
        <v>18554</v>
      </c>
      <c r="UAU2" t="s">
        <v>18555</v>
      </c>
      <c r="UAV2" t="s">
        <v>18556</v>
      </c>
      <c r="UAW2" t="s">
        <v>18557</v>
      </c>
      <c r="UAX2" t="s">
        <v>18558</v>
      </c>
      <c r="UAY2" t="s">
        <v>18559</v>
      </c>
      <c r="UAZ2" t="s">
        <v>18560</v>
      </c>
      <c r="UBA2" t="s">
        <v>18561</v>
      </c>
      <c r="UBB2" t="s">
        <v>18562</v>
      </c>
      <c r="UBC2" t="s">
        <v>18563</v>
      </c>
      <c r="UBD2" t="s">
        <v>18564</v>
      </c>
      <c r="UBE2" t="s">
        <v>18565</v>
      </c>
      <c r="UBF2" t="s">
        <v>18566</v>
      </c>
      <c r="UBG2" t="s">
        <v>18567</v>
      </c>
      <c r="UBH2" t="s">
        <v>18568</v>
      </c>
      <c r="UBI2" t="s">
        <v>18569</v>
      </c>
      <c r="UBJ2" t="s">
        <v>18570</v>
      </c>
      <c r="UBK2" t="s">
        <v>18571</v>
      </c>
      <c r="UBL2" t="s">
        <v>18572</v>
      </c>
      <c r="UBM2" t="s">
        <v>18573</v>
      </c>
      <c r="UBN2" t="s">
        <v>18574</v>
      </c>
      <c r="UBO2" t="s">
        <v>18575</v>
      </c>
      <c r="UBP2" t="s">
        <v>18576</v>
      </c>
      <c r="UBQ2" t="s">
        <v>18577</v>
      </c>
      <c r="UBR2" t="s">
        <v>18578</v>
      </c>
      <c r="UBS2" t="s">
        <v>18579</v>
      </c>
      <c r="UBT2" t="s">
        <v>18580</v>
      </c>
      <c r="UBU2" t="s">
        <v>18581</v>
      </c>
      <c r="UBV2" t="s">
        <v>18582</v>
      </c>
      <c r="UBW2" t="s">
        <v>18583</v>
      </c>
      <c r="UBX2" t="s">
        <v>18584</v>
      </c>
      <c r="UBY2" t="s">
        <v>18585</v>
      </c>
      <c r="UBZ2" t="s">
        <v>18586</v>
      </c>
      <c r="UCA2" t="s">
        <v>18587</v>
      </c>
      <c r="UCB2" t="s">
        <v>18588</v>
      </c>
      <c r="UCC2" t="s">
        <v>18589</v>
      </c>
      <c r="UCD2" t="s">
        <v>18590</v>
      </c>
      <c r="UCE2" t="s">
        <v>18591</v>
      </c>
      <c r="UCF2" t="s">
        <v>18592</v>
      </c>
      <c r="UCG2" t="s">
        <v>18593</v>
      </c>
      <c r="UCH2" t="s">
        <v>18594</v>
      </c>
      <c r="UCI2" t="s">
        <v>18595</v>
      </c>
      <c r="UCJ2" t="s">
        <v>18596</v>
      </c>
      <c r="UCK2" t="s">
        <v>18597</v>
      </c>
      <c r="UCL2" t="s">
        <v>18598</v>
      </c>
      <c r="UCM2" t="s">
        <v>18599</v>
      </c>
      <c r="UCN2" t="s">
        <v>18600</v>
      </c>
      <c r="UCO2" t="s">
        <v>18601</v>
      </c>
      <c r="UCP2" t="s">
        <v>18602</v>
      </c>
      <c r="UCQ2" t="s">
        <v>18603</v>
      </c>
      <c r="UCR2" t="s">
        <v>18604</v>
      </c>
      <c r="UCS2" t="s">
        <v>18605</v>
      </c>
      <c r="UCT2" t="s">
        <v>18606</v>
      </c>
      <c r="UCU2" t="s">
        <v>18607</v>
      </c>
      <c r="UCV2" t="s">
        <v>18608</v>
      </c>
      <c r="UCW2" t="s">
        <v>18609</v>
      </c>
      <c r="UCX2" t="s">
        <v>18610</v>
      </c>
      <c r="UCY2" t="s">
        <v>18611</v>
      </c>
      <c r="UCZ2" t="s">
        <v>18612</v>
      </c>
      <c r="UDA2" t="s">
        <v>18613</v>
      </c>
      <c r="UDB2" t="s">
        <v>18614</v>
      </c>
      <c r="UDC2" t="s">
        <v>18615</v>
      </c>
      <c r="UDD2" t="s">
        <v>18616</v>
      </c>
      <c r="UDE2" t="s">
        <v>18617</v>
      </c>
      <c r="UDF2" t="s">
        <v>18618</v>
      </c>
      <c r="UDG2" t="s">
        <v>18619</v>
      </c>
      <c r="UDH2" t="s">
        <v>18620</v>
      </c>
      <c r="UDI2" t="s">
        <v>18621</v>
      </c>
      <c r="UDJ2" t="s">
        <v>18622</v>
      </c>
      <c r="UDK2" t="s">
        <v>18623</v>
      </c>
      <c r="UDL2" t="s">
        <v>18624</v>
      </c>
      <c r="UDM2" t="s">
        <v>18625</v>
      </c>
      <c r="UDN2" t="s">
        <v>18626</v>
      </c>
      <c r="UDO2" t="s">
        <v>18627</v>
      </c>
      <c r="UDP2" t="s">
        <v>18628</v>
      </c>
      <c r="UDQ2" t="s">
        <v>18629</v>
      </c>
      <c r="UDR2" t="s">
        <v>18630</v>
      </c>
      <c r="UDS2" t="s">
        <v>18631</v>
      </c>
      <c r="UDT2" t="s">
        <v>18632</v>
      </c>
      <c r="UDU2" t="s">
        <v>18633</v>
      </c>
      <c r="UDV2" t="s">
        <v>18634</v>
      </c>
      <c r="UDW2" t="s">
        <v>18635</v>
      </c>
      <c r="UDX2" t="s">
        <v>18636</v>
      </c>
      <c r="UDY2" t="s">
        <v>18637</v>
      </c>
      <c r="UDZ2" t="s">
        <v>18638</v>
      </c>
      <c r="UEA2" t="s">
        <v>18639</v>
      </c>
      <c r="UEB2" t="s">
        <v>18640</v>
      </c>
      <c r="UEC2" t="s">
        <v>18641</v>
      </c>
      <c r="UED2" t="s">
        <v>18642</v>
      </c>
      <c r="UEE2" t="s">
        <v>18643</v>
      </c>
      <c r="UEF2" t="s">
        <v>18644</v>
      </c>
      <c r="UEG2" t="s">
        <v>18645</v>
      </c>
      <c r="UEH2" t="s">
        <v>18646</v>
      </c>
      <c r="UEI2" t="s">
        <v>18647</v>
      </c>
      <c r="UEJ2" t="s">
        <v>18648</v>
      </c>
      <c r="UEK2" t="s">
        <v>18649</v>
      </c>
      <c r="UEL2" t="s">
        <v>18650</v>
      </c>
      <c r="UEM2" t="s">
        <v>18651</v>
      </c>
      <c r="UEN2" t="s">
        <v>18652</v>
      </c>
      <c r="UEO2" t="s">
        <v>18653</v>
      </c>
      <c r="UEP2" t="s">
        <v>18654</v>
      </c>
      <c r="UEQ2" t="s">
        <v>18655</v>
      </c>
      <c r="UER2" t="s">
        <v>18656</v>
      </c>
      <c r="UES2" t="s">
        <v>18657</v>
      </c>
      <c r="UET2" t="s">
        <v>18658</v>
      </c>
      <c r="UEU2" t="s">
        <v>18659</v>
      </c>
      <c r="UEV2" t="s">
        <v>18660</v>
      </c>
      <c r="UEW2" t="s">
        <v>18661</v>
      </c>
      <c r="UEX2" t="s">
        <v>18662</v>
      </c>
      <c r="UEY2" t="s">
        <v>18663</v>
      </c>
      <c r="UEZ2" t="s">
        <v>18664</v>
      </c>
      <c r="UFA2" t="s">
        <v>18665</v>
      </c>
      <c r="UFB2" t="s">
        <v>18666</v>
      </c>
      <c r="UFC2" t="s">
        <v>18667</v>
      </c>
      <c r="UFD2" t="s">
        <v>18668</v>
      </c>
      <c r="UFE2" t="s">
        <v>18669</v>
      </c>
      <c r="UFF2" t="s">
        <v>18670</v>
      </c>
      <c r="UFG2" t="s">
        <v>18671</v>
      </c>
      <c r="UFH2" t="s">
        <v>18672</v>
      </c>
      <c r="UFI2" t="s">
        <v>18673</v>
      </c>
      <c r="UFJ2" t="s">
        <v>18674</v>
      </c>
      <c r="UFK2" t="s">
        <v>18675</v>
      </c>
      <c r="UFL2" t="s">
        <v>18676</v>
      </c>
      <c r="UFM2" t="s">
        <v>18677</v>
      </c>
      <c r="UFN2" t="s">
        <v>18678</v>
      </c>
      <c r="UFO2" t="s">
        <v>18679</v>
      </c>
      <c r="UFP2" t="s">
        <v>18680</v>
      </c>
      <c r="UFQ2" t="s">
        <v>18681</v>
      </c>
      <c r="UFR2" t="s">
        <v>18682</v>
      </c>
      <c r="UFS2" t="s">
        <v>18683</v>
      </c>
      <c r="UFT2" t="s">
        <v>18684</v>
      </c>
      <c r="UFU2" t="s">
        <v>18685</v>
      </c>
      <c r="UFV2" t="s">
        <v>18686</v>
      </c>
      <c r="UFW2" t="s">
        <v>18687</v>
      </c>
      <c r="UFX2" t="s">
        <v>18688</v>
      </c>
      <c r="UFY2" t="s">
        <v>18689</v>
      </c>
      <c r="UFZ2" t="s">
        <v>18690</v>
      </c>
      <c r="UGA2" t="s">
        <v>18691</v>
      </c>
      <c r="UGB2" t="s">
        <v>18692</v>
      </c>
      <c r="UGC2" t="s">
        <v>18693</v>
      </c>
      <c r="UGD2" t="s">
        <v>18694</v>
      </c>
      <c r="UGE2" t="s">
        <v>18695</v>
      </c>
      <c r="UGF2" t="s">
        <v>18696</v>
      </c>
      <c r="UGG2" t="s">
        <v>18697</v>
      </c>
      <c r="UGH2" t="s">
        <v>18698</v>
      </c>
      <c r="UGI2" t="s">
        <v>18699</v>
      </c>
      <c r="UGJ2" t="s">
        <v>18700</v>
      </c>
      <c r="UGK2" t="s">
        <v>18701</v>
      </c>
      <c r="UGL2" t="s">
        <v>18702</v>
      </c>
      <c r="UGM2" t="s">
        <v>18703</v>
      </c>
      <c r="UGN2" t="s">
        <v>18704</v>
      </c>
      <c r="UGO2" t="s">
        <v>18705</v>
      </c>
      <c r="UGP2" t="s">
        <v>18706</v>
      </c>
      <c r="UGQ2" t="s">
        <v>18707</v>
      </c>
      <c r="UGR2" t="s">
        <v>18708</v>
      </c>
      <c r="UGS2" t="s">
        <v>18709</v>
      </c>
      <c r="UGT2" t="s">
        <v>18710</v>
      </c>
      <c r="UGU2" t="s">
        <v>18711</v>
      </c>
      <c r="UGV2" t="s">
        <v>18712</v>
      </c>
      <c r="UGW2" t="s">
        <v>18713</v>
      </c>
      <c r="UGX2" t="s">
        <v>18714</v>
      </c>
      <c r="UGY2" t="s">
        <v>18715</v>
      </c>
      <c r="UGZ2" t="s">
        <v>18716</v>
      </c>
      <c r="UHA2" t="s">
        <v>18717</v>
      </c>
      <c r="UHB2" t="s">
        <v>18718</v>
      </c>
      <c r="UHC2" t="s">
        <v>18719</v>
      </c>
      <c r="UHD2" t="s">
        <v>18720</v>
      </c>
      <c r="UHE2" t="s">
        <v>18721</v>
      </c>
      <c r="UHF2" t="s">
        <v>18722</v>
      </c>
      <c r="UHG2" t="s">
        <v>18723</v>
      </c>
      <c r="UHH2" t="s">
        <v>18724</v>
      </c>
      <c r="UHI2" t="s">
        <v>18725</v>
      </c>
      <c r="UHJ2" t="s">
        <v>18726</v>
      </c>
      <c r="UHK2" t="s">
        <v>18727</v>
      </c>
      <c r="UHL2" t="s">
        <v>18728</v>
      </c>
      <c r="UHM2" t="s">
        <v>18729</v>
      </c>
      <c r="UHN2" t="s">
        <v>18730</v>
      </c>
      <c r="UHO2" t="s">
        <v>18731</v>
      </c>
      <c r="UHP2" t="s">
        <v>18732</v>
      </c>
      <c r="UHQ2" t="s">
        <v>18733</v>
      </c>
      <c r="UHR2" t="s">
        <v>18734</v>
      </c>
      <c r="UHS2" t="s">
        <v>18735</v>
      </c>
      <c r="UHT2" t="s">
        <v>18736</v>
      </c>
      <c r="UHU2" t="s">
        <v>18737</v>
      </c>
      <c r="UHV2" t="s">
        <v>18738</v>
      </c>
      <c r="UHW2" t="s">
        <v>18739</v>
      </c>
      <c r="UHX2" t="s">
        <v>18740</v>
      </c>
      <c r="UHY2" t="s">
        <v>18741</v>
      </c>
      <c r="UHZ2" t="s">
        <v>18742</v>
      </c>
      <c r="UIA2" t="s">
        <v>18743</v>
      </c>
      <c r="UIB2" t="s">
        <v>18744</v>
      </c>
      <c r="UIC2" t="s">
        <v>18745</v>
      </c>
      <c r="UID2" t="s">
        <v>18746</v>
      </c>
      <c r="UIE2" t="s">
        <v>18747</v>
      </c>
      <c r="UIF2" t="s">
        <v>18748</v>
      </c>
      <c r="UIG2" t="s">
        <v>18749</v>
      </c>
      <c r="UIH2" t="s">
        <v>18750</v>
      </c>
      <c r="UII2" t="s">
        <v>18751</v>
      </c>
      <c r="UIJ2" t="s">
        <v>18752</v>
      </c>
      <c r="UIK2" t="s">
        <v>18753</v>
      </c>
      <c r="UIL2" t="s">
        <v>18754</v>
      </c>
      <c r="UIM2" t="s">
        <v>18755</v>
      </c>
      <c r="UIN2" t="s">
        <v>18756</v>
      </c>
      <c r="UIO2" t="s">
        <v>18757</v>
      </c>
      <c r="UIP2" t="s">
        <v>18758</v>
      </c>
      <c r="UIQ2" t="s">
        <v>18759</v>
      </c>
      <c r="UIR2" t="s">
        <v>18760</v>
      </c>
      <c r="UIS2" t="s">
        <v>18761</v>
      </c>
      <c r="UIT2" t="s">
        <v>18762</v>
      </c>
      <c r="UIU2" t="s">
        <v>18763</v>
      </c>
      <c r="UIV2" t="s">
        <v>18764</v>
      </c>
      <c r="UIW2" t="s">
        <v>18765</v>
      </c>
      <c r="UIX2" t="s">
        <v>18766</v>
      </c>
      <c r="UIY2" t="s">
        <v>18767</v>
      </c>
      <c r="UIZ2" t="s">
        <v>18768</v>
      </c>
      <c r="UJA2" t="s">
        <v>18769</v>
      </c>
      <c r="UJB2" t="s">
        <v>18770</v>
      </c>
      <c r="UJC2" t="s">
        <v>18771</v>
      </c>
      <c r="UJD2" t="s">
        <v>18772</v>
      </c>
      <c r="UJE2" t="s">
        <v>18773</v>
      </c>
      <c r="UJF2" t="s">
        <v>18774</v>
      </c>
      <c r="UJG2" t="s">
        <v>18775</v>
      </c>
      <c r="UJH2" t="s">
        <v>18776</v>
      </c>
      <c r="UJI2" t="s">
        <v>18777</v>
      </c>
      <c r="UJJ2" t="s">
        <v>18778</v>
      </c>
      <c r="UJK2" t="s">
        <v>18779</v>
      </c>
      <c r="UJL2" t="s">
        <v>18780</v>
      </c>
      <c r="UJM2" t="s">
        <v>18781</v>
      </c>
      <c r="UJN2" t="s">
        <v>18782</v>
      </c>
      <c r="UJO2" t="s">
        <v>18783</v>
      </c>
      <c r="UJP2" t="s">
        <v>18784</v>
      </c>
      <c r="UJQ2" t="s">
        <v>18785</v>
      </c>
      <c r="UJR2" t="s">
        <v>18786</v>
      </c>
      <c r="UJS2" t="s">
        <v>18787</v>
      </c>
      <c r="UJT2" t="s">
        <v>18788</v>
      </c>
      <c r="UJU2" t="s">
        <v>18789</v>
      </c>
      <c r="UJV2" t="s">
        <v>18790</v>
      </c>
      <c r="UJW2" t="s">
        <v>18791</v>
      </c>
      <c r="UJX2" t="s">
        <v>18792</v>
      </c>
      <c r="UJY2" t="s">
        <v>18793</v>
      </c>
      <c r="UJZ2" t="s">
        <v>18794</v>
      </c>
      <c r="UKA2" t="s">
        <v>18795</v>
      </c>
      <c r="UKB2" t="s">
        <v>18796</v>
      </c>
      <c r="UKC2" t="s">
        <v>18797</v>
      </c>
      <c r="UKD2" t="s">
        <v>18798</v>
      </c>
      <c r="UKE2" t="s">
        <v>18799</v>
      </c>
      <c r="UKF2" t="s">
        <v>18800</v>
      </c>
      <c r="UKG2" t="s">
        <v>18801</v>
      </c>
      <c r="UKH2" t="s">
        <v>18802</v>
      </c>
      <c r="UKI2" t="s">
        <v>18803</v>
      </c>
      <c r="UKJ2" t="s">
        <v>18804</v>
      </c>
      <c r="UKK2" t="s">
        <v>18805</v>
      </c>
      <c r="UKL2" t="s">
        <v>18806</v>
      </c>
      <c r="UKM2" t="s">
        <v>18807</v>
      </c>
      <c r="UKN2" t="s">
        <v>18808</v>
      </c>
      <c r="UKO2" t="s">
        <v>18809</v>
      </c>
      <c r="UKP2" t="s">
        <v>18810</v>
      </c>
      <c r="UKQ2" t="s">
        <v>18811</v>
      </c>
      <c r="UKR2" t="s">
        <v>18812</v>
      </c>
      <c r="UKS2" t="s">
        <v>18813</v>
      </c>
      <c r="UKT2" t="s">
        <v>18814</v>
      </c>
      <c r="UKU2" t="s">
        <v>18815</v>
      </c>
      <c r="UKV2" t="s">
        <v>18816</v>
      </c>
      <c r="UKW2" t="s">
        <v>18817</v>
      </c>
      <c r="UKX2" t="s">
        <v>18818</v>
      </c>
      <c r="UKY2" t="s">
        <v>18819</v>
      </c>
      <c r="UKZ2" t="s">
        <v>18820</v>
      </c>
      <c r="ULA2" t="s">
        <v>18821</v>
      </c>
      <c r="ULB2" t="s">
        <v>18822</v>
      </c>
      <c r="ULC2" t="s">
        <v>18823</v>
      </c>
      <c r="ULD2" t="s">
        <v>18824</v>
      </c>
      <c r="ULE2" t="s">
        <v>18825</v>
      </c>
      <c r="ULF2" t="s">
        <v>18826</v>
      </c>
      <c r="ULG2" t="s">
        <v>18827</v>
      </c>
      <c r="ULH2" t="s">
        <v>18828</v>
      </c>
      <c r="ULI2" t="s">
        <v>18829</v>
      </c>
      <c r="ULJ2" t="s">
        <v>18830</v>
      </c>
      <c r="ULK2" t="s">
        <v>18831</v>
      </c>
      <c r="ULL2" t="s">
        <v>18832</v>
      </c>
      <c r="ULM2" t="s">
        <v>18833</v>
      </c>
      <c r="ULN2" t="s">
        <v>18834</v>
      </c>
      <c r="ULO2" t="s">
        <v>18835</v>
      </c>
      <c r="ULP2" t="s">
        <v>18836</v>
      </c>
      <c r="ULQ2" t="s">
        <v>18837</v>
      </c>
      <c r="ULR2" t="s">
        <v>18838</v>
      </c>
      <c r="ULS2" t="s">
        <v>18839</v>
      </c>
      <c r="ULT2" t="s">
        <v>18840</v>
      </c>
      <c r="ULU2" t="s">
        <v>18841</v>
      </c>
      <c r="ULV2" t="s">
        <v>18842</v>
      </c>
      <c r="ULW2" t="s">
        <v>18843</v>
      </c>
      <c r="ULX2" t="s">
        <v>18844</v>
      </c>
      <c r="ULY2" t="s">
        <v>18845</v>
      </c>
      <c r="ULZ2" t="s">
        <v>18846</v>
      </c>
      <c r="UMA2" t="s">
        <v>18847</v>
      </c>
      <c r="UMB2" t="s">
        <v>18848</v>
      </c>
      <c r="UMC2" t="s">
        <v>18849</v>
      </c>
      <c r="UMD2" t="s">
        <v>18850</v>
      </c>
      <c r="UME2" t="s">
        <v>18851</v>
      </c>
      <c r="UMF2" t="s">
        <v>18852</v>
      </c>
      <c r="UMG2" t="s">
        <v>18853</v>
      </c>
      <c r="UMH2" t="s">
        <v>18854</v>
      </c>
      <c r="UMI2" t="s">
        <v>18855</v>
      </c>
      <c r="UMJ2" t="s">
        <v>18856</v>
      </c>
      <c r="UMK2" t="s">
        <v>18857</v>
      </c>
      <c r="UML2" t="s">
        <v>18858</v>
      </c>
      <c r="UMM2" t="s">
        <v>18859</v>
      </c>
      <c r="UMN2" t="s">
        <v>18860</v>
      </c>
      <c r="UMO2" t="s">
        <v>18861</v>
      </c>
      <c r="UMP2" t="s">
        <v>18862</v>
      </c>
      <c r="UMQ2" t="s">
        <v>18863</v>
      </c>
      <c r="UMR2" t="s">
        <v>18864</v>
      </c>
      <c r="UMS2" t="s">
        <v>18865</v>
      </c>
      <c r="UMT2" t="s">
        <v>18866</v>
      </c>
      <c r="UMU2" t="s">
        <v>18867</v>
      </c>
      <c r="UMV2" t="s">
        <v>18868</v>
      </c>
      <c r="UMW2" t="s">
        <v>18869</v>
      </c>
      <c r="UMX2" t="s">
        <v>18870</v>
      </c>
      <c r="UMY2" t="s">
        <v>18871</v>
      </c>
      <c r="UMZ2" t="s">
        <v>18872</v>
      </c>
      <c r="UNA2" t="s">
        <v>18873</v>
      </c>
      <c r="UNB2" t="s">
        <v>18874</v>
      </c>
      <c r="UNC2" t="s">
        <v>18875</v>
      </c>
      <c r="UND2" t="s">
        <v>18876</v>
      </c>
      <c r="UNE2" t="s">
        <v>18877</v>
      </c>
      <c r="UNF2" t="s">
        <v>18878</v>
      </c>
      <c r="UNG2" t="s">
        <v>18879</v>
      </c>
      <c r="UNH2" t="s">
        <v>18880</v>
      </c>
      <c r="UNI2" t="s">
        <v>18881</v>
      </c>
      <c r="UNJ2" t="s">
        <v>18882</v>
      </c>
      <c r="UNK2" t="s">
        <v>18883</v>
      </c>
      <c r="UNL2" t="s">
        <v>18884</v>
      </c>
      <c r="UNM2" t="s">
        <v>18885</v>
      </c>
      <c r="UNN2" t="s">
        <v>18886</v>
      </c>
      <c r="UNO2" t="s">
        <v>18887</v>
      </c>
      <c r="UNP2" t="s">
        <v>18888</v>
      </c>
      <c r="UNQ2" t="s">
        <v>18889</v>
      </c>
      <c r="UNR2" t="s">
        <v>18890</v>
      </c>
      <c r="UNS2" t="s">
        <v>18891</v>
      </c>
      <c r="UNT2" t="s">
        <v>18892</v>
      </c>
      <c r="UNU2" t="s">
        <v>18893</v>
      </c>
      <c r="UNV2" t="s">
        <v>18894</v>
      </c>
      <c r="UNW2" t="s">
        <v>18895</v>
      </c>
      <c r="UNX2" t="s">
        <v>18896</v>
      </c>
      <c r="UNY2" t="s">
        <v>18897</v>
      </c>
      <c r="UNZ2" t="s">
        <v>18898</v>
      </c>
      <c r="UOA2" t="s">
        <v>18899</v>
      </c>
      <c r="UOB2" t="s">
        <v>18900</v>
      </c>
      <c r="UOC2" t="s">
        <v>18901</v>
      </c>
      <c r="UOD2" t="s">
        <v>18902</v>
      </c>
      <c r="UOE2" t="s">
        <v>18903</v>
      </c>
      <c r="UOF2" t="s">
        <v>18904</v>
      </c>
      <c r="UOG2" t="s">
        <v>18905</v>
      </c>
      <c r="UOH2" t="s">
        <v>18906</v>
      </c>
      <c r="UOI2" t="s">
        <v>18907</v>
      </c>
      <c r="UOJ2" t="s">
        <v>18908</v>
      </c>
      <c r="UOK2" t="s">
        <v>18909</v>
      </c>
      <c r="UOL2" t="s">
        <v>18910</v>
      </c>
      <c r="UOM2" t="s">
        <v>18911</v>
      </c>
      <c r="UON2" t="s">
        <v>18912</v>
      </c>
      <c r="UOO2" t="s">
        <v>18913</v>
      </c>
      <c r="UOP2" t="s">
        <v>18914</v>
      </c>
      <c r="UOQ2" t="s">
        <v>18915</v>
      </c>
      <c r="UOR2" t="s">
        <v>18916</v>
      </c>
      <c r="UOS2" t="s">
        <v>18917</v>
      </c>
      <c r="UOT2" t="s">
        <v>18918</v>
      </c>
      <c r="UOU2" t="s">
        <v>18919</v>
      </c>
      <c r="UOV2" t="s">
        <v>18920</v>
      </c>
      <c r="UOW2" t="s">
        <v>18921</v>
      </c>
      <c r="UOX2" t="s">
        <v>18922</v>
      </c>
      <c r="UOY2" t="s">
        <v>18923</v>
      </c>
      <c r="UOZ2" t="s">
        <v>18924</v>
      </c>
      <c r="UPA2" t="s">
        <v>18925</v>
      </c>
      <c r="UPB2" t="s">
        <v>18926</v>
      </c>
      <c r="UPC2" t="s">
        <v>18927</v>
      </c>
      <c r="UPD2" t="s">
        <v>18928</v>
      </c>
      <c r="UPE2" t="s">
        <v>18929</v>
      </c>
      <c r="UPF2" t="s">
        <v>18930</v>
      </c>
      <c r="UPG2" t="s">
        <v>18931</v>
      </c>
      <c r="UPH2" t="s">
        <v>18932</v>
      </c>
      <c r="UPI2" t="s">
        <v>18933</v>
      </c>
      <c r="UPJ2" t="s">
        <v>18934</v>
      </c>
      <c r="UPK2" t="s">
        <v>18935</v>
      </c>
      <c r="UPL2" t="s">
        <v>18936</v>
      </c>
      <c r="UPM2" t="s">
        <v>18937</v>
      </c>
      <c r="UPN2" t="s">
        <v>18938</v>
      </c>
      <c r="UPO2" t="s">
        <v>18939</v>
      </c>
      <c r="UPP2" t="s">
        <v>18940</v>
      </c>
      <c r="UPQ2" t="s">
        <v>18941</v>
      </c>
      <c r="UPR2" t="s">
        <v>18942</v>
      </c>
      <c r="UPS2" t="s">
        <v>18943</v>
      </c>
      <c r="UPT2" t="s">
        <v>18944</v>
      </c>
      <c r="UPU2" t="s">
        <v>18945</v>
      </c>
      <c r="UPV2" t="s">
        <v>18946</v>
      </c>
      <c r="UPW2" t="s">
        <v>18947</v>
      </c>
      <c r="UPX2" t="s">
        <v>18948</v>
      </c>
      <c r="UPY2" t="s">
        <v>18949</v>
      </c>
      <c r="UPZ2" t="s">
        <v>18950</v>
      </c>
      <c r="UQA2" t="s">
        <v>18951</v>
      </c>
      <c r="UQB2" t="s">
        <v>18952</v>
      </c>
      <c r="UQC2" t="s">
        <v>18953</v>
      </c>
      <c r="UQD2" t="s">
        <v>18954</v>
      </c>
      <c r="UQE2" t="s">
        <v>18955</v>
      </c>
      <c r="UQF2" t="s">
        <v>18956</v>
      </c>
      <c r="UQG2" t="s">
        <v>18957</v>
      </c>
      <c r="UQH2" t="s">
        <v>18958</v>
      </c>
      <c r="UQI2" t="s">
        <v>18959</v>
      </c>
      <c r="UQJ2" t="s">
        <v>18960</v>
      </c>
      <c r="UQK2" t="s">
        <v>18961</v>
      </c>
      <c r="UQL2" t="s">
        <v>18962</v>
      </c>
      <c r="UQM2" t="s">
        <v>18963</v>
      </c>
      <c r="UQN2" t="s">
        <v>18964</v>
      </c>
      <c r="UQO2" t="s">
        <v>18965</v>
      </c>
      <c r="UQP2" t="s">
        <v>18966</v>
      </c>
      <c r="UQQ2" t="s">
        <v>18967</v>
      </c>
      <c r="UQR2" t="s">
        <v>18968</v>
      </c>
      <c r="UQS2" t="s">
        <v>18969</v>
      </c>
      <c r="UQT2" t="s">
        <v>18970</v>
      </c>
      <c r="UQU2" t="s">
        <v>18971</v>
      </c>
      <c r="UQV2" t="s">
        <v>18972</v>
      </c>
      <c r="UQW2" t="s">
        <v>18973</v>
      </c>
      <c r="UQX2" t="s">
        <v>18974</v>
      </c>
      <c r="UQY2" t="s">
        <v>18975</v>
      </c>
      <c r="UQZ2" t="s">
        <v>18976</v>
      </c>
      <c r="URA2" t="s">
        <v>18977</v>
      </c>
      <c r="URB2" t="s">
        <v>18978</v>
      </c>
      <c r="URC2" t="s">
        <v>18979</v>
      </c>
      <c r="URD2" t="s">
        <v>18980</v>
      </c>
      <c r="URE2" t="s">
        <v>18981</v>
      </c>
      <c r="URF2" t="s">
        <v>18982</v>
      </c>
      <c r="URG2" t="s">
        <v>18983</v>
      </c>
      <c r="URH2" t="s">
        <v>18984</v>
      </c>
      <c r="URI2" t="s">
        <v>18985</v>
      </c>
      <c r="URJ2" t="s">
        <v>18986</v>
      </c>
      <c r="URK2" t="s">
        <v>18987</v>
      </c>
      <c r="URL2" t="s">
        <v>18988</v>
      </c>
      <c r="URM2" t="s">
        <v>18989</v>
      </c>
      <c r="URN2" t="s">
        <v>18990</v>
      </c>
      <c r="URO2" t="s">
        <v>18991</v>
      </c>
      <c r="URP2" t="s">
        <v>18992</v>
      </c>
      <c r="URQ2" t="s">
        <v>18993</v>
      </c>
      <c r="URR2" t="s">
        <v>18994</v>
      </c>
      <c r="URS2" t="s">
        <v>18995</v>
      </c>
      <c r="URT2" t="s">
        <v>18996</v>
      </c>
      <c r="URU2" t="s">
        <v>18997</v>
      </c>
      <c r="URV2" t="s">
        <v>18998</v>
      </c>
      <c r="URW2" t="s">
        <v>18999</v>
      </c>
      <c r="URX2" t="s">
        <v>19000</v>
      </c>
      <c r="URY2" t="s">
        <v>19001</v>
      </c>
      <c r="URZ2" t="s">
        <v>19002</v>
      </c>
      <c r="USA2" t="s">
        <v>19003</v>
      </c>
      <c r="USB2" t="s">
        <v>19004</v>
      </c>
      <c r="USC2" t="s">
        <v>19005</v>
      </c>
      <c r="USD2" t="s">
        <v>19006</v>
      </c>
      <c r="USE2" t="s">
        <v>19007</v>
      </c>
      <c r="USF2" t="s">
        <v>19008</v>
      </c>
      <c r="USG2" t="s">
        <v>19009</v>
      </c>
      <c r="USH2" t="s">
        <v>19010</v>
      </c>
      <c r="USI2" t="s">
        <v>19011</v>
      </c>
      <c r="USJ2" t="s">
        <v>19012</v>
      </c>
      <c r="USK2" t="s">
        <v>19013</v>
      </c>
      <c r="USL2" t="s">
        <v>19014</v>
      </c>
      <c r="USM2" t="s">
        <v>19015</v>
      </c>
      <c r="USN2" t="s">
        <v>19016</v>
      </c>
      <c r="USO2" t="s">
        <v>19017</v>
      </c>
      <c r="USP2" t="s">
        <v>19018</v>
      </c>
      <c r="USQ2" t="s">
        <v>19019</v>
      </c>
      <c r="USR2" t="s">
        <v>19020</v>
      </c>
      <c r="USS2" t="s">
        <v>19021</v>
      </c>
      <c r="UST2" t="s">
        <v>19022</v>
      </c>
      <c r="USU2" t="s">
        <v>19023</v>
      </c>
      <c r="USV2" t="s">
        <v>19024</v>
      </c>
      <c r="USW2" t="s">
        <v>19025</v>
      </c>
      <c r="USX2" t="s">
        <v>19026</v>
      </c>
      <c r="USY2" t="s">
        <v>19027</v>
      </c>
      <c r="USZ2" t="s">
        <v>19028</v>
      </c>
      <c r="UTA2" t="s">
        <v>19029</v>
      </c>
      <c r="UTB2" t="s">
        <v>19030</v>
      </c>
      <c r="UTC2" t="s">
        <v>19031</v>
      </c>
      <c r="UTD2" t="s">
        <v>19032</v>
      </c>
      <c r="UTE2" t="s">
        <v>19033</v>
      </c>
      <c r="UTF2" t="s">
        <v>19034</v>
      </c>
      <c r="UTG2" t="s">
        <v>19035</v>
      </c>
      <c r="UTH2" t="s">
        <v>19036</v>
      </c>
      <c r="UTI2" t="s">
        <v>19037</v>
      </c>
      <c r="UTJ2" t="s">
        <v>19038</v>
      </c>
      <c r="UTK2" t="s">
        <v>19039</v>
      </c>
      <c r="UTL2" t="s">
        <v>19040</v>
      </c>
      <c r="UTM2" t="s">
        <v>19041</v>
      </c>
      <c r="UTN2" t="s">
        <v>19042</v>
      </c>
      <c r="UTO2" t="s">
        <v>19043</v>
      </c>
      <c r="UTP2" t="s">
        <v>19044</v>
      </c>
      <c r="UTQ2" t="s">
        <v>19045</v>
      </c>
      <c r="UTR2" t="s">
        <v>19046</v>
      </c>
      <c r="UTS2" t="s">
        <v>19047</v>
      </c>
      <c r="UTT2" t="s">
        <v>19048</v>
      </c>
      <c r="UTU2" t="s">
        <v>19049</v>
      </c>
      <c r="UTV2" t="s">
        <v>19050</v>
      </c>
      <c r="UTW2" t="s">
        <v>19051</v>
      </c>
      <c r="UTX2" t="s">
        <v>19052</v>
      </c>
      <c r="UTY2" t="s">
        <v>19053</v>
      </c>
      <c r="UTZ2" t="s">
        <v>19054</v>
      </c>
      <c r="UUA2" t="s">
        <v>19055</v>
      </c>
      <c r="UUB2" t="s">
        <v>19056</v>
      </c>
      <c r="UUC2" t="s">
        <v>19057</v>
      </c>
      <c r="UUD2" t="s">
        <v>19058</v>
      </c>
      <c r="UUE2" t="s">
        <v>19059</v>
      </c>
      <c r="UUF2" t="s">
        <v>19060</v>
      </c>
      <c r="UUG2" t="s">
        <v>19061</v>
      </c>
      <c r="UUH2" t="s">
        <v>19062</v>
      </c>
      <c r="UUI2" t="s">
        <v>19063</v>
      </c>
      <c r="UUJ2" t="s">
        <v>19064</v>
      </c>
      <c r="UUK2" t="s">
        <v>19065</v>
      </c>
      <c r="UUL2" t="s">
        <v>19066</v>
      </c>
      <c r="UUM2" t="s">
        <v>19067</v>
      </c>
      <c r="UUN2" t="s">
        <v>19068</v>
      </c>
      <c r="UUO2" t="s">
        <v>19069</v>
      </c>
      <c r="UUP2" t="s">
        <v>19070</v>
      </c>
      <c r="UUQ2" t="s">
        <v>19071</v>
      </c>
      <c r="UUR2" t="s">
        <v>19072</v>
      </c>
      <c r="UUS2" t="s">
        <v>19073</v>
      </c>
      <c r="UUT2" t="s">
        <v>19074</v>
      </c>
      <c r="UUU2" t="s">
        <v>19075</v>
      </c>
      <c r="UUV2" t="s">
        <v>19076</v>
      </c>
      <c r="UUW2" t="s">
        <v>19077</v>
      </c>
      <c r="UUX2" t="s">
        <v>19078</v>
      </c>
      <c r="UUY2" t="s">
        <v>19079</v>
      </c>
      <c r="UUZ2" t="s">
        <v>19080</v>
      </c>
      <c r="UVA2" t="s">
        <v>19081</v>
      </c>
      <c r="UVB2" t="s">
        <v>19082</v>
      </c>
      <c r="UVC2" t="s">
        <v>19083</v>
      </c>
      <c r="UVD2" t="s">
        <v>19084</v>
      </c>
      <c r="UVE2" t="s">
        <v>19085</v>
      </c>
      <c r="UVF2" t="s">
        <v>19086</v>
      </c>
      <c r="UVG2" t="s">
        <v>19087</v>
      </c>
      <c r="UVH2" t="s">
        <v>19088</v>
      </c>
      <c r="UVI2" t="s">
        <v>19089</v>
      </c>
      <c r="UVJ2" t="s">
        <v>19090</v>
      </c>
      <c r="UVK2" t="s">
        <v>19091</v>
      </c>
      <c r="UVL2" t="s">
        <v>19092</v>
      </c>
      <c r="UVM2" t="s">
        <v>19093</v>
      </c>
      <c r="UVN2" t="s">
        <v>19094</v>
      </c>
      <c r="UVO2" t="s">
        <v>19095</v>
      </c>
      <c r="UVP2" t="s">
        <v>19096</v>
      </c>
      <c r="UVQ2" t="s">
        <v>19097</v>
      </c>
      <c r="UVR2" t="s">
        <v>19098</v>
      </c>
      <c r="UVS2" t="s">
        <v>19099</v>
      </c>
      <c r="UVT2" t="s">
        <v>19100</v>
      </c>
      <c r="UVU2" t="s">
        <v>19101</v>
      </c>
      <c r="UVV2" t="s">
        <v>19102</v>
      </c>
      <c r="UVW2" t="s">
        <v>19103</v>
      </c>
      <c r="UVX2" t="s">
        <v>19104</v>
      </c>
      <c r="UVY2" t="s">
        <v>19105</v>
      </c>
      <c r="UVZ2" t="s">
        <v>19106</v>
      </c>
      <c r="UWA2" t="s">
        <v>19107</v>
      </c>
      <c r="UWB2" t="s">
        <v>19108</v>
      </c>
      <c r="UWC2" t="s">
        <v>19109</v>
      </c>
      <c r="UWD2" t="s">
        <v>19110</v>
      </c>
      <c r="UWE2" t="s">
        <v>19111</v>
      </c>
      <c r="UWF2" t="s">
        <v>19112</v>
      </c>
      <c r="UWG2" t="s">
        <v>19113</v>
      </c>
      <c r="UWH2" t="s">
        <v>19114</v>
      </c>
      <c r="UWI2" t="s">
        <v>19115</v>
      </c>
      <c r="UWJ2" t="s">
        <v>19116</v>
      </c>
      <c r="UWK2" t="s">
        <v>19117</v>
      </c>
      <c r="UWL2" t="s">
        <v>19118</v>
      </c>
      <c r="UWM2" t="s">
        <v>19119</v>
      </c>
      <c r="UWN2" t="s">
        <v>19120</v>
      </c>
      <c r="UWO2" t="s">
        <v>19121</v>
      </c>
      <c r="UWP2" t="s">
        <v>19122</v>
      </c>
      <c r="UWQ2" t="s">
        <v>19123</v>
      </c>
      <c r="UWR2" t="s">
        <v>19124</v>
      </c>
      <c r="UWS2" t="s">
        <v>19125</v>
      </c>
      <c r="UWT2" t="s">
        <v>19126</v>
      </c>
      <c r="UWU2" t="s">
        <v>19127</v>
      </c>
      <c r="UWV2" t="s">
        <v>19128</v>
      </c>
      <c r="UWW2" t="s">
        <v>19129</v>
      </c>
      <c r="UWX2" t="s">
        <v>19130</v>
      </c>
      <c r="UWY2" t="s">
        <v>19131</v>
      </c>
      <c r="UWZ2" t="s">
        <v>19132</v>
      </c>
      <c r="UXA2" t="s">
        <v>19133</v>
      </c>
      <c r="UXB2" t="s">
        <v>19134</v>
      </c>
      <c r="UXC2" t="s">
        <v>19135</v>
      </c>
      <c r="UXD2" t="s">
        <v>19136</v>
      </c>
      <c r="UXE2" t="s">
        <v>19137</v>
      </c>
      <c r="UXF2" t="s">
        <v>19138</v>
      </c>
      <c r="UXG2" t="s">
        <v>19139</v>
      </c>
      <c r="UXH2" t="s">
        <v>19140</v>
      </c>
      <c r="UXI2" t="s">
        <v>19141</v>
      </c>
      <c r="UXJ2" t="s">
        <v>19142</v>
      </c>
      <c r="UXK2" t="s">
        <v>19143</v>
      </c>
      <c r="UXL2" t="s">
        <v>19144</v>
      </c>
      <c r="UXM2" t="s">
        <v>19145</v>
      </c>
      <c r="UXN2" t="s">
        <v>19146</v>
      </c>
      <c r="UXO2" t="s">
        <v>19147</v>
      </c>
      <c r="UXP2" t="s">
        <v>19148</v>
      </c>
      <c r="UXQ2" t="s">
        <v>19149</v>
      </c>
      <c r="UXR2" t="s">
        <v>19150</v>
      </c>
      <c r="UXS2" t="s">
        <v>19151</v>
      </c>
      <c r="UXT2" t="s">
        <v>19152</v>
      </c>
      <c r="UXU2" t="s">
        <v>19153</v>
      </c>
      <c r="UXV2" t="s">
        <v>19154</v>
      </c>
      <c r="UXW2" t="s">
        <v>19155</v>
      </c>
      <c r="UXX2" t="s">
        <v>19156</v>
      </c>
      <c r="UXY2" t="s">
        <v>19157</v>
      </c>
      <c r="UXZ2" t="s">
        <v>19158</v>
      </c>
      <c r="UYA2" t="s">
        <v>19159</v>
      </c>
      <c r="UYB2" t="s">
        <v>19160</v>
      </c>
      <c r="UYC2" t="s">
        <v>19161</v>
      </c>
      <c r="UYD2" t="s">
        <v>19162</v>
      </c>
      <c r="UYE2" t="s">
        <v>19163</v>
      </c>
      <c r="UYF2" t="s">
        <v>19164</v>
      </c>
      <c r="UYG2" t="s">
        <v>19165</v>
      </c>
      <c r="UYH2" t="s">
        <v>19166</v>
      </c>
      <c r="UYI2" t="s">
        <v>19167</v>
      </c>
      <c r="UYJ2" t="s">
        <v>19168</v>
      </c>
      <c r="UYK2" t="s">
        <v>19169</v>
      </c>
      <c r="UYL2" t="s">
        <v>19170</v>
      </c>
      <c r="UYM2" t="s">
        <v>19171</v>
      </c>
      <c r="UYN2" t="s">
        <v>19172</v>
      </c>
      <c r="UYO2" t="s">
        <v>19173</v>
      </c>
      <c r="UYP2" t="s">
        <v>19174</v>
      </c>
      <c r="UYQ2" t="s">
        <v>19175</v>
      </c>
      <c r="UYR2" t="s">
        <v>19176</v>
      </c>
      <c r="UYS2" t="s">
        <v>19177</v>
      </c>
      <c r="UYT2" t="s">
        <v>19178</v>
      </c>
      <c r="UYU2" t="s">
        <v>19179</v>
      </c>
      <c r="UYV2" t="s">
        <v>19180</v>
      </c>
      <c r="UYW2" t="s">
        <v>19181</v>
      </c>
      <c r="UYX2" t="s">
        <v>19182</v>
      </c>
      <c r="UYY2" t="s">
        <v>19183</v>
      </c>
      <c r="UYZ2" t="s">
        <v>19184</v>
      </c>
      <c r="UZA2" t="s">
        <v>19185</v>
      </c>
      <c r="UZB2" t="s">
        <v>19186</v>
      </c>
      <c r="UZC2" t="s">
        <v>19187</v>
      </c>
      <c r="UZD2" t="s">
        <v>19188</v>
      </c>
      <c r="UZE2" t="s">
        <v>19189</v>
      </c>
      <c r="UZF2" t="s">
        <v>19190</v>
      </c>
      <c r="UZG2" t="s">
        <v>19191</v>
      </c>
      <c r="UZH2" t="s">
        <v>19192</v>
      </c>
      <c r="UZI2" t="s">
        <v>19193</v>
      </c>
      <c r="UZJ2" t="s">
        <v>19194</v>
      </c>
      <c r="UZK2" t="s">
        <v>19195</v>
      </c>
      <c r="UZL2" t="s">
        <v>19196</v>
      </c>
      <c r="UZM2" t="s">
        <v>19197</v>
      </c>
      <c r="UZN2" t="s">
        <v>19198</v>
      </c>
      <c r="UZO2" t="s">
        <v>19199</v>
      </c>
      <c r="UZP2" t="s">
        <v>19200</v>
      </c>
      <c r="UZQ2" t="s">
        <v>19201</v>
      </c>
      <c r="UZR2" t="s">
        <v>19202</v>
      </c>
      <c r="UZS2" t="s">
        <v>19203</v>
      </c>
      <c r="UZT2" t="s">
        <v>19204</v>
      </c>
      <c r="UZU2" t="s">
        <v>19205</v>
      </c>
      <c r="UZV2" t="s">
        <v>19206</v>
      </c>
      <c r="UZW2" t="s">
        <v>19207</v>
      </c>
      <c r="UZX2" t="s">
        <v>19208</v>
      </c>
      <c r="UZY2" t="s">
        <v>19209</v>
      </c>
      <c r="UZZ2" t="s">
        <v>19210</v>
      </c>
      <c r="VAA2" t="s">
        <v>19211</v>
      </c>
      <c r="VAB2" t="s">
        <v>19212</v>
      </c>
      <c r="VAC2" t="s">
        <v>19213</v>
      </c>
      <c r="VAD2" t="s">
        <v>19214</v>
      </c>
      <c r="VAE2" t="s">
        <v>19215</v>
      </c>
      <c r="VAF2" t="s">
        <v>19216</v>
      </c>
      <c r="VAG2" t="s">
        <v>19217</v>
      </c>
      <c r="VAH2" t="s">
        <v>19218</v>
      </c>
      <c r="VAI2" t="s">
        <v>19219</v>
      </c>
      <c r="VAJ2" t="s">
        <v>19220</v>
      </c>
      <c r="VAK2" t="s">
        <v>19221</v>
      </c>
      <c r="VAL2" t="s">
        <v>19222</v>
      </c>
      <c r="VAM2" t="s">
        <v>19223</v>
      </c>
      <c r="VAN2" t="s">
        <v>19224</v>
      </c>
      <c r="VAO2" t="s">
        <v>19225</v>
      </c>
      <c r="VAP2" t="s">
        <v>19226</v>
      </c>
      <c r="VAQ2" t="s">
        <v>19227</v>
      </c>
      <c r="VAR2" t="s">
        <v>19228</v>
      </c>
      <c r="VAS2" t="s">
        <v>19229</v>
      </c>
      <c r="VAT2" t="s">
        <v>19230</v>
      </c>
      <c r="VAU2" t="s">
        <v>19231</v>
      </c>
      <c r="VAV2" t="s">
        <v>19232</v>
      </c>
      <c r="VAW2" t="s">
        <v>19233</v>
      </c>
      <c r="VAX2" t="s">
        <v>19234</v>
      </c>
      <c r="VAY2" t="s">
        <v>19235</v>
      </c>
      <c r="VAZ2" t="s">
        <v>19236</v>
      </c>
      <c r="VBA2" t="s">
        <v>19237</v>
      </c>
      <c r="VBB2" t="s">
        <v>19238</v>
      </c>
      <c r="VBC2" t="s">
        <v>19239</v>
      </c>
      <c r="VBD2" t="s">
        <v>19240</v>
      </c>
      <c r="VBE2" t="s">
        <v>19241</v>
      </c>
      <c r="VBF2" t="s">
        <v>19242</v>
      </c>
      <c r="VBG2" t="s">
        <v>19243</v>
      </c>
      <c r="VBH2" t="s">
        <v>19244</v>
      </c>
      <c r="VBI2" t="s">
        <v>19245</v>
      </c>
      <c r="VBJ2" t="s">
        <v>19246</v>
      </c>
      <c r="VBK2" t="s">
        <v>19247</v>
      </c>
      <c r="VBL2" t="s">
        <v>19248</v>
      </c>
      <c r="VBM2" t="s">
        <v>19249</v>
      </c>
      <c r="VBN2" t="s">
        <v>19250</v>
      </c>
      <c r="VBO2" t="s">
        <v>19251</v>
      </c>
      <c r="VBP2" t="s">
        <v>19252</v>
      </c>
      <c r="VBQ2" t="s">
        <v>19253</v>
      </c>
      <c r="VBR2" t="s">
        <v>19254</v>
      </c>
      <c r="VBS2" t="s">
        <v>19255</v>
      </c>
      <c r="VBT2" t="s">
        <v>19256</v>
      </c>
      <c r="VBU2" t="s">
        <v>19257</v>
      </c>
      <c r="VBV2" t="s">
        <v>19258</v>
      </c>
      <c r="VBW2" t="s">
        <v>19259</v>
      </c>
      <c r="VBX2" t="s">
        <v>19260</v>
      </c>
      <c r="VBY2" t="s">
        <v>19261</v>
      </c>
      <c r="VBZ2" t="s">
        <v>19262</v>
      </c>
      <c r="VCA2" t="s">
        <v>19263</v>
      </c>
      <c r="VCB2" t="s">
        <v>19264</v>
      </c>
      <c r="VCC2" t="s">
        <v>19265</v>
      </c>
      <c r="VCD2" t="s">
        <v>19266</v>
      </c>
      <c r="VCE2" t="s">
        <v>19267</v>
      </c>
      <c r="VCF2" t="s">
        <v>19268</v>
      </c>
      <c r="VCG2" t="s">
        <v>19269</v>
      </c>
      <c r="VCH2" t="s">
        <v>19270</v>
      </c>
      <c r="VCI2" t="s">
        <v>19271</v>
      </c>
      <c r="VCJ2" t="s">
        <v>19272</v>
      </c>
      <c r="VCK2" t="s">
        <v>19273</v>
      </c>
      <c r="VCL2" t="s">
        <v>19274</v>
      </c>
      <c r="VCM2" t="s">
        <v>19275</v>
      </c>
      <c r="VCN2" t="s">
        <v>19276</v>
      </c>
      <c r="VCO2" t="s">
        <v>19277</v>
      </c>
      <c r="VCP2" t="s">
        <v>19278</v>
      </c>
      <c r="VCQ2" t="s">
        <v>19279</v>
      </c>
      <c r="VCR2" t="s">
        <v>19280</v>
      </c>
      <c r="VCS2" t="s">
        <v>19281</v>
      </c>
      <c r="VCT2" t="s">
        <v>19282</v>
      </c>
      <c r="VCU2" t="s">
        <v>19283</v>
      </c>
      <c r="VCV2" t="s">
        <v>19284</v>
      </c>
      <c r="VCW2" t="s">
        <v>19285</v>
      </c>
      <c r="VCX2" t="s">
        <v>19286</v>
      </c>
      <c r="VCY2" t="s">
        <v>19287</v>
      </c>
      <c r="VCZ2" t="s">
        <v>19288</v>
      </c>
      <c r="VDA2" t="s">
        <v>19289</v>
      </c>
      <c r="VDB2" t="s">
        <v>19290</v>
      </c>
      <c r="VDC2" t="s">
        <v>19291</v>
      </c>
      <c r="VDD2" t="s">
        <v>19292</v>
      </c>
      <c r="VDE2" t="s">
        <v>19293</v>
      </c>
      <c r="VDF2" t="s">
        <v>19294</v>
      </c>
      <c r="VDG2" t="s">
        <v>19295</v>
      </c>
      <c r="VDH2" t="s">
        <v>19296</v>
      </c>
      <c r="VDI2" t="s">
        <v>19297</v>
      </c>
      <c r="VDJ2" t="s">
        <v>19298</v>
      </c>
      <c r="VDK2" t="s">
        <v>19299</v>
      </c>
      <c r="VDL2" t="s">
        <v>19300</v>
      </c>
      <c r="VDM2" t="s">
        <v>19301</v>
      </c>
      <c r="VDN2" t="s">
        <v>19302</v>
      </c>
      <c r="VDO2" t="s">
        <v>19303</v>
      </c>
      <c r="VDP2" t="s">
        <v>19304</v>
      </c>
      <c r="VDQ2" t="s">
        <v>19305</v>
      </c>
      <c r="VDR2" t="s">
        <v>19306</v>
      </c>
      <c r="VDS2" t="s">
        <v>19307</v>
      </c>
      <c r="VDT2" t="s">
        <v>19308</v>
      </c>
      <c r="VDU2" t="s">
        <v>19309</v>
      </c>
      <c r="VDV2" t="s">
        <v>19310</v>
      </c>
      <c r="VDW2" t="s">
        <v>19311</v>
      </c>
      <c r="VDX2" t="s">
        <v>19312</v>
      </c>
      <c r="VDY2" t="s">
        <v>19313</v>
      </c>
      <c r="VDZ2" t="s">
        <v>19314</v>
      </c>
      <c r="VEA2" t="s">
        <v>19315</v>
      </c>
      <c r="VEB2" t="s">
        <v>19316</v>
      </c>
      <c r="VEC2" t="s">
        <v>19317</v>
      </c>
      <c r="VED2" t="s">
        <v>19318</v>
      </c>
      <c r="VEE2" t="s">
        <v>19319</v>
      </c>
      <c r="VEF2" t="s">
        <v>19320</v>
      </c>
      <c r="VEG2" t="s">
        <v>19321</v>
      </c>
      <c r="VEH2" t="s">
        <v>19322</v>
      </c>
      <c r="VEI2" t="s">
        <v>19323</v>
      </c>
      <c r="VEJ2" t="s">
        <v>19324</v>
      </c>
      <c r="VEK2" t="s">
        <v>19325</v>
      </c>
      <c r="VEL2" t="s">
        <v>19326</v>
      </c>
      <c r="VEM2" t="s">
        <v>19327</v>
      </c>
      <c r="VEN2" t="s">
        <v>19328</v>
      </c>
      <c r="VEO2" t="s">
        <v>19329</v>
      </c>
      <c r="VEP2" t="s">
        <v>19330</v>
      </c>
      <c r="VEQ2" t="s">
        <v>19331</v>
      </c>
      <c r="VER2" t="s">
        <v>19332</v>
      </c>
      <c r="VES2" t="s">
        <v>19333</v>
      </c>
      <c r="VET2" t="s">
        <v>19334</v>
      </c>
      <c r="VEU2" t="s">
        <v>19335</v>
      </c>
      <c r="VEV2" t="s">
        <v>19336</v>
      </c>
      <c r="VEW2" t="s">
        <v>19337</v>
      </c>
      <c r="VEX2" t="s">
        <v>19338</v>
      </c>
      <c r="VEY2" t="s">
        <v>19339</v>
      </c>
      <c r="VEZ2" t="s">
        <v>19340</v>
      </c>
      <c r="VFA2" t="s">
        <v>19341</v>
      </c>
      <c r="VFB2" t="s">
        <v>19342</v>
      </c>
      <c r="VFC2" t="s">
        <v>19343</v>
      </c>
      <c r="VFD2" t="s">
        <v>19344</v>
      </c>
      <c r="VFE2" t="s">
        <v>19345</v>
      </c>
      <c r="VFF2" t="s">
        <v>19346</v>
      </c>
      <c r="VFG2" t="s">
        <v>19347</v>
      </c>
      <c r="VFH2" t="s">
        <v>19348</v>
      </c>
      <c r="VFI2" t="s">
        <v>19349</v>
      </c>
      <c r="VFJ2" t="s">
        <v>19350</v>
      </c>
      <c r="VFK2" t="s">
        <v>19351</v>
      </c>
      <c r="VFL2" t="s">
        <v>19352</v>
      </c>
      <c r="VFM2" t="s">
        <v>19353</v>
      </c>
      <c r="VFN2" t="s">
        <v>19354</v>
      </c>
      <c r="VFO2" t="s">
        <v>19355</v>
      </c>
      <c r="VFP2" t="s">
        <v>19356</v>
      </c>
      <c r="VFQ2" t="s">
        <v>19357</v>
      </c>
      <c r="VFR2" t="s">
        <v>19358</v>
      </c>
      <c r="VFS2" t="s">
        <v>19359</v>
      </c>
      <c r="VFT2" t="s">
        <v>19360</v>
      </c>
      <c r="VFU2" t="s">
        <v>19361</v>
      </c>
      <c r="VFV2" t="s">
        <v>19362</v>
      </c>
      <c r="VFW2" t="s">
        <v>19363</v>
      </c>
      <c r="VFX2" t="s">
        <v>19364</v>
      </c>
      <c r="VFY2" t="s">
        <v>19365</v>
      </c>
      <c r="VFZ2" t="s">
        <v>19366</v>
      </c>
      <c r="VGA2" t="s">
        <v>19367</v>
      </c>
      <c r="VGB2" t="s">
        <v>19368</v>
      </c>
      <c r="VGC2" t="s">
        <v>19369</v>
      </c>
      <c r="VGD2" t="s">
        <v>19370</v>
      </c>
      <c r="VGE2" t="s">
        <v>19371</v>
      </c>
      <c r="VGF2" t="s">
        <v>19372</v>
      </c>
      <c r="VGG2" t="s">
        <v>19373</v>
      </c>
      <c r="VGH2" t="s">
        <v>19374</v>
      </c>
      <c r="VGI2" t="s">
        <v>19375</v>
      </c>
      <c r="VGJ2" t="s">
        <v>19376</v>
      </c>
      <c r="VGK2" t="s">
        <v>19377</v>
      </c>
      <c r="VGL2" t="s">
        <v>19378</v>
      </c>
      <c r="VGM2" t="s">
        <v>19379</v>
      </c>
      <c r="VGN2" t="s">
        <v>19380</v>
      </c>
      <c r="VGO2" t="s">
        <v>19381</v>
      </c>
      <c r="VGP2" t="s">
        <v>19382</v>
      </c>
      <c r="VGQ2" t="s">
        <v>19383</v>
      </c>
      <c r="VGR2" t="s">
        <v>19384</v>
      </c>
      <c r="VGS2" t="s">
        <v>19385</v>
      </c>
      <c r="VGT2" t="s">
        <v>19386</v>
      </c>
      <c r="VGU2" t="s">
        <v>19387</v>
      </c>
      <c r="VGV2" t="s">
        <v>19388</v>
      </c>
      <c r="VGW2" t="s">
        <v>19389</v>
      </c>
      <c r="VGX2" t="s">
        <v>19390</v>
      </c>
      <c r="VGY2" t="s">
        <v>19391</v>
      </c>
      <c r="VGZ2" t="s">
        <v>19392</v>
      </c>
      <c r="VHA2" t="s">
        <v>19393</v>
      </c>
      <c r="VHB2" t="s">
        <v>19394</v>
      </c>
      <c r="VHC2" t="s">
        <v>19395</v>
      </c>
      <c r="VHD2" t="s">
        <v>19396</v>
      </c>
      <c r="VHE2" t="s">
        <v>19397</v>
      </c>
      <c r="VHF2" t="s">
        <v>19398</v>
      </c>
      <c r="VHG2" t="s">
        <v>19399</v>
      </c>
      <c r="VHH2" t="s">
        <v>19400</v>
      </c>
      <c r="VHI2" t="s">
        <v>19401</v>
      </c>
      <c r="VHJ2" t="s">
        <v>19402</v>
      </c>
      <c r="VHK2" t="s">
        <v>19403</v>
      </c>
      <c r="VHL2" t="s">
        <v>19404</v>
      </c>
      <c r="VHM2" t="s">
        <v>19405</v>
      </c>
      <c r="VHN2" t="s">
        <v>19406</v>
      </c>
      <c r="VHO2" t="s">
        <v>19407</v>
      </c>
      <c r="VHP2" t="s">
        <v>19408</v>
      </c>
      <c r="VHQ2" t="s">
        <v>19409</v>
      </c>
      <c r="VHR2" t="s">
        <v>19410</v>
      </c>
      <c r="VHS2" t="s">
        <v>19411</v>
      </c>
      <c r="VHT2" t="s">
        <v>19412</v>
      </c>
      <c r="VHU2" t="s">
        <v>19413</v>
      </c>
      <c r="VHV2" t="s">
        <v>19414</v>
      </c>
      <c r="VHW2" t="s">
        <v>19415</v>
      </c>
      <c r="VHX2" t="s">
        <v>19416</v>
      </c>
      <c r="VHY2" t="s">
        <v>19417</v>
      </c>
      <c r="VHZ2" t="s">
        <v>19418</v>
      </c>
      <c r="VIA2" t="s">
        <v>19419</v>
      </c>
      <c r="VIB2" t="s">
        <v>19420</v>
      </c>
      <c r="VIC2" t="s">
        <v>19421</v>
      </c>
      <c r="VID2" t="s">
        <v>19422</v>
      </c>
      <c r="VIE2" t="s">
        <v>19423</v>
      </c>
      <c r="VIF2" t="s">
        <v>19424</v>
      </c>
      <c r="VIG2" t="s">
        <v>19425</v>
      </c>
      <c r="VIH2" t="s">
        <v>19426</v>
      </c>
      <c r="VII2" t="s">
        <v>19427</v>
      </c>
      <c r="VIJ2" t="s">
        <v>19428</v>
      </c>
      <c r="VIK2" t="s">
        <v>19429</v>
      </c>
      <c r="VIL2" t="s">
        <v>19430</v>
      </c>
      <c r="VIM2" t="s">
        <v>19431</v>
      </c>
      <c r="VIN2" t="s">
        <v>19432</v>
      </c>
      <c r="VIO2" t="s">
        <v>19433</v>
      </c>
      <c r="VIP2" t="s">
        <v>19434</v>
      </c>
      <c r="VIQ2" t="s">
        <v>19435</v>
      </c>
      <c r="VIR2" t="s">
        <v>19436</v>
      </c>
      <c r="VIS2" t="s">
        <v>19437</v>
      </c>
      <c r="VIT2" t="s">
        <v>19438</v>
      </c>
      <c r="VIU2" t="s">
        <v>19439</v>
      </c>
      <c r="VIV2" t="s">
        <v>19440</v>
      </c>
      <c r="VIW2" t="s">
        <v>19441</v>
      </c>
      <c r="VIX2" t="s">
        <v>19442</v>
      </c>
      <c r="VIY2" t="s">
        <v>19443</v>
      </c>
      <c r="VIZ2" t="s">
        <v>19444</v>
      </c>
      <c r="VJA2" t="s">
        <v>19445</v>
      </c>
      <c r="VJB2" t="s">
        <v>19446</v>
      </c>
      <c r="VJC2" t="s">
        <v>19447</v>
      </c>
      <c r="VJD2" t="s">
        <v>19448</v>
      </c>
      <c r="VJE2" t="s">
        <v>19449</v>
      </c>
      <c r="VJF2" t="s">
        <v>19450</v>
      </c>
      <c r="VJG2" t="s">
        <v>19451</v>
      </c>
      <c r="VJH2" t="s">
        <v>19452</v>
      </c>
      <c r="VJI2" t="s">
        <v>19453</v>
      </c>
      <c r="VJJ2" t="s">
        <v>19454</v>
      </c>
      <c r="VJK2" t="s">
        <v>19455</v>
      </c>
      <c r="VJL2" t="s">
        <v>19456</v>
      </c>
      <c r="VJM2" t="s">
        <v>19457</v>
      </c>
      <c r="VJN2" t="s">
        <v>19458</v>
      </c>
      <c r="VJO2" t="s">
        <v>19459</v>
      </c>
      <c r="VJP2" t="s">
        <v>19460</v>
      </c>
      <c r="VJQ2" t="s">
        <v>19461</v>
      </c>
      <c r="VJR2" t="s">
        <v>19462</v>
      </c>
      <c r="VJS2" t="s">
        <v>19463</v>
      </c>
      <c r="VJT2" t="s">
        <v>19464</v>
      </c>
      <c r="VJU2" t="s">
        <v>19465</v>
      </c>
      <c r="VJV2" t="s">
        <v>19466</v>
      </c>
      <c r="VJW2" t="s">
        <v>19467</v>
      </c>
      <c r="VJX2" t="s">
        <v>19468</v>
      </c>
      <c r="VJY2" t="s">
        <v>19469</v>
      </c>
      <c r="VJZ2" t="s">
        <v>19470</v>
      </c>
      <c r="VKA2" t="s">
        <v>19471</v>
      </c>
      <c r="VKB2" t="s">
        <v>19472</v>
      </c>
      <c r="VKC2" t="s">
        <v>19473</v>
      </c>
      <c r="VKD2" t="s">
        <v>19474</v>
      </c>
      <c r="VKE2" t="s">
        <v>19475</v>
      </c>
      <c r="VKF2" t="s">
        <v>19476</v>
      </c>
      <c r="VKG2" t="s">
        <v>19477</v>
      </c>
      <c r="VKH2" t="s">
        <v>19478</v>
      </c>
      <c r="VKI2" t="s">
        <v>19479</v>
      </c>
      <c r="VKJ2" t="s">
        <v>19480</v>
      </c>
      <c r="VKK2" t="s">
        <v>19481</v>
      </c>
      <c r="VKL2" t="s">
        <v>19482</v>
      </c>
      <c r="VKM2" t="s">
        <v>19483</v>
      </c>
      <c r="VKN2" t="s">
        <v>19484</v>
      </c>
      <c r="VKO2" t="s">
        <v>19485</v>
      </c>
      <c r="VKP2" t="s">
        <v>19486</v>
      </c>
      <c r="VKQ2" t="s">
        <v>19487</v>
      </c>
      <c r="VKR2" t="s">
        <v>19488</v>
      </c>
      <c r="VKS2" t="s">
        <v>19489</v>
      </c>
      <c r="VKT2" t="s">
        <v>19490</v>
      </c>
      <c r="VKU2" t="s">
        <v>19491</v>
      </c>
      <c r="VKV2" t="s">
        <v>19492</v>
      </c>
      <c r="VKW2" t="s">
        <v>19493</v>
      </c>
      <c r="VKX2" t="s">
        <v>19494</v>
      </c>
      <c r="VKY2" t="s">
        <v>19495</v>
      </c>
      <c r="VKZ2" t="s">
        <v>19496</v>
      </c>
      <c r="VLA2" t="s">
        <v>19497</v>
      </c>
      <c r="VLB2" t="s">
        <v>19498</v>
      </c>
      <c r="VLC2" t="s">
        <v>19499</v>
      </c>
      <c r="VLD2" t="s">
        <v>19500</v>
      </c>
      <c r="VLE2" t="s">
        <v>19501</v>
      </c>
      <c r="VLF2" t="s">
        <v>19502</v>
      </c>
      <c r="VLG2" t="s">
        <v>19503</v>
      </c>
      <c r="VLH2" t="s">
        <v>19504</v>
      </c>
      <c r="VLI2" t="s">
        <v>19505</v>
      </c>
      <c r="VLJ2" t="s">
        <v>19506</v>
      </c>
      <c r="VLK2" t="s">
        <v>19507</v>
      </c>
      <c r="VLL2" t="s">
        <v>19508</v>
      </c>
      <c r="VLM2" t="s">
        <v>19509</v>
      </c>
      <c r="VLN2" t="s">
        <v>19510</v>
      </c>
      <c r="VLO2" t="s">
        <v>19511</v>
      </c>
      <c r="VLP2" t="s">
        <v>19512</v>
      </c>
      <c r="VLQ2" t="s">
        <v>19513</v>
      </c>
      <c r="VLR2" t="s">
        <v>19514</v>
      </c>
      <c r="VLS2" t="s">
        <v>19515</v>
      </c>
      <c r="VLT2" t="s">
        <v>19516</v>
      </c>
      <c r="VLU2" t="s">
        <v>19517</v>
      </c>
      <c r="VLV2" t="s">
        <v>19518</v>
      </c>
      <c r="VLW2" t="s">
        <v>19519</v>
      </c>
      <c r="VLX2" t="s">
        <v>19520</v>
      </c>
      <c r="VLY2" t="s">
        <v>19521</v>
      </c>
      <c r="VLZ2" t="s">
        <v>19522</v>
      </c>
      <c r="VMA2" t="s">
        <v>19523</v>
      </c>
      <c r="VMB2" t="s">
        <v>19524</v>
      </c>
      <c r="VMC2" t="s">
        <v>19525</v>
      </c>
      <c r="VMD2" t="s">
        <v>19526</v>
      </c>
      <c r="VME2" t="s">
        <v>19527</v>
      </c>
      <c r="VMF2" t="s">
        <v>19528</v>
      </c>
      <c r="VMG2" t="s">
        <v>19529</v>
      </c>
      <c r="VMH2" t="s">
        <v>19530</v>
      </c>
      <c r="VMI2" t="s">
        <v>19531</v>
      </c>
      <c r="VMJ2" t="s">
        <v>19532</v>
      </c>
      <c r="VMK2" t="s">
        <v>19533</v>
      </c>
      <c r="VML2" t="s">
        <v>19534</v>
      </c>
      <c r="VMM2" t="s">
        <v>19535</v>
      </c>
      <c r="VMN2" t="s">
        <v>19536</v>
      </c>
      <c r="VMO2" t="s">
        <v>19537</v>
      </c>
      <c r="VMP2" t="s">
        <v>19538</v>
      </c>
      <c r="VMQ2" t="s">
        <v>19539</v>
      </c>
      <c r="VMR2" t="s">
        <v>19540</v>
      </c>
      <c r="VMS2" t="s">
        <v>19541</v>
      </c>
      <c r="VMT2" t="s">
        <v>19542</v>
      </c>
      <c r="VMU2" t="s">
        <v>19543</v>
      </c>
      <c r="VMV2" t="s">
        <v>19544</v>
      </c>
      <c r="VMW2" t="s">
        <v>19545</v>
      </c>
      <c r="VMX2" t="s">
        <v>19546</v>
      </c>
      <c r="VMY2" t="s">
        <v>19547</v>
      </c>
      <c r="VMZ2" t="s">
        <v>19548</v>
      </c>
      <c r="VNA2" t="s">
        <v>19549</v>
      </c>
      <c r="VNB2" t="s">
        <v>19550</v>
      </c>
      <c r="VNC2" t="s">
        <v>19551</v>
      </c>
      <c r="VND2" t="s">
        <v>19552</v>
      </c>
      <c r="VNE2" t="s">
        <v>19553</v>
      </c>
      <c r="VNF2" t="s">
        <v>19554</v>
      </c>
      <c r="VNG2" t="s">
        <v>19555</v>
      </c>
      <c r="VNH2" t="s">
        <v>19556</v>
      </c>
      <c r="VNI2" t="s">
        <v>19557</v>
      </c>
      <c r="VNJ2" t="s">
        <v>19558</v>
      </c>
      <c r="VNK2" t="s">
        <v>19559</v>
      </c>
      <c r="VNL2" t="s">
        <v>19560</v>
      </c>
      <c r="VNM2" t="s">
        <v>19561</v>
      </c>
      <c r="VNN2" t="s">
        <v>19562</v>
      </c>
      <c r="VNO2" t="s">
        <v>19563</v>
      </c>
      <c r="VNP2" t="s">
        <v>19564</v>
      </c>
      <c r="VNQ2" t="s">
        <v>19565</v>
      </c>
      <c r="VNR2" t="s">
        <v>19566</v>
      </c>
      <c r="VNS2" t="s">
        <v>19567</v>
      </c>
      <c r="VNT2" t="s">
        <v>19568</v>
      </c>
      <c r="VNU2" t="s">
        <v>19569</v>
      </c>
      <c r="VNV2" t="s">
        <v>19570</v>
      </c>
      <c r="VNW2" t="s">
        <v>19571</v>
      </c>
      <c r="VNX2" t="s">
        <v>19572</v>
      </c>
      <c r="VNY2" t="s">
        <v>19573</v>
      </c>
      <c r="VNZ2" t="s">
        <v>19574</v>
      </c>
      <c r="VOA2" t="s">
        <v>19575</v>
      </c>
      <c r="VOB2" t="s">
        <v>19576</v>
      </c>
      <c r="VOC2" t="s">
        <v>19577</v>
      </c>
      <c r="VOD2" t="s">
        <v>19578</v>
      </c>
      <c r="VOE2" t="s">
        <v>19579</v>
      </c>
      <c r="VOF2" t="s">
        <v>19580</v>
      </c>
      <c r="VOG2" t="s">
        <v>19581</v>
      </c>
      <c r="VOH2" t="s">
        <v>19582</v>
      </c>
      <c r="VOI2" t="s">
        <v>19583</v>
      </c>
      <c r="VOJ2" t="s">
        <v>19584</v>
      </c>
      <c r="VOK2" t="s">
        <v>19585</v>
      </c>
      <c r="VOL2" t="s">
        <v>19586</v>
      </c>
      <c r="VOM2" t="s">
        <v>19587</v>
      </c>
      <c r="VON2" t="s">
        <v>19588</v>
      </c>
      <c r="VOO2" t="s">
        <v>19589</v>
      </c>
      <c r="VOP2" t="s">
        <v>19590</v>
      </c>
      <c r="VOQ2" t="s">
        <v>19591</v>
      </c>
      <c r="VOR2" t="s">
        <v>19592</v>
      </c>
      <c r="VOS2" t="s">
        <v>19593</v>
      </c>
      <c r="VOT2" t="s">
        <v>19594</v>
      </c>
      <c r="VOU2" t="s">
        <v>19595</v>
      </c>
      <c r="VOV2" t="s">
        <v>19596</v>
      </c>
      <c r="VOW2" t="s">
        <v>19597</v>
      </c>
      <c r="VOX2" t="s">
        <v>19598</v>
      </c>
      <c r="VOY2" t="s">
        <v>19599</v>
      </c>
      <c r="VOZ2" t="s">
        <v>19600</v>
      </c>
      <c r="VPA2" t="s">
        <v>19601</v>
      </c>
      <c r="VPB2" t="s">
        <v>19602</v>
      </c>
      <c r="VPC2" t="s">
        <v>19603</v>
      </c>
      <c r="VPD2" t="s">
        <v>19604</v>
      </c>
      <c r="VPE2" t="s">
        <v>19605</v>
      </c>
      <c r="VPF2" t="s">
        <v>19606</v>
      </c>
      <c r="VPG2" t="s">
        <v>19607</v>
      </c>
      <c r="VPH2" t="s">
        <v>19608</v>
      </c>
      <c r="VPI2" t="s">
        <v>19609</v>
      </c>
      <c r="VPJ2" t="s">
        <v>19610</v>
      </c>
      <c r="VPK2" t="s">
        <v>19611</v>
      </c>
      <c r="VPL2" t="s">
        <v>19612</v>
      </c>
      <c r="VPM2" t="s">
        <v>19613</v>
      </c>
      <c r="VPN2" t="s">
        <v>19614</v>
      </c>
      <c r="VPO2" t="s">
        <v>19615</v>
      </c>
      <c r="VPP2" t="s">
        <v>19616</v>
      </c>
      <c r="VPQ2" t="s">
        <v>19617</v>
      </c>
      <c r="VPR2" t="s">
        <v>19618</v>
      </c>
      <c r="VPS2" t="s">
        <v>19619</v>
      </c>
      <c r="VPT2" t="s">
        <v>19620</v>
      </c>
      <c r="VPU2" t="s">
        <v>19621</v>
      </c>
      <c r="VPV2" t="s">
        <v>19622</v>
      </c>
      <c r="VPW2" t="s">
        <v>19623</v>
      </c>
      <c r="VPX2" t="s">
        <v>19624</v>
      </c>
      <c r="VPY2" t="s">
        <v>19625</v>
      </c>
      <c r="VPZ2" t="s">
        <v>19626</v>
      </c>
      <c r="VQA2" t="s">
        <v>19627</v>
      </c>
      <c r="VQB2" t="s">
        <v>19628</v>
      </c>
      <c r="VQC2" t="s">
        <v>19629</v>
      </c>
      <c r="VQD2" t="s">
        <v>19630</v>
      </c>
      <c r="VQE2" t="s">
        <v>19631</v>
      </c>
      <c r="VQF2" t="s">
        <v>19632</v>
      </c>
      <c r="VQG2" t="s">
        <v>19633</v>
      </c>
      <c r="VQH2" t="s">
        <v>19634</v>
      </c>
      <c r="VQI2" t="s">
        <v>19635</v>
      </c>
      <c r="VQJ2" t="s">
        <v>19636</v>
      </c>
      <c r="VQK2" t="s">
        <v>19637</v>
      </c>
      <c r="VQL2" t="s">
        <v>19638</v>
      </c>
      <c r="VQM2" t="s">
        <v>19639</v>
      </c>
      <c r="VQN2" t="s">
        <v>19640</v>
      </c>
      <c r="VQO2" t="s">
        <v>19641</v>
      </c>
      <c r="VQP2" t="s">
        <v>19642</v>
      </c>
      <c r="VQQ2" t="s">
        <v>19643</v>
      </c>
      <c r="VQR2" t="s">
        <v>19644</v>
      </c>
      <c r="VQS2" t="s">
        <v>19645</v>
      </c>
      <c r="VQT2" t="s">
        <v>19646</v>
      </c>
      <c r="VQU2" t="s">
        <v>19647</v>
      </c>
      <c r="VQV2" t="s">
        <v>19648</v>
      </c>
      <c r="VQW2" t="s">
        <v>19649</v>
      </c>
      <c r="VQX2" t="s">
        <v>19650</v>
      </c>
      <c r="VQY2" t="s">
        <v>19651</v>
      </c>
      <c r="VQZ2" t="s">
        <v>19652</v>
      </c>
      <c r="VRA2" t="s">
        <v>19653</v>
      </c>
      <c r="VRB2" t="s">
        <v>19654</v>
      </c>
      <c r="VRC2" t="s">
        <v>19655</v>
      </c>
      <c r="VRD2" t="s">
        <v>19656</v>
      </c>
      <c r="VRE2" t="s">
        <v>19657</v>
      </c>
      <c r="VRF2" t="s">
        <v>19658</v>
      </c>
      <c r="VRG2" t="s">
        <v>19659</v>
      </c>
      <c r="VRH2" t="s">
        <v>19660</v>
      </c>
      <c r="VRI2" t="s">
        <v>19661</v>
      </c>
      <c r="VRJ2" t="s">
        <v>19662</v>
      </c>
      <c r="VRK2" t="s">
        <v>19663</v>
      </c>
      <c r="VRL2" t="s">
        <v>19664</v>
      </c>
      <c r="VRM2" t="s">
        <v>19665</v>
      </c>
      <c r="VRN2" t="s">
        <v>19666</v>
      </c>
      <c r="VRO2" t="s">
        <v>19667</v>
      </c>
      <c r="VRP2" t="s">
        <v>19668</v>
      </c>
      <c r="VRQ2" t="s">
        <v>19669</v>
      </c>
      <c r="VRR2" t="s">
        <v>19670</v>
      </c>
      <c r="VRS2" t="s">
        <v>19671</v>
      </c>
      <c r="VRT2" t="s">
        <v>19672</v>
      </c>
      <c r="VRU2" t="s">
        <v>19673</v>
      </c>
      <c r="VRV2" t="s">
        <v>19674</v>
      </c>
      <c r="VRW2" t="s">
        <v>19675</v>
      </c>
      <c r="VRX2" t="s">
        <v>19676</v>
      </c>
      <c r="VRY2" t="s">
        <v>19677</v>
      </c>
      <c r="VRZ2" t="s">
        <v>19678</v>
      </c>
      <c r="VSA2" t="s">
        <v>19679</v>
      </c>
      <c r="VSB2" t="s">
        <v>19680</v>
      </c>
      <c r="VSC2" t="s">
        <v>19681</v>
      </c>
      <c r="VSD2" t="s">
        <v>19682</v>
      </c>
      <c r="VSE2" t="s">
        <v>19683</v>
      </c>
      <c r="VSF2" t="s">
        <v>19684</v>
      </c>
      <c r="VSG2" t="s">
        <v>19685</v>
      </c>
      <c r="VSH2" t="s">
        <v>19686</v>
      </c>
      <c r="VSI2" t="s">
        <v>19687</v>
      </c>
      <c r="VSJ2" t="s">
        <v>19688</v>
      </c>
      <c r="VSK2" t="s">
        <v>19689</v>
      </c>
      <c r="VSL2" t="s">
        <v>19690</v>
      </c>
      <c r="VSM2" t="s">
        <v>19691</v>
      </c>
      <c r="VSN2" t="s">
        <v>19692</v>
      </c>
      <c r="VSO2" t="s">
        <v>19693</v>
      </c>
      <c r="VSP2" t="s">
        <v>19694</v>
      </c>
      <c r="VSQ2" t="s">
        <v>19695</v>
      </c>
      <c r="VSR2" t="s">
        <v>19696</v>
      </c>
      <c r="VSS2" t="s">
        <v>19697</v>
      </c>
      <c r="VST2" t="s">
        <v>19698</v>
      </c>
      <c r="VSU2" t="s">
        <v>19699</v>
      </c>
      <c r="VSV2" t="s">
        <v>19700</v>
      </c>
      <c r="VSW2" t="s">
        <v>19701</v>
      </c>
      <c r="VSX2" t="s">
        <v>19702</v>
      </c>
      <c r="VSY2" t="s">
        <v>19703</v>
      </c>
      <c r="VSZ2" t="s">
        <v>19704</v>
      </c>
      <c r="VTA2" t="s">
        <v>19705</v>
      </c>
      <c r="VTB2" t="s">
        <v>19706</v>
      </c>
      <c r="VTC2" t="s">
        <v>19707</v>
      </c>
      <c r="VTD2" t="s">
        <v>19708</v>
      </c>
      <c r="VTE2" t="s">
        <v>19709</v>
      </c>
      <c r="VTF2" t="s">
        <v>19710</v>
      </c>
      <c r="VTG2" t="s">
        <v>19711</v>
      </c>
      <c r="VTH2" t="s">
        <v>19712</v>
      </c>
      <c r="VTI2" t="s">
        <v>19713</v>
      </c>
      <c r="VTJ2" t="s">
        <v>19714</v>
      </c>
      <c r="VTK2" t="s">
        <v>19715</v>
      </c>
      <c r="VTL2" t="s">
        <v>19716</v>
      </c>
      <c r="VTM2" t="s">
        <v>19717</v>
      </c>
      <c r="VTN2" t="s">
        <v>19718</v>
      </c>
      <c r="VTO2" t="s">
        <v>19719</v>
      </c>
      <c r="VTP2" t="s">
        <v>19720</v>
      </c>
      <c r="VTQ2" t="s">
        <v>19721</v>
      </c>
      <c r="VTR2" t="s">
        <v>19722</v>
      </c>
      <c r="VTS2" t="s">
        <v>19723</v>
      </c>
      <c r="VTT2" t="s">
        <v>19724</v>
      </c>
      <c r="VTU2" t="s">
        <v>19725</v>
      </c>
      <c r="VTV2" t="s">
        <v>19726</v>
      </c>
      <c r="VTW2" t="s">
        <v>19727</v>
      </c>
      <c r="VTX2" t="s">
        <v>19728</v>
      </c>
      <c r="VTY2" t="s">
        <v>19729</v>
      </c>
      <c r="VTZ2" t="s">
        <v>19730</v>
      </c>
      <c r="VUA2" t="s">
        <v>19731</v>
      </c>
      <c r="VUB2" t="s">
        <v>19732</v>
      </c>
      <c r="VUC2" t="s">
        <v>19733</v>
      </c>
      <c r="VUD2" t="s">
        <v>19734</v>
      </c>
      <c r="VUE2" t="s">
        <v>19735</v>
      </c>
      <c r="VUF2" t="s">
        <v>19736</v>
      </c>
      <c r="VUG2" t="s">
        <v>19737</v>
      </c>
      <c r="VUH2" t="s">
        <v>19738</v>
      </c>
      <c r="VUI2" t="s">
        <v>19739</v>
      </c>
      <c r="VUJ2" t="s">
        <v>19740</v>
      </c>
      <c r="VUK2" t="s">
        <v>19741</v>
      </c>
      <c r="VUL2" t="s">
        <v>19742</v>
      </c>
      <c r="VUM2" t="s">
        <v>19743</v>
      </c>
      <c r="VUN2" t="s">
        <v>19744</v>
      </c>
      <c r="VUO2" t="s">
        <v>19745</v>
      </c>
      <c r="VUP2" t="s">
        <v>19746</v>
      </c>
      <c r="VUQ2" t="s">
        <v>19747</v>
      </c>
      <c r="VUR2" t="s">
        <v>19748</v>
      </c>
      <c r="VUS2" t="s">
        <v>19749</v>
      </c>
      <c r="VUT2" t="s">
        <v>19750</v>
      </c>
      <c r="VUU2" t="s">
        <v>19751</v>
      </c>
      <c r="VUV2" t="s">
        <v>19752</v>
      </c>
      <c r="VUW2" t="s">
        <v>19753</v>
      </c>
      <c r="VUX2" t="s">
        <v>19754</v>
      </c>
      <c r="VUY2" t="s">
        <v>19755</v>
      </c>
      <c r="VUZ2" t="s">
        <v>19756</v>
      </c>
      <c r="VVA2" t="s">
        <v>19757</v>
      </c>
      <c r="VVB2" t="s">
        <v>19758</v>
      </c>
      <c r="VVC2" t="s">
        <v>19759</v>
      </c>
      <c r="VVD2" t="s">
        <v>19760</v>
      </c>
      <c r="VVE2" t="s">
        <v>19761</v>
      </c>
      <c r="VVF2" t="s">
        <v>19762</v>
      </c>
      <c r="VVG2" t="s">
        <v>19763</v>
      </c>
      <c r="VVH2" t="s">
        <v>19764</v>
      </c>
      <c r="VVI2" t="s">
        <v>19765</v>
      </c>
      <c r="VVJ2" t="s">
        <v>19766</v>
      </c>
      <c r="VVK2" t="s">
        <v>19767</v>
      </c>
      <c r="VVL2" t="s">
        <v>19768</v>
      </c>
      <c r="VVM2" t="s">
        <v>19769</v>
      </c>
      <c r="VVN2" t="s">
        <v>19770</v>
      </c>
      <c r="VVO2" t="s">
        <v>19771</v>
      </c>
      <c r="VVP2" t="s">
        <v>19772</v>
      </c>
      <c r="VVQ2" t="s">
        <v>19773</v>
      </c>
      <c r="VVR2" t="s">
        <v>19774</v>
      </c>
      <c r="VVS2" t="s">
        <v>19775</v>
      </c>
      <c r="VVT2" t="s">
        <v>19776</v>
      </c>
      <c r="VVU2" t="s">
        <v>19777</v>
      </c>
      <c r="VVV2" t="s">
        <v>19778</v>
      </c>
      <c r="VVW2" t="s">
        <v>19779</v>
      </c>
      <c r="VVX2" t="s">
        <v>19780</v>
      </c>
      <c r="VVY2" t="s">
        <v>19781</v>
      </c>
      <c r="VVZ2" t="s">
        <v>19782</v>
      </c>
      <c r="VWA2" t="s">
        <v>19783</v>
      </c>
      <c r="VWB2" t="s">
        <v>19784</v>
      </c>
      <c r="VWC2" t="s">
        <v>19785</v>
      </c>
      <c r="VWD2" t="s">
        <v>19786</v>
      </c>
      <c r="VWE2" t="s">
        <v>19787</v>
      </c>
      <c r="VWF2" t="s">
        <v>19788</v>
      </c>
      <c r="VWG2" t="s">
        <v>19789</v>
      </c>
      <c r="VWH2" t="s">
        <v>19790</v>
      </c>
      <c r="VWI2" t="s">
        <v>19791</v>
      </c>
      <c r="VWJ2" t="s">
        <v>19792</v>
      </c>
      <c r="VWK2" t="s">
        <v>19793</v>
      </c>
      <c r="VWL2" t="s">
        <v>19794</v>
      </c>
      <c r="VWM2" t="s">
        <v>19795</v>
      </c>
      <c r="VWN2" t="s">
        <v>19796</v>
      </c>
      <c r="VWO2" t="s">
        <v>19797</v>
      </c>
      <c r="VWP2" t="s">
        <v>19798</v>
      </c>
      <c r="VWQ2" t="s">
        <v>19799</v>
      </c>
      <c r="VWR2" t="s">
        <v>19800</v>
      </c>
      <c r="VWS2" t="s">
        <v>19801</v>
      </c>
      <c r="VWT2" t="s">
        <v>19802</v>
      </c>
      <c r="VWU2" t="s">
        <v>19803</v>
      </c>
      <c r="VWV2" t="s">
        <v>19804</v>
      </c>
      <c r="VWW2" t="s">
        <v>19805</v>
      </c>
      <c r="VWX2" t="s">
        <v>19806</v>
      </c>
      <c r="VWY2" t="s">
        <v>19807</v>
      </c>
      <c r="VWZ2" t="s">
        <v>19808</v>
      </c>
      <c r="VXA2" t="s">
        <v>19809</v>
      </c>
      <c r="VXB2" t="s">
        <v>19810</v>
      </c>
      <c r="VXC2" t="s">
        <v>19811</v>
      </c>
      <c r="VXD2" t="s">
        <v>19812</v>
      </c>
      <c r="VXE2" t="s">
        <v>19813</v>
      </c>
      <c r="VXF2" t="s">
        <v>19814</v>
      </c>
      <c r="VXG2" t="s">
        <v>19815</v>
      </c>
      <c r="VXH2" t="s">
        <v>19816</v>
      </c>
      <c r="VXI2" t="s">
        <v>19817</v>
      </c>
      <c r="VXJ2" t="s">
        <v>19818</v>
      </c>
      <c r="VXK2" t="s">
        <v>19819</v>
      </c>
      <c r="VXL2" t="s">
        <v>19820</v>
      </c>
      <c r="VXM2" t="s">
        <v>19821</v>
      </c>
      <c r="VXN2" t="s">
        <v>19822</v>
      </c>
      <c r="VXO2" t="s">
        <v>19823</v>
      </c>
      <c r="VXP2" t="s">
        <v>19824</v>
      </c>
      <c r="VXQ2" t="s">
        <v>19825</v>
      </c>
      <c r="VXR2" t="s">
        <v>19826</v>
      </c>
      <c r="VXS2" t="s">
        <v>19827</v>
      </c>
      <c r="VXT2" t="s">
        <v>19828</v>
      </c>
      <c r="VXU2" t="s">
        <v>19829</v>
      </c>
      <c r="VXV2" t="s">
        <v>19830</v>
      </c>
      <c r="VXW2" t="s">
        <v>19831</v>
      </c>
      <c r="VXX2" t="s">
        <v>19832</v>
      </c>
      <c r="VXY2" t="s">
        <v>19833</v>
      </c>
      <c r="VXZ2" t="s">
        <v>19834</v>
      </c>
      <c r="VYA2" t="s">
        <v>19835</v>
      </c>
      <c r="VYB2" t="s">
        <v>19836</v>
      </c>
      <c r="VYC2" t="s">
        <v>19837</v>
      </c>
      <c r="VYD2" t="s">
        <v>19838</v>
      </c>
      <c r="VYE2" t="s">
        <v>19839</v>
      </c>
      <c r="VYF2" t="s">
        <v>19840</v>
      </c>
      <c r="VYG2" t="s">
        <v>19841</v>
      </c>
      <c r="VYH2" t="s">
        <v>19842</v>
      </c>
      <c r="VYI2" t="s">
        <v>19843</v>
      </c>
      <c r="VYJ2" t="s">
        <v>19844</v>
      </c>
      <c r="VYK2" t="s">
        <v>19845</v>
      </c>
      <c r="VYL2" t="s">
        <v>19846</v>
      </c>
      <c r="VYM2" t="s">
        <v>19847</v>
      </c>
      <c r="VYN2" t="s">
        <v>19848</v>
      </c>
      <c r="VYO2" t="s">
        <v>19849</v>
      </c>
      <c r="VYP2" t="s">
        <v>19850</v>
      </c>
      <c r="VYQ2" t="s">
        <v>19851</v>
      </c>
      <c r="VYR2" t="s">
        <v>19852</v>
      </c>
      <c r="VYS2" t="s">
        <v>19853</v>
      </c>
      <c r="VYT2" t="s">
        <v>19854</v>
      </c>
      <c r="VYU2" t="s">
        <v>19855</v>
      </c>
      <c r="VYV2" t="s">
        <v>19856</v>
      </c>
      <c r="VYW2" t="s">
        <v>19857</v>
      </c>
      <c r="VYX2" t="s">
        <v>19858</v>
      </c>
      <c r="VYY2" t="s">
        <v>19859</v>
      </c>
      <c r="VYZ2" t="s">
        <v>19860</v>
      </c>
      <c r="VZA2" t="s">
        <v>19861</v>
      </c>
      <c r="VZB2" t="s">
        <v>19862</v>
      </c>
      <c r="VZC2" t="s">
        <v>19863</v>
      </c>
      <c r="VZD2" t="s">
        <v>19864</v>
      </c>
      <c r="VZE2" t="s">
        <v>19865</v>
      </c>
      <c r="VZF2" t="s">
        <v>19866</v>
      </c>
      <c r="VZG2" t="s">
        <v>19867</v>
      </c>
      <c r="VZH2" t="s">
        <v>19868</v>
      </c>
      <c r="VZI2" t="s">
        <v>19869</v>
      </c>
      <c r="VZJ2" t="s">
        <v>19870</v>
      </c>
      <c r="VZK2" t="s">
        <v>19871</v>
      </c>
      <c r="VZL2" t="s">
        <v>19872</v>
      </c>
      <c r="VZM2" t="s">
        <v>19873</v>
      </c>
      <c r="VZN2" t="s">
        <v>19874</v>
      </c>
      <c r="VZO2" t="s">
        <v>19875</v>
      </c>
      <c r="VZP2" t="s">
        <v>19876</v>
      </c>
      <c r="VZQ2" t="s">
        <v>19877</v>
      </c>
      <c r="VZR2" t="s">
        <v>19878</v>
      </c>
      <c r="VZS2" t="s">
        <v>19879</v>
      </c>
      <c r="VZT2" t="s">
        <v>19880</v>
      </c>
      <c r="VZU2" t="s">
        <v>19881</v>
      </c>
      <c r="VZV2" t="s">
        <v>19882</v>
      </c>
      <c r="VZW2" t="s">
        <v>19883</v>
      </c>
      <c r="VZX2" t="s">
        <v>19884</v>
      </c>
      <c r="VZY2" t="s">
        <v>19885</v>
      </c>
      <c r="VZZ2" t="s">
        <v>19886</v>
      </c>
      <c r="WAA2" t="s">
        <v>19887</v>
      </c>
      <c r="WAB2" t="s">
        <v>19888</v>
      </c>
      <c r="WAC2" t="s">
        <v>19889</v>
      </c>
      <c r="WAD2" t="s">
        <v>19890</v>
      </c>
      <c r="WAE2" t="s">
        <v>19891</v>
      </c>
      <c r="WAF2" t="s">
        <v>19892</v>
      </c>
      <c r="WAG2" t="s">
        <v>19893</v>
      </c>
      <c r="WAH2" t="s">
        <v>19894</v>
      </c>
      <c r="WAI2" t="s">
        <v>19895</v>
      </c>
      <c r="WAJ2" t="s">
        <v>19896</v>
      </c>
      <c r="WAK2" t="s">
        <v>19897</v>
      </c>
      <c r="WAL2" t="s">
        <v>19898</v>
      </c>
      <c r="WAM2" t="s">
        <v>19899</v>
      </c>
      <c r="WAN2" t="s">
        <v>19900</v>
      </c>
      <c r="WAO2" t="s">
        <v>19901</v>
      </c>
      <c r="WAP2" t="s">
        <v>19902</v>
      </c>
      <c r="WAQ2" t="s">
        <v>19903</v>
      </c>
      <c r="WAR2" t="s">
        <v>19904</v>
      </c>
      <c r="WAS2" t="s">
        <v>19905</v>
      </c>
      <c r="WAT2" t="s">
        <v>19906</v>
      </c>
      <c r="WAU2" t="s">
        <v>19907</v>
      </c>
      <c r="WAV2" t="s">
        <v>19908</v>
      </c>
      <c r="WAW2" t="s">
        <v>19909</v>
      </c>
      <c r="WAX2" t="s">
        <v>19910</v>
      </c>
      <c r="WAY2" t="s">
        <v>19911</v>
      </c>
      <c r="WAZ2" t="s">
        <v>19912</v>
      </c>
      <c r="WBA2" t="s">
        <v>19913</v>
      </c>
      <c r="WBB2" t="s">
        <v>19914</v>
      </c>
      <c r="WBC2" t="s">
        <v>19915</v>
      </c>
      <c r="WBD2" t="s">
        <v>19916</v>
      </c>
      <c r="WBE2" t="s">
        <v>19917</v>
      </c>
      <c r="WBF2" t="s">
        <v>19918</v>
      </c>
      <c r="WBG2" t="s">
        <v>19919</v>
      </c>
      <c r="WBH2" t="s">
        <v>19920</v>
      </c>
      <c r="WBI2" t="s">
        <v>19921</v>
      </c>
      <c r="WBJ2" t="s">
        <v>19922</v>
      </c>
      <c r="WBK2" t="s">
        <v>19923</v>
      </c>
      <c r="WBL2" t="s">
        <v>19924</v>
      </c>
      <c r="WBM2" t="s">
        <v>19925</v>
      </c>
      <c r="WBN2" t="s">
        <v>19926</v>
      </c>
      <c r="WBO2" t="s">
        <v>19927</v>
      </c>
      <c r="WBP2" t="s">
        <v>19928</v>
      </c>
      <c r="WBQ2" t="s">
        <v>19929</v>
      </c>
      <c r="WBR2" t="s">
        <v>19930</v>
      </c>
      <c r="WBS2" t="s">
        <v>19931</v>
      </c>
      <c r="WBT2" t="s">
        <v>19932</v>
      </c>
      <c r="WBU2" t="s">
        <v>19933</v>
      </c>
      <c r="WBV2" t="s">
        <v>19934</v>
      </c>
      <c r="WBW2" t="s">
        <v>19935</v>
      </c>
      <c r="WBX2" t="s">
        <v>19936</v>
      </c>
      <c r="WBY2" t="s">
        <v>19937</v>
      </c>
      <c r="WBZ2" t="s">
        <v>19938</v>
      </c>
      <c r="WCA2" t="s">
        <v>19939</v>
      </c>
      <c r="WCB2" t="s">
        <v>19940</v>
      </c>
      <c r="WCC2" t="s">
        <v>19941</v>
      </c>
      <c r="WCD2" t="s">
        <v>19942</v>
      </c>
      <c r="WCE2" t="s">
        <v>19943</v>
      </c>
      <c r="WCF2" t="s">
        <v>19944</v>
      </c>
      <c r="WCG2" t="s">
        <v>19945</v>
      </c>
      <c r="WCH2" t="s">
        <v>19946</v>
      </c>
      <c r="WCI2" t="s">
        <v>19947</v>
      </c>
      <c r="WCJ2" t="s">
        <v>19948</v>
      </c>
      <c r="WCK2" t="s">
        <v>19949</v>
      </c>
      <c r="WCL2" t="s">
        <v>19950</v>
      </c>
      <c r="WCM2" t="s">
        <v>19951</v>
      </c>
      <c r="WCN2" t="s">
        <v>19952</v>
      </c>
      <c r="WCO2" t="s">
        <v>19953</v>
      </c>
      <c r="WCP2" t="s">
        <v>19954</v>
      </c>
      <c r="WCQ2" t="s">
        <v>19955</v>
      </c>
      <c r="WCR2" t="s">
        <v>19956</v>
      </c>
      <c r="WCS2" t="s">
        <v>19957</v>
      </c>
      <c r="WCT2" t="s">
        <v>19958</v>
      </c>
      <c r="WCU2" t="s">
        <v>19959</v>
      </c>
      <c r="WCV2" t="s">
        <v>19960</v>
      </c>
      <c r="WCW2" t="s">
        <v>19961</v>
      </c>
      <c r="WCX2" t="s">
        <v>19962</v>
      </c>
      <c r="WCY2" t="s">
        <v>19963</v>
      </c>
      <c r="WCZ2" t="s">
        <v>19964</v>
      </c>
      <c r="WDA2" t="s">
        <v>19965</v>
      </c>
      <c r="WDB2" t="s">
        <v>19966</v>
      </c>
      <c r="WDC2" t="s">
        <v>19967</v>
      </c>
      <c r="WDD2" t="s">
        <v>19968</v>
      </c>
      <c r="WDE2" t="s">
        <v>19969</v>
      </c>
      <c r="WDF2" t="s">
        <v>19970</v>
      </c>
      <c r="WDG2" t="s">
        <v>19971</v>
      </c>
      <c r="WDH2" t="s">
        <v>19972</v>
      </c>
      <c r="WDI2" t="s">
        <v>19973</v>
      </c>
      <c r="WDJ2" t="s">
        <v>19974</v>
      </c>
      <c r="WDK2" t="s">
        <v>19975</v>
      </c>
      <c r="WDL2" t="s">
        <v>19976</v>
      </c>
      <c r="WDM2" t="s">
        <v>19977</v>
      </c>
      <c r="WDN2" t="s">
        <v>19978</v>
      </c>
      <c r="WDO2" t="s">
        <v>19979</v>
      </c>
      <c r="WDP2" t="s">
        <v>19980</v>
      </c>
      <c r="WDQ2" t="s">
        <v>19981</v>
      </c>
      <c r="WDR2" t="s">
        <v>19982</v>
      </c>
      <c r="WDS2" t="s">
        <v>19983</v>
      </c>
      <c r="WDT2" t="s">
        <v>19984</v>
      </c>
      <c r="WDU2" t="s">
        <v>19985</v>
      </c>
      <c r="WDV2" t="s">
        <v>19986</v>
      </c>
      <c r="WDW2" t="s">
        <v>19987</v>
      </c>
      <c r="WDX2" t="s">
        <v>19988</v>
      </c>
      <c r="WDY2" t="s">
        <v>19989</v>
      </c>
      <c r="WDZ2" t="s">
        <v>19990</v>
      </c>
      <c r="WEA2" t="s">
        <v>19991</v>
      </c>
      <c r="WEB2" t="s">
        <v>19992</v>
      </c>
      <c r="WEC2" t="s">
        <v>19993</v>
      </c>
      <c r="WED2" t="s">
        <v>19994</v>
      </c>
      <c r="WEE2" t="s">
        <v>19995</v>
      </c>
      <c r="WEF2" t="s">
        <v>19996</v>
      </c>
      <c r="WEG2" t="s">
        <v>19997</v>
      </c>
      <c r="WEH2" t="s">
        <v>19998</v>
      </c>
      <c r="WEI2" t="s">
        <v>19999</v>
      </c>
      <c r="WEJ2" t="s">
        <v>20000</v>
      </c>
      <c r="WEK2" t="s">
        <v>20001</v>
      </c>
      <c r="WEL2" t="s">
        <v>20002</v>
      </c>
      <c r="WEM2" t="s">
        <v>20003</v>
      </c>
      <c r="WEN2" t="s">
        <v>20004</v>
      </c>
      <c r="WEO2" t="s">
        <v>20005</v>
      </c>
      <c r="WEP2" t="s">
        <v>20006</v>
      </c>
      <c r="WEQ2" t="s">
        <v>20007</v>
      </c>
      <c r="WER2" t="s">
        <v>20008</v>
      </c>
      <c r="WES2" t="s">
        <v>20009</v>
      </c>
      <c r="WET2" t="s">
        <v>20010</v>
      </c>
      <c r="WEU2" t="s">
        <v>20011</v>
      </c>
      <c r="WEV2" t="s">
        <v>20012</v>
      </c>
      <c r="WEW2" t="s">
        <v>20013</v>
      </c>
      <c r="WEX2" t="s">
        <v>20014</v>
      </c>
      <c r="WEY2" t="s">
        <v>20015</v>
      </c>
      <c r="WEZ2" t="s">
        <v>20016</v>
      </c>
      <c r="WFA2" t="s">
        <v>20017</v>
      </c>
      <c r="WFB2" t="s">
        <v>20018</v>
      </c>
      <c r="WFC2" t="s">
        <v>20019</v>
      </c>
      <c r="WFD2" t="s">
        <v>20020</v>
      </c>
      <c r="WFE2" t="s">
        <v>20021</v>
      </c>
      <c r="WFF2" t="s">
        <v>20022</v>
      </c>
      <c r="WFG2" t="s">
        <v>20023</v>
      </c>
      <c r="WFH2" t="s">
        <v>20024</v>
      </c>
      <c r="WFI2" t="s">
        <v>20025</v>
      </c>
      <c r="WFJ2" t="s">
        <v>20026</v>
      </c>
      <c r="WFK2" t="s">
        <v>20027</v>
      </c>
      <c r="WFL2" t="s">
        <v>20028</v>
      </c>
      <c r="WFM2" t="s">
        <v>20029</v>
      </c>
      <c r="WFN2" t="s">
        <v>20030</v>
      </c>
      <c r="WFO2" t="s">
        <v>20031</v>
      </c>
      <c r="WFP2" t="s">
        <v>20032</v>
      </c>
      <c r="WFQ2" t="s">
        <v>20033</v>
      </c>
      <c r="WFR2" t="s">
        <v>20034</v>
      </c>
      <c r="WFS2" t="s">
        <v>20035</v>
      </c>
      <c r="WFT2" t="s">
        <v>20036</v>
      </c>
      <c r="WFU2" t="s">
        <v>20037</v>
      </c>
      <c r="WFV2" t="s">
        <v>20038</v>
      </c>
      <c r="WFW2" t="s">
        <v>20039</v>
      </c>
      <c r="WFX2" t="s">
        <v>20040</v>
      </c>
      <c r="WFY2" t="s">
        <v>20041</v>
      </c>
      <c r="WFZ2" t="s">
        <v>20042</v>
      </c>
      <c r="WGA2" t="s">
        <v>20043</v>
      </c>
      <c r="WGB2" t="s">
        <v>20044</v>
      </c>
      <c r="WGC2" t="s">
        <v>20045</v>
      </c>
      <c r="WGD2" t="s">
        <v>20046</v>
      </c>
      <c r="WGE2" t="s">
        <v>20047</v>
      </c>
      <c r="WGF2" t="s">
        <v>20048</v>
      </c>
      <c r="WGG2" t="s">
        <v>20049</v>
      </c>
      <c r="WGH2" t="s">
        <v>20050</v>
      </c>
      <c r="WGI2" t="s">
        <v>20051</v>
      </c>
      <c r="WGJ2" t="s">
        <v>20052</v>
      </c>
      <c r="WGK2" t="s">
        <v>20053</v>
      </c>
      <c r="WGL2" t="s">
        <v>20054</v>
      </c>
      <c r="WGM2" t="s">
        <v>20055</v>
      </c>
      <c r="WGN2" t="s">
        <v>20056</v>
      </c>
      <c r="WGO2" t="s">
        <v>20057</v>
      </c>
      <c r="WGP2" t="s">
        <v>20058</v>
      </c>
      <c r="WGQ2" t="s">
        <v>20059</v>
      </c>
      <c r="WGR2" t="s">
        <v>20060</v>
      </c>
      <c r="WGS2" t="s">
        <v>20061</v>
      </c>
      <c r="WGT2" t="s">
        <v>20062</v>
      </c>
      <c r="WGU2" t="s">
        <v>20063</v>
      </c>
      <c r="WGV2" t="s">
        <v>20064</v>
      </c>
      <c r="WGW2" t="s">
        <v>20065</v>
      </c>
      <c r="WGX2" t="s">
        <v>20066</v>
      </c>
      <c r="WGY2" t="s">
        <v>20067</v>
      </c>
      <c r="WGZ2" t="s">
        <v>20068</v>
      </c>
      <c r="WHA2" t="s">
        <v>20069</v>
      </c>
      <c r="WHB2" t="s">
        <v>20070</v>
      </c>
      <c r="WHC2" t="s">
        <v>20071</v>
      </c>
      <c r="WHD2" t="s">
        <v>20072</v>
      </c>
      <c r="WHE2" t="s">
        <v>20073</v>
      </c>
      <c r="WHF2" t="s">
        <v>20074</v>
      </c>
      <c r="WHG2" t="s">
        <v>20075</v>
      </c>
      <c r="WHH2" t="s">
        <v>20076</v>
      </c>
      <c r="WHI2" t="s">
        <v>20077</v>
      </c>
      <c r="WHJ2" t="s">
        <v>20078</v>
      </c>
      <c r="WHK2" t="s">
        <v>20079</v>
      </c>
      <c r="WHL2" t="s">
        <v>20080</v>
      </c>
      <c r="WHM2" t="s">
        <v>20081</v>
      </c>
      <c r="WHN2" t="s">
        <v>20082</v>
      </c>
      <c r="WHO2" t="s">
        <v>20083</v>
      </c>
      <c r="WHP2" t="s">
        <v>20084</v>
      </c>
      <c r="WHQ2" t="s">
        <v>20085</v>
      </c>
      <c r="WHR2" t="s">
        <v>20086</v>
      </c>
      <c r="WHS2" t="s">
        <v>20087</v>
      </c>
      <c r="WHT2" t="s">
        <v>20088</v>
      </c>
      <c r="WHU2" t="s">
        <v>20089</v>
      </c>
      <c r="WHV2" t="s">
        <v>20090</v>
      </c>
      <c r="WHW2" t="s">
        <v>20091</v>
      </c>
      <c r="WHX2" t="s">
        <v>20092</v>
      </c>
      <c r="WHY2" t="s">
        <v>20093</v>
      </c>
      <c r="WHZ2" t="s">
        <v>20094</v>
      </c>
      <c r="WIA2" t="s">
        <v>20095</v>
      </c>
      <c r="WIB2" t="s">
        <v>20096</v>
      </c>
      <c r="WIC2" t="s">
        <v>20097</v>
      </c>
      <c r="WID2" t="s">
        <v>20098</v>
      </c>
      <c r="WIE2" t="s">
        <v>20099</v>
      </c>
      <c r="WIF2" t="s">
        <v>20100</v>
      </c>
      <c r="WIG2" t="s">
        <v>20101</v>
      </c>
      <c r="WIH2" t="s">
        <v>20102</v>
      </c>
      <c r="WII2" t="s">
        <v>20103</v>
      </c>
      <c r="WIJ2" t="s">
        <v>20104</v>
      </c>
      <c r="WIK2" t="s">
        <v>20105</v>
      </c>
      <c r="WIL2" t="s">
        <v>20106</v>
      </c>
      <c r="WIM2" t="s">
        <v>20107</v>
      </c>
      <c r="WIN2" t="s">
        <v>20108</v>
      </c>
      <c r="WIO2" t="s">
        <v>20109</v>
      </c>
      <c r="WIP2" t="s">
        <v>20110</v>
      </c>
      <c r="WIQ2" t="s">
        <v>20111</v>
      </c>
      <c r="WIR2" t="s">
        <v>20112</v>
      </c>
      <c r="WIS2" t="s">
        <v>20113</v>
      </c>
      <c r="WIT2" t="s">
        <v>20114</v>
      </c>
      <c r="WIU2" t="s">
        <v>20115</v>
      </c>
      <c r="WIV2" t="s">
        <v>20116</v>
      </c>
      <c r="WIW2" t="s">
        <v>20117</v>
      </c>
      <c r="WIX2" t="s">
        <v>20118</v>
      </c>
      <c r="WIY2" t="s">
        <v>20119</v>
      </c>
      <c r="WIZ2" t="s">
        <v>20120</v>
      </c>
      <c r="WJA2" t="s">
        <v>20121</v>
      </c>
      <c r="WJB2" t="s">
        <v>20122</v>
      </c>
      <c r="WJC2" t="s">
        <v>20123</v>
      </c>
      <c r="WJD2" t="s">
        <v>20124</v>
      </c>
      <c r="WJE2" t="s">
        <v>20125</v>
      </c>
      <c r="WJF2" t="s">
        <v>20126</v>
      </c>
      <c r="WJG2" t="s">
        <v>20127</v>
      </c>
      <c r="WJH2" t="s">
        <v>20128</v>
      </c>
      <c r="WJI2" t="s">
        <v>20129</v>
      </c>
      <c r="WJJ2" t="s">
        <v>20130</v>
      </c>
      <c r="WJK2" t="s">
        <v>20131</v>
      </c>
      <c r="WJL2" t="s">
        <v>20132</v>
      </c>
      <c r="WJM2" t="s">
        <v>20133</v>
      </c>
      <c r="WJN2" t="s">
        <v>20134</v>
      </c>
      <c r="WJO2" t="s">
        <v>20135</v>
      </c>
      <c r="WJP2" t="s">
        <v>20136</v>
      </c>
      <c r="WJQ2" t="s">
        <v>20137</v>
      </c>
      <c r="WJR2" t="s">
        <v>20138</v>
      </c>
      <c r="WJS2" t="s">
        <v>20139</v>
      </c>
      <c r="WJT2" t="s">
        <v>20140</v>
      </c>
      <c r="WJU2" t="s">
        <v>20141</v>
      </c>
      <c r="WJV2" t="s">
        <v>20142</v>
      </c>
      <c r="WJW2" t="s">
        <v>20143</v>
      </c>
      <c r="WJX2" t="s">
        <v>20144</v>
      </c>
      <c r="WJY2" t="s">
        <v>20145</v>
      </c>
      <c r="WJZ2" t="s">
        <v>20146</v>
      </c>
      <c r="WKA2" t="s">
        <v>20147</v>
      </c>
      <c r="WKB2" t="s">
        <v>20148</v>
      </c>
      <c r="WKC2" t="s">
        <v>20149</v>
      </c>
      <c r="WKD2" t="s">
        <v>20150</v>
      </c>
      <c r="WKE2" t="s">
        <v>20151</v>
      </c>
      <c r="WKF2" t="s">
        <v>20152</v>
      </c>
      <c r="WKG2" t="s">
        <v>20153</v>
      </c>
      <c r="WKH2" t="s">
        <v>20154</v>
      </c>
      <c r="WKI2" t="s">
        <v>20155</v>
      </c>
      <c r="WKJ2" t="s">
        <v>20156</v>
      </c>
      <c r="WKK2" t="s">
        <v>20157</v>
      </c>
      <c r="WKL2" t="s">
        <v>20158</v>
      </c>
      <c r="WKM2" t="s">
        <v>20159</v>
      </c>
      <c r="WKN2" t="s">
        <v>20160</v>
      </c>
      <c r="WKO2" t="s">
        <v>20161</v>
      </c>
      <c r="WKP2" t="s">
        <v>20162</v>
      </c>
      <c r="WKQ2" t="s">
        <v>20163</v>
      </c>
      <c r="WKR2" t="s">
        <v>20164</v>
      </c>
      <c r="WKS2" t="s">
        <v>20165</v>
      </c>
      <c r="WKT2" t="s">
        <v>20166</v>
      </c>
      <c r="WKU2" t="s">
        <v>20167</v>
      </c>
      <c r="WKV2" t="s">
        <v>20168</v>
      </c>
      <c r="WKW2" t="s">
        <v>20169</v>
      </c>
      <c r="WKX2" t="s">
        <v>20170</v>
      </c>
      <c r="WKY2" t="s">
        <v>20171</v>
      </c>
      <c r="WKZ2" t="s">
        <v>20172</v>
      </c>
      <c r="WLA2" t="s">
        <v>20173</v>
      </c>
      <c r="WLB2" t="s">
        <v>20174</v>
      </c>
      <c r="WLC2" t="s">
        <v>20175</v>
      </c>
      <c r="WLD2" t="s">
        <v>20176</v>
      </c>
      <c r="WLE2" t="s">
        <v>20177</v>
      </c>
      <c r="WLF2" t="s">
        <v>20178</v>
      </c>
      <c r="WLG2" t="s">
        <v>20179</v>
      </c>
      <c r="WLH2" t="s">
        <v>20180</v>
      </c>
      <c r="WLI2" t="s">
        <v>20181</v>
      </c>
      <c r="WLJ2" t="s">
        <v>20182</v>
      </c>
      <c r="WLK2" t="s">
        <v>20183</v>
      </c>
      <c r="WLL2" t="s">
        <v>20184</v>
      </c>
      <c r="WLM2" t="s">
        <v>20185</v>
      </c>
      <c r="WLN2" t="s">
        <v>20186</v>
      </c>
      <c r="WLO2" t="s">
        <v>20187</v>
      </c>
      <c r="WLP2" t="s">
        <v>20188</v>
      </c>
      <c r="WLQ2" t="s">
        <v>20189</v>
      </c>
      <c r="WLR2" t="s">
        <v>20190</v>
      </c>
      <c r="WLS2" t="s">
        <v>20191</v>
      </c>
      <c r="WLT2" t="s">
        <v>20192</v>
      </c>
      <c r="WLU2" t="s">
        <v>20193</v>
      </c>
      <c r="WLV2" t="s">
        <v>20194</v>
      </c>
      <c r="WLW2" t="s">
        <v>20195</v>
      </c>
      <c r="WLX2" t="s">
        <v>20196</v>
      </c>
      <c r="WLY2" t="s">
        <v>20197</v>
      </c>
      <c r="WLZ2" t="s">
        <v>20198</v>
      </c>
      <c r="WMA2" t="s">
        <v>20199</v>
      </c>
      <c r="WMB2" t="s">
        <v>20200</v>
      </c>
      <c r="WMC2" t="s">
        <v>20201</v>
      </c>
      <c r="WMD2" t="s">
        <v>20202</v>
      </c>
      <c r="WME2" t="s">
        <v>20203</v>
      </c>
      <c r="WMF2" t="s">
        <v>20204</v>
      </c>
      <c r="WMG2" t="s">
        <v>20205</v>
      </c>
      <c r="WMH2" t="s">
        <v>20206</v>
      </c>
      <c r="WMI2" t="s">
        <v>20207</v>
      </c>
      <c r="WMJ2" t="s">
        <v>20208</v>
      </c>
      <c r="WMK2" t="s">
        <v>20209</v>
      </c>
      <c r="WML2" t="s">
        <v>20210</v>
      </c>
      <c r="WMM2" t="s">
        <v>20211</v>
      </c>
      <c r="WMN2" t="s">
        <v>20212</v>
      </c>
      <c r="WMO2" t="s">
        <v>20213</v>
      </c>
      <c r="WMP2" t="s">
        <v>20214</v>
      </c>
      <c r="WMQ2" t="s">
        <v>20215</v>
      </c>
      <c r="WMR2" t="s">
        <v>20216</v>
      </c>
      <c r="WMS2" t="s">
        <v>20217</v>
      </c>
      <c r="WMT2" t="s">
        <v>20218</v>
      </c>
      <c r="WMU2" t="s">
        <v>20219</v>
      </c>
      <c r="WMV2" t="s">
        <v>20220</v>
      </c>
      <c r="WMW2" t="s">
        <v>20221</v>
      </c>
      <c r="WMX2" t="s">
        <v>20222</v>
      </c>
      <c r="WMY2" t="s">
        <v>20223</v>
      </c>
      <c r="WMZ2" t="s">
        <v>20224</v>
      </c>
      <c r="WNA2" t="s">
        <v>20225</v>
      </c>
      <c r="WNB2" t="s">
        <v>20226</v>
      </c>
      <c r="WNC2" t="s">
        <v>20227</v>
      </c>
      <c r="WND2" t="s">
        <v>20228</v>
      </c>
      <c r="WNE2" t="s">
        <v>20229</v>
      </c>
      <c r="WNF2" t="s">
        <v>20230</v>
      </c>
      <c r="WNG2" t="s">
        <v>20231</v>
      </c>
      <c r="WNH2" t="s">
        <v>20232</v>
      </c>
      <c r="WNI2" t="s">
        <v>20233</v>
      </c>
      <c r="WNJ2" t="s">
        <v>20234</v>
      </c>
      <c r="WNK2" t="s">
        <v>20235</v>
      </c>
      <c r="WNL2" t="s">
        <v>20236</v>
      </c>
      <c r="WNM2" t="s">
        <v>20237</v>
      </c>
      <c r="WNN2" t="s">
        <v>20238</v>
      </c>
      <c r="WNO2" t="s">
        <v>20239</v>
      </c>
      <c r="WNP2" t="s">
        <v>20240</v>
      </c>
      <c r="WNQ2" t="s">
        <v>20241</v>
      </c>
      <c r="WNR2" t="s">
        <v>20242</v>
      </c>
      <c r="WNS2" t="s">
        <v>20243</v>
      </c>
      <c r="WNT2" t="s">
        <v>20244</v>
      </c>
      <c r="WNU2" t="s">
        <v>20245</v>
      </c>
      <c r="WNV2" t="s">
        <v>20246</v>
      </c>
      <c r="WNW2" t="s">
        <v>20247</v>
      </c>
      <c r="WNX2" t="s">
        <v>20248</v>
      </c>
      <c r="WNY2" t="s">
        <v>20249</v>
      </c>
      <c r="WNZ2" t="s">
        <v>20250</v>
      </c>
      <c r="WOA2" t="s">
        <v>20251</v>
      </c>
      <c r="WOB2" t="s">
        <v>20252</v>
      </c>
      <c r="WOC2" t="s">
        <v>20253</v>
      </c>
      <c r="WOD2" t="s">
        <v>20254</v>
      </c>
      <c r="WOE2" t="s">
        <v>20255</v>
      </c>
      <c r="WOF2" t="s">
        <v>20256</v>
      </c>
      <c r="WOG2" t="s">
        <v>20257</v>
      </c>
      <c r="WOH2" t="s">
        <v>20258</v>
      </c>
      <c r="WOI2" t="s">
        <v>20259</v>
      </c>
      <c r="WOJ2" t="s">
        <v>20260</v>
      </c>
      <c r="WOK2" t="s">
        <v>20261</v>
      </c>
      <c r="WOL2" t="s">
        <v>20262</v>
      </c>
      <c r="WOM2" t="s">
        <v>20263</v>
      </c>
      <c r="WON2" t="s">
        <v>20264</v>
      </c>
      <c r="WOO2" t="s">
        <v>20265</v>
      </c>
      <c r="WOP2" t="s">
        <v>20266</v>
      </c>
      <c r="WOQ2" t="s">
        <v>20267</v>
      </c>
      <c r="WOR2" t="s">
        <v>20268</v>
      </c>
      <c r="WOS2" t="s">
        <v>20269</v>
      </c>
      <c r="WOT2" t="s">
        <v>20270</v>
      </c>
      <c r="WOU2" t="s">
        <v>20271</v>
      </c>
      <c r="WOV2" t="s">
        <v>20272</v>
      </c>
      <c r="WOW2" t="s">
        <v>20273</v>
      </c>
      <c r="WOX2" t="s">
        <v>20274</v>
      </c>
      <c r="WOY2" t="s">
        <v>20275</v>
      </c>
      <c r="WOZ2" t="s">
        <v>20276</v>
      </c>
      <c r="WPA2" t="s">
        <v>20277</v>
      </c>
      <c r="WPB2" t="s">
        <v>20278</v>
      </c>
      <c r="WPC2" t="s">
        <v>20279</v>
      </c>
      <c r="WPD2" t="s">
        <v>20280</v>
      </c>
      <c r="WPE2" t="s">
        <v>20281</v>
      </c>
      <c r="WPF2" t="s">
        <v>20282</v>
      </c>
      <c r="WPG2" t="s">
        <v>20283</v>
      </c>
      <c r="WPH2" t="s">
        <v>20284</v>
      </c>
      <c r="WPI2" t="s">
        <v>20285</v>
      </c>
      <c r="WPJ2" t="s">
        <v>20286</v>
      </c>
      <c r="WPK2" t="s">
        <v>20287</v>
      </c>
      <c r="WPL2" t="s">
        <v>20288</v>
      </c>
      <c r="WPM2" t="s">
        <v>20289</v>
      </c>
      <c r="WPN2" t="s">
        <v>20290</v>
      </c>
      <c r="WPO2" t="s">
        <v>20291</v>
      </c>
      <c r="WPP2" t="s">
        <v>20292</v>
      </c>
      <c r="WPQ2" t="s">
        <v>20293</v>
      </c>
      <c r="WPR2" t="s">
        <v>20294</v>
      </c>
      <c r="WPS2" t="s">
        <v>20295</v>
      </c>
      <c r="WPT2" t="s">
        <v>20296</v>
      </c>
      <c r="WPU2" t="s">
        <v>20297</v>
      </c>
      <c r="WPV2" t="s">
        <v>20298</v>
      </c>
      <c r="WPW2" t="s">
        <v>20299</v>
      </c>
      <c r="WPX2" t="s">
        <v>20300</v>
      </c>
      <c r="WPY2" t="s">
        <v>20301</v>
      </c>
      <c r="WPZ2" t="s">
        <v>20302</v>
      </c>
      <c r="WQA2" t="s">
        <v>20303</v>
      </c>
      <c r="WQB2" t="s">
        <v>20304</v>
      </c>
      <c r="WQC2" t="s">
        <v>20305</v>
      </c>
      <c r="WQD2" t="s">
        <v>20306</v>
      </c>
      <c r="WQE2" t="s">
        <v>20307</v>
      </c>
      <c r="WQF2" t="s">
        <v>20308</v>
      </c>
      <c r="WQG2" t="s">
        <v>20309</v>
      </c>
      <c r="WQH2" t="s">
        <v>20310</v>
      </c>
      <c r="WQI2" t="s">
        <v>20311</v>
      </c>
      <c r="WQJ2" t="s">
        <v>20312</v>
      </c>
      <c r="WQK2" t="s">
        <v>20313</v>
      </c>
      <c r="WQL2" t="s">
        <v>20314</v>
      </c>
      <c r="WQM2" t="s">
        <v>20315</v>
      </c>
      <c r="WQN2" t="s">
        <v>20316</v>
      </c>
      <c r="WQO2" t="s">
        <v>20317</v>
      </c>
      <c r="WQP2" t="s">
        <v>20318</v>
      </c>
      <c r="WQQ2" t="s">
        <v>20319</v>
      </c>
      <c r="WQR2" t="s">
        <v>20320</v>
      </c>
      <c r="WQS2" t="s">
        <v>20321</v>
      </c>
      <c r="WQT2" t="s">
        <v>20322</v>
      </c>
      <c r="WQU2" t="s">
        <v>20323</v>
      </c>
      <c r="WQV2" t="s">
        <v>20324</v>
      </c>
      <c r="WQW2" t="s">
        <v>20325</v>
      </c>
      <c r="WQX2" t="s">
        <v>20326</v>
      </c>
      <c r="WQY2" t="s">
        <v>20327</v>
      </c>
      <c r="WQZ2" t="s">
        <v>20328</v>
      </c>
      <c r="WRA2" t="s">
        <v>20329</v>
      </c>
      <c r="WRB2" t="s">
        <v>20330</v>
      </c>
      <c r="WRC2" t="s">
        <v>20331</v>
      </c>
      <c r="WRD2" t="s">
        <v>20332</v>
      </c>
      <c r="WRE2" t="s">
        <v>20333</v>
      </c>
      <c r="WRF2" t="s">
        <v>20334</v>
      </c>
      <c r="WRG2" t="s">
        <v>20335</v>
      </c>
      <c r="WRH2" t="s">
        <v>20336</v>
      </c>
      <c r="WRI2" t="s">
        <v>20337</v>
      </c>
      <c r="WRJ2" t="s">
        <v>20338</v>
      </c>
      <c r="WRK2" t="s">
        <v>20339</v>
      </c>
      <c r="WRL2" t="s">
        <v>20340</v>
      </c>
      <c r="WRM2" t="s">
        <v>20341</v>
      </c>
      <c r="WRN2" t="s">
        <v>20342</v>
      </c>
      <c r="WRO2" t="s">
        <v>20343</v>
      </c>
      <c r="WRP2" t="s">
        <v>20344</v>
      </c>
      <c r="WRQ2" t="s">
        <v>20345</v>
      </c>
      <c r="WRR2" t="s">
        <v>20346</v>
      </c>
      <c r="WRS2" t="s">
        <v>20347</v>
      </c>
      <c r="WRT2" t="s">
        <v>20348</v>
      </c>
      <c r="WRU2" t="s">
        <v>20349</v>
      </c>
      <c r="WRV2" t="s">
        <v>20350</v>
      </c>
      <c r="WRW2" t="s">
        <v>20351</v>
      </c>
      <c r="WRX2" t="s">
        <v>20352</v>
      </c>
      <c r="WRY2" t="s">
        <v>20353</v>
      </c>
      <c r="WRZ2" t="s">
        <v>20354</v>
      </c>
      <c r="WSA2" t="s">
        <v>20355</v>
      </c>
      <c r="WSB2" t="s">
        <v>20356</v>
      </c>
      <c r="WSC2" t="s">
        <v>20357</v>
      </c>
      <c r="WSD2" t="s">
        <v>20358</v>
      </c>
      <c r="WSE2" t="s">
        <v>20359</v>
      </c>
      <c r="WSF2" t="s">
        <v>20360</v>
      </c>
      <c r="WSG2" t="s">
        <v>20361</v>
      </c>
      <c r="WSH2" t="s">
        <v>20362</v>
      </c>
      <c r="WSI2" t="s">
        <v>20363</v>
      </c>
      <c r="WSJ2" t="s">
        <v>20364</v>
      </c>
      <c r="WSK2" t="s">
        <v>20365</v>
      </c>
      <c r="WSL2" t="s">
        <v>20366</v>
      </c>
      <c r="WSM2" t="s">
        <v>20367</v>
      </c>
      <c r="WSN2" t="s">
        <v>20368</v>
      </c>
      <c r="WSO2" t="s">
        <v>20369</v>
      </c>
      <c r="WSP2" t="s">
        <v>20370</v>
      </c>
      <c r="WSQ2" t="s">
        <v>20371</v>
      </c>
      <c r="WSR2" t="s">
        <v>20372</v>
      </c>
      <c r="WSS2" t="s">
        <v>20373</v>
      </c>
      <c r="WST2" t="s">
        <v>20374</v>
      </c>
      <c r="WSU2" t="s">
        <v>20375</v>
      </c>
      <c r="WSV2" t="s">
        <v>20376</v>
      </c>
      <c r="WSW2" t="s">
        <v>20377</v>
      </c>
      <c r="WSX2" t="s">
        <v>20378</v>
      </c>
      <c r="WSY2" t="s">
        <v>20379</v>
      </c>
      <c r="WSZ2" t="s">
        <v>20380</v>
      </c>
      <c r="WTA2" t="s">
        <v>20381</v>
      </c>
      <c r="WTB2" t="s">
        <v>20382</v>
      </c>
      <c r="WTC2" t="s">
        <v>20383</v>
      </c>
      <c r="WTD2" t="s">
        <v>20384</v>
      </c>
      <c r="WTE2" t="s">
        <v>20385</v>
      </c>
      <c r="WTF2" t="s">
        <v>20386</v>
      </c>
      <c r="WTG2" t="s">
        <v>20387</v>
      </c>
      <c r="WTH2" t="s">
        <v>20388</v>
      </c>
      <c r="WTI2" t="s">
        <v>20389</v>
      </c>
      <c r="WTJ2" t="s">
        <v>20390</v>
      </c>
      <c r="WTK2" t="s">
        <v>20391</v>
      </c>
      <c r="WTL2" t="s">
        <v>20392</v>
      </c>
      <c r="WTM2" t="s">
        <v>20393</v>
      </c>
      <c r="WTN2" t="s">
        <v>20394</v>
      </c>
      <c r="WTO2" t="s">
        <v>20395</v>
      </c>
      <c r="WTP2" t="s">
        <v>20396</v>
      </c>
      <c r="WTQ2" t="s">
        <v>20397</v>
      </c>
      <c r="WTR2" t="s">
        <v>20398</v>
      </c>
      <c r="WTS2" t="s">
        <v>20399</v>
      </c>
      <c r="WTT2" t="s">
        <v>20400</v>
      </c>
      <c r="WTU2" t="s">
        <v>20401</v>
      </c>
      <c r="WTV2" t="s">
        <v>20402</v>
      </c>
      <c r="WTW2" t="s">
        <v>20403</v>
      </c>
      <c r="WTX2" t="s">
        <v>20404</v>
      </c>
      <c r="WTY2" t="s">
        <v>20405</v>
      </c>
      <c r="WTZ2" t="s">
        <v>20406</v>
      </c>
      <c r="WUA2" t="s">
        <v>20407</v>
      </c>
      <c r="WUB2" t="s">
        <v>20408</v>
      </c>
      <c r="WUC2" t="s">
        <v>20409</v>
      </c>
      <c r="WUD2" t="s">
        <v>20410</v>
      </c>
      <c r="WUE2" t="s">
        <v>20411</v>
      </c>
      <c r="WUF2" t="s">
        <v>20412</v>
      </c>
      <c r="WUG2" t="s">
        <v>20413</v>
      </c>
      <c r="WUH2" t="s">
        <v>20414</v>
      </c>
      <c r="WUI2" t="s">
        <v>20415</v>
      </c>
      <c r="WUJ2" t="s">
        <v>20416</v>
      </c>
      <c r="WUK2" t="s">
        <v>20417</v>
      </c>
      <c r="WUL2" t="s">
        <v>20418</v>
      </c>
      <c r="WUM2" t="s">
        <v>20419</v>
      </c>
      <c r="WUN2" t="s">
        <v>20420</v>
      </c>
      <c r="WUO2" t="s">
        <v>20421</v>
      </c>
      <c r="WUP2" t="s">
        <v>20422</v>
      </c>
      <c r="WUQ2" t="s">
        <v>20423</v>
      </c>
      <c r="WUR2" t="s">
        <v>20424</v>
      </c>
      <c r="WUS2" t="s">
        <v>20425</v>
      </c>
      <c r="WUT2" t="s">
        <v>20426</v>
      </c>
      <c r="WUU2" t="s">
        <v>20427</v>
      </c>
      <c r="WUV2" t="s">
        <v>20428</v>
      </c>
      <c r="WUW2" t="s">
        <v>20429</v>
      </c>
      <c r="WUX2" t="s">
        <v>20430</v>
      </c>
      <c r="WUY2" t="s">
        <v>20431</v>
      </c>
      <c r="WUZ2" t="s">
        <v>20432</v>
      </c>
      <c r="WVA2" t="s">
        <v>20433</v>
      </c>
      <c r="WVB2" t="s">
        <v>20434</v>
      </c>
      <c r="WVC2" t="s">
        <v>20435</v>
      </c>
      <c r="WVD2" t="s">
        <v>20436</v>
      </c>
      <c r="WVE2" t="s">
        <v>20437</v>
      </c>
      <c r="WVF2" t="s">
        <v>20438</v>
      </c>
      <c r="WVG2" t="s">
        <v>20439</v>
      </c>
      <c r="WVH2" t="s">
        <v>20440</v>
      </c>
      <c r="WVI2" t="s">
        <v>20441</v>
      </c>
      <c r="WVJ2" t="s">
        <v>20442</v>
      </c>
      <c r="WVK2" t="s">
        <v>20443</v>
      </c>
      <c r="WVL2" t="s">
        <v>20444</v>
      </c>
      <c r="WVM2" t="s">
        <v>20445</v>
      </c>
      <c r="WVN2" t="s">
        <v>20446</v>
      </c>
      <c r="WVO2" t="s">
        <v>20447</v>
      </c>
      <c r="WVP2" t="s">
        <v>20448</v>
      </c>
      <c r="WVQ2" t="s">
        <v>20449</v>
      </c>
      <c r="WVR2" t="s">
        <v>20450</v>
      </c>
      <c r="WVS2" t="s">
        <v>20451</v>
      </c>
      <c r="WVT2" t="s">
        <v>20452</v>
      </c>
      <c r="WVU2" t="s">
        <v>20453</v>
      </c>
      <c r="WVV2" t="s">
        <v>20454</v>
      </c>
      <c r="WVW2" t="s">
        <v>20455</v>
      </c>
      <c r="WVX2" t="s">
        <v>20456</v>
      </c>
      <c r="WVY2" t="s">
        <v>20457</v>
      </c>
      <c r="WVZ2" t="s">
        <v>20458</v>
      </c>
      <c r="WWA2" t="s">
        <v>20459</v>
      </c>
      <c r="WWB2" t="s">
        <v>20460</v>
      </c>
      <c r="WWC2" t="s">
        <v>20461</v>
      </c>
      <c r="WWD2" t="s">
        <v>20462</v>
      </c>
      <c r="WWE2" t="s">
        <v>20463</v>
      </c>
      <c r="WWF2" t="s">
        <v>20464</v>
      </c>
      <c r="WWG2" t="s">
        <v>20465</v>
      </c>
      <c r="WWH2" t="s">
        <v>20466</v>
      </c>
      <c r="WWI2" t="s">
        <v>20467</v>
      </c>
      <c r="WWJ2" t="s">
        <v>20468</v>
      </c>
      <c r="WWK2" t="s">
        <v>20469</v>
      </c>
      <c r="WWL2" t="s">
        <v>20470</v>
      </c>
      <c r="WWM2" t="s">
        <v>20471</v>
      </c>
      <c r="WWN2" t="s">
        <v>20472</v>
      </c>
      <c r="WWO2" t="s">
        <v>20473</v>
      </c>
      <c r="WWP2" t="s">
        <v>20474</v>
      </c>
      <c r="WWQ2" t="s">
        <v>20475</v>
      </c>
      <c r="WWR2" t="s">
        <v>20476</v>
      </c>
      <c r="WWS2" t="s">
        <v>20477</v>
      </c>
      <c r="WWT2" t="s">
        <v>20478</v>
      </c>
      <c r="WWU2" t="s">
        <v>20479</v>
      </c>
      <c r="WWV2" t="s">
        <v>20480</v>
      </c>
      <c r="WWW2" t="s">
        <v>20481</v>
      </c>
      <c r="WWX2" t="s">
        <v>20482</v>
      </c>
      <c r="WWY2" t="s">
        <v>20483</v>
      </c>
      <c r="WWZ2" t="s">
        <v>20484</v>
      </c>
      <c r="WXA2" t="s">
        <v>20485</v>
      </c>
      <c r="WXB2" t="s">
        <v>20486</v>
      </c>
      <c r="WXC2" t="s">
        <v>20487</v>
      </c>
      <c r="WXD2" t="s">
        <v>20488</v>
      </c>
      <c r="WXE2" t="s">
        <v>20489</v>
      </c>
      <c r="WXF2" t="s">
        <v>20490</v>
      </c>
      <c r="WXG2" t="s">
        <v>20491</v>
      </c>
      <c r="WXH2" t="s">
        <v>20492</v>
      </c>
      <c r="WXI2" t="s">
        <v>20493</v>
      </c>
      <c r="WXJ2" t="s">
        <v>20494</v>
      </c>
      <c r="WXK2" t="s">
        <v>20495</v>
      </c>
      <c r="WXL2" t="s">
        <v>20496</v>
      </c>
      <c r="WXM2" t="s">
        <v>20497</v>
      </c>
      <c r="WXN2" t="s">
        <v>20498</v>
      </c>
      <c r="WXO2" t="s">
        <v>20499</v>
      </c>
      <c r="WXP2" t="s">
        <v>20500</v>
      </c>
      <c r="WXQ2" t="s">
        <v>20501</v>
      </c>
      <c r="WXR2" t="s">
        <v>20502</v>
      </c>
      <c r="WXS2" t="s">
        <v>20503</v>
      </c>
      <c r="WXT2" t="s">
        <v>20504</v>
      </c>
      <c r="WXU2" t="s">
        <v>20505</v>
      </c>
      <c r="WXV2" t="s">
        <v>20506</v>
      </c>
      <c r="WXW2" t="s">
        <v>20507</v>
      </c>
      <c r="WXX2" t="s">
        <v>20508</v>
      </c>
      <c r="WXY2" t="s">
        <v>20509</v>
      </c>
      <c r="WXZ2" t="s">
        <v>20510</v>
      </c>
      <c r="WYA2" t="s">
        <v>20511</v>
      </c>
      <c r="WYB2" t="s">
        <v>20512</v>
      </c>
      <c r="WYC2" t="s">
        <v>20513</v>
      </c>
      <c r="WYD2" t="s">
        <v>20514</v>
      </c>
      <c r="WYE2" t="s">
        <v>20515</v>
      </c>
      <c r="WYF2" t="s">
        <v>20516</v>
      </c>
      <c r="WYG2" t="s">
        <v>20517</v>
      </c>
      <c r="WYH2" t="s">
        <v>20518</v>
      </c>
      <c r="WYI2" t="s">
        <v>20519</v>
      </c>
      <c r="WYJ2" t="s">
        <v>20520</v>
      </c>
      <c r="WYK2" t="s">
        <v>20521</v>
      </c>
      <c r="WYL2" t="s">
        <v>20522</v>
      </c>
      <c r="WYM2" t="s">
        <v>20523</v>
      </c>
      <c r="WYN2" t="s">
        <v>20524</v>
      </c>
      <c r="WYO2" t="s">
        <v>20525</v>
      </c>
      <c r="WYP2" t="s">
        <v>20526</v>
      </c>
      <c r="WYQ2" t="s">
        <v>20527</v>
      </c>
      <c r="WYR2" t="s">
        <v>20528</v>
      </c>
      <c r="WYS2" t="s">
        <v>20529</v>
      </c>
      <c r="WYT2" t="s">
        <v>20530</v>
      </c>
      <c r="WYU2" t="s">
        <v>20531</v>
      </c>
      <c r="WYV2" t="s">
        <v>20532</v>
      </c>
      <c r="WYW2" t="s">
        <v>20533</v>
      </c>
      <c r="WYX2" t="s">
        <v>20534</v>
      </c>
      <c r="WYY2" t="s">
        <v>20535</v>
      </c>
      <c r="WYZ2" t="s">
        <v>20536</v>
      </c>
      <c r="WZA2" t="s">
        <v>20537</v>
      </c>
      <c r="WZB2" t="s">
        <v>20538</v>
      </c>
      <c r="WZC2" t="s">
        <v>20539</v>
      </c>
      <c r="WZD2" t="s">
        <v>20540</v>
      </c>
      <c r="WZE2" t="s">
        <v>20541</v>
      </c>
      <c r="WZF2" t="s">
        <v>20542</v>
      </c>
      <c r="WZG2" t="s">
        <v>20543</v>
      </c>
      <c r="WZH2" t="s">
        <v>20544</v>
      </c>
      <c r="WZI2" t="s">
        <v>20545</v>
      </c>
      <c r="WZJ2" t="s">
        <v>20546</v>
      </c>
      <c r="WZK2" t="s">
        <v>20547</v>
      </c>
      <c r="WZL2" t="s">
        <v>20548</v>
      </c>
      <c r="WZM2" t="s">
        <v>20549</v>
      </c>
      <c r="WZN2" t="s">
        <v>20550</v>
      </c>
      <c r="WZO2" t="s">
        <v>20551</v>
      </c>
      <c r="WZP2" t="s">
        <v>20552</v>
      </c>
      <c r="WZQ2" t="s">
        <v>20553</v>
      </c>
      <c r="WZR2" t="s">
        <v>20554</v>
      </c>
      <c r="WZS2" t="s">
        <v>20555</v>
      </c>
      <c r="WZT2" t="s">
        <v>20556</v>
      </c>
      <c r="WZU2" t="s">
        <v>20557</v>
      </c>
      <c r="WZV2" t="s">
        <v>20558</v>
      </c>
      <c r="WZW2" t="s">
        <v>20559</v>
      </c>
      <c r="WZX2" t="s">
        <v>20560</v>
      </c>
      <c r="WZY2" t="s">
        <v>20561</v>
      </c>
      <c r="WZZ2" t="s">
        <v>20562</v>
      </c>
      <c r="XAA2" t="s">
        <v>20563</v>
      </c>
      <c r="XAB2" t="s">
        <v>20564</v>
      </c>
      <c r="XAC2" t="s">
        <v>20565</v>
      </c>
      <c r="XAD2" t="s">
        <v>20566</v>
      </c>
      <c r="XAE2" t="s">
        <v>20567</v>
      </c>
      <c r="XAF2" t="s">
        <v>20568</v>
      </c>
      <c r="XAG2" t="s">
        <v>20569</v>
      </c>
      <c r="XAH2" t="s">
        <v>20570</v>
      </c>
      <c r="XAI2" t="s">
        <v>20571</v>
      </c>
      <c r="XAJ2" t="s">
        <v>20572</v>
      </c>
      <c r="XAK2" t="s">
        <v>20573</v>
      </c>
      <c r="XAL2" t="s">
        <v>20574</v>
      </c>
      <c r="XAM2" t="s">
        <v>20575</v>
      </c>
      <c r="XAN2" t="s">
        <v>20576</v>
      </c>
      <c r="XAO2" t="s">
        <v>20577</v>
      </c>
      <c r="XAP2" t="s">
        <v>20578</v>
      </c>
      <c r="XAQ2" t="s">
        <v>20579</v>
      </c>
      <c r="XAR2" t="s">
        <v>20580</v>
      </c>
      <c r="XAS2" t="s">
        <v>20581</v>
      </c>
      <c r="XAT2" t="s">
        <v>20582</v>
      </c>
      <c r="XAU2" t="s">
        <v>20583</v>
      </c>
      <c r="XAV2" t="s">
        <v>20584</v>
      </c>
      <c r="XAW2" t="s">
        <v>20585</v>
      </c>
      <c r="XAX2" t="s">
        <v>20586</v>
      </c>
      <c r="XAY2" t="s">
        <v>20587</v>
      </c>
      <c r="XAZ2" t="s">
        <v>20588</v>
      </c>
      <c r="XBA2" t="s">
        <v>20589</v>
      </c>
      <c r="XBB2" t="s">
        <v>20590</v>
      </c>
      <c r="XBC2" t="s">
        <v>20591</v>
      </c>
      <c r="XBD2" t="s">
        <v>20592</v>
      </c>
      <c r="XBE2" t="s">
        <v>20593</v>
      </c>
      <c r="XBF2" t="s">
        <v>20594</v>
      </c>
      <c r="XBG2" t="s">
        <v>20595</v>
      </c>
      <c r="XBH2" t="s">
        <v>20596</v>
      </c>
      <c r="XBI2" t="s">
        <v>20597</v>
      </c>
      <c r="XBJ2" t="s">
        <v>20598</v>
      </c>
      <c r="XBK2" t="s">
        <v>20599</v>
      </c>
      <c r="XBL2" t="s">
        <v>20600</v>
      </c>
      <c r="XBM2" t="s">
        <v>20601</v>
      </c>
      <c r="XBN2" t="s">
        <v>20602</v>
      </c>
      <c r="XBO2" t="s">
        <v>20603</v>
      </c>
      <c r="XBP2" t="s">
        <v>20604</v>
      </c>
      <c r="XBQ2" t="s">
        <v>20605</v>
      </c>
      <c r="XBR2" t="s">
        <v>20606</v>
      </c>
      <c r="XBS2" t="s">
        <v>20607</v>
      </c>
      <c r="XBT2" t="s">
        <v>20608</v>
      </c>
      <c r="XBU2" t="s">
        <v>20609</v>
      </c>
      <c r="XBV2" t="s">
        <v>20610</v>
      </c>
      <c r="XBW2" t="s">
        <v>20611</v>
      </c>
      <c r="XBX2" t="s">
        <v>20612</v>
      </c>
      <c r="XBY2" t="s">
        <v>20613</v>
      </c>
      <c r="XBZ2" t="s">
        <v>20614</v>
      </c>
      <c r="XCA2" t="s">
        <v>20615</v>
      </c>
      <c r="XCB2" t="s">
        <v>20616</v>
      </c>
      <c r="XCC2" t="s">
        <v>20617</v>
      </c>
      <c r="XCD2" t="s">
        <v>20618</v>
      </c>
      <c r="XCE2" t="s">
        <v>20619</v>
      </c>
      <c r="XCF2" t="s">
        <v>20620</v>
      </c>
      <c r="XCG2" t="s">
        <v>20621</v>
      </c>
      <c r="XCH2" t="s">
        <v>20622</v>
      </c>
      <c r="XCI2" t="s">
        <v>20623</v>
      </c>
      <c r="XCJ2" t="s">
        <v>20624</v>
      </c>
      <c r="XCK2" t="s">
        <v>20625</v>
      </c>
      <c r="XCL2" t="s">
        <v>20626</v>
      </c>
      <c r="XCM2" t="s">
        <v>20627</v>
      </c>
      <c r="XCN2" t="s">
        <v>20628</v>
      </c>
      <c r="XCO2" t="s">
        <v>20629</v>
      </c>
      <c r="XCP2" t="s">
        <v>20630</v>
      </c>
      <c r="XCQ2" t="s">
        <v>20631</v>
      </c>
      <c r="XCR2" t="s">
        <v>20632</v>
      </c>
      <c r="XCS2" t="s">
        <v>20633</v>
      </c>
      <c r="XCT2" t="s">
        <v>20634</v>
      </c>
      <c r="XCU2" t="s">
        <v>20635</v>
      </c>
      <c r="XCV2" t="s">
        <v>20636</v>
      </c>
      <c r="XCW2" t="s">
        <v>20637</v>
      </c>
      <c r="XCX2" t="s">
        <v>20638</v>
      </c>
      <c r="XCY2" t="s">
        <v>20639</v>
      </c>
      <c r="XCZ2" t="s">
        <v>20640</v>
      </c>
      <c r="XDA2" t="s">
        <v>20641</v>
      </c>
      <c r="XDB2" t="s">
        <v>20642</v>
      </c>
      <c r="XDC2" t="s">
        <v>20643</v>
      </c>
      <c r="XDD2" t="s">
        <v>20644</v>
      </c>
      <c r="XDE2" t="s">
        <v>20645</v>
      </c>
      <c r="XDF2" t="s">
        <v>20646</v>
      </c>
      <c r="XDG2" t="s">
        <v>20647</v>
      </c>
      <c r="XDH2" t="s">
        <v>20648</v>
      </c>
      <c r="XDI2" t="s">
        <v>20649</v>
      </c>
      <c r="XDJ2" t="s">
        <v>20650</v>
      </c>
      <c r="XDK2" t="s">
        <v>20651</v>
      </c>
      <c r="XDL2" t="s">
        <v>20652</v>
      </c>
      <c r="XDM2" t="s">
        <v>20653</v>
      </c>
      <c r="XDN2" t="s">
        <v>20654</v>
      </c>
      <c r="XDO2" t="s">
        <v>20655</v>
      </c>
      <c r="XDP2" t="s">
        <v>20656</v>
      </c>
      <c r="XDQ2" t="s">
        <v>20657</v>
      </c>
      <c r="XDR2" t="s">
        <v>20658</v>
      </c>
      <c r="XDS2" t="s">
        <v>20659</v>
      </c>
      <c r="XDT2" t="s">
        <v>20660</v>
      </c>
      <c r="XDU2" t="s">
        <v>20661</v>
      </c>
      <c r="XDV2" t="s">
        <v>20662</v>
      </c>
      <c r="XDW2" t="s">
        <v>20663</v>
      </c>
      <c r="XDX2" t="s">
        <v>20664</v>
      </c>
      <c r="XDY2" t="s">
        <v>20665</v>
      </c>
      <c r="XDZ2" t="s">
        <v>20666</v>
      </c>
      <c r="XEA2" t="s">
        <v>20667</v>
      </c>
      <c r="XEB2" t="s">
        <v>20668</v>
      </c>
      <c r="XEC2" t="s">
        <v>20669</v>
      </c>
      <c r="XED2" t="s">
        <v>20670</v>
      </c>
      <c r="XEE2" t="s">
        <v>20671</v>
      </c>
      <c r="XEF2" t="s">
        <v>20672</v>
      </c>
      <c r="XEG2" t="s">
        <v>20673</v>
      </c>
      <c r="XEH2" t="s">
        <v>20674</v>
      </c>
      <c r="XEI2" t="s">
        <v>20675</v>
      </c>
      <c r="XEJ2" t="s">
        <v>20676</v>
      </c>
      <c r="XEK2" t="s">
        <v>20677</v>
      </c>
      <c r="XEL2" t="s">
        <v>20678</v>
      </c>
      <c r="XEM2" t="s">
        <v>20679</v>
      </c>
      <c r="XEN2" t="s">
        <v>20680</v>
      </c>
      <c r="XEO2" t="s">
        <v>20681</v>
      </c>
      <c r="XEP2" t="s">
        <v>20682</v>
      </c>
      <c r="XEQ2" t="s">
        <v>20683</v>
      </c>
      <c r="XER2" t="s">
        <v>20684</v>
      </c>
      <c r="XES2" t="s">
        <v>20685</v>
      </c>
      <c r="XET2" t="s">
        <v>20686</v>
      </c>
      <c r="XEU2" t="s">
        <v>20687</v>
      </c>
      <c r="XEV2" t="s">
        <v>20688</v>
      </c>
      <c r="XEW2" t="s">
        <v>20689</v>
      </c>
      <c r="XEX2" t="s">
        <v>20690</v>
      </c>
      <c r="XEY2" t="s">
        <v>20691</v>
      </c>
      <c r="XEZ2" t="s">
        <v>20692</v>
      </c>
      <c r="XFA2" t="s">
        <v>20693</v>
      </c>
      <c r="XFB2" t="s">
        <v>20694</v>
      </c>
      <c r="XFC2" t="s">
        <v>20695</v>
      </c>
      <c r="XFD2" t="s">
        <v>20696</v>
      </c>
    </row>
    <row r="3" spans="1:16384" customFormat="1" ht="43.8" customHeight="1" x14ac:dyDescent="0.55000000000000004">
      <c r="A3" s="10"/>
      <c r="B3" s="19" t="s">
        <v>4291</v>
      </c>
      <c r="C3" s="10"/>
      <c r="D3" s="10"/>
      <c r="E3" s="10"/>
      <c r="F3" s="10"/>
      <c r="G3" s="10"/>
      <c r="H3" s="12"/>
      <c r="I3" s="12"/>
      <c r="J3" s="12"/>
      <c r="K3" s="12"/>
      <c r="L3" s="12"/>
      <c r="M3" s="12"/>
    </row>
    <row r="4" spans="1:16384" s="15" customFormat="1" ht="28.8" x14ac:dyDescent="0.55000000000000004">
      <c r="A4" s="16" t="s">
        <v>4292</v>
      </c>
      <c r="B4" s="16"/>
      <c r="C4" s="13"/>
      <c r="D4" s="13"/>
      <c r="E4" s="13"/>
      <c r="F4" s="13"/>
      <c r="G4" s="13"/>
      <c r="H4" s="14"/>
      <c r="I4" s="14"/>
      <c r="J4" s="14"/>
      <c r="K4" s="14"/>
      <c r="L4" s="14"/>
      <c r="M4" s="14"/>
    </row>
    <row r="5" spans="1:16384" customFormat="1" x14ac:dyDescent="0.3">
      <c r="A5" t="s">
        <v>4284</v>
      </c>
      <c r="B5" s="9">
        <v>1200</v>
      </c>
    </row>
    <row r="6" spans="1:16384" customFormat="1" x14ac:dyDescent="0.3">
      <c r="A6" t="s">
        <v>4285</v>
      </c>
      <c r="B6" s="9">
        <v>14</v>
      </c>
    </row>
    <row r="7" spans="1:16384" customFormat="1" x14ac:dyDescent="0.3">
      <c r="A7" t="s">
        <v>4286</v>
      </c>
      <c r="B7" s="2" t="s">
        <v>20712</v>
      </c>
    </row>
    <row r="8" spans="1:16384" customFormat="1" x14ac:dyDescent="0.3">
      <c r="A8" t="s">
        <v>20699</v>
      </c>
      <c r="B8" s="9">
        <v>7</v>
      </c>
    </row>
    <row r="9" spans="1:16384" customFormat="1" x14ac:dyDescent="0.3">
      <c r="A9" t="s">
        <v>4287</v>
      </c>
      <c r="B9" s="9">
        <v>1189</v>
      </c>
    </row>
    <row r="10" spans="1:16384" customFormat="1" x14ac:dyDescent="0.3">
      <c r="A10" t="s">
        <v>20698</v>
      </c>
      <c r="B10" s="6" t="s">
        <v>4290</v>
      </c>
    </row>
    <row r="11" spans="1:16384" customFormat="1" x14ac:dyDescent="0.3">
      <c r="A11" t="s">
        <v>4288</v>
      </c>
      <c r="B11" t="s">
        <v>20700</v>
      </c>
    </row>
    <row r="12" spans="1:16384" customFormat="1" x14ac:dyDescent="0.3"/>
    <row r="13" spans="1:16384" customFormat="1" x14ac:dyDescent="0.3"/>
    <row r="14" spans="1:16384" customFormat="1" ht="6" customHeight="1" x14ac:dyDescent="0.3"/>
    <row r="15" spans="1:16384" customFormat="1" ht="21" x14ac:dyDescent="0.4">
      <c r="A15" s="17" t="s">
        <v>4293</v>
      </c>
    </row>
    <row r="16" spans="1:16384" customFormat="1" x14ac:dyDescent="0.3">
      <c r="A16" s="18" t="s">
        <v>4294</v>
      </c>
      <c r="B16" s="18" t="s">
        <v>4295</v>
      </c>
      <c r="C16" s="18" t="s">
        <v>4296</v>
      </c>
    </row>
    <row r="17" spans="1:3" x14ac:dyDescent="0.3">
      <c r="A17" t="s">
        <v>20701</v>
      </c>
      <c r="B17" t="s">
        <v>4304</v>
      </c>
      <c r="C17">
        <v>1200</v>
      </c>
    </row>
    <row r="18" spans="1:3" x14ac:dyDescent="0.3">
      <c r="A18" t="s">
        <v>20702</v>
      </c>
      <c r="B18" t="s">
        <v>4303</v>
      </c>
      <c r="C18">
        <v>1200</v>
      </c>
    </row>
    <row r="19" spans="1:3" x14ac:dyDescent="0.3">
      <c r="A19" t="s">
        <v>4297</v>
      </c>
      <c r="B19" t="s">
        <v>4302</v>
      </c>
      <c r="C19">
        <v>309</v>
      </c>
    </row>
    <row r="20" spans="1:3" x14ac:dyDescent="0.3">
      <c r="A20" t="s">
        <v>4298</v>
      </c>
      <c r="B20" t="s">
        <v>4299</v>
      </c>
      <c r="C20">
        <v>1200</v>
      </c>
    </row>
    <row r="21" spans="1:3" x14ac:dyDescent="0.3">
      <c r="A21" t="s">
        <v>4300</v>
      </c>
      <c r="B21" t="s">
        <v>4301</v>
      </c>
      <c r="C21">
        <v>1200</v>
      </c>
    </row>
    <row r="23" spans="1:3" ht="21" x14ac:dyDescent="0.4">
      <c r="A23" s="17" t="s">
        <v>20697</v>
      </c>
    </row>
    <row r="24" spans="1:3" x14ac:dyDescent="0.3">
      <c r="A24" s="18" t="s">
        <v>4305</v>
      </c>
      <c r="B24" s="18" t="s">
        <v>4306</v>
      </c>
      <c r="C24" s="18" t="s">
        <v>4307</v>
      </c>
    </row>
    <row r="25" spans="1:3" x14ac:dyDescent="0.3">
      <c r="A25" t="s">
        <v>4302</v>
      </c>
      <c r="B25" t="s">
        <v>4308</v>
      </c>
      <c r="C25" t="s">
        <v>4309</v>
      </c>
    </row>
    <row r="26" spans="1:3" x14ac:dyDescent="0.3">
      <c r="A26" t="s">
        <v>4299</v>
      </c>
      <c r="B26" t="s">
        <v>4310</v>
      </c>
      <c r="C26" t="s">
        <v>4311</v>
      </c>
    </row>
    <row r="27" spans="1:3" x14ac:dyDescent="0.3">
      <c r="A27" t="s">
        <v>4301</v>
      </c>
      <c r="B27" t="s">
        <v>4312</v>
      </c>
      <c r="C27" t="s">
        <v>4313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EDA</vt:lpstr>
      <vt:lpstr>cleaned_data</vt:lpstr>
      <vt:lpstr>change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Ogunlesi Tiaraoluwa</dc:creator>
  <cp:lastModifiedBy>Aminat Ogunlesi</cp:lastModifiedBy>
  <dcterms:created xsi:type="dcterms:W3CDTF">2025-06-21T13:19:12Z</dcterms:created>
  <dcterms:modified xsi:type="dcterms:W3CDTF">2026-05-29T12:44:25Z</dcterms:modified>
</cp:coreProperties>
</file>